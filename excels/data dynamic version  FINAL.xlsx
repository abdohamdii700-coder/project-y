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2" autoFilterDateGrouping="1"/>
  </bookViews>
  <sheets>
    <sheet xmlns:r="http://schemas.openxmlformats.org/officeDocument/2006/relationships" name="Sheet3" sheetId="1" state="hidden" r:id="rId1"/>
    <sheet xmlns:r="http://schemas.openxmlformats.org/officeDocument/2006/relationships" name="Sheet2" sheetId="2" state="visible" r:id="rId2"/>
    <sheet xmlns:r="http://schemas.openxmlformats.org/officeDocument/2006/relationships" name="Sheet1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_FilterDatabase" localSheetId="2" hidden="1">'Sheet1'!$A$1:$AH$1116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EFDC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0" fillId="2" borderId="2" pivotButton="0" quotePrefix="0" xfId="0"/>
    <xf numFmtId="0" fontId="0" fillId="2" borderId="3" pivotButton="0" quotePrefix="0" xfId="0"/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0" fontId="0" fillId="5" borderId="2" pivotButton="0" quotePrefix="0" xfId="0"/>
    <xf numFmtId="0" fontId="0" fillId="5" borderId="3" pivotButton="0" quotePrefix="0" xfId="0"/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0" fillId="6" borderId="2" pivotButton="0" quotePrefix="0" xfId="0"/>
    <xf numFmtId="0" fontId="0" fillId="6" borderId="3" pivotButton="0" quotePrefix="0" xfId="0"/>
    <xf numFmtId="0" fontId="1" fillId="4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10" fontId="1" fillId="7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10" fontId="1" fillId="9" borderId="1" applyAlignment="1" pivotButton="0" quotePrefix="0" xfId="0">
      <alignment horizontal="center" vertical="center"/>
    </xf>
    <xf numFmtId="0" fontId="0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project%20x\long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project%20x\excels\4.xlsx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&#1591;&#1608;&#1604;&#1609;%20&#1583;&#1608;&#1604;&#1609;%20&#1578;&#1575;&#1604;&#1578;&#1577;.xlsx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'&#1591;&#1608;&#1604;&#1610;&#1577;%20&#1583;&#1608;&#1604;&#1610;%20&#1585;&#1575;&#1576;&#1593;&#1577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research</v>
          </cell>
          <cell r="I1" t="str">
            <v>profess
ionalis</v>
          </cell>
        </row>
        <row r="2">
          <cell r="G2" t="str">
            <v>Professionalism</v>
          </cell>
          <cell r="N2" t="str">
            <v>mmunicati</v>
          </cell>
        </row>
        <row r="3">
          <cell r="A3" t="str">
            <v>step4</v>
          </cell>
          <cell r="B3" t="str">
            <v>step3</v>
          </cell>
          <cell r="C3" t="str">
            <v>step2</v>
          </cell>
          <cell r="D3" t="str">
            <v>step1</v>
          </cell>
          <cell r="F3" t="str">
            <v>Step4</v>
          </cell>
          <cell r="G3" t="str">
            <v>Step3</v>
          </cell>
          <cell r="H3" t="str">
            <v>Step2</v>
          </cell>
          <cell r="I3" t="str">
            <v>Step I</v>
          </cell>
          <cell r="K3" t="str">
            <v>step 4</v>
          </cell>
          <cell r="L3" t="str">
            <v>Step 3</v>
          </cell>
          <cell r="M3" t="str">
            <v>Step 2</v>
          </cell>
          <cell r="N3" t="str">
            <v>Step I</v>
          </cell>
        </row>
        <row r="4">
          <cell r="A4">
            <v>24</v>
          </cell>
          <cell r="B4">
            <v>46.5</v>
          </cell>
          <cell r="C4">
            <v>50</v>
          </cell>
          <cell r="D4">
            <v>22</v>
          </cell>
          <cell r="F4">
            <v>25</v>
          </cell>
          <cell r="G4">
            <v>24</v>
          </cell>
          <cell r="H4">
            <v>21</v>
          </cell>
          <cell r="I4">
            <v>20</v>
          </cell>
          <cell r="K4">
            <v>23</v>
          </cell>
          <cell r="L4">
            <v>24</v>
          </cell>
          <cell r="M4">
            <v>21</v>
          </cell>
          <cell r="N4">
            <v>24</v>
          </cell>
          <cell r="P4">
            <v>1</v>
          </cell>
        </row>
        <row r="5">
          <cell r="A5">
            <v>24</v>
          </cell>
          <cell r="B5">
            <v>49</v>
          </cell>
          <cell r="C5">
            <v>50</v>
          </cell>
          <cell r="D5">
            <v>24</v>
          </cell>
          <cell r="F5">
            <v>23.5</v>
          </cell>
          <cell r="G5">
            <v>24</v>
          </cell>
          <cell r="H5">
            <v>25</v>
          </cell>
          <cell r="I5">
            <v>22</v>
          </cell>
          <cell r="K5">
            <v>22</v>
          </cell>
          <cell r="L5">
            <v>24</v>
          </cell>
          <cell r="M5">
            <v>23</v>
          </cell>
          <cell r="N5">
            <v>23</v>
          </cell>
          <cell r="P5">
            <v>3</v>
          </cell>
        </row>
        <row r="6">
          <cell r="A6">
            <v>24</v>
          </cell>
          <cell r="B6">
            <v>47.5</v>
          </cell>
          <cell r="C6">
            <v>49</v>
          </cell>
          <cell r="D6">
            <v>24</v>
          </cell>
          <cell r="F6">
            <v>23.5</v>
          </cell>
          <cell r="G6">
            <v>23</v>
          </cell>
          <cell r="H6">
            <v>25</v>
          </cell>
          <cell r="I6">
            <v>23</v>
          </cell>
          <cell r="K6">
            <v>22</v>
          </cell>
          <cell r="L6">
            <v>23</v>
          </cell>
          <cell r="M6">
            <v>23</v>
          </cell>
          <cell r="N6">
            <v>25</v>
          </cell>
          <cell r="P6">
            <v>4</v>
          </cell>
        </row>
        <row r="7">
          <cell r="A7">
            <v>25</v>
          </cell>
          <cell r="B7">
            <v>46</v>
          </cell>
          <cell r="C7">
            <v>50</v>
          </cell>
          <cell r="D7">
            <v>21</v>
          </cell>
          <cell r="F7">
            <v>24</v>
          </cell>
          <cell r="G7">
            <v>22</v>
          </cell>
          <cell r="H7">
            <v>22</v>
          </cell>
          <cell r="I7">
            <v>21</v>
          </cell>
          <cell r="K7">
            <v>20</v>
          </cell>
          <cell r="L7">
            <v>23</v>
          </cell>
          <cell r="M7">
            <v>21</v>
          </cell>
          <cell r="N7">
            <v>21</v>
          </cell>
          <cell r="P7">
            <v>6</v>
          </cell>
        </row>
        <row r="8">
          <cell r="A8">
            <v>24</v>
          </cell>
          <cell r="B8">
            <v>45</v>
          </cell>
          <cell r="C8">
            <v>49</v>
          </cell>
          <cell r="D8">
            <v>23</v>
          </cell>
          <cell r="F8">
            <v>22</v>
          </cell>
          <cell r="G8">
            <v>22</v>
          </cell>
          <cell r="H8">
            <v>22</v>
          </cell>
          <cell r="I8">
            <v>22</v>
          </cell>
          <cell r="K8">
            <v>20</v>
          </cell>
          <cell r="L8">
            <v>22</v>
          </cell>
          <cell r="M8">
            <v>22</v>
          </cell>
          <cell r="N8">
            <v>18</v>
          </cell>
          <cell r="P8">
            <v>7</v>
          </cell>
        </row>
        <row r="9">
          <cell r="A9">
            <v>24</v>
          </cell>
          <cell r="B9">
            <v>48.5</v>
          </cell>
          <cell r="C9">
            <v>50</v>
          </cell>
          <cell r="D9">
            <v>21</v>
          </cell>
          <cell r="F9">
            <v>24</v>
          </cell>
          <cell r="G9">
            <v>24</v>
          </cell>
          <cell r="H9">
            <v>24</v>
          </cell>
          <cell r="I9">
            <v>21</v>
          </cell>
          <cell r="K9">
            <v>23</v>
          </cell>
          <cell r="L9">
            <v>25</v>
          </cell>
          <cell r="M9">
            <v>22</v>
          </cell>
          <cell r="N9">
            <v>24</v>
          </cell>
          <cell r="P9">
            <v>10</v>
          </cell>
        </row>
        <row r="10">
          <cell r="A10">
            <v>24</v>
          </cell>
          <cell r="B10">
            <v>46.5</v>
          </cell>
          <cell r="C10">
            <v>48</v>
          </cell>
          <cell r="D10">
            <v>21</v>
          </cell>
          <cell r="F10">
            <v>25</v>
          </cell>
          <cell r="G10">
            <v>23</v>
          </cell>
          <cell r="H10">
            <v>24</v>
          </cell>
          <cell r="I10">
            <v>18</v>
          </cell>
          <cell r="K10">
            <v>21</v>
          </cell>
          <cell r="L10">
            <v>25</v>
          </cell>
          <cell r="M10">
            <v>23</v>
          </cell>
          <cell r="N10">
            <v>19</v>
          </cell>
          <cell r="P10">
            <v>11</v>
          </cell>
        </row>
        <row r="11">
          <cell r="A11">
            <v>20</v>
          </cell>
          <cell r="B11">
            <v>38.5</v>
          </cell>
          <cell r="C11">
            <v>42</v>
          </cell>
          <cell r="D11">
            <v>23</v>
          </cell>
          <cell r="F11">
            <v>24.5</v>
          </cell>
          <cell r="G11">
            <v>22</v>
          </cell>
          <cell r="H11">
            <v>16</v>
          </cell>
          <cell r="I11">
            <v>18</v>
          </cell>
          <cell r="K11">
            <v>20</v>
          </cell>
          <cell r="L11">
            <v>18</v>
          </cell>
          <cell r="M11">
            <v>18</v>
          </cell>
          <cell r="N11">
            <v>19</v>
          </cell>
          <cell r="P11">
            <v>13</v>
          </cell>
        </row>
        <row r="12">
          <cell r="A12">
            <v>23</v>
          </cell>
          <cell r="B12">
            <v>47.5</v>
          </cell>
          <cell r="C12">
            <v>50</v>
          </cell>
          <cell r="D12">
            <v>22</v>
          </cell>
          <cell r="F12">
            <v>23</v>
          </cell>
          <cell r="G12">
            <v>24</v>
          </cell>
          <cell r="H12">
            <v>24</v>
          </cell>
          <cell r="I12">
            <v>22</v>
          </cell>
          <cell r="K12">
            <v>25</v>
          </cell>
          <cell r="L12">
            <v>24</v>
          </cell>
          <cell r="M12">
            <v>23</v>
          </cell>
          <cell r="N12">
            <v>24</v>
          </cell>
          <cell r="P12">
            <v>17</v>
          </cell>
        </row>
        <row r="13">
          <cell r="A13">
            <v>24</v>
          </cell>
          <cell r="B13">
            <v>47</v>
          </cell>
          <cell r="C13">
            <v>48</v>
          </cell>
          <cell r="D13">
            <v>22</v>
          </cell>
          <cell r="F13">
            <v>24.5</v>
          </cell>
          <cell r="G13">
            <v>22</v>
          </cell>
          <cell r="H13">
            <v>25</v>
          </cell>
          <cell r="I13">
            <v>16</v>
          </cell>
          <cell r="K13">
            <v>22</v>
          </cell>
          <cell r="L13">
            <v>23</v>
          </cell>
          <cell r="M13">
            <v>22</v>
          </cell>
          <cell r="N13">
            <v>23</v>
          </cell>
          <cell r="P13">
            <v>18</v>
          </cell>
        </row>
        <row r="14">
          <cell r="A14">
            <v>22</v>
          </cell>
          <cell r="B14">
            <v>44.5</v>
          </cell>
          <cell r="C14">
            <v>44</v>
          </cell>
          <cell r="D14">
            <v>19</v>
          </cell>
          <cell r="F14">
            <v>21</v>
          </cell>
          <cell r="G14">
            <v>20</v>
          </cell>
          <cell r="H14">
            <v>17</v>
          </cell>
          <cell r="I14">
            <v>15</v>
          </cell>
          <cell r="K14">
            <v>17</v>
          </cell>
          <cell r="L14">
            <v>20</v>
          </cell>
          <cell r="M14">
            <v>18</v>
          </cell>
          <cell r="N14">
            <v>17</v>
          </cell>
          <cell r="P14">
            <v>20</v>
          </cell>
        </row>
        <row r="15">
          <cell r="A15">
            <v>23</v>
          </cell>
          <cell r="B15">
            <v>44</v>
          </cell>
          <cell r="C15">
            <v>48</v>
          </cell>
          <cell r="D15">
            <v>19</v>
          </cell>
          <cell r="F15">
            <v>24.5</v>
          </cell>
          <cell r="G15">
            <v>22</v>
          </cell>
          <cell r="H15">
            <v>20</v>
          </cell>
          <cell r="I15">
            <v>17</v>
          </cell>
          <cell r="K15">
            <v>18</v>
          </cell>
          <cell r="L15">
            <v>23</v>
          </cell>
          <cell r="M15">
            <v>16</v>
          </cell>
          <cell r="N15">
            <v>17</v>
          </cell>
          <cell r="P15">
            <v>22</v>
          </cell>
        </row>
        <row r="16">
          <cell r="A16">
            <v>24</v>
          </cell>
          <cell r="B16">
            <v>46.5</v>
          </cell>
          <cell r="C16">
            <v>50</v>
          </cell>
          <cell r="D16">
            <v>21</v>
          </cell>
          <cell r="F16">
            <v>23</v>
          </cell>
          <cell r="G16">
            <v>23</v>
          </cell>
          <cell r="H16">
            <v>21</v>
          </cell>
          <cell r="I16">
            <v>20</v>
          </cell>
          <cell r="K16">
            <v>16</v>
          </cell>
          <cell r="L16">
            <v>21</v>
          </cell>
          <cell r="M16">
            <v>23</v>
          </cell>
          <cell r="N16">
            <v>21</v>
          </cell>
          <cell r="P16">
            <v>23</v>
          </cell>
        </row>
        <row r="17">
          <cell r="A17">
            <v>25</v>
          </cell>
          <cell r="B17">
            <v>44.5</v>
          </cell>
          <cell r="C17">
            <v>47</v>
          </cell>
          <cell r="D17">
            <v>23</v>
          </cell>
          <cell r="F17">
            <v>25</v>
          </cell>
          <cell r="G17">
            <v>24</v>
          </cell>
          <cell r="H17">
            <v>25</v>
          </cell>
          <cell r="I17">
            <v>16</v>
          </cell>
          <cell r="K17">
            <v>24</v>
          </cell>
          <cell r="L17">
            <v>24</v>
          </cell>
          <cell r="M17">
            <v>21</v>
          </cell>
          <cell r="N17">
            <v>24</v>
          </cell>
          <cell r="P17">
            <v>25</v>
          </cell>
        </row>
        <row r="18">
          <cell r="A18">
            <v>19</v>
          </cell>
          <cell r="B18">
            <v>32.5</v>
          </cell>
          <cell r="C18">
            <v>42</v>
          </cell>
          <cell r="D18">
            <v>16</v>
          </cell>
          <cell r="F18">
            <v>23.5</v>
          </cell>
          <cell r="G18">
            <v>20</v>
          </cell>
          <cell r="H18">
            <v>22</v>
          </cell>
          <cell r="I18">
            <v>17</v>
          </cell>
          <cell r="K18">
            <v>17</v>
          </cell>
          <cell r="L18">
            <v>23</v>
          </cell>
          <cell r="M18">
            <v>18</v>
          </cell>
          <cell r="N18">
            <v>13</v>
          </cell>
          <cell r="P18">
            <v>26</v>
          </cell>
        </row>
        <row r="19">
          <cell r="A19">
            <v>21</v>
          </cell>
          <cell r="B19">
            <v>39</v>
          </cell>
          <cell r="C19">
            <v>49</v>
          </cell>
          <cell r="D19">
            <v>23</v>
          </cell>
          <cell r="F19">
            <v>20</v>
          </cell>
          <cell r="G19">
            <v>24</v>
          </cell>
          <cell r="H19">
            <v>22</v>
          </cell>
          <cell r="I19">
            <v>18</v>
          </cell>
          <cell r="K19">
            <v>23</v>
          </cell>
          <cell r="L19">
            <v>24</v>
          </cell>
          <cell r="M19">
            <v>17</v>
          </cell>
          <cell r="N19">
            <v>25</v>
          </cell>
          <cell r="P19">
            <v>27</v>
          </cell>
        </row>
        <row r="20">
          <cell r="A20">
            <v>20</v>
          </cell>
          <cell r="B20">
            <v>38.5</v>
          </cell>
          <cell r="C20">
            <v>45</v>
          </cell>
          <cell r="D20">
            <v>17</v>
          </cell>
          <cell r="F20">
            <v>24</v>
          </cell>
          <cell r="G20">
            <v>25</v>
          </cell>
          <cell r="H20">
            <v>19</v>
          </cell>
          <cell r="I20">
            <v>17</v>
          </cell>
          <cell r="K20">
            <v>18</v>
          </cell>
          <cell r="L20">
            <v>25</v>
          </cell>
          <cell r="M20">
            <v>22</v>
          </cell>
          <cell r="N20">
            <v>23</v>
          </cell>
          <cell r="P20">
            <v>28</v>
          </cell>
        </row>
        <row r="21">
          <cell r="A21">
            <v>24</v>
          </cell>
          <cell r="B21">
            <v>45.5</v>
          </cell>
          <cell r="C21">
            <v>46</v>
          </cell>
          <cell r="D21">
            <v>23</v>
          </cell>
          <cell r="F21">
            <v>24.5</v>
          </cell>
          <cell r="G21">
            <v>22</v>
          </cell>
          <cell r="H21">
            <v>21</v>
          </cell>
          <cell r="I21">
            <v>21</v>
          </cell>
          <cell r="K21">
            <v>21</v>
          </cell>
          <cell r="L21">
            <v>25</v>
          </cell>
          <cell r="M21">
            <v>22</v>
          </cell>
          <cell r="N21">
            <v>24</v>
          </cell>
          <cell r="P21">
            <v>29</v>
          </cell>
        </row>
        <row r="22">
          <cell r="A22">
            <v>8</v>
          </cell>
          <cell r="B22">
            <v>48.5</v>
          </cell>
          <cell r="C22">
            <v>49</v>
          </cell>
          <cell r="D22">
            <v>22</v>
          </cell>
          <cell r="F22">
            <v>11</v>
          </cell>
          <cell r="G22">
            <v>18</v>
          </cell>
          <cell r="H22">
            <v>25</v>
          </cell>
          <cell r="I22">
            <v>23</v>
          </cell>
          <cell r="K22" t="str">
            <v>غ</v>
          </cell>
          <cell r="L22">
            <v>24.4</v>
          </cell>
          <cell r="M22">
            <v>23</v>
          </cell>
          <cell r="N22">
            <v>23</v>
          </cell>
          <cell r="P22">
            <v>30</v>
          </cell>
        </row>
        <row r="23">
          <cell r="A23">
            <v>24</v>
          </cell>
          <cell r="B23">
            <v>38</v>
          </cell>
          <cell r="C23">
            <v>49</v>
          </cell>
          <cell r="D23">
            <v>22</v>
          </cell>
          <cell r="F23">
            <v>23.5</v>
          </cell>
          <cell r="G23">
            <v>23</v>
          </cell>
          <cell r="H23">
            <v>25</v>
          </cell>
          <cell r="I23">
            <v>17</v>
          </cell>
          <cell r="K23">
            <v>23</v>
          </cell>
          <cell r="L23">
            <v>21</v>
          </cell>
          <cell r="M23">
            <v>19</v>
          </cell>
          <cell r="N23">
            <v>21</v>
          </cell>
          <cell r="P23">
            <v>32</v>
          </cell>
        </row>
        <row r="24">
          <cell r="A24">
            <v>18</v>
          </cell>
          <cell r="B24">
            <v>38</v>
          </cell>
          <cell r="C24">
            <v>34</v>
          </cell>
          <cell r="D24">
            <v>10</v>
          </cell>
          <cell r="F24">
            <v>21</v>
          </cell>
          <cell r="G24">
            <v>22</v>
          </cell>
          <cell r="H24">
            <v>20</v>
          </cell>
          <cell r="I24">
            <v>15</v>
          </cell>
          <cell r="K24">
            <v>16</v>
          </cell>
          <cell r="L24">
            <v>23</v>
          </cell>
          <cell r="M24">
            <v>16</v>
          </cell>
          <cell r="N24">
            <v>18</v>
          </cell>
          <cell r="P24">
            <v>33</v>
          </cell>
        </row>
        <row r="25">
          <cell r="A25">
            <v>24</v>
          </cell>
          <cell r="B25">
            <v>49</v>
          </cell>
          <cell r="C25">
            <v>48</v>
          </cell>
          <cell r="D25">
            <v>21</v>
          </cell>
          <cell r="F25">
            <v>24</v>
          </cell>
          <cell r="G25">
            <v>23</v>
          </cell>
          <cell r="H25">
            <v>23</v>
          </cell>
          <cell r="I25">
            <v>22</v>
          </cell>
          <cell r="K25">
            <v>23</v>
          </cell>
          <cell r="L25">
            <v>25</v>
          </cell>
          <cell r="M25">
            <v>23</v>
          </cell>
          <cell r="N25">
            <v>25</v>
          </cell>
          <cell r="P25">
            <v>35</v>
          </cell>
        </row>
        <row r="26">
          <cell r="A26">
            <v>24</v>
          </cell>
          <cell r="B26">
            <v>49.5</v>
          </cell>
          <cell r="C26">
            <v>50</v>
          </cell>
          <cell r="D26">
            <v>24</v>
          </cell>
          <cell r="F26">
            <v>25</v>
          </cell>
          <cell r="G26">
            <v>24</v>
          </cell>
          <cell r="H26">
            <v>24</v>
          </cell>
          <cell r="I26">
            <v>24</v>
          </cell>
          <cell r="K26">
            <v>24</v>
          </cell>
          <cell r="L26">
            <v>25</v>
          </cell>
          <cell r="M26">
            <v>23</v>
          </cell>
          <cell r="N26">
            <v>25</v>
          </cell>
          <cell r="P26">
            <v>39</v>
          </cell>
        </row>
        <row r="27">
          <cell r="A27">
            <v>24</v>
          </cell>
          <cell r="B27">
            <v>47.5</v>
          </cell>
          <cell r="C27">
            <v>50</v>
          </cell>
          <cell r="D27">
            <v>23</v>
          </cell>
          <cell r="F27">
            <v>24</v>
          </cell>
          <cell r="G27">
            <v>24</v>
          </cell>
          <cell r="H27">
            <v>25</v>
          </cell>
          <cell r="I27">
            <v>22</v>
          </cell>
          <cell r="K27">
            <v>25</v>
          </cell>
          <cell r="L27">
            <v>25</v>
          </cell>
          <cell r="M27">
            <v>23</v>
          </cell>
          <cell r="N27">
            <v>25</v>
          </cell>
          <cell r="P27">
            <v>42</v>
          </cell>
        </row>
        <row r="28">
          <cell r="A28">
            <v>24</v>
          </cell>
          <cell r="B28">
            <v>48</v>
          </cell>
          <cell r="C28">
            <v>50</v>
          </cell>
          <cell r="D28">
            <v>21</v>
          </cell>
          <cell r="F28">
            <v>24</v>
          </cell>
          <cell r="G28">
            <v>24</v>
          </cell>
          <cell r="H28">
            <v>24</v>
          </cell>
          <cell r="I28">
            <v>20</v>
          </cell>
          <cell r="K28">
            <v>24</v>
          </cell>
          <cell r="L28">
            <v>25</v>
          </cell>
          <cell r="M28">
            <v>23</v>
          </cell>
          <cell r="N28">
            <v>25</v>
          </cell>
          <cell r="P28">
            <v>43</v>
          </cell>
        </row>
        <row r="29">
          <cell r="A29">
            <v>23</v>
          </cell>
          <cell r="B29">
            <v>47.5</v>
          </cell>
          <cell r="C29">
            <v>49</v>
          </cell>
          <cell r="D29">
            <v>21</v>
          </cell>
          <cell r="F29">
            <v>24.5</v>
          </cell>
          <cell r="G29">
            <v>24</v>
          </cell>
          <cell r="H29">
            <v>24</v>
          </cell>
          <cell r="I29">
            <v>19</v>
          </cell>
          <cell r="K29">
            <v>23</v>
          </cell>
          <cell r="L29">
            <v>25</v>
          </cell>
          <cell r="M29">
            <v>24</v>
          </cell>
          <cell r="N29">
            <v>22</v>
          </cell>
          <cell r="P29">
            <v>45</v>
          </cell>
        </row>
        <row r="30">
          <cell r="A30">
            <v>25</v>
          </cell>
          <cell r="B30">
            <v>40.5</v>
          </cell>
          <cell r="C30">
            <v>42</v>
          </cell>
          <cell r="D30">
            <v>17</v>
          </cell>
          <cell r="F30">
            <v>22</v>
          </cell>
          <cell r="G30">
            <v>23</v>
          </cell>
          <cell r="H30">
            <v>21</v>
          </cell>
          <cell r="I30">
            <v>20</v>
          </cell>
          <cell r="K30">
            <v>24</v>
          </cell>
          <cell r="L30">
            <v>23</v>
          </cell>
          <cell r="M30">
            <v>17</v>
          </cell>
          <cell r="N30">
            <v>20</v>
          </cell>
          <cell r="P30">
            <v>49</v>
          </cell>
        </row>
        <row r="31">
          <cell r="A31">
            <v>20</v>
          </cell>
          <cell r="B31">
            <v>40</v>
          </cell>
          <cell r="C31">
            <v>38</v>
          </cell>
          <cell r="D31">
            <v>22</v>
          </cell>
          <cell r="F31">
            <v>23</v>
          </cell>
          <cell r="G31">
            <v>23</v>
          </cell>
          <cell r="H31">
            <v>23</v>
          </cell>
          <cell r="I31">
            <v>20</v>
          </cell>
          <cell r="K31">
            <v>21</v>
          </cell>
          <cell r="L31">
            <v>23</v>
          </cell>
          <cell r="M31">
            <v>22</v>
          </cell>
          <cell r="N31">
            <v>23</v>
          </cell>
          <cell r="P31">
            <v>50</v>
          </cell>
        </row>
        <row r="32">
          <cell r="A32">
            <v>22</v>
          </cell>
          <cell r="B32">
            <v>44.5</v>
          </cell>
          <cell r="C32">
            <v>49</v>
          </cell>
          <cell r="D32">
            <v>23</v>
          </cell>
          <cell r="F32">
            <v>18.5</v>
          </cell>
          <cell r="G32">
            <v>23</v>
          </cell>
          <cell r="H32">
            <v>22</v>
          </cell>
          <cell r="I32">
            <v>21</v>
          </cell>
          <cell r="K32">
            <v>20</v>
          </cell>
          <cell r="L32">
            <v>22</v>
          </cell>
          <cell r="M32">
            <v>24</v>
          </cell>
          <cell r="N32">
            <v>22</v>
          </cell>
          <cell r="P32">
            <v>51</v>
          </cell>
        </row>
        <row r="33">
          <cell r="A33">
            <v>22</v>
          </cell>
          <cell r="B33">
            <v>36.5</v>
          </cell>
          <cell r="C33">
            <v>32</v>
          </cell>
          <cell r="D33">
            <v>18</v>
          </cell>
          <cell r="F33">
            <v>22.5</v>
          </cell>
          <cell r="G33">
            <v>23</v>
          </cell>
          <cell r="H33">
            <v>18</v>
          </cell>
          <cell r="I33">
            <v>13</v>
          </cell>
          <cell r="K33">
            <v>21</v>
          </cell>
          <cell r="L33">
            <v>23</v>
          </cell>
          <cell r="M33">
            <v>16</v>
          </cell>
          <cell r="N33">
            <v>15</v>
          </cell>
          <cell r="P33">
            <v>52</v>
          </cell>
        </row>
        <row r="34">
          <cell r="A34">
            <v>23</v>
          </cell>
          <cell r="B34">
            <v>41</v>
          </cell>
          <cell r="C34">
            <v>47</v>
          </cell>
          <cell r="D34">
            <v>23</v>
          </cell>
          <cell r="F34">
            <v>23.5</v>
          </cell>
          <cell r="G34">
            <v>24</v>
          </cell>
          <cell r="H34">
            <v>24</v>
          </cell>
          <cell r="I34">
            <v>21</v>
          </cell>
          <cell r="K34">
            <v>24</v>
          </cell>
          <cell r="L34">
            <v>25</v>
          </cell>
          <cell r="M34">
            <v>21</v>
          </cell>
          <cell r="N34">
            <v>24</v>
          </cell>
          <cell r="P34">
            <v>54</v>
          </cell>
        </row>
        <row r="35">
          <cell r="A35">
            <v>24</v>
          </cell>
          <cell r="B35">
            <v>47</v>
          </cell>
          <cell r="C35">
            <v>49</v>
          </cell>
          <cell r="D35">
            <v>20</v>
          </cell>
          <cell r="F35">
            <v>23.5</v>
          </cell>
          <cell r="G35">
            <v>24</v>
          </cell>
          <cell r="H35">
            <v>22</v>
          </cell>
          <cell r="I35">
            <v>19</v>
          </cell>
          <cell r="K35">
            <v>21</v>
          </cell>
          <cell r="L35">
            <v>24</v>
          </cell>
          <cell r="M35">
            <v>22</v>
          </cell>
          <cell r="N35">
            <v>22</v>
          </cell>
          <cell r="P35">
            <v>55</v>
          </cell>
        </row>
        <row r="36">
          <cell r="A36">
            <v>20</v>
          </cell>
          <cell r="B36">
            <v>47.5</v>
          </cell>
          <cell r="C36">
            <v>49</v>
          </cell>
          <cell r="D36">
            <v>20</v>
          </cell>
          <cell r="F36">
            <v>21</v>
          </cell>
          <cell r="G36">
            <v>23</v>
          </cell>
          <cell r="H36">
            <v>24</v>
          </cell>
          <cell r="I36">
            <v>21</v>
          </cell>
          <cell r="K36">
            <v>23</v>
          </cell>
          <cell r="L36">
            <v>23</v>
          </cell>
          <cell r="M36">
            <v>21</v>
          </cell>
          <cell r="N36">
            <v>24</v>
          </cell>
          <cell r="P36">
            <v>56</v>
          </cell>
        </row>
        <row r="37">
          <cell r="A37">
            <v>22</v>
          </cell>
          <cell r="B37">
            <v>47</v>
          </cell>
          <cell r="C37">
            <v>50</v>
          </cell>
          <cell r="D37">
            <v>22</v>
          </cell>
          <cell r="F37">
            <v>22.5</v>
          </cell>
          <cell r="G37">
            <v>23</v>
          </cell>
          <cell r="H37">
            <v>24</v>
          </cell>
          <cell r="I37">
            <v>21</v>
          </cell>
          <cell r="K37">
            <v>22</v>
          </cell>
          <cell r="L37">
            <v>23</v>
          </cell>
          <cell r="M37">
            <v>23</v>
          </cell>
          <cell r="N37">
            <v>25</v>
          </cell>
          <cell r="P37">
            <v>57</v>
          </cell>
        </row>
        <row r="38">
          <cell r="A38">
            <v>24</v>
          </cell>
          <cell r="B38">
            <v>49.5</v>
          </cell>
          <cell r="C38">
            <v>50</v>
          </cell>
          <cell r="D38">
            <v>22</v>
          </cell>
          <cell r="F38">
            <v>25</v>
          </cell>
          <cell r="G38">
            <v>21</v>
          </cell>
          <cell r="H38">
            <v>25</v>
          </cell>
          <cell r="I38">
            <v>23</v>
          </cell>
          <cell r="K38">
            <v>24</v>
          </cell>
          <cell r="L38">
            <v>25</v>
          </cell>
          <cell r="M38">
            <v>23</v>
          </cell>
          <cell r="N38">
            <v>24</v>
          </cell>
          <cell r="P38">
            <v>59</v>
          </cell>
        </row>
        <row r="39">
          <cell r="A39">
            <v>25</v>
          </cell>
          <cell r="B39">
            <v>49</v>
          </cell>
          <cell r="C39">
            <v>50</v>
          </cell>
          <cell r="D39">
            <v>23</v>
          </cell>
          <cell r="F39">
            <v>25</v>
          </cell>
          <cell r="G39">
            <v>23</v>
          </cell>
          <cell r="H39">
            <v>25</v>
          </cell>
          <cell r="I39">
            <v>22</v>
          </cell>
          <cell r="K39">
            <v>23</v>
          </cell>
          <cell r="L39">
            <v>24</v>
          </cell>
          <cell r="M39">
            <v>23</v>
          </cell>
          <cell r="N39">
            <v>25</v>
          </cell>
          <cell r="P39">
            <v>61</v>
          </cell>
        </row>
        <row r="40">
          <cell r="A40">
            <v>24</v>
          </cell>
          <cell r="B40">
            <v>42</v>
          </cell>
          <cell r="C40">
            <v>47</v>
          </cell>
          <cell r="D40">
            <v>22</v>
          </cell>
          <cell r="F40">
            <v>24</v>
          </cell>
          <cell r="G40">
            <v>23</v>
          </cell>
          <cell r="H40">
            <v>22</v>
          </cell>
          <cell r="I40">
            <v>24</v>
          </cell>
          <cell r="K40">
            <v>24</v>
          </cell>
          <cell r="L40">
            <v>23</v>
          </cell>
          <cell r="M40">
            <v>21</v>
          </cell>
          <cell r="N40">
            <v>22</v>
          </cell>
          <cell r="P40">
            <v>63</v>
          </cell>
        </row>
        <row r="41">
          <cell r="A41">
            <v>24</v>
          </cell>
          <cell r="B41">
            <v>48</v>
          </cell>
          <cell r="C41">
            <v>50</v>
          </cell>
          <cell r="D41">
            <v>23</v>
          </cell>
          <cell r="F41">
            <v>23.5</v>
          </cell>
          <cell r="G41">
            <v>24</v>
          </cell>
          <cell r="H41">
            <v>21</v>
          </cell>
          <cell r="I41">
            <v>14</v>
          </cell>
          <cell r="K41">
            <v>21</v>
          </cell>
          <cell r="L41">
            <v>24</v>
          </cell>
          <cell r="M41">
            <v>24</v>
          </cell>
          <cell r="N41">
            <v>23</v>
          </cell>
          <cell r="P41">
            <v>64</v>
          </cell>
        </row>
        <row r="42">
          <cell r="A42">
            <v>22</v>
          </cell>
          <cell r="B42">
            <v>48.5</v>
          </cell>
          <cell r="C42">
            <v>50</v>
          </cell>
          <cell r="D42">
            <v>22</v>
          </cell>
          <cell r="F42">
            <v>24</v>
          </cell>
          <cell r="G42">
            <v>24</v>
          </cell>
          <cell r="H42">
            <v>25</v>
          </cell>
          <cell r="I42">
            <v>24</v>
          </cell>
          <cell r="K42">
            <v>24</v>
          </cell>
          <cell r="L42">
            <v>25</v>
          </cell>
          <cell r="M42">
            <v>23</v>
          </cell>
          <cell r="N42">
            <v>25</v>
          </cell>
          <cell r="P42">
            <v>65</v>
          </cell>
        </row>
        <row r="43">
          <cell r="A43">
            <v>24</v>
          </cell>
          <cell r="B43">
            <v>43.5</v>
          </cell>
          <cell r="C43">
            <v>37</v>
          </cell>
          <cell r="D43">
            <v>19</v>
          </cell>
          <cell r="F43">
            <v>24</v>
          </cell>
          <cell r="G43">
            <v>23</v>
          </cell>
          <cell r="H43">
            <v>20</v>
          </cell>
          <cell r="I43">
            <v>17</v>
          </cell>
          <cell r="K43">
            <v>19</v>
          </cell>
          <cell r="L43">
            <v>22</v>
          </cell>
          <cell r="M43">
            <v>12</v>
          </cell>
          <cell r="N43">
            <v>22</v>
          </cell>
          <cell r="P43">
            <v>66</v>
          </cell>
        </row>
        <row r="44">
          <cell r="A44">
            <v>21</v>
          </cell>
          <cell r="B44">
            <v>48.5</v>
          </cell>
          <cell r="C44">
            <v>50</v>
          </cell>
          <cell r="D44">
            <v>22</v>
          </cell>
          <cell r="F44">
            <v>22</v>
          </cell>
          <cell r="G44">
            <v>23</v>
          </cell>
          <cell r="H44">
            <v>24</v>
          </cell>
          <cell r="I44">
            <v>22</v>
          </cell>
          <cell r="K44">
            <v>24</v>
          </cell>
          <cell r="L44">
            <v>24</v>
          </cell>
          <cell r="M44">
            <v>23</v>
          </cell>
          <cell r="N44">
            <v>25</v>
          </cell>
          <cell r="P44">
            <v>67</v>
          </cell>
        </row>
        <row r="45">
          <cell r="A45">
            <v>24</v>
          </cell>
          <cell r="B45">
            <v>41</v>
          </cell>
          <cell r="C45">
            <v>47</v>
          </cell>
          <cell r="D45">
            <v>23</v>
          </cell>
          <cell r="F45">
            <v>22</v>
          </cell>
          <cell r="G45">
            <v>22</v>
          </cell>
          <cell r="H45">
            <v>23</v>
          </cell>
          <cell r="I45">
            <v>21</v>
          </cell>
          <cell r="K45">
            <v>20</v>
          </cell>
          <cell r="L45">
            <v>24</v>
          </cell>
          <cell r="M45">
            <v>20</v>
          </cell>
          <cell r="N45">
            <v>25</v>
          </cell>
          <cell r="P45">
            <v>69</v>
          </cell>
        </row>
        <row r="46">
          <cell r="A46">
            <v>23</v>
          </cell>
          <cell r="B46">
            <v>46.5</v>
          </cell>
          <cell r="C46">
            <v>49</v>
          </cell>
          <cell r="D46">
            <v>21</v>
          </cell>
          <cell r="F46">
            <v>23.5</v>
          </cell>
          <cell r="G46">
            <v>23</v>
          </cell>
          <cell r="H46">
            <v>24</v>
          </cell>
          <cell r="I46">
            <v>23</v>
          </cell>
          <cell r="K46">
            <v>24</v>
          </cell>
          <cell r="L46">
            <v>25</v>
          </cell>
          <cell r="M46">
            <v>22</v>
          </cell>
          <cell r="N46">
            <v>25</v>
          </cell>
          <cell r="P46">
            <v>70</v>
          </cell>
        </row>
        <row r="47">
          <cell r="A47">
            <v>21</v>
          </cell>
          <cell r="B47">
            <v>43.5</v>
          </cell>
          <cell r="C47">
            <v>44</v>
          </cell>
          <cell r="D47">
            <v>22</v>
          </cell>
          <cell r="F47">
            <v>23</v>
          </cell>
          <cell r="G47">
            <v>23</v>
          </cell>
          <cell r="H47">
            <v>21</v>
          </cell>
          <cell r="I47">
            <v>20</v>
          </cell>
          <cell r="K47">
            <v>22</v>
          </cell>
          <cell r="L47">
            <v>21</v>
          </cell>
          <cell r="M47">
            <v>19</v>
          </cell>
          <cell r="N47">
            <v>19</v>
          </cell>
          <cell r="P47">
            <v>71</v>
          </cell>
        </row>
        <row r="48">
          <cell r="A48">
            <v>23</v>
          </cell>
          <cell r="B48">
            <v>45</v>
          </cell>
          <cell r="C48">
            <v>50</v>
          </cell>
          <cell r="D48">
            <v>22</v>
          </cell>
          <cell r="F48">
            <v>24.5</v>
          </cell>
          <cell r="G48">
            <v>23</v>
          </cell>
          <cell r="H48">
            <v>23</v>
          </cell>
          <cell r="I48">
            <v>23</v>
          </cell>
          <cell r="K48">
            <v>23</v>
          </cell>
          <cell r="L48">
            <v>25</v>
          </cell>
          <cell r="M48">
            <v>23</v>
          </cell>
          <cell r="N48">
            <v>23</v>
          </cell>
          <cell r="P48">
            <v>73</v>
          </cell>
        </row>
        <row r="49">
          <cell r="A49">
            <v>23</v>
          </cell>
          <cell r="B49">
            <v>44.5</v>
          </cell>
          <cell r="C49">
            <v>47</v>
          </cell>
          <cell r="D49">
            <v>22</v>
          </cell>
          <cell r="F49">
            <v>24</v>
          </cell>
          <cell r="G49">
            <v>21</v>
          </cell>
          <cell r="H49">
            <v>21</v>
          </cell>
          <cell r="I49">
            <v>20</v>
          </cell>
          <cell r="K49">
            <v>21</v>
          </cell>
          <cell r="L49">
            <v>22</v>
          </cell>
          <cell r="M49">
            <v>20</v>
          </cell>
          <cell r="N49">
            <v>22</v>
          </cell>
          <cell r="P49">
            <v>74</v>
          </cell>
        </row>
        <row r="50">
          <cell r="A50">
            <v>25</v>
          </cell>
          <cell r="B50">
            <v>46.5</v>
          </cell>
          <cell r="C50">
            <v>50</v>
          </cell>
          <cell r="D50">
            <v>21</v>
          </cell>
          <cell r="F50">
            <v>24.5</v>
          </cell>
          <cell r="G50">
            <v>24</v>
          </cell>
          <cell r="H50">
            <v>22</v>
          </cell>
          <cell r="I50">
            <v>15</v>
          </cell>
          <cell r="K50">
            <v>23</v>
          </cell>
          <cell r="L50">
            <v>25</v>
          </cell>
          <cell r="M50">
            <v>23</v>
          </cell>
          <cell r="N50">
            <v>23</v>
          </cell>
          <cell r="P50">
            <v>76</v>
          </cell>
        </row>
        <row r="51">
          <cell r="A51">
            <v>21</v>
          </cell>
          <cell r="B51">
            <v>45.5</v>
          </cell>
          <cell r="C51">
            <v>50</v>
          </cell>
          <cell r="D51">
            <v>22</v>
          </cell>
          <cell r="F51">
            <v>22</v>
          </cell>
          <cell r="G51">
            <v>24</v>
          </cell>
          <cell r="H51">
            <v>22</v>
          </cell>
          <cell r="I51">
            <v>23</v>
          </cell>
          <cell r="K51">
            <v>19</v>
          </cell>
          <cell r="L51">
            <v>23</v>
          </cell>
          <cell r="M51">
            <v>24</v>
          </cell>
          <cell r="N51">
            <v>22</v>
          </cell>
          <cell r="P51">
            <v>78</v>
          </cell>
        </row>
        <row r="52">
          <cell r="A52">
            <v>24</v>
          </cell>
          <cell r="B52">
            <v>46.5</v>
          </cell>
          <cell r="C52">
            <v>50</v>
          </cell>
          <cell r="D52">
            <v>21</v>
          </cell>
          <cell r="F52">
            <v>25</v>
          </cell>
          <cell r="G52">
            <v>23</v>
          </cell>
          <cell r="H52">
            <v>24</v>
          </cell>
          <cell r="I52">
            <v>24</v>
          </cell>
          <cell r="K52">
            <v>23</v>
          </cell>
          <cell r="L52">
            <v>23</v>
          </cell>
          <cell r="M52">
            <v>20</v>
          </cell>
          <cell r="N52">
            <v>22</v>
          </cell>
          <cell r="P52">
            <v>80</v>
          </cell>
        </row>
        <row r="53">
          <cell r="A53">
            <v>18</v>
          </cell>
          <cell r="B53">
            <v>26.5</v>
          </cell>
          <cell r="C53">
            <v>37</v>
          </cell>
          <cell r="D53">
            <v>15</v>
          </cell>
          <cell r="F53">
            <v>19.5</v>
          </cell>
          <cell r="G53">
            <v>18</v>
          </cell>
          <cell r="H53">
            <v>16</v>
          </cell>
          <cell r="I53">
            <v>16</v>
          </cell>
          <cell r="K53">
            <v>19</v>
          </cell>
          <cell r="L53">
            <v>19</v>
          </cell>
          <cell r="M53">
            <v>9</v>
          </cell>
          <cell r="N53">
            <v>23</v>
          </cell>
          <cell r="P53">
            <v>81</v>
          </cell>
        </row>
        <row r="54">
          <cell r="A54">
            <v>22</v>
          </cell>
          <cell r="B54">
            <v>41</v>
          </cell>
          <cell r="C54">
            <v>49</v>
          </cell>
          <cell r="D54">
            <v>11</v>
          </cell>
          <cell r="F54">
            <v>20.5</v>
          </cell>
          <cell r="G54">
            <v>24</v>
          </cell>
          <cell r="H54">
            <v>23</v>
          </cell>
          <cell r="I54">
            <v>14</v>
          </cell>
          <cell r="K54">
            <v>23</v>
          </cell>
          <cell r="L54">
            <v>22</v>
          </cell>
          <cell r="M54">
            <v>22</v>
          </cell>
          <cell r="N54">
            <v>23</v>
          </cell>
          <cell r="P54">
            <v>82</v>
          </cell>
        </row>
        <row r="55">
          <cell r="A55">
            <v>21</v>
          </cell>
          <cell r="B55">
            <v>27</v>
          </cell>
          <cell r="C55">
            <v>44</v>
          </cell>
          <cell r="D55">
            <v>17</v>
          </cell>
          <cell r="F55">
            <v>23</v>
          </cell>
          <cell r="G55">
            <v>20</v>
          </cell>
          <cell r="H55">
            <v>16</v>
          </cell>
          <cell r="I55">
            <v>16</v>
          </cell>
          <cell r="K55">
            <v>23</v>
          </cell>
          <cell r="L55">
            <v>24</v>
          </cell>
          <cell r="M55">
            <v>12</v>
          </cell>
          <cell r="N55">
            <v>16</v>
          </cell>
          <cell r="P55">
            <v>83</v>
          </cell>
        </row>
        <row r="56">
          <cell r="A56">
            <v>22</v>
          </cell>
          <cell r="B56">
            <v>47</v>
          </cell>
          <cell r="C56">
            <v>50</v>
          </cell>
          <cell r="D56">
            <v>22</v>
          </cell>
          <cell r="F56">
            <v>23.5</v>
          </cell>
          <cell r="G56">
            <v>22</v>
          </cell>
          <cell r="H56">
            <v>25</v>
          </cell>
          <cell r="I56">
            <v>23</v>
          </cell>
          <cell r="K56">
            <v>24</v>
          </cell>
          <cell r="L56">
            <v>25</v>
          </cell>
          <cell r="M56">
            <v>23</v>
          </cell>
          <cell r="N56">
            <v>25</v>
          </cell>
          <cell r="P56">
            <v>84</v>
          </cell>
        </row>
        <row r="57">
          <cell r="A57">
            <v>25</v>
          </cell>
          <cell r="B57">
            <v>49.5</v>
          </cell>
          <cell r="C57">
            <v>50</v>
          </cell>
          <cell r="D57">
            <v>22</v>
          </cell>
          <cell r="F57">
            <v>24</v>
          </cell>
          <cell r="G57">
            <v>25</v>
          </cell>
          <cell r="H57">
            <v>24</v>
          </cell>
          <cell r="I57">
            <v>23</v>
          </cell>
          <cell r="K57">
            <v>25</v>
          </cell>
          <cell r="L57">
            <v>25</v>
          </cell>
          <cell r="M57">
            <v>24</v>
          </cell>
          <cell r="N57">
            <v>25</v>
          </cell>
          <cell r="P57">
            <v>86</v>
          </cell>
        </row>
        <row r="58">
          <cell r="A58">
            <v>23</v>
          </cell>
          <cell r="B58">
            <v>48</v>
          </cell>
          <cell r="C58">
            <v>50</v>
          </cell>
          <cell r="D58">
            <v>23</v>
          </cell>
          <cell r="F58">
            <v>23</v>
          </cell>
          <cell r="G58">
            <v>24</v>
          </cell>
          <cell r="H58">
            <v>25</v>
          </cell>
          <cell r="I58">
            <v>19</v>
          </cell>
          <cell r="K58">
            <v>18</v>
          </cell>
          <cell r="L58">
            <v>24</v>
          </cell>
          <cell r="M58">
            <v>23</v>
          </cell>
          <cell r="N58">
            <v>24</v>
          </cell>
          <cell r="P58">
            <v>88</v>
          </cell>
        </row>
        <row r="59">
          <cell r="A59">
            <v>25</v>
          </cell>
          <cell r="B59">
            <v>50</v>
          </cell>
          <cell r="C59">
            <v>50</v>
          </cell>
          <cell r="D59">
            <v>24</v>
          </cell>
          <cell r="F59">
            <v>25</v>
          </cell>
          <cell r="G59">
            <v>24</v>
          </cell>
          <cell r="H59">
            <v>25</v>
          </cell>
          <cell r="I59">
            <v>23</v>
          </cell>
          <cell r="K59">
            <v>25</v>
          </cell>
          <cell r="L59">
            <v>25</v>
          </cell>
          <cell r="M59">
            <v>23</v>
          </cell>
          <cell r="N59">
            <v>25</v>
          </cell>
          <cell r="P59">
            <v>89</v>
          </cell>
        </row>
        <row r="60">
          <cell r="A60">
            <v>24</v>
          </cell>
          <cell r="B60">
            <v>47</v>
          </cell>
          <cell r="C60">
            <v>50</v>
          </cell>
          <cell r="D60">
            <v>22</v>
          </cell>
          <cell r="F60">
            <v>23.5</v>
          </cell>
          <cell r="G60">
            <v>22</v>
          </cell>
          <cell r="H60">
            <v>25</v>
          </cell>
          <cell r="I60">
            <v>22</v>
          </cell>
          <cell r="K60">
            <v>23</v>
          </cell>
          <cell r="L60">
            <v>25</v>
          </cell>
          <cell r="M60">
            <v>23</v>
          </cell>
          <cell r="N60">
            <v>23</v>
          </cell>
          <cell r="P60">
            <v>90</v>
          </cell>
        </row>
        <row r="61">
          <cell r="A61">
            <v>7</v>
          </cell>
          <cell r="B61">
            <v>47.5</v>
          </cell>
          <cell r="C61">
            <v>49</v>
          </cell>
          <cell r="D61">
            <v>22</v>
          </cell>
          <cell r="F61">
            <v>24.5</v>
          </cell>
          <cell r="G61">
            <v>24</v>
          </cell>
          <cell r="H61">
            <v>24</v>
          </cell>
          <cell r="I61">
            <v>19</v>
          </cell>
          <cell r="K61">
            <v>23</v>
          </cell>
          <cell r="L61">
            <v>23</v>
          </cell>
          <cell r="M61">
            <v>22</v>
          </cell>
          <cell r="N61">
            <v>23</v>
          </cell>
          <cell r="P61">
            <v>91</v>
          </cell>
        </row>
        <row r="62">
          <cell r="A62">
            <v>24</v>
          </cell>
          <cell r="B62">
            <v>49</v>
          </cell>
          <cell r="C62">
            <v>50</v>
          </cell>
          <cell r="D62">
            <v>24</v>
          </cell>
          <cell r="F62">
            <v>24</v>
          </cell>
          <cell r="G62">
            <v>22</v>
          </cell>
          <cell r="H62">
            <v>24</v>
          </cell>
          <cell r="I62">
            <v>22</v>
          </cell>
          <cell r="K62">
            <v>25</v>
          </cell>
          <cell r="L62">
            <v>24</v>
          </cell>
          <cell r="M62">
            <v>21</v>
          </cell>
          <cell r="N62">
            <v>25</v>
          </cell>
          <cell r="P62">
            <v>92</v>
          </cell>
        </row>
        <row r="63">
          <cell r="A63">
            <v>20</v>
          </cell>
          <cell r="B63">
            <v>44.5</v>
          </cell>
          <cell r="C63">
            <v>45</v>
          </cell>
          <cell r="D63">
            <v>24</v>
          </cell>
          <cell r="F63">
            <v>22.5</v>
          </cell>
          <cell r="G63">
            <v>21</v>
          </cell>
          <cell r="H63">
            <v>21</v>
          </cell>
          <cell r="I63">
            <v>22</v>
          </cell>
          <cell r="K63">
            <v>22</v>
          </cell>
          <cell r="L63">
            <v>22</v>
          </cell>
          <cell r="M63">
            <v>21</v>
          </cell>
          <cell r="N63">
            <v>23</v>
          </cell>
          <cell r="P63">
            <v>93</v>
          </cell>
        </row>
        <row r="64">
          <cell r="A64">
            <v>22</v>
          </cell>
          <cell r="B64">
            <v>45</v>
          </cell>
          <cell r="C64">
            <v>40</v>
          </cell>
          <cell r="D64">
            <v>18</v>
          </cell>
          <cell r="F64">
            <v>24</v>
          </cell>
          <cell r="G64">
            <v>24</v>
          </cell>
          <cell r="H64">
            <v>23</v>
          </cell>
          <cell r="I64">
            <v>18</v>
          </cell>
          <cell r="K64">
            <v>20</v>
          </cell>
          <cell r="L64">
            <v>24</v>
          </cell>
          <cell r="M64">
            <v>19</v>
          </cell>
          <cell r="N64">
            <v>12</v>
          </cell>
          <cell r="P64">
            <v>94</v>
          </cell>
        </row>
        <row r="65">
          <cell r="A65">
            <v>24</v>
          </cell>
          <cell r="B65">
            <v>47</v>
          </cell>
          <cell r="C65">
            <v>50</v>
          </cell>
          <cell r="D65">
            <v>22</v>
          </cell>
          <cell r="F65">
            <v>24</v>
          </cell>
          <cell r="G65">
            <v>23</v>
          </cell>
          <cell r="H65">
            <v>25</v>
          </cell>
          <cell r="I65">
            <v>21</v>
          </cell>
          <cell r="K65">
            <v>25</v>
          </cell>
          <cell r="L65">
            <v>24</v>
          </cell>
          <cell r="M65">
            <v>22</v>
          </cell>
          <cell r="N65">
            <v>25</v>
          </cell>
          <cell r="P65">
            <v>95</v>
          </cell>
        </row>
        <row r="66">
          <cell r="A66">
            <v>21</v>
          </cell>
          <cell r="B66">
            <v>45.5</v>
          </cell>
          <cell r="C66">
            <v>50</v>
          </cell>
          <cell r="D66">
            <v>25</v>
          </cell>
          <cell r="F66">
            <v>20.5</v>
          </cell>
          <cell r="G66">
            <v>24</v>
          </cell>
          <cell r="H66">
            <v>25</v>
          </cell>
          <cell r="I66">
            <v>23</v>
          </cell>
          <cell r="K66">
            <v>23</v>
          </cell>
          <cell r="L66">
            <v>23</v>
          </cell>
          <cell r="M66">
            <v>22</v>
          </cell>
          <cell r="N66">
            <v>25</v>
          </cell>
          <cell r="P66">
            <v>96</v>
          </cell>
        </row>
        <row r="67">
          <cell r="A67">
            <v>24</v>
          </cell>
          <cell r="B67">
            <v>42</v>
          </cell>
          <cell r="C67">
            <v>42</v>
          </cell>
          <cell r="D67">
            <v>15</v>
          </cell>
          <cell r="F67">
            <v>24</v>
          </cell>
          <cell r="G67">
            <v>23</v>
          </cell>
          <cell r="H67">
            <v>18</v>
          </cell>
          <cell r="I67">
            <v>18</v>
          </cell>
          <cell r="K67">
            <v>24</v>
          </cell>
          <cell r="L67">
            <v>15</v>
          </cell>
          <cell r="M67">
            <v>10</v>
          </cell>
          <cell r="N67">
            <v>25</v>
          </cell>
          <cell r="P67">
            <v>99</v>
          </cell>
        </row>
        <row r="68">
          <cell r="A68">
            <v>25</v>
          </cell>
          <cell r="B68">
            <v>48.5</v>
          </cell>
          <cell r="C68">
            <v>50</v>
          </cell>
          <cell r="D68">
            <v>25</v>
          </cell>
          <cell r="F68">
            <v>25</v>
          </cell>
          <cell r="G68">
            <v>25</v>
          </cell>
          <cell r="H68">
            <v>25</v>
          </cell>
          <cell r="I68">
            <v>24</v>
          </cell>
          <cell r="K68">
            <v>24</v>
          </cell>
          <cell r="L68">
            <v>25</v>
          </cell>
          <cell r="M68">
            <v>23</v>
          </cell>
          <cell r="N68">
            <v>23</v>
          </cell>
          <cell r="P68">
            <v>100</v>
          </cell>
        </row>
        <row r="69">
          <cell r="A69">
            <v>22</v>
          </cell>
          <cell r="B69">
            <v>48</v>
          </cell>
          <cell r="C69">
            <v>50</v>
          </cell>
          <cell r="D69">
            <v>19</v>
          </cell>
          <cell r="F69">
            <v>24</v>
          </cell>
          <cell r="G69">
            <v>24</v>
          </cell>
          <cell r="H69">
            <v>20</v>
          </cell>
          <cell r="I69">
            <v>20</v>
          </cell>
          <cell r="K69">
            <v>23</v>
          </cell>
          <cell r="L69">
            <v>24</v>
          </cell>
          <cell r="M69">
            <v>17</v>
          </cell>
          <cell r="N69">
            <v>20</v>
          </cell>
          <cell r="P69">
            <v>101</v>
          </cell>
        </row>
        <row r="70">
          <cell r="A70">
            <v>25</v>
          </cell>
          <cell r="B70">
            <v>44</v>
          </cell>
          <cell r="C70">
            <v>49</v>
          </cell>
          <cell r="D70">
            <v>19</v>
          </cell>
          <cell r="F70">
            <v>25</v>
          </cell>
          <cell r="G70">
            <v>24</v>
          </cell>
          <cell r="H70">
            <v>23</v>
          </cell>
          <cell r="I70">
            <v>18</v>
          </cell>
          <cell r="K70">
            <v>24</v>
          </cell>
          <cell r="L70">
            <v>25</v>
          </cell>
          <cell r="M70">
            <v>20</v>
          </cell>
          <cell r="N70">
            <v>18</v>
          </cell>
          <cell r="P70">
            <v>102</v>
          </cell>
        </row>
        <row r="71">
          <cell r="A71">
            <v>25</v>
          </cell>
          <cell r="B71">
            <v>29.5</v>
          </cell>
          <cell r="C71">
            <v>24</v>
          </cell>
          <cell r="D71">
            <v>17</v>
          </cell>
          <cell r="F71">
            <v>25</v>
          </cell>
          <cell r="G71">
            <v>22</v>
          </cell>
          <cell r="H71">
            <v>19</v>
          </cell>
          <cell r="I71">
            <v>18</v>
          </cell>
          <cell r="K71">
            <v>23</v>
          </cell>
          <cell r="L71">
            <v>23</v>
          </cell>
          <cell r="M71">
            <v>10</v>
          </cell>
          <cell r="N71">
            <v>21</v>
          </cell>
          <cell r="P71">
            <v>103</v>
          </cell>
        </row>
        <row r="72">
          <cell r="A72">
            <v>24</v>
          </cell>
          <cell r="B72">
            <v>47</v>
          </cell>
          <cell r="C72">
            <v>50</v>
          </cell>
          <cell r="D72">
            <v>22</v>
          </cell>
          <cell r="F72">
            <v>25</v>
          </cell>
          <cell r="G72">
            <v>24</v>
          </cell>
          <cell r="H72">
            <v>24</v>
          </cell>
          <cell r="I72">
            <v>20</v>
          </cell>
          <cell r="K72">
            <v>23</v>
          </cell>
          <cell r="L72">
            <v>24</v>
          </cell>
          <cell r="M72">
            <v>22</v>
          </cell>
          <cell r="N72">
            <v>24</v>
          </cell>
          <cell r="P72">
            <v>104</v>
          </cell>
        </row>
        <row r="73">
          <cell r="A73">
            <v>23</v>
          </cell>
          <cell r="B73">
            <v>41</v>
          </cell>
          <cell r="C73">
            <v>43</v>
          </cell>
          <cell r="D73">
            <v>21</v>
          </cell>
          <cell r="F73">
            <v>25</v>
          </cell>
          <cell r="G73">
            <v>21</v>
          </cell>
          <cell r="H73">
            <v>24</v>
          </cell>
          <cell r="I73">
            <v>18</v>
          </cell>
          <cell r="K73">
            <v>23</v>
          </cell>
          <cell r="L73">
            <v>22</v>
          </cell>
          <cell r="M73">
            <v>18</v>
          </cell>
          <cell r="N73">
            <v>21</v>
          </cell>
          <cell r="P73">
            <v>106</v>
          </cell>
        </row>
        <row r="74">
          <cell r="A74">
            <v>25</v>
          </cell>
          <cell r="B74">
            <v>49.5</v>
          </cell>
          <cell r="C74">
            <v>48</v>
          </cell>
          <cell r="D74">
            <v>20</v>
          </cell>
          <cell r="F74">
            <v>24</v>
          </cell>
          <cell r="G74">
            <v>23</v>
          </cell>
          <cell r="H74">
            <v>22</v>
          </cell>
          <cell r="I74">
            <v>20</v>
          </cell>
          <cell r="K74">
            <v>25</v>
          </cell>
          <cell r="L74">
            <v>24</v>
          </cell>
          <cell r="M74">
            <v>22</v>
          </cell>
          <cell r="N74">
            <v>19</v>
          </cell>
          <cell r="P74">
            <v>108</v>
          </cell>
        </row>
        <row r="75">
          <cell r="A75">
            <v>22</v>
          </cell>
          <cell r="B75">
            <v>35</v>
          </cell>
          <cell r="C75">
            <v>40</v>
          </cell>
          <cell r="D75">
            <v>19</v>
          </cell>
          <cell r="F75">
            <v>24.5</v>
          </cell>
          <cell r="G75">
            <v>22</v>
          </cell>
          <cell r="H75">
            <v>21</v>
          </cell>
          <cell r="I75">
            <v>19</v>
          </cell>
          <cell r="K75">
            <v>19</v>
          </cell>
          <cell r="L75">
            <v>22</v>
          </cell>
          <cell r="M75">
            <v>19</v>
          </cell>
          <cell r="N75">
            <v>19</v>
          </cell>
          <cell r="P75">
            <v>109</v>
          </cell>
        </row>
        <row r="76">
          <cell r="A76">
            <v>25</v>
          </cell>
          <cell r="B76">
            <v>49</v>
          </cell>
          <cell r="C76">
            <v>50</v>
          </cell>
          <cell r="D76">
            <v>21</v>
          </cell>
          <cell r="F76">
            <v>24.5</v>
          </cell>
          <cell r="G76">
            <v>23</v>
          </cell>
          <cell r="H76">
            <v>25</v>
          </cell>
          <cell r="I76">
            <v>22</v>
          </cell>
          <cell r="K76">
            <v>25</v>
          </cell>
          <cell r="L76">
            <v>25</v>
          </cell>
          <cell r="M76">
            <v>23</v>
          </cell>
          <cell r="N76">
            <v>24</v>
          </cell>
          <cell r="P76">
            <v>110</v>
          </cell>
        </row>
        <row r="77">
          <cell r="A77">
            <v>24</v>
          </cell>
          <cell r="B77">
            <v>43.5</v>
          </cell>
          <cell r="C77">
            <v>48</v>
          </cell>
          <cell r="D77">
            <v>20</v>
          </cell>
          <cell r="F77">
            <v>25</v>
          </cell>
          <cell r="G77">
            <v>24</v>
          </cell>
          <cell r="H77">
            <v>24</v>
          </cell>
          <cell r="I77">
            <v>21</v>
          </cell>
          <cell r="K77">
            <v>25</v>
          </cell>
          <cell r="L77">
            <v>22.5</v>
          </cell>
          <cell r="M77">
            <v>19</v>
          </cell>
          <cell r="N77">
            <v>21</v>
          </cell>
          <cell r="P77">
            <v>111</v>
          </cell>
        </row>
        <row r="78">
          <cell r="A78">
            <v>25</v>
          </cell>
          <cell r="B78">
            <v>47</v>
          </cell>
          <cell r="C78">
            <v>48</v>
          </cell>
          <cell r="D78">
            <v>22</v>
          </cell>
          <cell r="F78">
            <v>25</v>
          </cell>
          <cell r="G78">
            <v>24</v>
          </cell>
          <cell r="H78">
            <v>24</v>
          </cell>
          <cell r="I78">
            <v>20</v>
          </cell>
          <cell r="K78">
            <v>25</v>
          </cell>
          <cell r="L78">
            <v>24</v>
          </cell>
          <cell r="M78">
            <v>23</v>
          </cell>
          <cell r="N78">
            <v>20</v>
          </cell>
          <cell r="P78">
            <v>112</v>
          </cell>
        </row>
        <row r="79">
          <cell r="A79">
            <v>23</v>
          </cell>
          <cell r="B79">
            <v>46</v>
          </cell>
          <cell r="C79">
            <v>48</v>
          </cell>
          <cell r="D79">
            <v>23</v>
          </cell>
          <cell r="F79">
            <v>25</v>
          </cell>
          <cell r="G79">
            <v>23</v>
          </cell>
          <cell r="H79">
            <v>24</v>
          </cell>
          <cell r="I79">
            <v>20</v>
          </cell>
          <cell r="K79">
            <v>25</v>
          </cell>
          <cell r="L79">
            <v>22</v>
          </cell>
          <cell r="M79">
            <v>22</v>
          </cell>
          <cell r="N79">
            <v>19</v>
          </cell>
          <cell r="P79">
            <v>113</v>
          </cell>
        </row>
        <row r="80">
          <cell r="A80">
            <v>25</v>
          </cell>
          <cell r="B80">
            <v>43.5</v>
          </cell>
          <cell r="C80">
            <v>47</v>
          </cell>
          <cell r="D80">
            <v>23</v>
          </cell>
          <cell r="F80">
            <v>22.5</v>
          </cell>
          <cell r="G80">
            <v>22</v>
          </cell>
          <cell r="H80">
            <v>23</v>
          </cell>
          <cell r="I80">
            <v>19</v>
          </cell>
          <cell r="K80">
            <v>22</v>
          </cell>
          <cell r="L80">
            <v>25</v>
          </cell>
          <cell r="M80">
            <v>22</v>
          </cell>
          <cell r="N80">
            <v>19</v>
          </cell>
          <cell r="P80">
            <v>116</v>
          </cell>
        </row>
        <row r="81">
          <cell r="A81">
            <v>23</v>
          </cell>
          <cell r="B81">
            <v>46</v>
          </cell>
          <cell r="C81">
            <v>47</v>
          </cell>
          <cell r="D81">
            <v>15</v>
          </cell>
          <cell r="F81">
            <v>21</v>
          </cell>
          <cell r="G81">
            <v>25</v>
          </cell>
          <cell r="H81">
            <v>24</v>
          </cell>
          <cell r="I81">
            <v>22</v>
          </cell>
          <cell r="K81">
            <v>21</v>
          </cell>
          <cell r="L81">
            <v>24</v>
          </cell>
          <cell r="M81">
            <v>20</v>
          </cell>
          <cell r="N81">
            <v>23</v>
          </cell>
          <cell r="P81">
            <v>117</v>
          </cell>
        </row>
        <row r="82">
          <cell r="A82">
            <v>23</v>
          </cell>
          <cell r="B82">
            <v>43.5</v>
          </cell>
          <cell r="C82">
            <v>49</v>
          </cell>
          <cell r="D82">
            <v>21</v>
          </cell>
          <cell r="F82">
            <v>23</v>
          </cell>
          <cell r="G82">
            <v>22</v>
          </cell>
          <cell r="H82">
            <v>23</v>
          </cell>
          <cell r="I82">
            <v>18</v>
          </cell>
          <cell r="K82">
            <v>24</v>
          </cell>
          <cell r="L82">
            <v>25</v>
          </cell>
          <cell r="M82">
            <v>23</v>
          </cell>
          <cell r="N82">
            <v>20</v>
          </cell>
          <cell r="P82">
            <v>118</v>
          </cell>
        </row>
        <row r="83">
          <cell r="A83">
            <v>25</v>
          </cell>
          <cell r="B83">
            <v>47</v>
          </cell>
          <cell r="C83">
            <v>49</v>
          </cell>
          <cell r="D83">
            <v>22</v>
          </cell>
          <cell r="F83">
            <v>25</v>
          </cell>
          <cell r="G83">
            <v>24</v>
          </cell>
          <cell r="H83">
            <v>24</v>
          </cell>
          <cell r="I83">
            <v>21</v>
          </cell>
          <cell r="K83">
            <v>23</v>
          </cell>
          <cell r="L83">
            <v>24.5</v>
          </cell>
          <cell r="M83">
            <v>21</v>
          </cell>
          <cell r="N83">
            <v>21</v>
          </cell>
          <cell r="P83">
            <v>119</v>
          </cell>
        </row>
        <row r="84">
          <cell r="A84">
            <v>25</v>
          </cell>
          <cell r="B84">
            <v>43</v>
          </cell>
          <cell r="C84">
            <v>50</v>
          </cell>
          <cell r="D84">
            <v>18</v>
          </cell>
          <cell r="F84">
            <v>25</v>
          </cell>
          <cell r="G84">
            <v>24</v>
          </cell>
          <cell r="H84">
            <v>23</v>
          </cell>
          <cell r="I84">
            <v>22</v>
          </cell>
          <cell r="K84">
            <v>25</v>
          </cell>
          <cell r="L84">
            <v>24.5</v>
          </cell>
          <cell r="M84">
            <v>23</v>
          </cell>
          <cell r="N84">
            <v>24</v>
          </cell>
          <cell r="P84">
            <v>122</v>
          </cell>
        </row>
        <row r="85">
          <cell r="A85">
            <v>22</v>
          </cell>
          <cell r="B85">
            <v>43</v>
          </cell>
          <cell r="C85">
            <v>46</v>
          </cell>
          <cell r="D85">
            <v>22</v>
          </cell>
          <cell r="F85">
            <v>25</v>
          </cell>
          <cell r="G85">
            <v>22</v>
          </cell>
          <cell r="H85">
            <v>20</v>
          </cell>
          <cell r="I85">
            <v>18</v>
          </cell>
          <cell r="K85">
            <v>20</v>
          </cell>
          <cell r="L85">
            <v>24.5</v>
          </cell>
          <cell r="M85">
            <v>21</v>
          </cell>
          <cell r="N85">
            <v>21</v>
          </cell>
          <cell r="P85">
            <v>123</v>
          </cell>
        </row>
        <row r="86">
          <cell r="A86">
            <v>25</v>
          </cell>
          <cell r="B86">
            <v>43</v>
          </cell>
          <cell r="C86">
            <v>49</v>
          </cell>
          <cell r="D86">
            <v>23</v>
          </cell>
          <cell r="F86">
            <v>25</v>
          </cell>
          <cell r="G86">
            <v>23</v>
          </cell>
          <cell r="H86">
            <v>23</v>
          </cell>
          <cell r="I86">
            <v>23</v>
          </cell>
          <cell r="K86">
            <v>23</v>
          </cell>
          <cell r="L86">
            <v>24.5</v>
          </cell>
          <cell r="M86">
            <v>20</v>
          </cell>
          <cell r="N86">
            <v>24</v>
          </cell>
          <cell r="P86">
            <v>124</v>
          </cell>
        </row>
        <row r="87">
          <cell r="A87">
            <v>25</v>
          </cell>
          <cell r="B87">
            <v>48</v>
          </cell>
          <cell r="C87">
            <v>49</v>
          </cell>
          <cell r="D87">
            <v>23</v>
          </cell>
          <cell r="F87">
            <v>25</v>
          </cell>
          <cell r="G87">
            <v>22</v>
          </cell>
          <cell r="H87">
            <v>24</v>
          </cell>
          <cell r="I87">
            <v>23</v>
          </cell>
          <cell r="K87">
            <v>25</v>
          </cell>
          <cell r="L87">
            <v>24</v>
          </cell>
          <cell r="M87">
            <v>22</v>
          </cell>
          <cell r="N87">
            <v>23</v>
          </cell>
          <cell r="P87">
            <v>126</v>
          </cell>
        </row>
        <row r="88">
          <cell r="A88">
            <v>24</v>
          </cell>
          <cell r="B88">
            <v>44</v>
          </cell>
          <cell r="C88">
            <v>48</v>
          </cell>
          <cell r="D88">
            <v>21</v>
          </cell>
          <cell r="F88">
            <v>25</v>
          </cell>
          <cell r="G88">
            <v>23</v>
          </cell>
          <cell r="H88">
            <v>24</v>
          </cell>
          <cell r="I88">
            <v>23</v>
          </cell>
          <cell r="K88">
            <v>24</v>
          </cell>
          <cell r="L88">
            <v>22</v>
          </cell>
          <cell r="M88">
            <v>20</v>
          </cell>
          <cell r="N88">
            <v>19</v>
          </cell>
          <cell r="P88">
            <v>128</v>
          </cell>
        </row>
        <row r="89">
          <cell r="A89">
            <v>24</v>
          </cell>
          <cell r="B89">
            <v>39.5</v>
          </cell>
          <cell r="C89">
            <v>42</v>
          </cell>
          <cell r="D89">
            <v>22</v>
          </cell>
          <cell r="F89">
            <v>25</v>
          </cell>
          <cell r="G89">
            <v>23</v>
          </cell>
          <cell r="H89">
            <v>19</v>
          </cell>
          <cell r="I89">
            <v>15</v>
          </cell>
          <cell r="K89">
            <v>18</v>
          </cell>
          <cell r="L89">
            <v>19.5</v>
          </cell>
          <cell r="M89">
            <v>17</v>
          </cell>
          <cell r="N89">
            <v>18</v>
          </cell>
          <cell r="P89">
            <v>129</v>
          </cell>
        </row>
        <row r="90">
          <cell r="A90">
            <v>23</v>
          </cell>
          <cell r="B90">
            <v>48.5</v>
          </cell>
          <cell r="C90">
            <v>50</v>
          </cell>
          <cell r="D90">
            <v>21</v>
          </cell>
          <cell r="F90">
            <v>22</v>
          </cell>
          <cell r="G90">
            <v>24</v>
          </cell>
          <cell r="H90">
            <v>25</v>
          </cell>
          <cell r="I90">
            <v>21</v>
          </cell>
          <cell r="K90">
            <v>25</v>
          </cell>
          <cell r="L90">
            <v>23.5</v>
          </cell>
          <cell r="M90">
            <v>22</v>
          </cell>
          <cell r="N90">
            <v>24</v>
          </cell>
          <cell r="P90">
            <v>131</v>
          </cell>
        </row>
        <row r="91">
          <cell r="A91">
            <v>23</v>
          </cell>
          <cell r="B91">
            <v>10</v>
          </cell>
          <cell r="C91">
            <v>45</v>
          </cell>
          <cell r="D91">
            <v>21</v>
          </cell>
          <cell r="F91">
            <v>24</v>
          </cell>
          <cell r="G91">
            <v>24</v>
          </cell>
          <cell r="H91">
            <v>23</v>
          </cell>
          <cell r="I91">
            <v>20</v>
          </cell>
          <cell r="K91">
            <v>19</v>
          </cell>
          <cell r="L91">
            <v>23.5</v>
          </cell>
          <cell r="M91">
            <v>21</v>
          </cell>
          <cell r="N91">
            <v>25</v>
          </cell>
          <cell r="P91">
            <v>133</v>
          </cell>
        </row>
        <row r="92">
          <cell r="A92">
            <v>24</v>
          </cell>
          <cell r="B92">
            <v>42.5</v>
          </cell>
          <cell r="C92">
            <v>47</v>
          </cell>
          <cell r="D92">
            <v>19</v>
          </cell>
          <cell r="F92">
            <v>25</v>
          </cell>
          <cell r="G92">
            <v>19.5</v>
          </cell>
          <cell r="H92">
            <v>23</v>
          </cell>
          <cell r="I92">
            <v>18</v>
          </cell>
          <cell r="K92">
            <v>20</v>
          </cell>
          <cell r="L92">
            <v>25</v>
          </cell>
          <cell r="M92">
            <v>20</v>
          </cell>
          <cell r="N92">
            <v>19</v>
          </cell>
          <cell r="P92">
            <v>134</v>
          </cell>
        </row>
        <row r="93">
          <cell r="A93">
            <v>25</v>
          </cell>
          <cell r="B93">
            <v>39.5</v>
          </cell>
          <cell r="C93">
            <v>39</v>
          </cell>
          <cell r="D93">
            <v>18</v>
          </cell>
          <cell r="F93">
            <v>25</v>
          </cell>
          <cell r="G93">
            <v>24</v>
          </cell>
          <cell r="H93">
            <v>22</v>
          </cell>
          <cell r="I93">
            <v>18</v>
          </cell>
          <cell r="K93">
            <v>21</v>
          </cell>
          <cell r="L93">
            <v>24</v>
          </cell>
          <cell r="M93">
            <v>20</v>
          </cell>
          <cell r="N93">
            <v>22</v>
          </cell>
          <cell r="P93">
            <v>137</v>
          </cell>
        </row>
        <row r="94">
          <cell r="A94">
            <v>20</v>
          </cell>
          <cell r="B94">
            <v>29.5</v>
          </cell>
          <cell r="C94">
            <v>35</v>
          </cell>
          <cell r="D94">
            <v>16</v>
          </cell>
          <cell r="F94">
            <v>24</v>
          </cell>
          <cell r="G94">
            <v>20</v>
          </cell>
          <cell r="H94">
            <v>13</v>
          </cell>
          <cell r="I94">
            <v>14</v>
          </cell>
          <cell r="K94">
            <v>21</v>
          </cell>
          <cell r="L94">
            <v>17.5</v>
          </cell>
          <cell r="M94">
            <v>14</v>
          </cell>
          <cell r="N94">
            <v>13</v>
          </cell>
          <cell r="P94">
            <v>138</v>
          </cell>
        </row>
        <row r="95">
          <cell r="A95">
            <v>22</v>
          </cell>
          <cell r="B95">
            <v>37</v>
          </cell>
          <cell r="C95">
            <v>28</v>
          </cell>
          <cell r="D95">
            <v>22</v>
          </cell>
          <cell r="F95">
            <v>23</v>
          </cell>
          <cell r="G95">
            <v>25</v>
          </cell>
          <cell r="H95">
            <v>15</v>
          </cell>
          <cell r="I95">
            <v>21</v>
          </cell>
          <cell r="K95">
            <v>21</v>
          </cell>
          <cell r="L95">
            <v>22</v>
          </cell>
          <cell r="M95">
            <v>9</v>
          </cell>
          <cell r="N95">
            <v>21</v>
          </cell>
          <cell r="P95">
            <v>139</v>
          </cell>
        </row>
        <row r="96">
          <cell r="A96">
            <v>17</v>
          </cell>
          <cell r="B96">
            <v>34</v>
          </cell>
          <cell r="C96">
            <v>35</v>
          </cell>
          <cell r="D96">
            <v>16</v>
          </cell>
          <cell r="F96">
            <v>24</v>
          </cell>
          <cell r="G96">
            <v>22</v>
          </cell>
          <cell r="H96">
            <v>22</v>
          </cell>
          <cell r="I96">
            <v>19</v>
          </cell>
          <cell r="K96">
            <v>23</v>
          </cell>
          <cell r="L96">
            <v>22</v>
          </cell>
          <cell r="M96">
            <v>17</v>
          </cell>
          <cell r="N96">
            <v>17</v>
          </cell>
          <cell r="P96">
            <v>140</v>
          </cell>
        </row>
        <row r="97">
          <cell r="A97">
            <v>24</v>
          </cell>
          <cell r="B97">
            <v>48.5</v>
          </cell>
          <cell r="C97">
            <v>50</v>
          </cell>
          <cell r="D97">
            <v>23</v>
          </cell>
          <cell r="F97">
            <v>24</v>
          </cell>
          <cell r="G97">
            <v>24</v>
          </cell>
          <cell r="H97">
            <v>25</v>
          </cell>
          <cell r="I97">
            <v>23</v>
          </cell>
          <cell r="K97">
            <v>23</v>
          </cell>
          <cell r="L97">
            <v>24.5</v>
          </cell>
          <cell r="M97">
            <v>22</v>
          </cell>
          <cell r="N97">
            <v>24</v>
          </cell>
          <cell r="P97">
            <v>141</v>
          </cell>
        </row>
        <row r="98">
          <cell r="A98">
            <v>0</v>
          </cell>
          <cell r="B98">
            <v>41.5</v>
          </cell>
          <cell r="C98">
            <v>45</v>
          </cell>
          <cell r="D98">
            <v>21</v>
          </cell>
          <cell r="F98">
            <v>15</v>
          </cell>
          <cell r="G98">
            <v>24</v>
          </cell>
          <cell r="H98">
            <v>22</v>
          </cell>
          <cell r="I98">
            <v>22</v>
          </cell>
          <cell r="K98" t="str">
            <v>غ</v>
          </cell>
          <cell r="L98">
            <v>23</v>
          </cell>
          <cell r="M98">
            <v>20</v>
          </cell>
          <cell r="N98">
            <v>21</v>
          </cell>
          <cell r="P98">
            <v>142</v>
          </cell>
        </row>
        <row r="99">
          <cell r="A99">
            <v>20</v>
          </cell>
          <cell r="B99">
            <v>32</v>
          </cell>
          <cell r="C99">
            <v>32</v>
          </cell>
          <cell r="D99">
            <v>15</v>
          </cell>
          <cell r="F99">
            <v>22</v>
          </cell>
          <cell r="G99">
            <v>22</v>
          </cell>
          <cell r="H99">
            <v>17</v>
          </cell>
          <cell r="I99">
            <v>16</v>
          </cell>
          <cell r="K99">
            <v>20</v>
          </cell>
          <cell r="L99">
            <v>25</v>
          </cell>
          <cell r="M99">
            <v>14</v>
          </cell>
          <cell r="N99">
            <v>21</v>
          </cell>
          <cell r="P99">
            <v>144</v>
          </cell>
        </row>
        <row r="100">
          <cell r="A100">
            <v>20</v>
          </cell>
          <cell r="B100">
            <v>42.5</v>
          </cell>
          <cell r="C100">
            <v>47</v>
          </cell>
          <cell r="D100">
            <v>16</v>
          </cell>
          <cell r="F100">
            <v>24</v>
          </cell>
          <cell r="G100">
            <v>21</v>
          </cell>
          <cell r="H100">
            <v>23</v>
          </cell>
          <cell r="I100">
            <v>22</v>
          </cell>
          <cell r="K100">
            <v>20</v>
          </cell>
          <cell r="L100">
            <v>24.5</v>
          </cell>
          <cell r="M100">
            <v>23</v>
          </cell>
          <cell r="N100">
            <v>17</v>
          </cell>
          <cell r="P100">
            <v>145</v>
          </cell>
        </row>
        <row r="101">
          <cell r="A101">
            <v>22</v>
          </cell>
          <cell r="B101">
            <v>29.5</v>
          </cell>
          <cell r="C101">
            <v>41</v>
          </cell>
          <cell r="D101">
            <v>21</v>
          </cell>
          <cell r="F101">
            <v>23</v>
          </cell>
          <cell r="G101">
            <v>22</v>
          </cell>
          <cell r="H101">
            <v>22</v>
          </cell>
          <cell r="I101">
            <v>17</v>
          </cell>
          <cell r="K101">
            <v>20</v>
          </cell>
          <cell r="L101">
            <v>22</v>
          </cell>
          <cell r="M101">
            <v>21</v>
          </cell>
          <cell r="N101">
            <v>21</v>
          </cell>
          <cell r="P101">
            <v>146</v>
          </cell>
        </row>
        <row r="102">
          <cell r="A102">
            <v>25</v>
          </cell>
          <cell r="B102">
            <v>40</v>
          </cell>
          <cell r="C102">
            <v>38</v>
          </cell>
          <cell r="D102">
            <v>17</v>
          </cell>
          <cell r="F102">
            <v>20</v>
          </cell>
          <cell r="G102">
            <v>22</v>
          </cell>
          <cell r="H102">
            <v>21</v>
          </cell>
          <cell r="I102">
            <v>18</v>
          </cell>
          <cell r="K102">
            <v>20</v>
          </cell>
          <cell r="L102">
            <v>24.5</v>
          </cell>
          <cell r="M102">
            <v>17</v>
          </cell>
          <cell r="N102">
            <v>18</v>
          </cell>
          <cell r="P102">
            <v>147</v>
          </cell>
        </row>
        <row r="103">
          <cell r="A103">
            <v>23</v>
          </cell>
          <cell r="B103">
            <v>42</v>
          </cell>
          <cell r="C103">
            <v>39</v>
          </cell>
          <cell r="D103">
            <v>19</v>
          </cell>
          <cell r="F103">
            <v>24</v>
          </cell>
          <cell r="G103">
            <v>23</v>
          </cell>
          <cell r="H103">
            <v>20</v>
          </cell>
          <cell r="I103">
            <v>10</v>
          </cell>
          <cell r="K103">
            <v>17</v>
          </cell>
          <cell r="L103">
            <v>23</v>
          </cell>
          <cell r="M103">
            <v>17</v>
          </cell>
          <cell r="N103">
            <v>19</v>
          </cell>
          <cell r="P103">
            <v>148</v>
          </cell>
        </row>
        <row r="104">
          <cell r="A104">
            <v>24</v>
          </cell>
          <cell r="B104">
            <v>46.5</v>
          </cell>
          <cell r="C104">
            <v>38</v>
          </cell>
          <cell r="D104">
            <v>22</v>
          </cell>
          <cell r="F104">
            <v>25</v>
          </cell>
          <cell r="G104">
            <v>24</v>
          </cell>
          <cell r="H104">
            <v>19</v>
          </cell>
          <cell r="I104">
            <v>17</v>
          </cell>
          <cell r="K104">
            <v>22</v>
          </cell>
          <cell r="L104">
            <v>21</v>
          </cell>
          <cell r="M104">
            <v>21</v>
          </cell>
          <cell r="N104">
            <v>19</v>
          </cell>
          <cell r="P104">
            <v>149</v>
          </cell>
        </row>
        <row r="105">
          <cell r="A105">
            <v>25</v>
          </cell>
          <cell r="B105">
            <v>49</v>
          </cell>
          <cell r="C105">
            <v>50</v>
          </cell>
          <cell r="D105">
            <v>23</v>
          </cell>
          <cell r="F105">
            <v>23</v>
          </cell>
          <cell r="G105">
            <v>24</v>
          </cell>
          <cell r="H105">
            <v>24</v>
          </cell>
          <cell r="I105">
            <v>23</v>
          </cell>
          <cell r="K105">
            <v>22</v>
          </cell>
          <cell r="L105">
            <v>24</v>
          </cell>
          <cell r="M105">
            <v>23</v>
          </cell>
          <cell r="N105">
            <v>25</v>
          </cell>
          <cell r="P105">
            <v>150</v>
          </cell>
        </row>
        <row r="106">
          <cell r="A106">
            <v>22</v>
          </cell>
          <cell r="B106">
            <v>36.5</v>
          </cell>
          <cell r="C106">
            <v>44</v>
          </cell>
          <cell r="D106">
            <v>21</v>
          </cell>
          <cell r="F106">
            <v>23</v>
          </cell>
          <cell r="G106">
            <v>25</v>
          </cell>
          <cell r="H106">
            <v>21</v>
          </cell>
          <cell r="I106">
            <v>18</v>
          </cell>
          <cell r="K106">
            <v>22</v>
          </cell>
          <cell r="L106">
            <v>21.5</v>
          </cell>
          <cell r="M106">
            <v>20</v>
          </cell>
          <cell r="N106">
            <v>20</v>
          </cell>
          <cell r="P106">
            <v>151</v>
          </cell>
        </row>
        <row r="107">
          <cell r="A107">
            <v>24</v>
          </cell>
          <cell r="B107">
            <v>44</v>
          </cell>
          <cell r="C107">
            <v>44</v>
          </cell>
          <cell r="D107">
            <v>23</v>
          </cell>
          <cell r="F107">
            <v>23</v>
          </cell>
          <cell r="G107">
            <v>24</v>
          </cell>
          <cell r="H107">
            <v>24</v>
          </cell>
          <cell r="I107">
            <v>24</v>
          </cell>
          <cell r="K107">
            <v>21</v>
          </cell>
          <cell r="L107">
            <v>24</v>
          </cell>
          <cell r="M107">
            <v>19</v>
          </cell>
          <cell r="N107">
            <v>20</v>
          </cell>
          <cell r="P107">
            <v>154</v>
          </cell>
        </row>
        <row r="108">
          <cell r="A108">
            <v>24</v>
          </cell>
          <cell r="B108">
            <v>48.5</v>
          </cell>
          <cell r="C108">
            <v>50</v>
          </cell>
          <cell r="D108">
            <v>22</v>
          </cell>
          <cell r="F108">
            <v>25</v>
          </cell>
          <cell r="G108">
            <v>22</v>
          </cell>
          <cell r="H108">
            <v>23</v>
          </cell>
          <cell r="I108">
            <v>22</v>
          </cell>
          <cell r="K108">
            <v>24</v>
          </cell>
          <cell r="L108">
            <v>25</v>
          </cell>
          <cell r="M108">
            <v>24</v>
          </cell>
          <cell r="N108">
            <v>25</v>
          </cell>
          <cell r="P108">
            <v>155</v>
          </cell>
        </row>
        <row r="109">
          <cell r="A109">
            <v>21</v>
          </cell>
          <cell r="B109">
            <v>41.5</v>
          </cell>
          <cell r="C109">
            <v>42</v>
          </cell>
          <cell r="D109">
            <v>19</v>
          </cell>
          <cell r="F109">
            <v>24</v>
          </cell>
          <cell r="G109">
            <v>18.5</v>
          </cell>
          <cell r="H109">
            <v>24</v>
          </cell>
          <cell r="I109">
            <v>23</v>
          </cell>
          <cell r="K109">
            <v>21</v>
          </cell>
          <cell r="L109">
            <v>25</v>
          </cell>
          <cell r="M109">
            <v>19</v>
          </cell>
          <cell r="N109">
            <v>25</v>
          </cell>
          <cell r="P109">
            <v>156</v>
          </cell>
        </row>
        <row r="110">
          <cell r="A110">
            <v>22</v>
          </cell>
          <cell r="B110">
            <v>47.5</v>
          </cell>
          <cell r="C110">
            <v>48</v>
          </cell>
          <cell r="D110">
            <v>20</v>
          </cell>
          <cell r="F110">
            <v>25</v>
          </cell>
          <cell r="G110">
            <v>23</v>
          </cell>
          <cell r="H110">
            <v>24</v>
          </cell>
          <cell r="I110">
            <v>22</v>
          </cell>
          <cell r="K110">
            <v>23</v>
          </cell>
          <cell r="L110">
            <v>22.5</v>
          </cell>
          <cell r="M110">
            <v>21</v>
          </cell>
          <cell r="N110">
            <v>22</v>
          </cell>
          <cell r="P110">
            <v>158</v>
          </cell>
        </row>
        <row r="111">
          <cell r="A111">
            <v>25</v>
          </cell>
          <cell r="B111">
            <v>44.5</v>
          </cell>
          <cell r="C111">
            <v>43</v>
          </cell>
          <cell r="D111">
            <v>20</v>
          </cell>
          <cell r="F111">
            <v>25</v>
          </cell>
          <cell r="G111">
            <v>23</v>
          </cell>
          <cell r="H111">
            <v>23</v>
          </cell>
          <cell r="I111">
            <v>18</v>
          </cell>
          <cell r="K111">
            <v>21</v>
          </cell>
          <cell r="L111">
            <v>23</v>
          </cell>
          <cell r="M111">
            <v>16</v>
          </cell>
          <cell r="N111">
            <v>21</v>
          </cell>
          <cell r="P111">
            <v>159</v>
          </cell>
        </row>
        <row r="112">
          <cell r="A112">
            <v>25</v>
          </cell>
          <cell r="B112">
            <v>48.5</v>
          </cell>
          <cell r="C112">
            <v>50</v>
          </cell>
          <cell r="D112">
            <v>22</v>
          </cell>
          <cell r="F112">
            <v>24</v>
          </cell>
          <cell r="G112">
            <v>24</v>
          </cell>
          <cell r="H112">
            <v>23</v>
          </cell>
          <cell r="I112">
            <v>16</v>
          </cell>
          <cell r="K112">
            <v>22</v>
          </cell>
          <cell r="L112">
            <v>24</v>
          </cell>
          <cell r="M112">
            <v>20</v>
          </cell>
          <cell r="N112">
            <v>20</v>
          </cell>
          <cell r="P112">
            <v>160</v>
          </cell>
        </row>
        <row r="113">
          <cell r="A113">
            <v>20.5</v>
          </cell>
          <cell r="B113">
            <v>45.5</v>
          </cell>
          <cell r="C113">
            <v>49</v>
          </cell>
          <cell r="D113">
            <v>24</v>
          </cell>
          <cell r="F113">
            <v>24</v>
          </cell>
          <cell r="G113">
            <v>25</v>
          </cell>
          <cell r="H113">
            <v>24</v>
          </cell>
          <cell r="I113">
            <v>20</v>
          </cell>
          <cell r="K113">
            <v>24</v>
          </cell>
          <cell r="L113">
            <v>21</v>
          </cell>
          <cell r="M113">
            <v>21</v>
          </cell>
          <cell r="N113">
            <v>25</v>
          </cell>
          <cell r="P113">
            <v>161</v>
          </cell>
        </row>
        <row r="114">
          <cell r="A114">
            <v>21</v>
          </cell>
          <cell r="B114">
            <v>43.5</v>
          </cell>
          <cell r="C114">
            <v>35</v>
          </cell>
          <cell r="D114">
            <v>21</v>
          </cell>
          <cell r="F114">
            <v>25</v>
          </cell>
          <cell r="G114">
            <v>23</v>
          </cell>
          <cell r="H114">
            <v>20</v>
          </cell>
          <cell r="I114">
            <v>20</v>
          </cell>
          <cell r="K114">
            <v>23</v>
          </cell>
          <cell r="L114">
            <v>23.5</v>
          </cell>
          <cell r="M114">
            <v>13</v>
          </cell>
          <cell r="N114">
            <v>20</v>
          </cell>
          <cell r="P114">
            <v>163</v>
          </cell>
        </row>
        <row r="115">
          <cell r="A115">
            <v>25</v>
          </cell>
          <cell r="B115">
            <v>38</v>
          </cell>
          <cell r="C115">
            <v>37</v>
          </cell>
          <cell r="D115">
            <v>21</v>
          </cell>
          <cell r="F115">
            <v>25</v>
          </cell>
          <cell r="G115">
            <v>23</v>
          </cell>
          <cell r="H115">
            <v>19</v>
          </cell>
          <cell r="I115">
            <v>20</v>
          </cell>
          <cell r="K115">
            <v>22</v>
          </cell>
          <cell r="L115">
            <v>19</v>
          </cell>
          <cell r="M115">
            <v>17</v>
          </cell>
          <cell r="N115">
            <v>21</v>
          </cell>
          <cell r="P115">
            <v>164</v>
          </cell>
        </row>
        <row r="116">
          <cell r="A116">
            <v>24</v>
          </cell>
          <cell r="B116">
            <v>48</v>
          </cell>
          <cell r="C116">
            <v>49</v>
          </cell>
          <cell r="D116">
            <v>23</v>
          </cell>
          <cell r="F116">
            <v>25</v>
          </cell>
          <cell r="G116">
            <v>23</v>
          </cell>
          <cell r="H116">
            <v>25</v>
          </cell>
          <cell r="I116">
            <v>22</v>
          </cell>
          <cell r="K116">
            <v>24</v>
          </cell>
          <cell r="L116">
            <v>25</v>
          </cell>
          <cell r="M116">
            <v>22</v>
          </cell>
          <cell r="N116">
            <v>22</v>
          </cell>
          <cell r="P116">
            <v>165</v>
          </cell>
        </row>
        <row r="117">
          <cell r="A117">
            <v>25</v>
          </cell>
          <cell r="B117">
            <v>48</v>
          </cell>
          <cell r="C117">
            <v>50</v>
          </cell>
          <cell r="D117">
            <v>23</v>
          </cell>
          <cell r="F117">
            <v>25</v>
          </cell>
          <cell r="G117">
            <v>25</v>
          </cell>
          <cell r="H117">
            <v>24</v>
          </cell>
          <cell r="I117">
            <v>21</v>
          </cell>
          <cell r="K117">
            <v>24</v>
          </cell>
          <cell r="L117">
            <v>25</v>
          </cell>
          <cell r="M117">
            <v>22</v>
          </cell>
          <cell r="N117">
            <v>21</v>
          </cell>
          <cell r="P117">
            <v>167</v>
          </cell>
        </row>
        <row r="118">
          <cell r="A118">
            <v>21.5</v>
          </cell>
          <cell r="B118">
            <v>37</v>
          </cell>
          <cell r="C118">
            <v>40</v>
          </cell>
          <cell r="D118">
            <v>20</v>
          </cell>
          <cell r="F118">
            <v>23</v>
          </cell>
          <cell r="G118">
            <v>21</v>
          </cell>
          <cell r="H118">
            <v>20</v>
          </cell>
          <cell r="I118">
            <v>18</v>
          </cell>
          <cell r="K118">
            <v>18</v>
          </cell>
          <cell r="L118">
            <v>19</v>
          </cell>
          <cell r="M118">
            <v>16</v>
          </cell>
          <cell r="N118">
            <v>25</v>
          </cell>
          <cell r="P118">
            <v>168</v>
          </cell>
        </row>
        <row r="119">
          <cell r="A119">
            <v>21</v>
          </cell>
          <cell r="B119">
            <v>35</v>
          </cell>
          <cell r="C119">
            <v>40</v>
          </cell>
          <cell r="D119">
            <v>19</v>
          </cell>
          <cell r="F119">
            <v>23</v>
          </cell>
          <cell r="G119">
            <v>24</v>
          </cell>
          <cell r="H119">
            <v>20</v>
          </cell>
          <cell r="I119">
            <v>16</v>
          </cell>
          <cell r="K119">
            <v>22</v>
          </cell>
          <cell r="L119">
            <v>23</v>
          </cell>
          <cell r="M119">
            <v>20</v>
          </cell>
          <cell r="N119">
            <v>25</v>
          </cell>
          <cell r="P119">
            <v>170</v>
          </cell>
        </row>
        <row r="120">
          <cell r="A120">
            <v>23</v>
          </cell>
          <cell r="B120">
            <v>46.5</v>
          </cell>
          <cell r="C120">
            <v>49</v>
          </cell>
          <cell r="D120">
            <v>19</v>
          </cell>
          <cell r="F120">
            <v>25</v>
          </cell>
          <cell r="G120">
            <v>21</v>
          </cell>
          <cell r="H120">
            <v>23</v>
          </cell>
          <cell r="I120">
            <v>21</v>
          </cell>
          <cell r="K120">
            <v>22</v>
          </cell>
          <cell r="L120">
            <v>24.5</v>
          </cell>
          <cell r="M120">
            <v>22</v>
          </cell>
          <cell r="N120">
            <v>25</v>
          </cell>
          <cell r="P120">
            <v>171</v>
          </cell>
        </row>
        <row r="121">
          <cell r="A121">
            <v>19.5</v>
          </cell>
          <cell r="B121">
            <v>42</v>
          </cell>
          <cell r="C121">
            <v>45</v>
          </cell>
          <cell r="D121">
            <v>22</v>
          </cell>
          <cell r="F121">
            <v>24</v>
          </cell>
          <cell r="G121">
            <v>23</v>
          </cell>
          <cell r="H121">
            <v>21</v>
          </cell>
          <cell r="I121">
            <v>22</v>
          </cell>
          <cell r="K121">
            <v>23</v>
          </cell>
          <cell r="L121">
            <v>21.5</v>
          </cell>
          <cell r="M121">
            <v>23</v>
          </cell>
          <cell r="N121">
            <v>22</v>
          </cell>
          <cell r="P121">
            <v>172</v>
          </cell>
        </row>
        <row r="122">
          <cell r="A122">
            <v>24</v>
          </cell>
          <cell r="B122">
            <v>46</v>
          </cell>
          <cell r="C122">
            <v>50</v>
          </cell>
          <cell r="D122">
            <v>23.5</v>
          </cell>
          <cell r="F122">
            <v>25</v>
          </cell>
          <cell r="G122">
            <v>23</v>
          </cell>
          <cell r="H122">
            <v>24</v>
          </cell>
          <cell r="I122">
            <v>22</v>
          </cell>
          <cell r="K122">
            <v>24</v>
          </cell>
          <cell r="L122">
            <v>24.5</v>
          </cell>
          <cell r="M122">
            <v>23</v>
          </cell>
          <cell r="N122">
            <v>25</v>
          </cell>
          <cell r="P122">
            <v>173</v>
          </cell>
        </row>
        <row r="123">
          <cell r="A123">
            <v>22.5</v>
          </cell>
          <cell r="B123">
            <v>46</v>
          </cell>
          <cell r="C123">
            <v>42</v>
          </cell>
          <cell r="D123">
            <v>19.5</v>
          </cell>
          <cell r="F123">
            <v>25</v>
          </cell>
          <cell r="G123">
            <v>22</v>
          </cell>
          <cell r="H123">
            <v>22</v>
          </cell>
          <cell r="I123">
            <v>15</v>
          </cell>
          <cell r="K123">
            <v>21</v>
          </cell>
          <cell r="L123">
            <v>24</v>
          </cell>
          <cell r="M123">
            <v>15</v>
          </cell>
          <cell r="N123">
            <v>17</v>
          </cell>
          <cell r="P123">
            <v>174</v>
          </cell>
        </row>
        <row r="124">
          <cell r="A124">
            <v>25</v>
          </cell>
          <cell r="B124">
            <v>38.5</v>
          </cell>
          <cell r="C124">
            <v>49</v>
          </cell>
          <cell r="D124">
            <v>20.5</v>
          </cell>
          <cell r="F124">
            <v>24</v>
          </cell>
          <cell r="G124">
            <v>25</v>
          </cell>
          <cell r="H124">
            <v>22</v>
          </cell>
          <cell r="I124">
            <v>20</v>
          </cell>
          <cell r="K124">
            <v>20</v>
          </cell>
          <cell r="L124">
            <v>23.2</v>
          </cell>
          <cell r="M124">
            <v>19</v>
          </cell>
          <cell r="N124">
            <v>25</v>
          </cell>
          <cell r="P124">
            <v>175</v>
          </cell>
        </row>
        <row r="125">
          <cell r="A125">
            <v>24.5</v>
          </cell>
          <cell r="B125">
            <v>45.5</v>
          </cell>
          <cell r="C125">
            <v>47</v>
          </cell>
          <cell r="D125">
            <v>22.5</v>
          </cell>
          <cell r="F125">
            <v>25</v>
          </cell>
          <cell r="G125">
            <v>24</v>
          </cell>
          <cell r="H125">
            <v>23</v>
          </cell>
          <cell r="I125">
            <v>21</v>
          </cell>
          <cell r="K125">
            <v>22</v>
          </cell>
          <cell r="L125">
            <v>24</v>
          </cell>
          <cell r="M125">
            <v>24</v>
          </cell>
          <cell r="N125">
            <v>23</v>
          </cell>
          <cell r="P125">
            <v>177</v>
          </cell>
        </row>
        <row r="126">
          <cell r="A126">
            <v>25</v>
          </cell>
          <cell r="B126">
            <v>48</v>
          </cell>
          <cell r="C126">
            <v>49</v>
          </cell>
          <cell r="D126">
            <v>21.5</v>
          </cell>
          <cell r="F126">
            <v>24</v>
          </cell>
          <cell r="G126">
            <v>25</v>
          </cell>
          <cell r="H126">
            <v>24</v>
          </cell>
          <cell r="I126">
            <v>23</v>
          </cell>
          <cell r="K126">
            <v>24</v>
          </cell>
          <cell r="L126">
            <v>24</v>
          </cell>
          <cell r="M126">
            <v>24</v>
          </cell>
          <cell r="N126">
            <v>22</v>
          </cell>
          <cell r="P126">
            <v>179</v>
          </cell>
        </row>
        <row r="127">
          <cell r="A127">
            <v>23.5</v>
          </cell>
          <cell r="B127">
            <v>49</v>
          </cell>
          <cell r="C127">
            <v>49</v>
          </cell>
          <cell r="D127">
            <v>22.5</v>
          </cell>
          <cell r="F127">
            <v>24</v>
          </cell>
          <cell r="G127">
            <v>24</v>
          </cell>
          <cell r="H127">
            <v>23</v>
          </cell>
          <cell r="I127">
            <v>16</v>
          </cell>
          <cell r="K127">
            <v>22</v>
          </cell>
          <cell r="L127">
            <v>23.5</v>
          </cell>
          <cell r="M127">
            <v>21</v>
          </cell>
          <cell r="N127">
            <v>24</v>
          </cell>
          <cell r="P127">
            <v>182</v>
          </cell>
        </row>
        <row r="128">
          <cell r="A128">
            <v>10</v>
          </cell>
          <cell r="B128">
            <v>48</v>
          </cell>
          <cell r="C128">
            <v>50</v>
          </cell>
          <cell r="D128">
            <v>22.5</v>
          </cell>
          <cell r="F128">
            <v>25</v>
          </cell>
          <cell r="G128">
            <v>25</v>
          </cell>
          <cell r="H128">
            <v>24</v>
          </cell>
          <cell r="I128">
            <v>23</v>
          </cell>
          <cell r="K128">
            <v>24</v>
          </cell>
          <cell r="L128">
            <v>24</v>
          </cell>
          <cell r="M128">
            <v>23</v>
          </cell>
          <cell r="N128">
            <v>24</v>
          </cell>
          <cell r="P128">
            <v>184</v>
          </cell>
        </row>
        <row r="129">
          <cell r="A129">
            <v>10</v>
          </cell>
          <cell r="B129">
            <v>48.5</v>
          </cell>
          <cell r="C129">
            <v>50</v>
          </cell>
          <cell r="D129">
            <v>21.5</v>
          </cell>
          <cell r="F129">
            <v>25</v>
          </cell>
          <cell r="G129">
            <v>23</v>
          </cell>
          <cell r="H129">
            <v>25</v>
          </cell>
          <cell r="I129">
            <v>24</v>
          </cell>
          <cell r="K129">
            <v>23</v>
          </cell>
          <cell r="L129">
            <v>25</v>
          </cell>
          <cell r="M129">
            <v>24</v>
          </cell>
          <cell r="N129">
            <v>22</v>
          </cell>
          <cell r="P129">
            <v>186</v>
          </cell>
        </row>
        <row r="130">
          <cell r="A130">
            <v>22</v>
          </cell>
          <cell r="B130">
            <v>42.5</v>
          </cell>
          <cell r="C130">
            <v>33</v>
          </cell>
          <cell r="D130">
            <v>22.5</v>
          </cell>
          <cell r="F130">
            <v>23.5</v>
          </cell>
          <cell r="G130">
            <v>21.5</v>
          </cell>
          <cell r="H130">
            <v>23</v>
          </cell>
          <cell r="I130">
            <v>21</v>
          </cell>
          <cell r="K130">
            <v>20</v>
          </cell>
          <cell r="L130">
            <v>22</v>
          </cell>
          <cell r="M130">
            <v>22</v>
          </cell>
          <cell r="N130">
            <v>21</v>
          </cell>
          <cell r="P130">
            <v>187</v>
          </cell>
        </row>
        <row r="131">
          <cell r="A131">
            <v>24</v>
          </cell>
          <cell r="B131">
            <v>43.5</v>
          </cell>
          <cell r="C131">
            <v>46</v>
          </cell>
          <cell r="D131">
            <v>21</v>
          </cell>
          <cell r="F131">
            <v>25</v>
          </cell>
          <cell r="G131">
            <v>23</v>
          </cell>
          <cell r="H131">
            <v>23</v>
          </cell>
          <cell r="I131">
            <v>17</v>
          </cell>
          <cell r="K131">
            <v>23</v>
          </cell>
          <cell r="L131">
            <v>22.5</v>
          </cell>
          <cell r="M131">
            <v>18</v>
          </cell>
          <cell r="N131">
            <v>21</v>
          </cell>
          <cell r="P131">
            <v>188</v>
          </cell>
        </row>
        <row r="132">
          <cell r="A132">
            <v>24</v>
          </cell>
          <cell r="B132">
            <v>46</v>
          </cell>
          <cell r="C132">
            <v>49</v>
          </cell>
          <cell r="D132">
            <v>19</v>
          </cell>
          <cell r="F132">
            <v>25</v>
          </cell>
          <cell r="G132">
            <v>25</v>
          </cell>
          <cell r="H132">
            <v>23</v>
          </cell>
          <cell r="I132">
            <v>20</v>
          </cell>
          <cell r="K132">
            <v>25</v>
          </cell>
          <cell r="L132">
            <v>25</v>
          </cell>
          <cell r="M132">
            <v>22</v>
          </cell>
          <cell r="N132">
            <v>25</v>
          </cell>
          <cell r="P132">
            <v>190</v>
          </cell>
        </row>
        <row r="133">
          <cell r="A133">
            <v>19</v>
          </cell>
          <cell r="B133">
            <v>38</v>
          </cell>
          <cell r="C133">
            <v>50</v>
          </cell>
          <cell r="D133">
            <v>19</v>
          </cell>
          <cell r="F133">
            <v>25</v>
          </cell>
          <cell r="G133">
            <v>24</v>
          </cell>
          <cell r="H133">
            <v>23</v>
          </cell>
          <cell r="I133">
            <v>19</v>
          </cell>
          <cell r="K133">
            <v>19</v>
          </cell>
          <cell r="L133">
            <v>22.5</v>
          </cell>
          <cell r="M133">
            <v>23</v>
          </cell>
          <cell r="N133">
            <v>22</v>
          </cell>
          <cell r="P133">
            <v>191</v>
          </cell>
        </row>
        <row r="134">
          <cell r="A134">
            <v>23</v>
          </cell>
          <cell r="B134">
            <v>47.5</v>
          </cell>
          <cell r="C134">
            <v>50</v>
          </cell>
          <cell r="D134">
            <v>21</v>
          </cell>
          <cell r="F134">
            <v>24.5</v>
          </cell>
          <cell r="G134">
            <v>23</v>
          </cell>
          <cell r="H134">
            <v>22</v>
          </cell>
          <cell r="I134">
            <v>24</v>
          </cell>
          <cell r="K134">
            <v>22</v>
          </cell>
          <cell r="L134">
            <v>23.5</v>
          </cell>
          <cell r="M134">
            <v>21</v>
          </cell>
          <cell r="N134">
            <v>24</v>
          </cell>
          <cell r="P134">
            <v>192</v>
          </cell>
        </row>
        <row r="135">
          <cell r="A135">
            <v>24</v>
          </cell>
          <cell r="B135">
            <v>47</v>
          </cell>
          <cell r="C135">
            <v>50</v>
          </cell>
          <cell r="D135">
            <v>23</v>
          </cell>
          <cell r="F135">
            <v>25</v>
          </cell>
          <cell r="G135">
            <v>24</v>
          </cell>
          <cell r="H135">
            <v>24</v>
          </cell>
          <cell r="I135">
            <v>21</v>
          </cell>
          <cell r="K135">
            <v>23</v>
          </cell>
          <cell r="L135">
            <v>25</v>
          </cell>
          <cell r="M135">
            <v>22</v>
          </cell>
          <cell r="N135">
            <v>24</v>
          </cell>
          <cell r="P135">
            <v>193</v>
          </cell>
        </row>
        <row r="136">
          <cell r="A136">
            <v>23</v>
          </cell>
          <cell r="B136">
            <v>47</v>
          </cell>
          <cell r="C136">
            <v>49</v>
          </cell>
          <cell r="D136">
            <v>24</v>
          </cell>
          <cell r="F136">
            <v>25</v>
          </cell>
          <cell r="G136">
            <v>20</v>
          </cell>
          <cell r="H136">
            <v>21</v>
          </cell>
          <cell r="I136">
            <v>20</v>
          </cell>
          <cell r="K136">
            <v>24</v>
          </cell>
          <cell r="L136">
            <v>25</v>
          </cell>
          <cell r="M136">
            <v>22</v>
          </cell>
          <cell r="N136">
            <v>25</v>
          </cell>
          <cell r="P136">
            <v>194</v>
          </cell>
        </row>
        <row r="137">
          <cell r="A137">
            <v>23</v>
          </cell>
          <cell r="B137">
            <v>43.5</v>
          </cell>
          <cell r="C137">
            <v>49</v>
          </cell>
          <cell r="D137">
            <v>22</v>
          </cell>
          <cell r="F137">
            <v>23</v>
          </cell>
          <cell r="G137">
            <v>24</v>
          </cell>
          <cell r="H137">
            <v>23</v>
          </cell>
          <cell r="I137">
            <v>19</v>
          </cell>
          <cell r="K137">
            <v>22</v>
          </cell>
          <cell r="L137">
            <v>23.5</v>
          </cell>
          <cell r="M137">
            <v>22</v>
          </cell>
          <cell r="N137">
            <v>25</v>
          </cell>
          <cell r="P137">
            <v>195</v>
          </cell>
        </row>
        <row r="138">
          <cell r="A138">
            <v>25</v>
          </cell>
          <cell r="B138">
            <v>38.5</v>
          </cell>
          <cell r="C138">
            <v>33</v>
          </cell>
          <cell r="D138">
            <v>19</v>
          </cell>
          <cell r="F138">
            <v>25</v>
          </cell>
          <cell r="G138">
            <v>23</v>
          </cell>
          <cell r="H138">
            <v>24</v>
          </cell>
          <cell r="I138">
            <v>21</v>
          </cell>
          <cell r="K138">
            <v>24</v>
          </cell>
          <cell r="L138">
            <v>25</v>
          </cell>
          <cell r="M138">
            <v>21</v>
          </cell>
          <cell r="N138">
            <v>21</v>
          </cell>
          <cell r="P138">
            <v>199</v>
          </cell>
        </row>
        <row r="139">
          <cell r="A139">
            <v>24</v>
          </cell>
          <cell r="B139">
            <v>47.5</v>
          </cell>
          <cell r="C139">
            <v>50</v>
          </cell>
          <cell r="D139">
            <v>23</v>
          </cell>
          <cell r="F139">
            <v>25</v>
          </cell>
          <cell r="G139">
            <v>22</v>
          </cell>
          <cell r="H139">
            <v>25</v>
          </cell>
          <cell r="I139">
            <v>24</v>
          </cell>
          <cell r="K139">
            <v>25</v>
          </cell>
          <cell r="L139">
            <v>24</v>
          </cell>
          <cell r="M139">
            <v>24</v>
          </cell>
          <cell r="N139">
            <v>23</v>
          </cell>
          <cell r="P139">
            <v>200</v>
          </cell>
        </row>
        <row r="140">
          <cell r="A140">
            <v>18</v>
          </cell>
          <cell r="B140">
            <v>34.5</v>
          </cell>
          <cell r="C140">
            <v>43</v>
          </cell>
          <cell r="D140">
            <v>19.5</v>
          </cell>
          <cell r="F140">
            <v>23.5</v>
          </cell>
          <cell r="G140">
            <v>19</v>
          </cell>
          <cell r="H140">
            <v>21</v>
          </cell>
          <cell r="I140">
            <v>20</v>
          </cell>
          <cell r="K140">
            <v>21</v>
          </cell>
          <cell r="L140">
            <v>23.5</v>
          </cell>
          <cell r="M140">
            <v>18</v>
          </cell>
          <cell r="N140">
            <v>18</v>
          </cell>
          <cell r="P140">
            <v>201</v>
          </cell>
        </row>
        <row r="141">
          <cell r="A141">
            <v>23</v>
          </cell>
          <cell r="B141">
            <v>46.5</v>
          </cell>
          <cell r="C141">
            <v>50</v>
          </cell>
          <cell r="D141">
            <v>21.5</v>
          </cell>
          <cell r="F141">
            <v>25</v>
          </cell>
          <cell r="G141">
            <v>23</v>
          </cell>
          <cell r="H141">
            <v>25</v>
          </cell>
          <cell r="I141">
            <v>23</v>
          </cell>
          <cell r="K141">
            <v>23</v>
          </cell>
          <cell r="L141">
            <v>25</v>
          </cell>
          <cell r="M141">
            <v>23</v>
          </cell>
          <cell r="N141">
            <v>24</v>
          </cell>
          <cell r="P141">
            <v>202</v>
          </cell>
        </row>
        <row r="142">
          <cell r="A142">
            <v>25</v>
          </cell>
          <cell r="B142">
            <v>45.5</v>
          </cell>
          <cell r="C142">
            <v>47</v>
          </cell>
          <cell r="D142">
            <v>21.5</v>
          </cell>
          <cell r="F142">
            <v>25</v>
          </cell>
          <cell r="G142">
            <v>23</v>
          </cell>
          <cell r="H142">
            <v>23</v>
          </cell>
          <cell r="I142">
            <v>22</v>
          </cell>
          <cell r="K142">
            <v>23</v>
          </cell>
          <cell r="L142">
            <v>23.5</v>
          </cell>
          <cell r="M142">
            <v>22</v>
          </cell>
          <cell r="N142">
            <v>23</v>
          </cell>
          <cell r="P142">
            <v>204</v>
          </cell>
        </row>
        <row r="143">
          <cell r="A143">
            <v>23</v>
          </cell>
          <cell r="B143">
            <v>47</v>
          </cell>
          <cell r="C143">
            <v>48</v>
          </cell>
          <cell r="D143">
            <v>19.5</v>
          </cell>
          <cell r="F143">
            <v>24.5</v>
          </cell>
          <cell r="G143">
            <v>23</v>
          </cell>
          <cell r="H143">
            <v>23</v>
          </cell>
          <cell r="I143">
            <v>23</v>
          </cell>
          <cell r="K143">
            <v>25</v>
          </cell>
          <cell r="L143">
            <v>25</v>
          </cell>
          <cell r="M143">
            <v>24</v>
          </cell>
          <cell r="N143">
            <v>23</v>
          </cell>
          <cell r="P143">
            <v>205</v>
          </cell>
        </row>
        <row r="144">
          <cell r="A144">
            <v>24</v>
          </cell>
          <cell r="B144">
            <v>48</v>
          </cell>
          <cell r="C144">
            <v>50</v>
          </cell>
          <cell r="D144">
            <v>22.5</v>
          </cell>
          <cell r="F144">
            <v>25</v>
          </cell>
          <cell r="G144">
            <v>23</v>
          </cell>
          <cell r="H144">
            <v>24</v>
          </cell>
          <cell r="I144">
            <v>23</v>
          </cell>
          <cell r="K144">
            <v>23</v>
          </cell>
          <cell r="L144">
            <v>25</v>
          </cell>
          <cell r="M144">
            <v>21</v>
          </cell>
          <cell r="N144">
            <v>21</v>
          </cell>
          <cell r="P144">
            <v>206</v>
          </cell>
        </row>
        <row r="145">
          <cell r="A145">
            <v>21</v>
          </cell>
          <cell r="B145">
            <v>37.5</v>
          </cell>
          <cell r="C145">
            <v>46</v>
          </cell>
          <cell r="D145">
            <v>17.5</v>
          </cell>
          <cell r="F145">
            <v>23</v>
          </cell>
          <cell r="G145">
            <v>23</v>
          </cell>
          <cell r="H145">
            <v>24</v>
          </cell>
          <cell r="I145">
            <v>17</v>
          </cell>
          <cell r="K145">
            <v>24</v>
          </cell>
          <cell r="L145">
            <v>24</v>
          </cell>
          <cell r="M145">
            <v>19</v>
          </cell>
          <cell r="N145">
            <v>16</v>
          </cell>
          <cell r="P145">
            <v>207</v>
          </cell>
        </row>
        <row r="146">
          <cell r="A146">
            <v>21</v>
          </cell>
          <cell r="B146">
            <v>48.5</v>
          </cell>
          <cell r="C146">
            <v>50</v>
          </cell>
          <cell r="D146">
            <v>21.5</v>
          </cell>
          <cell r="F146">
            <v>24</v>
          </cell>
          <cell r="G146">
            <v>24</v>
          </cell>
          <cell r="H146">
            <v>22</v>
          </cell>
          <cell r="I146">
            <v>20</v>
          </cell>
          <cell r="K146">
            <v>23</v>
          </cell>
          <cell r="L146">
            <v>24</v>
          </cell>
          <cell r="M146">
            <v>23</v>
          </cell>
          <cell r="N146">
            <v>25</v>
          </cell>
          <cell r="P146">
            <v>212</v>
          </cell>
        </row>
        <row r="147">
          <cell r="A147">
            <v>19</v>
          </cell>
          <cell r="B147">
            <v>38.5</v>
          </cell>
          <cell r="C147">
            <v>31</v>
          </cell>
          <cell r="D147">
            <v>13.5</v>
          </cell>
          <cell r="F147">
            <v>24</v>
          </cell>
          <cell r="G147">
            <v>24</v>
          </cell>
          <cell r="H147">
            <v>17</v>
          </cell>
          <cell r="I147">
            <v>9</v>
          </cell>
          <cell r="K147">
            <v>18</v>
          </cell>
          <cell r="L147">
            <v>25</v>
          </cell>
          <cell r="M147">
            <v>18</v>
          </cell>
          <cell r="N147">
            <v>20</v>
          </cell>
          <cell r="P147">
            <v>214</v>
          </cell>
        </row>
        <row r="148">
          <cell r="A148">
            <v>23</v>
          </cell>
          <cell r="B148">
            <v>44</v>
          </cell>
          <cell r="C148">
            <v>45</v>
          </cell>
          <cell r="D148">
            <v>22.5</v>
          </cell>
          <cell r="F148">
            <v>21</v>
          </cell>
          <cell r="G148">
            <v>22</v>
          </cell>
          <cell r="H148">
            <v>21</v>
          </cell>
          <cell r="I148">
            <v>22</v>
          </cell>
          <cell r="K148">
            <v>21</v>
          </cell>
          <cell r="L148">
            <v>23</v>
          </cell>
          <cell r="M148">
            <v>19</v>
          </cell>
          <cell r="N148">
            <v>23</v>
          </cell>
          <cell r="P148">
            <v>215</v>
          </cell>
        </row>
        <row r="149">
          <cell r="A149">
            <v>23</v>
          </cell>
          <cell r="B149">
            <v>47</v>
          </cell>
          <cell r="C149">
            <v>48</v>
          </cell>
          <cell r="D149">
            <v>21.5</v>
          </cell>
          <cell r="F149">
            <v>25</v>
          </cell>
          <cell r="G149">
            <v>24</v>
          </cell>
          <cell r="H149">
            <v>24</v>
          </cell>
          <cell r="I149">
            <v>23</v>
          </cell>
          <cell r="K149">
            <v>24</v>
          </cell>
          <cell r="L149">
            <v>25</v>
          </cell>
          <cell r="M149">
            <v>22</v>
          </cell>
          <cell r="N149">
            <v>25</v>
          </cell>
          <cell r="P149">
            <v>216</v>
          </cell>
        </row>
        <row r="150">
          <cell r="A150">
            <v>24</v>
          </cell>
          <cell r="B150">
            <v>46.5</v>
          </cell>
          <cell r="C150">
            <v>49</v>
          </cell>
          <cell r="D150">
            <v>19.5</v>
          </cell>
          <cell r="F150">
            <v>25</v>
          </cell>
          <cell r="G150">
            <v>24</v>
          </cell>
          <cell r="H150">
            <v>22</v>
          </cell>
          <cell r="I150">
            <v>19</v>
          </cell>
          <cell r="K150">
            <v>18</v>
          </cell>
          <cell r="L150">
            <v>21</v>
          </cell>
          <cell r="M150">
            <v>21</v>
          </cell>
          <cell r="N150">
            <v>19</v>
          </cell>
          <cell r="P150">
            <v>217</v>
          </cell>
        </row>
        <row r="151">
          <cell r="A151">
            <v>22</v>
          </cell>
          <cell r="B151">
            <v>42.5</v>
          </cell>
          <cell r="C151">
            <v>48</v>
          </cell>
          <cell r="D151">
            <v>20.5</v>
          </cell>
          <cell r="F151">
            <v>20.5</v>
          </cell>
          <cell r="G151">
            <v>23</v>
          </cell>
          <cell r="H151">
            <v>21</v>
          </cell>
          <cell r="I151">
            <v>21</v>
          </cell>
          <cell r="K151" t="str">
            <v>غ</v>
          </cell>
          <cell r="L151">
            <v>23</v>
          </cell>
          <cell r="M151">
            <v>23</v>
          </cell>
          <cell r="N151">
            <v>25</v>
          </cell>
          <cell r="P151">
            <v>220</v>
          </cell>
        </row>
        <row r="152">
          <cell r="A152">
            <v>23</v>
          </cell>
          <cell r="B152">
            <v>47</v>
          </cell>
          <cell r="C152">
            <v>49</v>
          </cell>
          <cell r="D152">
            <v>19.5</v>
          </cell>
          <cell r="F152">
            <v>24.5</v>
          </cell>
          <cell r="G152">
            <v>24</v>
          </cell>
          <cell r="H152">
            <v>24</v>
          </cell>
          <cell r="I152">
            <v>19</v>
          </cell>
          <cell r="K152">
            <v>23</v>
          </cell>
          <cell r="L152">
            <v>25</v>
          </cell>
          <cell r="M152">
            <v>24</v>
          </cell>
          <cell r="N152">
            <v>22</v>
          </cell>
          <cell r="P152">
            <v>221</v>
          </cell>
        </row>
        <row r="153">
          <cell r="A153">
            <v>23</v>
          </cell>
          <cell r="B153">
            <v>45</v>
          </cell>
          <cell r="C153">
            <v>50</v>
          </cell>
          <cell r="D153">
            <v>20.5</v>
          </cell>
          <cell r="F153">
            <v>23.5</v>
          </cell>
          <cell r="G153">
            <v>25</v>
          </cell>
          <cell r="H153">
            <v>23</v>
          </cell>
          <cell r="I153">
            <v>21</v>
          </cell>
          <cell r="K153">
            <v>22</v>
          </cell>
          <cell r="L153">
            <v>24</v>
          </cell>
          <cell r="M153">
            <v>21</v>
          </cell>
          <cell r="N153">
            <v>21</v>
          </cell>
          <cell r="P153">
            <v>222</v>
          </cell>
        </row>
        <row r="154">
          <cell r="A154">
            <v>24</v>
          </cell>
          <cell r="B154">
            <v>47.5</v>
          </cell>
          <cell r="C154">
            <v>49</v>
          </cell>
          <cell r="D154">
            <v>21.5</v>
          </cell>
          <cell r="F154">
            <v>24.5</v>
          </cell>
          <cell r="G154">
            <v>24</v>
          </cell>
          <cell r="H154">
            <v>25</v>
          </cell>
          <cell r="I154">
            <v>24</v>
          </cell>
          <cell r="K154">
            <v>25</v>
          </cell>
          <cell r="L154">
            <v>24</v>
          </cell>
          <cell r="M154">
            <v>24</v>
          </cell>
          <cell r="N154">
            <v>25</v>
          </cell>
          <cell r="P154">
            <v>223</v>
          </cell>
        </row>
        <row r="155">
          <cell r="A155">
            <v>24</v>
          </cell>
          <cell r="B155">
            <v>43</v>
          </cell>
          <cell r="C155">
            <v>46</v>
          </cell>
          <cell r="D155">
            <v>18.5</v>
          </cell>
          <cell r="F155">
            <v>25</v>
          </cell>
          <cell r="G155">
            <v>22</v>
          </cell>
          <cell r="H155">
            <v>22</v>
          </cell>
          <cell r="I155">
            <v>19</v>
          </cell>
          <cell r="K155">
            <v>21</v>
          </cell>
          <cell r="L155">
            <v>24</v>
          </cell>
          <cell r="M155">
            <v>22</v>
          </cell>
          <cell r="N155">
            <v>23</v>
          </cell>
          <cell r="P155">
            <v>224</v>
          </cell>
        </row>
        <row r="156">
          <cell r="A156">
            <v>23</v>
          </cell>
          <cell r="B156">
            <v>48</v>
          </cell>
          <cell r="C156">
            <v>50</v>
          </cell>
          <cell r="D156">
            <v>18.5</v>
          </cell>
          <cell r="F156">
            <v>25</v>
          </cell>
          <cell r="G156">
            <v>23</v>
          </cell>
          <cell r="H156">
            <v>23</v>
          </cell>
          <cell r="I156">
            <v>19</v>
          </cell>
          <cell r="K156">
            <v>24</v>
          </cell>
          <cell r="L156">
            <v>24</v>
          </cell>
          <cell r="M156">
            <v>24</v>
          </cell>
          <cell r="N156">
            <v>23</v>
          </cell>
          <cell r="P156">
            <v>226</v>
          </cell>
        </row>
        <row r="157">
          <cell r="A157">
            <v>19.5</v>
          </cell>
          <cell r="B157">
            <v>27</v>
          </cell>
          <cell r="C157">
            <v>33</v>
          </cell>
          <cell r="D157">
            <v>9.5</v>
          </cell>
          <cell r="F157">
            <v>25</v>
          </cell>
          <cell r="G157">
            <v>22</v>
          </cell>
          <cell r="H157">
            <v>13</v>
          </cell>
          <cell r="I157">
            <v>5</v>
          </cell>
          <cell r="K157">
            <v>19</v>
          </cell>
          <cell r="L157">
            <v>12</v>
          </cell>
          <cell r="M157">
            <v>10</v>
          </cell>
          <cell r="N157">
            <v>10</v>
          </cell>
          <cell r="P157">
            <v>227</v>
          </cell>
        </row>
        <row r="158">
          <cell r="A158">
            <v>21.5</v>
          </cell>
          <cell r="B158">
            <v>45.5</v>
          </cell>
          <cell r="C158">
            <v>48</v>
          </cell>
          <cell r="D158">
            <v>19.5</v>
          </cell>
          <cell r="F158">
            <v>25</v>
          </cell>
          <cell r="G158">
            <v>22</v>
          </cell>
          <cell r="H158">
            <v>25</v>
          </cell>
          <cell r="I158">
            <v>19</v>
          </cell>
          <cell r="K158">
            <v>21</v>
          </cell>
          <cell r="L158">
            <v>25</v>
          </cell>
          <cell r="M158">
            <v>21</v>
          </cell>
          <cell r="N158">
            <v>20</v>
          </cell>
          <cell r="P158">
            <v>228</v>
          </cell>
        </row>
        <row r="159">
          <cell r="A159">
            <v>21.5</v>
          </cell>
          <cell r="B159">
            <v>48</v>
          </cell>
          <cell r="C159">
            <v>49</v>
          </cell>
          <cell r="D159">
            <v>22</v>
          </cell>
          <cell r="F159">
            <v>25</v>
          </cell>
          <cell r="G159">
            <v>24</v>
          </cell>
          <cell r="H159">
            <v>24</v>
          </cell>
          <cell r="I159">
            <v>17</v>
          </cell>
          <cell r="K159">
            <v>20</v>
          </cell>
          <cell r="L159">
            <v>25</v>
          </cell>
          <cell r="M159">
            <v>22</v>
          </cell>
          <cell r="N159">
            <v>23</v>
          </cell>
          <cell r="P159">
            <v>229</v>
          </cell>
        </row>
        <row r="160">
          <cell r="A160">
            <v>21.5</v>
          </cell>
          <cell r="B160">
            <v>48</v>
          </cell>
          <cell r="C160">
            <v>48</v>
          </cell>
          <cell r="D160">
            <v>21</v>
          </cell>
          <cell r="F160">
            <v>24</v>
          </cell>
          <cell r="G160">
            <v>24</v>
          </cell>
          <cell r="H160">
            <v>23</v>
          </cell>
          <cell r="I160">
            <v>20</v>
          </cell>
          <cell r="K160">
            <v>22</v>
          </cell>
          <cell r="L160">
            <v>24</v>
          </cell>
          <cell r="M160">
            <v>18</v>
          </cell>
          <cell r="N160">
            <v>23</v>
          </cell>
          <cell r="P160">
            <v>230</v>
          </cell>
        </row>
        <row r="161">
          <cell r="A161">
            <v>22.5</v>
          </cell>
          <cell r="B161">
            <v>49</v>
          </cell>
          <cell r="C161">
            <v>50</v>
          </cell>
          <cell r="D161">
            <v>25</v>
          </cell>
          <cell r="F161">
            <v>25</v>
          </cell>
          <cell r="G161">
            <v>24</v>
          </cell>
          <cell r="H161">
            <v>25</v>
          </cell>
          <cell r="I161">
            <v>22</v>
          </cell>
          <cell r="K161">
            <v>24</v>
          </cell>
          <cell r="L161">
            <v>24</v>
          </cell>
          <cell r="M161">
            <v>23</v>
          </cell>
          <cell r="N161">
            <v>24</v>
          </cell>
          <cell r="P161">
            <v>231</v>
          </cell>
        </row>
        <row r="162">
          <cell r="A162">
            <v>20.5</v>
          </cell>
          <cell r="B162">
            <v>44.5</v>
          </cell>
          <cell r="C162">
            <v>49</v>
          </cell>
          <cell r="D162">
            <v>19</v>
          </cell>
          <cell r="F162">
            <v>24</v>
          </cell>
          <cell r="G162">
            <v>22</v>
          </cell>
          <cell r="H162">
            <v>24</v>
          </cell>
          <cell r="I162">
            <v>15</v>
          </cell>
          <cell r="K162">
            <v>21</v>
          </cell>
          <cell r="L162">
            <v>25</v>
          </cell>
          <cell r="M162">
            <v>21</v>
          </cell>
          <cell r="N162">
            <v>19</v>
          </cell>
          <cell r="P162">
            <v>232</v>
          </cell>
        </row>
        <row r="163">
          <cell r="A163">
            <v>22.5</v>
          </cell>
          <cell r="B163">
            <v>48</v>
          </cell>
          <cell r="C163">
            <v>48</v>
          </cell>
          <cell r="D163">
            <v>22</v>
          </cell>
          <cell r="F163">
            <v>24</v>
          </cell>
          <cell r="G163">
            <v>24</v>
          </cell>
          <cell r="H163">
            <v>24</v>
          </cell>
          <cell r="I163">
            <v>23</v>
          </cell>
          <cell r="K163">
            <v>23</v>
          </cell>
          <cell r="L163">
            <v>24</v>
          </cell>
          <cell r="M163">
            <v>24</v>
          </cell>
          <cell r="N163">
            <v>25</v>
          </cell>
          <cell r="P163">
            <v>233</v>
          </cell>
        </row>
        <row r="164">
          <cell r="A164">
            <v>20.5</v>
          </cell>
          <cell r="B164">
            <v>39</v>
          </cell>
          <cell r="C164">
            <v>37</v>
          </cell>
          <cell r="D164">
            <v>16</v>
          </cell>
          <cell r="F164">
            <v>22</v>
          </cell>
          <cell r="G164">
            <v>21</v>
          </cell>
          <cell r="H164">
            <v>24</v>
          </cell>
          <cell r="I164">
            <v>19</v>
          </cell>
          <cell r="K164">
            <v>21</v>
          </cell>
          <cell r="L164">
            <v>24</v>
          </cell>
          <cell r="M164">
            <v>20</v>
          </cell>
          <cell r="N164">
            <v>20</v>
          </cell>
          <cell r="P164">
            <v>235</v>
          </cell>
        </row>
        <row r="165">
          <cell r="A165">
            <v>20.5</v>
          </cell>
          <cell r="B165">
            <v>43</v>
          </cell>
          <cell r="C165">
            <v>46</v>
          </cell>
          <cell r="D165">
            <v>21</v>
          </cell>
          <cell r="F165">
            <v>23</v>
          </cell>
          <cell r="G165">
            <v>22</v>
          </cell>
          <cell r="H165">
            <v>22</v>
          </cell>
          <cell r="I165">
            <v>19</v>
          </cell>
          <cell r="K165">
            <v>23</v>
          </cell>
          <cell r="L165">
            <v>24</v>
          </cell>
          <cell r="M165">
            <v>21</v>
          </cell>
          <cell r="N165">
            <v>17</v>
          </cell>
          <cell r="P165">
            <v>237</v>
          </cell>
        </row>
        <row r="166">
          <cell r="A166">
            <v>23.5</v>
          </cell>
          <cell r="B166">
            <v>47</v>
          </cell>
          <cell r="C166">
            <v>48</v>
          </cell>
          <cell r="D166">
            <v>21</v>
          </cell>
          <cell r="F166">
            <v>24.5</v>
          </cell>
          <cell r="G166">
            <v>20</v>
          </cell>
          <cell r="H166">
            <v>22</v>
          </cell>
          <cell r="I166">
            <v>18</v>
          </cell>
          <cell r="K166">
            <v>24</v>
          </cell>
          <cell r="L166">
            <v>24</v>
          </cell>
          <cell r="M166">
            <v>19</v>
          </cell>
          <cell r="N166">
            <v>24</v>
          </cell>
          <cell r="P166">
            <v>238</v>
          </cell>
        </row>
        <row r="167">
          <cell r="A167">
            <v>24</v>
          </cell>
          <cell r="B167">
            <v>47.5</v>
          </cell>
          <cell r="C167">
            <v>49</v>
          </cell>
          <cell r="D167">
            <v>19</v>
          </cell>
          <cell r="F167">
            <v>24</v>
          </cell>
          <cell r="G167">
            <v>22</v>
          </cell>
          <cell r="H167">
            <v>23</v>
          </cell>
          <cell r="I167">
            <v>19</v>
          </cell>
          <cell r="K167">
            <v>21</v>
          </cell>
          <cell r="L167">
            <v>24</v>
          </cell>
          <cell r="M167">
            <v>20</v>
          </cell>
          <cell r="N167">
            <v>23</v>
          </cell>
          <cell r="P167">
            <v>239</v>
          </cell>
        </row>
        <row r="168">
          <cell r="A168">
            <v>21</v>
          </cell>
          <cell r="B168">
            <v>39</v>
          </cell>
          <cell r="C168">
            <v>43</v>
          </cell>
          <cell r="D168">
            <v>18</v>
          </cell>
          <cell r="F168">
            <v>24.5</v>
          </cell>
          <cell r="G168">
            <v>22</v>
          </cell>
          <cell r="H168">
            <v>24</v>
          </cell>
          <cell r="I168">
            <v>15</v>
          </cell>
          <cell r="K168">
            <v>19</v>
          </cell>
          <cell r="L168">
            <v>24</v>
          </cell>
          <cell r="M168">
            <v>17</v>
          </cell>
          <cell r="N168">
            <v>19</v>
          </cell>
          <cell r="P168">
            <v>241</v>
          </cell>
        </row>
        <row r="169">
          <cell r="A169">
            <v>23</v>
          </cell>
          <cell r="B169">
            <v>47</v>
          </cell>
          <cell r="C169">
            <v>49</v>
          </cell>
          <cell r="D169">
            <v>18.5</v>
          </cell>
          <cell r="F169">
            <v>25</v>
          </cell>
          <cell r="G169">
            <v>21</v>
          </cell>
          <cell r="H169">
            <v>23</v>
          </cell>
          <cell r="I169">
            <v>23</v>
          </cell>
          <cell r="K169">
            <v>24</v>
          </cell>
          <cell r="L169">
            <v>25</v>
          </cell>
          <cell r="M169">
            <v>22</v>
          </cell>
          <cell r="N169">
            <v>22</v>
          </cell>
          <cell r="P169">
            <v>242</v>
          </cell>
        </row>
        <row r="170">
          <cell r="A170">
            <v>24</v>
          </cell>
          <cell r="B170">
            <v>36</v>
          </cell>
          <cell r="C170">
            <v>41</v>
          </cell>
          <cell r="D170">
            <v>16.5</v>
          </cell>
          <cell r="F170">
            <v>24</v>
          </cell>
          <cell r="G170">
            <v>22</v>
          </cell>
          <cell r="H170">
            <v>21</v>
          </cell>
          <cell r="I170">
            <v>18</v>
          </cell>
          <cell r="K170">
            <v>17</v>
          </cell>
          <cell r="L170">
            <v>23</v>
          </cell>
          <cell r="M170">
            <v>20</v>
          </cell>
          <cell r="N170">
            <v>21</v>
          </cell>
          <cell r="P170">
            <v>243</v>
          </cell>
        </row>
        <row r="171">
          <cell r="A171">
            <v>21</v>
          </cell>
          <cell r="B171">
            <v>48.5</v>
          </cell>
          <cell r="C171">
            <v>49</v>
          </cell>
          <cell r="D171">
            <v>21.5</v>
          </cell>
          <cell r="F171">
            <v>23.5</v>
          </cell>
          <cell r="G171">
            <v>22</v>
          </cell>
          <cell r="H171">
            <v>23</v>
          </cell>
          <cell r="I171">
            <v>22</v>
          </cell>
          <cell r="K171">
            <v>23</v>
          </cell>
          <cell r="L171">
            <v>25</v>
          </cell>
          <cell r="M171">
            <v>23</v>
          </cell>
          <cell r="N171">
            <v>25</v>
          </cell>
          <cell r="P171">
            <v>244</v>
          </cell>
        </row>
        <row r="172">
          <cell r="A172">
            <v>23</v>
          </cell>
          <cell r="B172">
            <v>48.5</v>
          </cell>
          <cell r="C172">
            <v>49</v>
          </cell>
          <cell r="D172">
            <v>19.5</v>
          </cell>
          <cell r="F172">
            <v>24</v>
          </cell>
          <cell r="G172">
            <v>22</v>
          </cell>
          <cell r="H172">
            <v>23</v>
          </cell>
          <cell r="I172">
            <v>24</v>
          </cell>
          <cell r="K172">
            <v>21</v>
          </cell>
          <cell r="L172">
            <v>25</v>
          </cell>
          <cell r="M172">
            <v>24</v>
          </cell>
          <cell r="N172">
            <v>25</v>
          </cell>
          <cell r="P172">
            <v>245</v>
          </cell>
        </row>
        <row r="173">
          <cell r="A173">
            <v>24</v>
          </cell>
          <cell r="B173">
            <v>45.5</v>
          </cell>
          <cell r="C173">
            <v>50</v>
          </cell>
          <cell r="D173">
            <v>21.5</v>
          </cell>
          <cell r="F173">
            <v>24</v>
          </cell>
          <cell r="G173">
            <v>21</v>
          </cell>
          <cell r="H173">
            <v>23</v>
          </cell>
          <cell r="I173">
            <v>23</v>
          </cell>
          <cell r="K173">
            <v>23</v>
          </cell>
          <cell r="L173">
            <v>24</v>
          </cell>
          <cell r="M173">
            <v>22</v>
          </cell>
          <cell r="N173">
            <v>24</v>
          </cell>
          <cell r="P173">
            <v>246</v>
          </cell>
        </row>
        <row r="174">
          <cell r="A174">
            <v>24</v>
          </cell>
          <cell r="B174">
            <v>42</v>
          </cell>
          <cell r="C174">
            <v>46</v>
          </cell>
          <cell r="D174">
            <v>18.5</v>
          </cell>
          <cell r="F174">
            <v>23</v>
          </cell>
          <cell r="G174">
            <v>23</v>
          </cell>
          <cell r="H174">
            <v>23</v>
          </cell>
          <cell r="I174">
            <v>15</v>
          </cell>
          <cell r="K174">
            <v>19</v>
          </cell>
          <cell r="L174">
            <v>24</v>
          </cell>
          <cell r="M174">
            <v>19</v>
          </cell>
          <cell r="N174">
            <v>23</v>
          </cell>
          <cell r="P174">
            <v>247</v>
          </cell>
        </row>
        <row r="175">
          <cell r="A175">
            <v>22</v>
          </cell>
          <cell r="B175">
            <v>48.5</v>
          </cell>
          <cell r="C175">
            <v>49</v>
          </cell>
          <cell r="D175">
            <v>20.5</v>
          </cell>
          <cell r="F175">
            <v>24.5</v>
          </cell>
          <cell r="G175">
            <v>21</v>
          </cell>
          <cell r="H175">
            <v>25</v>
          </cell>
          <cell r="I175">
            <v>23</v>
          </cell>
          <cell r="K175">
            <v>22</v>
          </cell>
          <cell r="L175">
            <v>24</v>
          </cell>
          <cell r="M175">
            <v>23</v>
          </cell>
          <cell r="N175">
            <v>22</v>
          </cell>
          <cell r="P175">
            <v>248</v>
          </cell>
        </row>
        <row r="176">
          <cell r="A176">
            <v>23</v>
          </cell>
          <cell r="B176">
            <v>44</v>
          </cell>
          <cell r="C176">
            <v>39</v>
          </cell>
          <cell r="D176">
            <v>17.5</v>
          </cell>
          <cell r="F176">
            <v>24.5</v>
          </cell>
          <cell r="G176">
            <v>20</v>
          </cell>
          <cell r="H176">
            <v>22</v>
          </cell>
          <cell r="I176">
            <v>16</v>
          </cell>
          <cell r="K176">
            <v>17</v>
          </cell>
          <cell r="L176">
            <v>25</v>
          </cell>
          <cell r="M176">
            <v>19</v>
          </cell>
          <cell r="N176">
            <v>22</v>
          </cell>
          <cell r="P176">
            <v>249</v>
          </cell>
        </row>
        <row r="177">
          <cell r="A177">
            <v>24</v>
          </cell>
          <cell r="B177">
            <v>46</v>
          </cell>
          <cell r="C177">
            <v>49</v>
          </cell>
          <cell r="D177">
            <v>24.5</v>
          </cell>
          <cell r="F177">
            <v>24.5</v>
          </cell>
          <cell r="G177">
            <v>22</v>
          </cell>
          <cell r="H177">
            <v>24</v>
          </cell>
          <cell r="I177">
            <v>22</v>
          </cell>
          <cell r="K177">
            <v>25</v>
          </cell>
          <cell r="L177">
            <v>25</v>
          </cell>
          <cell r="M177">
            <v>23</v>
          </cell>
          <cell r="N177">
            <v>21</v>
          </cell>
          <cell r="P177">
            <v>250</v>
          </cell>
        </row>
        <row r="178">
          <cell r="A178">
            <v>22.5</v>
          </cell>
          <cell r="B178">
            <v>48</v>
          </cell>
          <cell r="C178">
            <v>49</v>
          </cell>
          <cell r="D178">
            <v>22.5</v>
          </cell>
          <cell r="F178">
            <v>24</v>
          </cell>
          <cell r="G178">
            <v>25</v>
          </cell>
          <cell r="H178">
            <v>25</v>
          </cell>
          <cell r="I178">
            <v>22</v>
          </cell>
          <cell r="K178">
            <v>24</v>
          </cell>
          <cell r="L178">
            <v>25</v>
          </cell>
          <cell r="M178">
            <v>24</v>
          </cell>
          <cell r="N178">
            <v>25</v>
          </cell>
          <cell r="P178">
            <v>251</v>
          </cell>
        </row>
        <row r="179">
          <cell r="A179">
            <v>18.5</v>
          </cell>
          <cell r="B179">
            <v>27.5</v>
          </cell>
          <cell r="C179">
            <v>43</v>
          </cell>
          <cell r="D179">
            <v>17</v>
          </cell>
          <cell r="F179">
            <v>22</v>
          </cell>
          <cell r="G179">
            <v>19</v>
          </cell>
          <cell r="H179">
            <v>16</v>
          </cell>
          <cell r="I179">
            <v>19</v>
          </cell>
          <cell r="K179">
            <v>19</v>
          </cell>
          <cell r="L179">
            <v>21</v>
          </cell>
          <cell r="M179">
            <v>14</v>
          </cell>
          <cell r="N179">
            <v>18</v>
          </cell>
          <cell r="P179">
            <v>252</v>
          </cell>
        </row>
        <row r="180">
          <cell r="A180">
            <v>21.5</v>
          </cell>
          <cell r="B180">
            <v>49.5</v>
          </cell>
          <cell r="C180">
            <v>49</v>
          </cell>
          <cell r="D180">
            <v>22</v>
          </cell>
          <cell r="F180">
            <v>24.5</v>
          </cell>
          <cell r="G180">
            <v>23</v>
          </cell>
          <cell r="H180">
            <v>25</v>
          </cell>
          <cell r="I180">
            <v>22</v>
          </cell>
          <cell r="K180">
            <v>23</v>
          </cell>
          <cell r="L180">
            <v>25</v>
          </cell>
          <cell r="M180">
            <v>23</v>
          </cell>
          <cell r="N180">
            <v>23</v>
          </cell>
          <cell r="P180">
            <v>257</v>
          </cell>
        </row>
        <row r="181">
          <cell r="A181">
            <v>20.5</v>
          </cell>
          <cell r="B181">
            <v>37</v>
          </cell>
          <cell r="C181">
            <v>38</v>
          </cell>
          <cell r="D181">
            <v>14</v>
          </cell>
          <cell r="F181">
            <v>21</v>
          </cell>
          <cell r="G181">
            <v>21</v>
          </cell>
          <cell r="H181">
            <v>14</v>
          </cell>
          <cell r="I181">
            <v>18</v>
          </cell>
          <cell r="K181">
            <v>20</v>
          </cell>
          <cell r="L181">
            <v>19</v>
          </cell>
          <cell r="M181">
            <v>15</v>
          </cell>
          <cell r="N181">
            <v>9</v>
          </cell>
          <cell r="P181">
            <v>260</v>
          </cell>
        </row>
        <row r="182">
          <cell r="A182">
            <v>18.5</v>
          </cell>
          <cell r="B182">
            <v>46.5</v>
          </cell>
          <cell r="C182">
            <v>47</v>
          </cell>
          <cell r="D182">
            <v>21</v>
          </cell>
          <cell r="F182">
            <v>25</v>
          </cell>
          <cell r="G182">
            <v>21</v>
          </cell>
          <cell r="H182">
            <v>25</v>
          </cell>
          <cell r="I182">
            <v>20</v>
          </cell>
          <cell r="K182">
            <v>23</v>
          </cell>
          <cell r="L182">
            <v>23</v>
          </cell>
          <cell r="M182">
            <v>23</v>
          </cell>
          <cell r="N182">
            <v>25</v>
          </cell>
          <cell r="P182">
            <v>261</v>
          </cell>
        </row>
        <row r="183">
          <cell r="A183">
            <v>24</v>
          </cell>
          <cell r="B183">
            <v>46.5</v>
          </cell>
          <cell r="C183">
            <v>50</v>
          </cell>
          <cell r="D183">
            <v>18</v>
          </cell>
          <cell r="F183">
            <v>24.5</v>
          </cell>
          <cell r="G183">
            <v>22</v>
          </cell>
          <cell r="H183">
            <v>22</v>
          </cell>
          <cell r="I183">
            <v>21</v>
          </cell>
          <cell r="K183">
            <v>24</v>
          </cell>
          <cell r="L183">
            <v>25</v>
          </cell>
          <cell r="M183">
            <v>16</v>
          </cell>
          <cell r="N183">
            <v>25</v>
          </cell>
          <cell r="P183">
            <v>263</v>
          </cell>
        </row>
        <row r="184">
          <cell r="A184">
            <v>24</v>
          </cell>
          <cell r="B184">
            <v>45.5</v>
          </cell>
          <cell r="C184">
            <v>49</v>
          </cell>
          <cell r="D184">
            <v>22</v>
          </cell>
          <cell r="F184">
            <v>23.5</v>
          </cell>
          <cell r="G184">
            <v>21</v>
          </cell>
          <cell r="H184">
            <v>25</v>
          </cell>
          <cell r="I184">
            <v>19</v>
          </cell>
          <cell r="K184">
            <v>15</v>
          </cell>
          <cell r="L184">
            <v>25</v>
          </cell>
          <cell r="M184">
            <v>19</v>
          </cell>
          <cell r="N184">
            <v>19</v>
          </cell>
          <cell r="P184">
            <v>264</v>
          </cell>
        </row>
        <row r="185">
          <cell r="A185">
            <v>23</v>
          </cell>
          <cell r="B185">
            <v>47.5</v>
          </cell>
          <cell r="C185">
            <v>50</v>
          </cell>
          <cell r="D185">
            <v>20</v>
          </cell>
          <cell r="F185">
            <v>24</v>
          </cell>
          <cell r="G185">
            <v>23</v>
          </cell>
          <cell r="H185">
            <v>23</v>
          </cell>
          <cell r="I185">
            <v>22</v>
          </cell>
          <cell r="K185">
            <v>23</v>
          </cell>
          <cell r="L185">
            <v>25</v>
          </cell>
          <cell r="M185">
            <v>22</v>
          </cell>
          <cell r="N185">
            <v>22</v>
          </cell>
          <cell r="P185">
            <v>265</v>
          </cell>
        </row>
        <row r="186">
          <cell r="A186">
            <v>25</v>
          </cell>
          <cell r="B186">
            <v>47</v>
          </cell>
          <cell r="C186">
            <v>50</v>
          </cell>
          <cell r="D186">
            <v>21</v>
          </cell>
          <cell r="F186">
            <v>24.5</v>
          </cell>
          <cell r="G186">
            <v>21</v>
          </cell>
          <cell r="H186">
            <v>25</v>
          </cell>
          <cell r="I186">
            <v>21</v>
          </cell>
          <cell r="K186">
            <v>25</v>
          </cell>
          <cell r="L186">
            <v>25</v>
          </cell>
          <cell r="M186">
            <v>22</v>
          </cell>
          <cell r="N186">
            <v>25</v>
          </cell>
          <cell r="P186">
            <v>266</v>
          </cell>
        </row>
        <row r="187">
          <cell r="A187">
            <v>20</v>
          </cell>
          <cell r="B187">
            <v>40</v>
          </cell>
          <cell r="C187">
            <v>48</v>
          </cell>
          <cell r="D187">
            <v>20</v>
          </cell>
          <cell r="F187">
            <v>23</v>
          </cell>
          <cell r="G187">
            <v>20</v>
          </cell>
          <cell r="H187">
            <v>19</v>
          </cell>
          <cell r="I187">
            <v>18</v>
          </cell>
          <cell r="K187">
            <v>22</v>
          </cell>
          <cell r="L187">
            <v>21</v>
          </cell>
          <cell r="M187">
            <v>18</v>
          </cell>
          <cell r="N187">
            <v>16</v>
          </cell>
          <cell r="P187">
            <v>267</v>
          </cell>
        </row>
        <row r="188">
          <cell r="A188">
            <v>23</v>
          </cell>
          <cell r="B188">
            <v>43.5</v>
          </cell>
          <cell r="C188">
            <v>48</v>
          </cell>
          <cell r="D188">
            <v>19</v>
          </cell>
          <cell r="F188">
            <v>24</v>
          </cell>
          <cell r="G188">
            <v>22</v>
          </cell>
          <cell r="H188">
            <v>24</v>
          </cell>
          <cell r="I188">
            <v>19</v>
          </cell>
          <cell r="K188">
            <v>21</v>
          </cell>
          <cell r="L188">
            <v>23</v>
          </cell>
          <cell r="M188">
            <v>16</v>
          </cell>
          <cell r="N188">
            <v>24</v>
          </cell>
          <cell r="P188">
            <v>268</v>
          </cell>
        </row>
        <row r="189">
          <cell r="A189">
            <v>23</v>
          </cell>
          <cell r="B189">
            <v>37.5</v>
          </cell>
          <cell r="C189">
            <v>34</v>
          </cell>
          <cell r="D189">
            <v>17.5</v>
          </cell>
          <cell r="F189">
            <v>18</v>
          </cell>
          <cell r="G189">
            <v>21</v>
          </cell>
          <cell r="H189">
            <v>19</v>
          </cell>
          <cell r="I189">
            <v>18</v>
          </cell>
          <cell r="K189">
            <v>17</v>
          </cell>
          <cell r="L189">
            <v>22</v>
          </cell>
          <cell r="M189">
            <v>15</v>
          </cell>
          <cell r="N189">
            <v>18</v>
          </cell>
          <cell r="P189">
            <v>269</v>
          </cell>
        </row>
        <row r="190">
          <cell r="A190">
            <v>22</v>
          </cell>
          <cell r="B190">
            <v>46</v>
          </cell>
          <cell r="C190">
            <v>48</v>
          </cell>
          <cell r="D190">
            <v>21.5</v>
          </cell>
          <cell r="F190">
            <v>24</v>
          </cell>
          <cell r="G190">
            <v>22</v>
          </cell>
          <cell r="H190">
            <v>24</v>
          </cell>
          <cell r="I190">
            <v>18</v>
          </cell>
          <cell r="K190">
            <v>23</v>
          </cell>
          <cell r="L190">
            <v>24</v>
          </cell>
          <cell r="M190">
            <v>23</v>
          </cell>
          <cell r="N190">
            <v>21</v>
          </cell>
          <cell r="P190">
            <v>270</v>
          </cell>
        </row>
        <row r="191">
          <cell r="A191">
            <v>23</v>
          </cell>
          <cell r="B191">
            <v>46</v>
          </cell>
          <cell r="C191">
            <v>50</v>
          </cell>
          <cell r="D191">
            <v>21.5</v>
          </cell>
          <cell r="F191">
            <v>24.5</v>
          </cell>
          <cell r="G191">
            <v>23</v>
          </cell>
          <cell r="H191">
            <v>23</v>
          </cell>
          <cell r="I191">
            <v>20</v>
          </cell>
          <cell r="K191">
            <v>20</v>
          </cell>
          <cell r="L191">
            <v>25</v>
          </cell>
          <cell r="M191">
            <v>23</v>
          </cell>
          <cell r="N191">
            <v>22</v>
          </cell>
          <cell r="P191">
            <v>271</v>
          </cell>
        </row>
        <row r="192">
          <cell r="A192">
            <v>20</v>
          </cell>
          <cell r="B192">
            <v>46</v>
          </cell>
          <cell r="C192">
            <v>47</v>
          </cell>
          <cell r="D192">
            <v>20.5</v>
          </cell>
          <cell r="F192">
            <v>24</v>
          </cell>
          <cell r="G192">
            <v>22</v>
          </cell>
          <cell r="H192">
            <v>24</v>
          </cell>
          <cell r="I192">
            <v>17</v>
          </cell>
          <cell r="K192">
            <v>23</v>
          </cell>
          <cell r="L192">
            <v>25</v>
          </cell>
          <cell r="M192">
            <v>20</v>
          </cell>
          <cell r="N192">
            <v>22</v>
          </cell>
          <cell r="P192">
            <v>272</v>
          </cell>
        </row>
        <row r="193">
          <cell r="A193">
            <v>20</v>
          </cell>
          <cell r="B193">
            <v>37.5</v>
          </cell>
          <cell r="C193">
            <v>39</v>
          </cell>
          <cell r="D193">
            <v>16.5</v>
          </cell>
          <cell r="F193">
            <v>15</v>
          </cell>
          <cell r="G193">
            <v>20</v>
          </cell>
          <cell r="H193">
            <v>21</v>
          </cell>
          <cell r="I193">
            <v>12</v>
          </cell>
          <cell r="K193">
            <v>18</v>
          </cell>
          <cell r="L193">
            <v>19</v>
          </cell>
          <cell r="M193">
            <v>16</v>
          </cell>
          <cell r="N193">
            <v>19</v>
          </cell>
          <cell r="P193">
            <v>273</v>
          </cell>
        </row>
        <row r="194">
          <cell r="A194">
            <v>21</v>
          </cell>
          <cell r="B194">
            <v>42.5</v>
          </cell>
          <cell r="C194">
            <v>43</v>
          </cell>
          <cell r="D194">
            <v>21.5</v>
          </cell>
          <cell r="F194">
            <v>24</v>
          </cell>
          <cell r="G194">
            <v>22</v>
          </cell>
          <cell r="H194">
            <v>24</v>
          </cell>
          <cell r="I194">
            <v>22</v>
          </cell>
          <cell r="K194">
            <v>22</v>
          </cell>
          <cell r="L194">
            <v>25</v>
          </cell>
          <cell r="M194">
            <v>20</v>
          </cell>
          <cell r="N194">
            <v>21</v>
          </cell>
          <cell r="P194">
            <v>274</v>
          </cell>
        </row>
        <row r="195">
          <cell r="A195">
            <v>24</v>
          </cell>
          <cell r="B195">
            <v>49.5</v>
          </cell>
          <cell r="C195">
            <v>50</v>
          </cell>
          <cell r="D195">
            <v>23.5</v>
          </cell>
          <cell r="F195">
            <v>24.5</v>
          </cell>
          <cell r="G195">
            <v>23</v>
          </cell>
          <cell r="H195">
            <v>25</v>
          </cell>
          <cell r="I195">
            <v>23</v>
          </cell>
          <cell r="K195">
            <v>24</v>
          </cell>
          <cell r="L195">
            <v>25</v>
          </cell>
          <cell r="M195">
            <v>24</v>
          </cell>
          <cell r="N195">
            <v>25</v>
          </cell>
          <cell r="P195">
            <v>275</v>
          </cell>
        </row>
        <row r="196">
          <cell r="A196">
            <v>22</v>
          </cell>
          <cell r="B196">
            <v>46.5</v>
          </cell>
          <cell r="C196">
            <v>47</v>
          </cell>
          <cell r="D196">
            <v>17.5</v>
          </cell>
          <cell r="F196">
            <v>23</v>
          </cell>
          <cell r="G196">
            <v>22</v>
          </cell>
          <cell r="H196">
            <v>23</v>
          </cell>
          <cell r="I196">
            <v>18</v>
          </cell>
          <cell r="K196">
            <v>21</v>
          </cell>
          <cell r="L196">
            <v>24</v>
          </cell>
          <cell r="M196">
            <v>22</v>
          </cell>
          <cell r="N196">
            <v>20</v>
          </cell>
          <cell r="P196">
            <v>276</v>
          </cell>
        </row>
        <row r="197">
          <cell r="A197">
            <v>23</v>
          </cell>
          <cell r="B197">
            <v>44.5</v>
          </cell>
          <cell r="C197">
            <v>42</v>
          </cell>
          <cell r="D197">
            <v>20.5</v>
          </cell>
          <cell r="F197">
            <v>23.5</v>
          </cell>
          <cell r="G197">
            <v>23</v>
          </cell>
          <cell r="H197">
            <v>23</v>
          </cell>
          <cell r="I197">
            <v>18</v>
          </cell>
          <cell r="K197">
            <v>20</v>
          </cell>
          <cell r="L197">
            <v>25</v>
          </cell>
          <cell r="M197">
            <v>18</v>
          </cell>
          <cell r="N197">
            <v>23</v>
          </cell>
          <cell r="P197">
            <v>278</v>
          </cell>
        </row>
        <row r="198">
          <cell r="A198">
            <v>25</v>
          </cell>
          <cell r="B198">
            <v>48</v>
          </cell>
          <cell r="C198">
            <v>49</v>
          </cell>
          <cell r="D198">
            <v>22.5</v>
          </cell>
          <cell r="F198">
            <v>24.5</v>
          </cell>
          <cell r="G198">
            <v>22</v>
          </cell>
          <cell r="H198">
            <v>23</v>
          </cell>
          <cell r="I198">
            <v>20</v>
          </cell>
          <cell r="K198">
            <v>21</v>
          </cell>
          <cell r="L198">
            <v>24</v>
          </cell>
          <cell r="M198">
            <v>19</v>
          </cell>
          <cell r="N198">
            <v>25</v>
          </cell>
          <cell r="P198">
            <v>279</v>
          </cell>
        </row>
        <row r="199">
          <cell r="A199">
            <v>21</v>
          </cell>
          <cell r="B199">
            <v>48.5</v>
          </cell>
          <cell r="C199">
            <v>47</v>
          </cell>
          <cell r="D199">
            <v>23.5</v>
          </cell>
          <cell r="F199">
            <v>23.5</v>
          </cell>
          <cell r="G199">
            <v>22</v>
          </cell>
          <cell r="H199">
            <v>23</v>
          </cell>
          <cell r="I199">
            <v>19</v>
          </cell>
          <cell r="K199">
            <v>22</v>
          </cell>
          <cell r="L199">
            <v>24</v>
          </cell>
          <cell r="M199">
            <v>21</v>
          </cell>
          <cell r="N199">
            <v>22</v>
          </cell>
          <cell r="P199">
            <v>281</v>
          </cell>
        </row>
        <row r="200">
          <cell r="A200">
            <v>24</v>
          </cell>
          <cell r="B200">
            <v>46.5</v>
          </cell>
          <cell r="C200">
            <v>49</v>
          </cell>
          <cell r="D200">
            <v>19.5</v>
          </cell>
          <cell r="F200">
            <v>22.5</v>
          </cell>
          <cell r="G200">
            <v>23</v>
          </cell>
          <cell r="H200">
            <v>23</v>
          </cell>
          <cell r="I200">
            <v>16</v>
          </cell>
          <cell r="K200">
            <v>20</v>
          </cell>
          <cell r="L200">
            <v>25</v>
          </cell>
          <cell r="M200">
            <v>20</v>
          </cell>
          <cell r="N200">
            <v>20</v>
          </cell>
          <cell r="P200">
            <v>283</v>
          </cell>
        </row>
        <row r="201">
          <cell r="A201">
            <v>22</v>
          </cell>
          <cell r="B201">
            <v>19.5</v>
          </cell>
          <cell r="C201">
            <v>28</v>
          </cell>
          <cell r="D201">
            <v>15.5</v>
          </cell>
          <cell r="F201">
            <v>23</v>
          </cell>
          <cell r="G201">
            <v>22</v>
          </cell>
          <cell r="H201">
            <v>15</v>
          </cell>
          <cell r="I201">
            <v>13</v>
          </cell>
          <cell r="K201">
            <v>22</v>
          </cell>
          <cell r="L201">
            <v>22</v>
          </cell>
          <cell r="M201">
            <v>10</v>
          </cell>
          <cell r="N201">
            <v>16</v>
          </cell>
          <cell r="P201">
            <v>284</v>
          </cell>
        </row>
        <row r="202">
          <cell r="A202">
            <v>24</v>
          </cell>
          <cell r="B202">
            <v>45.5</v>
          </cell>
          <cell r="C202">
            <v>47</v>
          </cell>
          <cell r="D202">
            <v>20.5</v>
          </cell>
          <cell r="F202">
            <v>25</v>
          </cell>
          <cell r="G202">
            <v>22</v>
          </cell>
          <cell r="H202">
            <v>19</v>
          </cell>
          <cell r="I202">
            <v>18</v>
          </cell>
          <cell r="K202">
            <v>18</v>
          </cell>
          <cell r="L202">
            <v>22</v>
          </cell>
          <cell r="M202">
            <v>15</v>
          </cell>
          <cell r="N202">
            <v>22</v>
          </cell>
          <cell r="P202">
            <v>286</v>
          </cell>
        </row>
        <row r="203">
          <cell r="A203">
            <v>25</v>
          </cell>
          <cell r="B203">
            <v>47.5</v>
          </cell>
          <cell r="C203">
            <v>50</v>
          </cell>
          <cell r="D203">
            <v>18.5</v>
          </cell>
          <cell r="F203">
            <v>23.5</v>
          </cell>
          <cell r="G203">
            <v>23</v>
          </cell>
          <cell r="H203">
            <v>24</v>
          </cell>
          <cell r="I203">
            <v>17</v>
          </cell>
          <cell r="K203">
            <v>23</v>
          </cell>
          <cell r="L203">
            <v>23</v>
          </cell>
          <cell r="M203">
            <v>23</v>
          </cell>
          <cell r="N203">
            <v>23</v>
          </cell>
          <cell r="P203">
            <v>287</v>
          </cell>
        </row>
        <row r="204">
          <cell r="A204">
            <v>19.5</v>
          </cell>
          <cell r="B204">
            <v>41.5</v>
          </cell>
          <cell r="C204">
            <v>47</v>
          </cell>
          <cell r="D204">
            <v>16.5</v>
          </cell>
          <cell r="F204">
            <v>18</v>
          </cell>
          <cell r="G204">
            <v>22</v>
          </cell>
          <cell r="H204">
            <v>19</v>
          </cell>
          <cell r="I204">
            <v>19</v>
          </cell>
          <cell r="K204">
            <v>22</v>
          </cell>
          <cell r="L204">
            <v>23</v>
          </cell>
          <cell r="M204">
            <v>12</v>
          </cell>
          <cell r="N204">
            <v>16</v>
          </cell>
          <cell r="P204">
            <v>289</v>
          </cell>
        </row>
        <row r="205">
          <cell r="A205">
            <v>23</v>
          </cell>
          <cell r="B205">
            <v>48.5</v>
          </cell>
          <cell r="C205">
            <v>50</v>
          </cell>
          <cell r="D205">
            <v>19.5</v>
          </cell>
          <cell r="F205">
            <v>23</v>
          </cell>
          <cell r="G205">
            <v>23</v>
          </cell>
          <cell r="H205">
            <v>24</v>
          </cell>
          <cell r="I205">
            <v>20</v>
          </cell>
          <cell r="K205">
            <v>19</v>
          </cell>
          <cell r="L205">
            <v>24</v>
          </cell>
          <cell r="M205">
            <v>21</v>
          </cell>
          <cell r="N205">
            <v>20</v>
          </cell>
          <cell r="P205">
            <v>290</v>
          </cell>
        </row>
        <row r="206">
          <cell r="A206">
            <v>24</v>
          </cell>
          <cell r="B206">
            <v>48.5</v>
          </cell>
          <cell r="C206">
            <v>50</v>
          </cell>
          <cell r="D206">
            <v>20.5</v>
          </cell>
          <cell r="F206">
            <v>24</v>
          </cell>
          <cell r="G206">
            <v>24</v>
          </cell>
          <cell r="H206">
            <v>25</v>
          </cell>
          <cell r="I206">
            <v>21</v>
          </cell>
          <cell r="K206">
            <v>25</v>
          </cell>
          <cell r="L206">
            <v>25</v>
          </cell>
          <cell r="M206">
            <v>23</v>
          </cell>
          <cell r="N206">
            <v>24</v>
          </cell>
          <cell r="P206">
            <v>300</v>
          </cell>
        </row>
        <row r="207">
          <cell r="A207">
            <v>22</v>
          </cell>
          <cell r="B207">
            <v>44.5</v>
          </cell>
          <cell r="C207">
            <v>46</v>
          </cell>
          <cell r="D207">
            <v>18.5</v>
          </cell>
          <cell r="F207">
            <v>22</v>
          </cell>
          <cell r="G207">
            <v>24</v>
          </cell>
          <cell r="H207">
            <v>19</v>
          </cell>
          <cell r="I207">
            <v>19</v>
          </cell>
          <cell r="K207">
            <v>19</v>
          </cell>
          <cell r="L207">
            <v>25</v>
          </cell>
          <cell r="M207">
            <v>23</v>
          </cell>
          <cell r="N207">
            <v>21</v>
          </cell>
          <cell r="P207">
            <v>302</v>
          </cell>
        </row>
        <row r="208">
          <cell r="A208">
            <v>23</v>
          </cell>
          <cell r="B208">
            <v>46</v>
          </cell>
          <cell r="C208">
            <v>50</v>
          </cell>
          <cell r="D208">
            <v>21.5</v>
          </cell>
          <cell r="F208">
            <v>23</v>
          </cell>
          <cell r="G208">
            <v>22</v>
          </cell>
          <cell r="H208">
            <v>25</v>
          </cell>
          <cell r="I208">
            <v>24</v>
          </cell>
          <cell r="K208">
            <v>22</v>
          </cell>
          <cell r="L208">
            <v>23</v>
          </cell>
          <cell r="M208">
            <v>23</v>
          </cell>
          <cell r="N208">
            <v>21</v>
          </cell>
          <cell r="P208">
            <v>303</v>
          </cell>
        </row>
        <row r="209">
          <cell r="A209">
            <v>21</v>
          </cell>
          <cell r="B209">
            <v>44</v>
          </cell>
          <cell r="C209">
            <v>49</v>
          </cell>
          <cell r="D209">
            <v>22.5</v>
          </cell>
          <cell r="F209">
            <v>24</v>
          </cell>
          <cell r="G209">
            <v>25</v>
          </cell>
          <cell r="H209">
            <v>24</v>
          </cell>
          <cell r="I209">
            <v>20</v>
          </cell>
          <cell r="K209">
            <v>22</v>
          </cell>
          <cell r="L209">
            <v>25</v>
          </cell>
          <cell r="M209">
            <v>23</v>
          </cell>
          <cell r="N209">
            <v>23</v>
          </cell>
          <cell r="P209">
            <v>304</v>
          </cell>
        </row>
        <row r="210">
          <cell r="A210">
            <v>24</v>
          </cell>
          <cell r="B210">
            <v>48</v>
          </cell>
          <cell r="C210">
            <v>50</v>
          </cell>
          <cell r="D210">
            <v>20.5</v>
          </cell>
          <cell r="F210">
            <v>25</v>
          </cell>
          <cell r="G210">
            <v>23</v>
          </cell>
          <cell r="H210">
            <v>25</v>
          </cell>
          <cell r="I210">
            <v>22</v>
          </cell>
          <cell r="K210">
            <v>22</v>
          </cell>
          <cell r="L210">
            <v>24</v>
          </cell>
          <cell r="M210">
            <v>22</v>
          </cell>
          <cell r="N210">
            <v>24</v>
          </cell>
          <cell r="P210">
            <v>305</v>
          </cell>
        </row>
        <row r="211">
          <cell r="A211">
            <v>24</v>
          </cell>
          <cell r="B211">
            <v>48.5</v>
          </cell>
          <cell r="C211">
            <v>50</v>
          </cell>
          <cell r="D211">
            <v>21.5</v>
          </cell>
          <cell r="F211">
            <v>23</v>
          </cell>
          <cell r="G211">
            <v>23</v>
          </cell>
          <cell r="H211">
            <v>25</v>
          </cell>
          <cell r="I211">
            <v>20</v>
          </cell>
          <cell r="K211">
            <v>24</v>
          </cell>
          <cell r="L211">
            <v>25</v>
          </cell>
          <cell r="M211">
            <v>23</v>
          </cell>
          <cell r="N211">
            <v>25</v>
          </cell>
          <cell r="P211">
            <v>306</v>
          </cell>
        </row>
        <row r="212">
          <cell r="A212">
            <v>22</v>
          </cell>
          <cell r="B212">
            <v>45.5</v>
          </cell>
          <cell r="C212">
            <v>50</v>
          </cell>
          <cell r="D212">
            <v>22.5</v>
          </cell>
          <cell r="F212">
            <v>24</v>
          </cell>
          <cell r="G212">
            <v>24</v>
          </cell>
          <cell r="H212">
            <v>25</v>
          </cell>
          <cell r="I212">
            <v>23</v>
          </cell>
          <cell r="K212">
            <v>25</v>
          </cell>
          <cell r="L212">
            <v>25</v>
          </cell>
          <cell r="M212">
            <v>23</v>
          </cell>
          <cell r="N212">
            <v>23</v>
          </cell>
          <cell r="P212">
            <v>307</v>
          </cell>
        </row>
        <row r="213">
          <cell r="A213">
            <v>23</v>
          </cell>
          <cell r="B213">
            <v>48</v>
          </cell>
          <cell r="C213">
            <v>46</v>
          </cell>
          <cell r="D213">
            <v>20.5</v>
          </cell>
          <cell r="F213">
            <v>25</v>
          </cell>
          <cell r="G213">
            <v>24</v>
          </cell>
          <cell r="H213">
            <v>23</v>
          </cell>
          <cell r="I213">
            <v>23</v>
          </cell>
          <cell r="K213">
            <v>22</v>
          </cell>
          <cell r="L213">
            <v>23</v>
          </cell>
          <cell r="M213">
            <v>21</v>
          </cell>
          <cell r="N213">
            <v>25</v>
          </cell>
          <cell r="P213">
            <v>308</v>
          </cell>
        </row>
        <row r="214">
          <cell r="A214">
            <v>25</v>
          </cell>
          <cell r="B214">
            <v>47</v>
          </cell>
          <cell r="C214">
            <v>48</v>
          </cell>
          <cell r="D214">
            <v>20.5</v>
          </cell>
          <cell r="F214">
            <v>25</v>
          </cell>
          <cell r="G214">
            <v>23</v>
          </cell>
          <cell r="H214">
            <v>25</v>
          </cell>
          <cell r="I214">
            <v>22</v>
          </cell>
          <cell r="K214">
            <v>23</v>
          </cell>
          <cell r="L214">
            <v>25</v>
          </cell>
          <cell r="M214">
            <v>23</v>
          </cell>
          <cell r="N214">
            <v>21</v>
          </cell>
          <cell r="P214">
            <v>309</v>
          </cell>
        </row>
        <row r="215">
          <cell r="A215">
            <v>23</v>
          </cell>
          <cell r="B215">
            <v>43</v>
          </cell>
          <cell r="C215">
            <v>38</v>
          </cell>
          <cell r="D215">
            <v>19.5</v>
          </cell>
          <cell r="F215">
            <v>24</v>
          </cell>
          <cell r="G215">
            <v>24</v>
          </cell>
          <cell r="H215">
            <v>24</v>
          </cell>
          <cell r="I215">
            <v>22</v>
          </cell>
          <cell r="K215">
            <v>21</v>
          </cell>
          <cell r="L215">
            <v>22</v>
          </cell>
          <cell r="M215">
            <v>19</v>
          </cell>
          <cell r="N215">
            <v>21</v>
          </cell>
          <cell r="P215">
            <v>310</v>
          </cell>
        </row>
        <row r="216">
          <cell r="A216">
            <v>19</v>
          </cell>
          <cell r="B216">
            <v>43.5</v>
          </cell>
          <cell r="C216">
            <v>47</v>
          </cell>
          <cell r="D216">
            <v>22.5</v>
          </cell>
          <cell r="F216">
            <v>22</v>
          </cell>
          <cell r="G216">
            <v>22</v>
          </cell>
          <cell r="H216">
            <v>22</v>
          </cell>
          <cell r="I216">
            <v>19</v>
          </cell>
          <cell r="K216">
            <v>22</v>
          </cell>
          <cell r="L216">
            <v>24</v>
          </cell>
          <cell r="M216">
            <v>20</v>
          </cell>
          <cell r="N216">
            <v>23</v>
          </cell>
          <cell r="P216">
            <v>311</v>
          </cell>
        </row>
        <row r="217">
          <cell r="A217">
            <v>22</v>
          </cell>
          <cell r="B217">
            <v>39</v>
          </cell>
          <cell r="C217">
            <v>39</v>
          </cell>
          <cell r="D217">
            <v>17.5</v>
          </cell>
          <cell r="F217">
            <v>23</v>
          </cell>
          <cell r="G217">
            <v>23</v>
          </cell>
          <cell r="H217">
            <v>20</v>
          </cell>
          <cell r="I217">
            <v>17</v>
          </cell>
          <cell r="K217">
            <v>20</v>
          </cell>
          <cell r="L217">
            <v>25</v>
          </cell>
          <cell r="M217">
            <v>16</v>
          </cell>
          <cell r="N217">
            <v>18</v>
          </cell>
          <cell r="P217">
            <v>312</v>
          </cell>
        </row>
        <row r="218">
          <cell r="A218">
            <v>25</v>
          </cell>
          <cell r="B218">
            <v>48.5</v>
          </cell>
          <cell r="C218">
            <v>49</v>
          </cell>
          <cell r="D218">
            <v>21.5</v>
          </cell>
          <cell r="F218">
            <v>25</v>
          </cell>
          <cell r="G218">
            <v>24</v>
          </cell>
          <cell r="H218">
            <v>24</v>
          </cell>
          <cell r="I218">
            <v>23</v>
          </cell>
          <cell r="K218">
            <v>22</v>
          </cell>
          <cell r="L218">
            <v>24</v>
          </cell>
          <cell r="M218">
            <v>23</v>
          </cell>
          <cell r="N218">
            <v>21</v>
          </cell>
          <cell r="P218">
            <v>313</v>
          </cell>
        </row>
        <row r="219">
          <cell r="A219">
            <v>23</v>
          </cell>
          <cell r="B219">
            <v>47.5</v>
          </cell>
          <cell r="C219">
            <v>50</v>
          </cell>
          <cell r="D219">
            <v>22.5</v>
          </cell>
          <cell r="F219">
            <v>25</v>
          </cell>
          <cell r="G219">
            <v>23</v>
          </cell>
          <cell r="H219">
            <v>25</v>
          </cell>
          <cell r="I219">
            <v>23</v>
          </cell>
          <cell r="K219">
            <v>22</v>
          </cell>
          <cell r="L219">
            <v>25</v>
          </cell>
          <cell r="M219">
            <v>23</v>
          </cell>
          <cell r="N219">
            <v>23</v>
          </cell>
          <cell r="P219">
            <v>314</v>
          </cell>
        </row>
        <row r="220">
          <cell r="A220">
            <v>7</v>
          </cell>
          <cell r="B220">
            <v>44.5</v>
          </cell>
          <cell r="C220">
            <v>45</v>
          </cell>
          <cell r="D220">
            <v>20.5</v>
          </cell>
          <cell r="F220">
            <v>23</v>
          </cell>
          <cell r="G220">
            <v>23</v>
          </cell>
          <cell r="H220">
            <v>21</v>
          </cell>
          <cell r="I220">
            <v>19</v>
          </cell>
          <cell r="K220">
            <v>20</v>
          </cell>
          <cell r="L220">
            <v>23</v>
          </cell>
          <cell r="M220">
            <v>20</v>
          </cell>
          <cell r="N220">
            <v>22</v>
          </cell>
          <cell r="P220">
            <v>319</v>
          </cell>
        </row>
        <row r="221">
          <cell r="A221">
            <v>24</v>
          </cell>
          <cell r="B221">
            <v>49</v>
          </cell>
          <cell r="C221">
            <v>49</v>
          </cell>
          <cell r="D221">
            <v>20.5</v>
          </cell>
          <cell r="F221">
            <v>22</v>
          </cell>
          <cell r="G221">
            <v>24</v>
          </cell>
          <cell r="H221">
            <v>25</v>
          </cell>
          <cell r="I221">
            <v>21</v>
          </cell>
          <cell r="K221">
            <v>24</v>
          </cell>
          <cell r="L221">
            <v>25</v>
          </cell>
          <cell r="M221">
            <v>23</v>
          </cell>
          <cell r="N221">
            <v>23</v>
          </cell>
          <cell r="P221">
            <v>320</v>
          </cell>
        </row>
        <row r="222">
          <cell r="A222">
            <v>20</v>
          </cell>
          <cell r="B222">
            <v>45.5</v>
          </cell>
          <cell r="C222">
            <v>48</v>
          </cell>
          <cell r="D222">
            <v>20.5</v>
          </cell>
          <cell r="F222">
            <v>24</v>
          </cell>
          <cell r="G222">
            <v>25</v>
          </cell>
          <cell r="H222">
            <v>22</v>
          </cell>
          <cell r="I222">
            <v>16</v>
          </cell>
          <cell r="K222">
            <v>21</v>
          </cell>
          <cell r="L222">
            <v>22</v>
          </cell>
          <cell r="M222">
            <v>21</v>
          </cell>
          <cell r="N222">
            <v>18</v>
          </cell>
          <cell r="P222">
            <v>321</v>
          </cell>
        </row>
        <row r="223">
          <cell r="A223">
            <v>21</v>
          </cell>
          <cell r="B223">
            <v>47</v>
          </cell>
          <cell r="C223">
            <v>48</v>
          </cell>
          <cell r="D223">
            <v>22.5</v>
          </cell>
          <cell r="F223">
            <v>24</v>
          </cell>
          <cell r="G223">
            <v>23</v>
          </cell>
          <cell r="H223">
            <v>25</v>
          </cell>
          <cell r="I223">
            <v>22</v>
          </cell>
          <cell r="K223">
            <v>20</v>
          </cell>
          <cell r="L223">
            <v>25</v>
          </cell>
          <cell r="M223">
            <v>22</v>
          </cell>
          <cell r="N223">
            <v>19</v>
          </cell>
          <cell r="P223">
            <v>322</v>
          </cell>
        </row>
        <row r="224">
          <cell r="A224">
            <v>24</v>
          </cell>
          <cell r="B224">
            <v>49</v>
          </cell>
          <cell r="C224">
            <v>50</v>
          </cell>
          <cell r="D224">
            <v>23</v>
          </cell>
          <cell r="F224">
            <v>24</v>
          </cell>
          <cell r="G224">
            <v>23</v>
          </cell>
          <cell r="H224">
            <v>24</v>
          </cell>
          <cell r="I224">
            <v>22</v>
          </cell>
          <cell r="K224">
            <v>23</v>
          </cell>
          <cell r="L224">
            <v>25</v>
          </cell>
          <cell r="M224">
            <v>23</v>
          </cell>
          <cell r="N224">
            <v>25</v>
          </cell>
          <cell r="P224">
            <v>323</v>
          </cell>
        </row>
        <row r="225">
          <cell r="A225">
            <v>25</v>
          </cell>
          <cell r="B225">
            <v>48</v>
          </cell>
          <cell r="C225">
            <v>49</v>
          </cell>
          <cell r="D225">
            <v>21</v>
          </cell>
          <cell r="F225">
            <v>21</v>
          </cell>
          <cell r="G225">
            <v>24</v>
          </cell>
          <cell r="H225">
            <v>25</v>
          </cell>
          <cell r="I225">
            <v>22</v>
          </cell>
          <cell r="K225">
            <v>23</v>
          </cell>
          <cell r="L225">
            <v>23</v>
          </cell>
          <cell r="M225">
            <v>22</v>
          </cell>
          <cell r="N225">
            <v>23</v>
          </cell>
          <cell r="P225">
            <v>324</v>
          </cell>
        </row>
        <row r="226">
          <cell r="A226">
            <v>22</v>
          </cell>
          <cell r="B226">
            <v>34</v>
          </cell>
          <cell r="C226">
            <v>50</v>
          </cell>
          <cell r="D226">
            <v>18</v>
          </cell>
          <cell r="F226">
            <v>23</v>
          </cell>
          <cell r="G226">
            <v>21</v>
          </cell>
          <cell r="H226">
            <v>19</v>
          </cell>
          <cell r="I226">
            <v>18</v>
          </cell>
          <cell r="K226">
            <v>18</v>
          </cell>
          <cell r="L226">
            <v>23</v>
          </cell>
          <cell r="M226">
            <v>16</v>
          </cell>
          <cell r="N226">
            <v>18</v>
          </cell>
          <cell r="P226">
            <v>326</v>
          </cell>
        </row>
        <row r="227">
          <cell r="A227">
            <v>23</v>
          </cell>
          <cell r="B227">
            <v>46</v>
          </cell>
          <cell r="C227">
            <v>45</v>
          </cell>
          <cell r="D227">
            <v>18</v>
          </cell>
          <cell r="F227">
            <v>24</v>
          </cell>
          <cell r="G227">
            <v>21</v>
          </cell>
          <cell r="H227">
            <v>23</v>
          </cell>
          <cell r="I227">
            <v>19</v>
          </cell>
          <cell r="K227">
            <v>23</v>
          </cell>
          <cell r="L227">
            <v>23</v>
          </cell>
          <cell r="M227">
            <v>17</v>
          </cell>
          <cell r="N227">
            <v>19</v>
          </cell>
          <cell r="P227">
            <v>327</v>
          </cell>
        </row>
        <row r="228">
          <cell r="A228">
            <v>24</v>
          </cell>
          <cell r="B228">
            <v>49</v>
          </cell>
          <cell r="C228">
            <v>50</v>
          </cell>
          <cell r="D228">
            <v>21</v>
          </cell>
          <cell r="F228">
            <v>25</v>
          </cell>
          <cell r="G228">
            <v>25</v>
          </cell>
          <cell r="H228">
            <v>24</v>
          </cell>
          <cell r="I228">
            <v>20</v>
          </cell>
          <cell r="K228">
            <v>24</v>
          </cell>
          <cell r="L228">
            <v>25</v>
          </cell>
          <cell r="M228">
            <v>22</v>
          </cell>
          <cell r="N228">
            <v>21</v>
          </cell>
          <cell r="P228">
            <v>328</v>
          </cell>
        </row>
        <row r="229">
          <cell r="A229">
            <v>24</v>
          </cell>
          <cell r="B229">
            <v>46.5</v>
          </cell>
          <cell r="C229">
            <v>50</v>
          </cell>
          <cell r="D229">
            <v>21</v>
          </cell>
          <cell r="F229">
            <v>25</v>
          </cell>
          <cell r="G229">
            <v>23</v>
          </cell>
          <cell r="H229">
            <v>23</v>
          </cell>
          <cell r="I229">
            <v>19</v>
          </cell>
          <cell r="K229">
            <v>21</v>
          </cell>
          <cell r="L229">
            <v>24</v>
          </cell>
          <cell r="M229">
            <v>22</v>
          </cell>
          <cell r="N229">
            <v>24</v>
          </cell>
          <cell r="P229">
            <v>334</v>
          </cell>
        </row>
        <row r="230">
          <cell r="A230">
            <v>23</v>
          </cell>
          <cell r="B230">
            <v>44.5</v>
          </cell>
          <cell r="C230">
            <v>48</v>
          </cell>
          <cell r="D230">
            <v>21</v>
          </cell>
          <cell r="F230">
            <v>22</v>
          </cell>
          <cell r="G230">
            <v>22</v>
          </cell>
          <cell r="H230">
            <v>24</v>
          </cell>
          <cell r="I230">
            <v>16</v>
          </cell>
          <cell r="K230">
            <v>20</v>
          </cell>
          <cell r="L230">
            <v>25</v>
          </cell>
          <cell r="M230">
            <v>22</v>
          </cell>
          <cell r="N230">
            <v>20</v>
          </cell>
          <cell r="P230">
            <v>335</v>
          </cell>
        </row>
        <row r="231">
          <cell r="A231">
            <v>23</v>
          </cell>
          <cell r="B231">
            <v>47</v>
          </cell>
          <cell r="C231">
            <v>47</v>
          </cell>
          <cell r="D231">
            <v>21</v>
          </cell>
          <cell r="F231">
            <v>25</v>
          </cell>
          <cell r="G231">
            <v>23</v>
          </cell>
          <cell r="H231">
            <v>25</v>
          </cell>
          <cell r="I231">
            <v>22</v>
          </cell>
          <cell r="K231">
            <v>24</v>
          </cell>
          <cell r="L231">
            <v>25</v>
          </cell>
          <cell r="M231">
            <v>23</v>
          </cell>
          <cell r="N231">
            <v>24</v>
          </cell>
          <cell r="P231">
            <v>336</v>
          </cell>
        </row>
        <row r="232">
          <cell r="A232">
            <v>23</v>
          </cell>
          <cell r="B232">
            <v>42.5</v>
          </cell>
          <cell r="C232">
            <v>49</v>
          </cell>
          <cell r="D232">
            <v>22</v>
          </cell>
          <cell r="F232">
            <v>19</v>
          </cell>
          <cell r="G232">
            <v>25</v>
          </cell>
          <cell r="H232">
            <v>24</v>
          </cell>
          <cell r="I232">
            <v>18</v>
          </cell>
          <cell r="K232">
            <v>21</v>
          </cell>
          <cell r="L232">
            <v>24</v>
          </cell>
          <cell r="M232">
            <v>22</v>
          </cell>
          <cell r="N232">
            <v>25</v>
          </cell>
          <cell r="P232">
            <v>337</v>
          </cell>
        </row>
        <row r="233">
          <cell r="A233">
            <v>25</v>
          </cell>
          <cell r="B233">
            <v>49</v>
          </cell>
          <cell r="C233">
            <v>50</v>
          </cell>
          <cell r="D233">
            <v>23</v>
          </cell>
          <cell r="F233">
            <v>22</v>
          </cell>
          <cell r="G233">
            <v>23</v>
          </cell>
          <cell r="H233">
            <v>22</v>
          </cell>
          <cell r="I233">
            <v>23</v>
          </cell>
          <cell r="K233">
            <v>24</v>
          </cell>
          <cell r="L233">
            <v>25</v>
          </cell>
          <cell r="M233">
            <v>23</v>
          </cell>
          <cell r="N233">
            <v>23</v>
          </cell>
          <cell r="P233">
            <v>338</v>
          </cell>
        </row>
        <row r="234">
          <cell r="A234">
            <v>20</v>
          </cell>
          <cell r="B234">
            <v>32.5</v>
          </cell>
          <cell r="C234">
            <v>45</v>
          </cell>
          <cell r="D234">
            <v>18</v>
          </cell>
          <cell r="F234">
            <v>19</v>
          </cell>
          <cell r="G234">
            <v>21.5</v>
          </cell>
          <cell r="H234">
            <v>23</v>
          </cell>
          <cell r="I234">
            <v>14</v>
          </cell>
          <cell r="K234">
            <v>18</v>
          </cell>
          <cell r="L234">
            <v>20</v>
          </cell>
          <cell r="M234">
            <v>14</v>
          </cell>
          <cell r="N234">
            <v>20</v>
          </cell>
          <cell r="P234">
            <v>340</v>
          </cell>
        </row>
        <row r="235">
          <cell r="A235">
            <v>21</v>
          </cell>
          <cell r="B235">
            <v>37.5</v>
          </cell>
          <cell r="C235">
            <v>45</v>
          </cell>
          <cell r="D235">
            <v>20</v>
          </cell>
          <cell r="F235">
            <v>23</v>
          </cell>
          <cell r="G235">
            <v>23</v>
          </cell>
          <cell r="H235">
            <v>22</v>
          </cell>
          <cell r="I235">
            <v>19</v>
          </cell>
          <cell r="K235">
            <v>22</v>
          </cell>
          <cell r="L235">
            <v>25</v>
          </cell>
          <cell r="M235">
            <v>20</v>
          </cell>
          <cell r="N235">
            <v>16</v>
          </cell>
          <cell r="P235">
            <v>345</v>
          </cell>
        </row>
        <row r="236">
          <cell r="A236">
            <v>21</v>
          </cell>
          <cell r="B236">
            <v>43.5</v>
          </cell>
          <cell r="C236">
            <v>46</v>
          </cell>
          <cell r="D236">
            <v>22</v>
          </cell>
          <cell r="F236">
            <v>25</v>
          </cell>
          <cell r="G236">
            <v>24</v>
          </cell>
          <cell r="H236">
            <v>24</v>
          </cell>
          <cell r="I236">
            <v>19</v>
          </cell>
          <cell r="K236">
            <v>24</v>
          </cell>
          <cell r="L236">
            <v>22</v>
          </cell>
          <cell r="M236">
            <v>19</v>
          </cell>
          <cell r="N236">
            <v>22</v>
          </cell>
          <cell r="P236">
            <v>347</v>
          </cell>
        </row>
        <row r="237">
          <cell r="A237">
            <v>25</v>
          </cell>
          <cell r="B237">
            <v>47</v>
          </cell>
          <cell r="C237">
            <v>50</v>
          </cell>
          <cell r="D237">
            <v>24</v>
          </cell>
          <cell r="F237">
            <v>25</v>
          </cell>
          <cell r="G237">
            <v>25</v>
          </cell>
          <cell r="H237">
            <v>24</v>
          </cell>
          <cell r="I237">
            <v>24</v>
          </cell>
          <cell r="K237">
            <v>23</v>
          </cell>
          <cell r="L237">
            <v>24</v>
          </cell>
          <cell r="M237">
            <v>22</v>
          </cell>
          <cell r="N237">
            <v>25</v>
          </cell>
          <cell r="P237">
            <v>355</v>
          </cell>
        </row>
        <row r="238">
          <cell r="A238">
            <v>20</v>
          </cell>
          <cell r="B238">
            <v>44.5</v>
          </cell>
          <cell r="C238">
            <v>45</v>
          </cell>
          <cell r="D238">
            <v>17</v>
          </cell>
          <cell r="F238">
            <v>24</v>
          </cell>
          <cell r="G238">
            <v>24</v>
          </cell>
          <cell r="H238">
            <v>23</v>
          </cell>
          <cell r="I238">
            <v>17</v>
          </cell>
          <cell r="K238">
            <v>15</v>
          </cell>
          <cell r="L238">
            <v>25</v>
          </cell>
          <cell r="M238">
            <v>20</v>
          </cell>
          <cell r="N238">
            <v>25</v>
          </cell>
          <cell r="P238">
            <v>356</v>
          </cell>
        </row>
        <row r="239">
          <cell r="A239">
            <v>20</v>
          </cell>
          <cell r="B239">
            <v>36</v>
          </cell>
          <cell r="C239">
            <v>44</v>
          </cell>
          <cell r="D239">
            <v>20</v>
          </cell>
          <cell r="F239">
            <v>15</v>
          </cell>
          <cell r="G239">
            <v>21</v>
          </cell>
          <cell r="H239">
            <v>20</v>
          </cell>
          <cell r="I239">
            <v>14</v>
          </cell>
          <cell r="K239">
            <v>16</v>
          </cell>
          <cell r="L239">
            <v>20</v>
          </cell>
          <cell r="M239">
            <v>20</v>
          </cell>
          <cell r="N239">
            <v>13</v>
          </cell>
          <cell r="P239">
            <v>357</v>
          </cell>
        </row>
        <row r="240">
          <cell r="A240">
            <v>18</v>
          </cell>
          <cell r="B240">
            <v>32</v>
          </cell>
          <cell r="C240">
            <v>27</v>
          </cell>
          <cell r="D240">
            <v>20</v>
          </cell>
          <cell r="F240">
            <v>22</v>
          </cell>
          <cell r="G240">
            <v>21</v>
          </cell>
          <cell r="H240">
            <v>16</v>
          </cell>
          <cell r="I240">
            <v>16</v>
          </cell>
          <cell r="K240">
            <v>15</v>
          </cell>
          <cell r="L240">
            <v>21</v>
          </cell>
          <cell r="M240">
            <v>15</v>
          </cell>
          <cell r="N240">
            <v>17</v>
          </cell>
          <cell r="P240">
            <v>358</v>
          </cell>
        </row>
        <row r="241">
          <cell r="A241">
            <v>18</v>
          </cell>
          <cell r="B241">
            <v>42</v>
          </cell>
          <cell r="C241">
            <v>48</v>
          </cell>
          <cell r="D241">
            <v>22</v>
          </cell>
          <cell r="F241">
            <v>19</v>
          </cell>
          <cell r="G241">
            <v>24</v>
          </cell>
          <cell r="H241">
            <v>19</v>
          </cell>
          <cell r="I241">
            <v>19</v>
          </cell>
          <cell r="K241">
            <v>18</v>
          </cell>
          <cell r="L241">
            <v>23</v>
          </cell>
          <cell r="M241">
            <v>13</v>
          </cell>
          <cell r="N241">
            <v>24</v>
          </cell>
          <cell r="P241">
            <v>359</v>
          </cell>
        </row>
        <row r="242">
          <cell r="A242">
            <v>20.5</v>
          </cell>
          <cell r="B242">
            <v>38.5</v>
          </cell>
          <cell r="C242">
            <v>30</v>
          </cell>
          <cell r="D242">
            <v>20</v>
          </cell>
          <cell r="F242">
            <v>18</v>
          </cell>
          <cell r="G242">
            <v>23</v>
          </cell>
          <cell r="H242">
            <v>18</v>
          </cell>
          <cell r="I242">
            <v>18</v>
          </cell>
          <cell r="K242">
            <v>16</v>
          </cell>
          <cell r="L242">
            <v>23</v>
          </cell>
          <cell r="M242">
            <v>21</v>
          </cell>
          <cell r="N242">
            <v>18</v>
          </cell>
          <cell r="P242">
            <v>360</v>
          </cell>
        </row>
        <row r="243">
          <cell r="A243">
            <v>23</v>
          </cell>
          <cell r="B243">
            <v>46.5</v>
          </cell>
          <cell r="C243">
            <v>45</v>
          </cell>
          <cell r="D243">
            <v>20</v>
          </cell>
          <cell r="F243">
            <v>25</v>
          </cell>
          <cell r="G243">
            <v>24</v>
          </cell>
          <cell r="H243">
            <v>22</v>
          </cell>
          <cell r="I243">
            <v>21</v>
          </cell>
          <cell r="K243">
            <v>21</v>
          </cell>
          <cell r="L243">
            <v>23</v>
          </cell>
          <cell r="M243">
            <v>19</v>
          </cell>
          <cell r="N243">
            <v>21</v>
          </cell>
          <cell r="P243">
            <v>361</v>
          </cell>
        </row>
        <row r="244">
          <cell r="A244">
            <v>20</v>
          </cell>
          <cell r="B244">
            <v>36.5</v>
          </cell>
          <cell r="C244">
            <v>30</v>
          </cell>
          <cell r="D244">
            <v>10</v>
          </cell>
          <cell r="F244">
            <v>24</v>
          </cell>
          <cell r="G244">
            <v>22</v>
          </cell>
          <cell r="H244">
            <v>19</v>
          </cell>
          <cell r="I244">
            <v>11</v>
          </cell>
          <cell r="K244">
            <v>17</v>
          </cell>
          <cell r="L244">
            <v>23</v>
          </cell>
          <cell r="M244">
            <v>12</v>
          </cell>
          <cell r="N244">
            <v>10</v>
          </cell>
          <cell r="P244">
            <v>362</v>
          </cell>
        </row>
        <row r="245">
          <cell r="A245">
            <v>22</v>
          </cell>
          <cell r="B245">
            <v>48.5</v>
          </cell>
          <cell r="C245">
            <v>50</v>
          </cell>
          <cell r="D245">
            <v>24</v>
          </cell>
          <cell r="F245">
            <v>24.5</v>
          </cell>
          <cell r="G245">
            <v>24</v>
          </cell>
          <cell r="H245">
            <v>25</v>
          </cell>
          <cell r="I245">
            <v>22</v>
          </cell>
          <cell r="K245">
            <v>21</v>
          </cell>
          <cell r="L245">
            <v>25</v>
          </cell>
          <cell r="M245">
            <v>24</v>
          </cell>
          <cell r="N245">
            <v>22</v>
          </cell>
          <cell r="P245">
            <v>363</v>
          </cell>
        </row>
        <row r="246">
          <cell r="A246">
            <v>19</v>
          </cell>
          <cell r="B246">
            <v>27.5</v>
          </cell>
          <cell r="C246">
            <v>29</v>
          </cell>
          <cell r="D246">
            <v>19</v>
          </cell>
          <cell r="F246">
            <v>23.5</v>
          </cell>
          <cell r="G246">
            <v>22</v>
          </cell>
          <cell r="H246">
            <v>13</v>
          </cell>
          <cell r="I246">
            <v>16</v>
          </cell>
          <cell r="K246">
            <v>12</v>
          </cell>
          <cell r="L246">
            <v>17</v>
          </cell>
          <cell r="M246">
            <v>7</v>
          </cell>
          <cell r="N246">
            <v>13</v>
          </cell>
          <cell r="P246">
            <v>364</v>
          </cell>
        </row>
        <row r="247">
          <cell r="A247">
            <v>23</v>
          </cell>
          <cell r="B247">
            <v>48.5</v>
          </cell>
          <cell r="C247">
            <v>29</v>
          </cell>
          <cell r="D247">
            <v>21</v>
          </cell>
          <cell r="F247">
            <v>24</v>
          </cell>
          <cell r="G247">
            <v>24</v>
          </cell>
          <cell r="H247">
            <v>21</v>
          </cell>
          <cell r="I247">
            <v>19</v>
          </cell>
          <cell r="K247">
            <v>23</v>
          </cell>
          <cell r="L247">
            <v>25</v>
          </cell>
          <cell r="M247">
            <v>23</v>
          </cell>
          <cell r="N247">
            <v>22</v>
          </cell>
          <cell r="P247">
            <v>365</v>
          </cell>
        </row>
        <row r="248">
          <cell r="A248">
            <v>23</v>
          </cell>
          <cell r="B248">
            <v>42.5</v>
          </cell>
          <cell r="C248">
            <v>50</v>
          </cell>
          <cell r="D248">
            <v>21</v>
          </cell>
          <cell r="F248">
            <v>24.5</v>
          </cell>
          <cell r="G248">
            <v>24</v>
          </cell>
          <cell r="H248">
            <v>22</v>
          </cell>
          <cell r="I248">
            <v>19</v>
          </cell>
          <cell r="K248">
            <v>17</v>
          </cell>
          <cell r="L248">
            <v>24</v>
          </cell>
          <cell r="M248">
            <v>21</v>
          </cell>
          <cell r="N248">
            <v>19</v>
          </cell>
          <cell r="P248">
            <v>367</v>
          </cell>
        </row>
        <row r="249">
          <cell r="A249">
            <v>25</v>
          </cell>
          <cell r="B249">
            <v>49.5</v>
          </cell>
          <cell r="C249">
            <v>50</v>
          </cell>
          <cell r="D249">
            <v>24</v>
          </cell>
          <cell r="F249">
            <v>24.5</v>
          </cell>
          <cell r="G249">
            <v>24</v>
          </cell>
          <cell r="H249">
            <v>25</v>
          </cell>
          <cell r="I249">
            <v>22</v>
          </cell>
          <cell r="K249">
            <v>23</v>
          </cell>
          <cell r="L249">
            <v>24</v>
          </cell>
          <cell r="M249">
            <v>24</v>
          </cell>
          <cell r="N249">
            <v>23</v>
          </cell>
          <cell r="P249">
            <v>368</v>
          </cell>
        </row>
        <row r="250">
          <cell r="A250">
            <v>24</v>
          </cell>
          <cell r="B250">
            <v>47</v>
          </cell>
          <cell r="C250">
            <v>45</v>
          </cell>
          <cell r="D250">
            <v>20</v>
          </cell>
          <cell r="F250">
            <v>25</v>
          </cell>
          <cell r="G250">
            <v>22</v>
          </cell>
          <cell r="H250">
            <v>23</v>
          </cell>
          <cell r="I250">
            <v>17</v>
          </cell>
          <cell r="K250">
            <v>20</v>
          </cell>
          <cell r="L250">
            <v>24</v>
          </cell>
          <cell r="M250">
            <v>18</v>
          </cell>
          <cell r="N250">
            <v>23</v>
          </cell>
          <cell r="P250">
            <v>369</v>
          </cell>
        </row>
        <row r="251">
          <cell r="A251">
            <v>24</v>
          </cell>
          <cell r="B251">
            <v>41</v>
          </cell>
          <cell r="C251">
            <v>47</v>
          </cell>
          <cell r="D251">
            <v>22</v>
          </cell>
          <cell r="F251">
            <v>24</v>
          </cell>
          <cell r="G251">
            <v>22</v>
          </cell>
          <cell r="H251">
            <v>22</v>
          </cell>
          <cell r="I251">
            <v>17</v>
          </cell>
          <cell r="K251">
            <v>16</v>
          </cell>
          <cell r="L251">
            <v>23</v>
          </cell>
          <cell r="M251">
            <v>19</v>
          </cell>
          <cell r="N251">
            <v>18</v>
          </cell>
          <cell r="P251">
            <v>370</v>
          </cell>
        </row>
        <row r="252">
          <cell r="A252">
            <v>21</v>
          </cell>
          <cell r="B252">
            <v>44.5</v>
          </cell>
          <cell r="C252">
            <v>43</v>
          </cell>
          <cell r="D252">
            <v>20</v>
          </cell>
          <cell r="F252">
            <v>24</v>
          </cell>
          <cell r="G252">
            <v>22</v>
          </cell>
          <cell r="H252">
            <v>22</v>
          </cell>
          <cell r="I252">
            <v>15</v>
          </cell>
          <cell r="K252">
            <v>18</v>
          </cell>
          <cell r="L252">
            <v>23</v>
          </cell>
          <cell r="M252">
            <v>17</v>
          </cell>
          <cell r="N252">
            <v>18</v>
          </cell>
          <cell r="P252">
            <v>372</v>
          </cell>
        </row>
        <row r="253">
          <cell r="A253">
            <v>22.5</v>
          </cell>
          <cell r="B253">
            <v>44.5</v>
          </cell>
          <cell r="C253">
            <v>48</v>
          </cell>
          <cell r="D253">
            <v>21</v>
          </cell>
          <cell r="F253">
            <v>22</v>
          </cell>
          <cell r="G253">
            <v>23</v>
          </cell>
          <cell r="H253">
            <v>25</v>
          </cell>
          <cell r="I253">
            <v>20</v>
          </cell>
          <cell r="K253">
            <v>23</v>
          </cell>
          <cell r="L253">
            <v>24</v>
          </cell>
          <cell r="M253">
            <v>23</v>
          </cell>
          <cell r="N253">
            <v>21</v>
          </cell>
          <cell r="P253">
            <v>374</v>
          </cell>
        </row>
        <row r="254">
          <cell r="A254">
            <v>23</v>
          </cell>
          <cell r="B254">
            <v>44</v>
          </cell>
          <cell r="C254">
            <v>47</v>
          </cell>
          <cell r="D254">
            <v>22</v>
          </cell>
          <cell r="F254">
            <v>23.5</v>
          </cell>
          <cell r="G254">
            <v>23</v>
          </cell>
          <cell r="H254">
            <v>24</v>
          </cell>
          <cell r="I254">
            <v>21</v>
          </cell>
          <cell r="K254">
            <v>20</v>
          </cell>
          <cell r="L254">
            <v>25</v>
          </cell>
          <cell r="M254">
            <v>23</v>
          </cell>
          <cell r="N254">
            <v>24</v>
          </cell>
          <cell r="P254">
            <v>378</v>
          </cell>
        </row>
        <row r="255">
          <cell r="A255">
            <v>25</v>
          </cell>
          <cell r="B255">
            <v>46</v>
          </cell>
          <cell r="C255">
            <v>47</v>
          </cell>
          <cell r="D255">
            <v>22</v>
          </cell>
          <cell r="F255">
            <v>24</v>
          </cell>
          <cell r="G255">
            <v>24</v>
          </cell>
          <cell r="H255">
            <v>22</v>
          </cell>
          <cell r="I255">
            <v>19</v>
          </cell>
          <cell r="K255">
            <v>21</v>
          </cell>
          <cell r="L255">
            <v>24</v>
          </cell>
          <cell r="M255">
            <v>22</v>
          </cell>
          <cell r="N255">
            <v>22</v>
          </cell>
          <cell r="P255">
            <v>379</v>
          </cell>
        </row>
        <row r="256">
          <cell r="A256">
            <v>22</v>
          </cell>
          <cell r="B256">
            <v>45</v>
          </cell>
          <cell r="C256">
            <v>49</v>
          </cell>
          <cell r="D256">
            <v>21</v>
          </cell>
          <cell r="F256">
            <v>25</v>
          </cell>
          <cell r="G256">
            <v>25</v>
          </cell>
          <cell r="H256">
            <v>24</v>
          </cell>
          <cell r="I256">
            <v>19</v>
          </cell>
          <cell r="K256">
            <v>23</v>
          </cell>
          <cell r="L256">
            <v>25</v>
          </cell>
          <cell r="M256">
            <v>24</v>
          </cell>
          <cell r="N256">
            <v>24</v>
          </cell>
          <cell r="P256">
            <v>382</v>
          </cell>
        </row>
        <row r="257">
          <cell r="A257">
            <v>21</v>
          </cell>
          <cell r="B257">
            <v>37.5</v>
          </cell>
          <cell r="C257">
            <v>41</v>
          </cell>
          <cell r="D257">
            <v>17</v>
          </cell>
          <cell r="F257">
            <v>21.5</v>
          </cell>
          <cell r="G257">
            <v>19</v>
          </cell>
          <cell r="H257">
            <v>23</v>
          </cell>
          <cell r="I257">
            <v>16</v>
          </cell>
          <cell r="K257">
            <v>19</v>
          </cell>
          <cell r="L257">
            <v>21</v>
          </cell>
          <cell r="M257">
            <v>22</v>
          </cell>
          <cell r="N257">
            <v>22</v>
          </cell>
          <cell r="P257">
            <v>384</v>
          </cell>
        </row>
        <row r="258">
          <cell r="A258">
            <v>20</v>
          </cell>
          <cell r="B258">
            <v>43</v>
          </cell>
          <cell r="C258">
            <v>50</v>
          </cell>
          <cell r="D258">
            <v>19</v>
          </cell>
          <cell r="F258">
            <v>25</v>
          </cell>
          <cell r="G258">
            <v>24</v>
          </cell>
          <cell r="H258">
            <v>23</v>
          </cell>
          <cell r="I258">
            <v>17</v>
          </cell>
          <cell r="K258">
            <v>18</v>
          </cell>
          <cell r="L258">
            <v>25</v>
          </cell>
          <cell r="M258">
            <v>20</v>
          </cell>
          <cell r="N258">
            <v>19</v>
          </cell>
          <cell r="P258">
            <v>385</v>
          </cell>
        </row>
        <row r="259">
          <cell r="A259">
            <v>19</v>
          </cell>
          <cell r="B259">
            <v>33</v>
          </cell>
          <cell r="C259">
            <v>42</v>
          </cell>
          <cell r="D259">
            <v>20</v>
          </cell>
          <cell r="F259">
            <v>19.5</v>
          </cell>
          <cell r="G259">
            <v>23</v>
          </cell>
          <cell r="H259">
            <v>20</v>
          </cell>
          <cell r="I259">
            <v>17</v>
          </cell>
          <cell r="K259">
            <v>20</v>
          </cell>
          <cell r="L259">
            <v>20</v>
          </cell>
          <cell r="M259">
            <v>19</v>
          </cell>
          <cell r="N259">
            <v>17</v>
          </cell>
          <cell r="P259">
            <v>386</v>
          </cell>
        </row>
        <row r="260">
          <cell r="A260">
            <v>24</v>
          </cell>
          <cell r="B260">
            <v>49</v>
          </cell>
          <cell r="C260">
            <v>50</v>
          </cell>
          <cell r="D260">
            <v>23</v>
          </cell>
          <cell r="F260">
            <v>25</v>
          </cell>
          <cell r="G260">
            <v>24</v>
          </cell>
          <cell r="H260">
            <v>25</v>
          </cell>
          <cell r="I260">
            <v>22</v>
          </cell>
          <cell r="K260">
            <v>24</v>
          </cell>
          <cell r="L260">
            <v>25</v>
          </cell>
          <cell r="M260">
            <v>23</v>
          </cell>
          <cell r="N260">
            <v>23</v>
          </cell>
          <cell r="P260">
            <v>388</v>
          </cell>
        </row>
        <row r="261">
          <cell r="A261">
            <v>23</v>
          </cell>
          <cell r="B261">
            <v>46.5</v>
          </cell>
          <cell r="C261">
            <v>49</v>
          </cell>
          <cell r="D261">
            <v>22</v>
          </cell>
          <cell r="F261">
            <v>25</v>
          </cell>
          <cell r="G261">
            <v>24</v>
          </cell>
          <cell r="H261">
            <v>24</v>
          </cell>
          <cell r="I261">
            <v>24</v>
          </cell>
          <cell r="K261">
            <v>25</v>
          </cell>
          <cell r="L261">
            <v>25</v>
          </cell>
          <cell r="M261">
            <v>22</v>
          </cell>
          <cell r="N261">
            <v>24</v>
          </cell>
          <cell r="P261">
            <v>389</v>
          </cell>
        </row>
        <row r="262">
          <cell r="A262">
            <v>23</v>
          </cell>
          <cell r="B262">
            <v>48</v>
          </cell>
          <cell r="C262">
            <v>50</v>
          </cell>
          <cell r="D262">
            <v>22</v>
          </cell>
          <cell r="F262">
            <v>24.5</v>
          </cell>
          <cell r="G262">
            <v>23</v>
          </cell>
          <cell r="H262">
            <v>21</v>
          </cell>
          <cell r="I262">
            <v>21</v>
          </cell>
          <cell r="K262">
            <v>23</v>
          </cell>
          <cell r="L262">
            <v>25</v>
          </cell>
          <cell r="M262">
            <v>23</v>
          </cell>
          <cell r="N262">
            <v>23</v>
          </cell>
          <cell r="P262">
            <v>390</v>
          </cell>
        </row>
        <row r="263">
          <cell r="A263">
            <v>23</v>
          </cell>
          <cell r="B263">
            <v>43</v>
          </cell>
          <cell r="C263">
            <v>50</v>
          </cell>
          <cell r="D263">
            <v>14</v>
          </cell>
          <cell r="F263">
            <v>21.5</v>
          </cell>
          <cell r="G263">
            <v>20</v>
          </cell>
          <cell r="H263">
            <v>23</v>
          </cell>
          <cell r="I263">
            <v>18</v>
          </cell>
          <cell r="K263">
            <v>16</v>
          </cell>
          <cell r="L263">
            <v>18</v>
          </cell>
          <cell r="M263">
            <v>23</v>
          </cell>
          <cell r="N263">
            <v>13</v>
          </cell>
          <cell r="P263">
            <v>391</v>
          </cell>
        </row>
        <row r="264">
          <cell r="A264">
            <v>24</v>
          </cell>
          <cell r="B264">
            <v>44.5</v>
          </cell>
          <cell r="C264">
            <v>46</v>
          </cell>
          <cell r="D264">
            <v>18</v>
          </cell>
          <cell r="F264">
            <v>24.5</v>
          </cell>
          <cell r="G264">
            <v>24</v>
          </cell>
          <cell r="H264">
            <v>21</v>
          </cell>
          <cell r="I264">
            <v>20</v>
          </cell>
          <cell r="K264">
            <v>21</v>
          </cell>
          <cell r="L264">
            <v>24</v>
          </cell>
          <cell r="M264">
            <v>17</v>
          </cell>
          <cell r="N264">
            <v>21</v>
          </cell>
          <cell r="P264">
            <v>392</v>
          </cell>
        </row>
        <row r="265">
          <cell r="A265">
            <v>20</v>
          </cell>
          <cell r="B265">
            <v>46.5</v>
          </cell>
          <cell r="C265">
            <v>42</v>
          </cell>
          <cell r="D265">
            <v>23</v>
          </cell>
          <cell r="F265">
            <v>25</v>
          </cell>
          <cell r="G265">
            <v>24</v>
          </cell>
          <cell r="H265">
            <v>25</v>
          </cell>
          <cell r="I265">
            <v>17</v>
          </cell>
          <cell r="K265">
            <v>23</v>
          </cell>
          <cell r="L265">
            <v>24</v>
          </cell>
          <cell r="M265">
            <v>21</v>
          </cell>
          <cell r="N265">
            <v>22</v>
          </cell>
          <cell r="P265">
            <v>394</v>
          </cell>
        </row>
        <row r="266">
          <cell r="A266">
            <v>22</v>
          </cell>
          <cell r="B266">
            <v>42.5</v>
          </cell>
          <cell r="C266">
            <v>46</v>
          </cell>
          <cell r="D266">
            <v>18</v>
          </cell>
          <cell r="F266">
            <v>25</v>
          </cell>
          <cell r="G266">
            <v>24</v>
          </cell>
          <cell r="H266">
            <v>24</v>
          </cell>
          <cell r="I266">
            <v>20</v>
          </cell>
          <cell r="K266">
            <v>20</v>
          </cell>
          <cell r="L266">
            <v>24</v>
          </cell>
          <cell r="M266">
            <v>22</v>
          </cell>
          <cell r="N266">
            <v>24</v>
          </cell>
          <cell r="P266">
            <v>395</v>
          </cell>
        </row>
        <row r="267">
          <cell r="A267">
            <v>24</v>
          </cell>
          <cell r="B267">
            <v>47</v>
          </cell>
          <cell r="C267">
            <v>49</v>
          </cell>
          <cell r="D267">
            <v>22</v>
          </cell>
          <cell r="F267">
            <v>24</v>
          </cell>
          <cell r="G267">
            <v>24</v>
          </cell>
          <cell r="H267">
            <v>24</v>
          </cell>
          <cell r="I267">
            <v>19</v>
          </cell>
          <cell r="K267">
            <v>24</v>
          </cell>
          <cell r="L267">
            <v>24</v>
          </cell>
          <cell r="M267">
            <v>23</v>
          </cell>
          <cell r="N267">
            <v>24</v>
          </cell>
          <cell r="P267">
            <v>402</v>
          </cell>
        </row>
        <row r="268">
          <cell r="A268">
            <v>23</v>
          </cell>
          <cell r="B268">
            <v>48.5</v>
          </cell>
          <cell r="C268">
            <v>50</v>
          </cell>
          <cell r="D268">
            <v>21</v>
          </cell>
          <cell r="F268">
            <v>24</v>
          </cell>
          <cell r="G268">
            <v>22</v>
          </cell>
          <cell r="H268">
            <v>25</v>
          </cell>
          <cell r="I268">
            <v>23</v>
          </cell>
          <cell r="K268">
            <v>25</v>
          </cell>
          <cell r="L268">
            <v>25</v>
          </cell>
          <cell r="M268">
            <v>23</v>
          </cell>
          <cell r="N268">
            <v>25</v>
          </cell>
          <cell r="P268">
            <v>404</v>
          </cell>
        </row>
        <row r="269">
          <cell r="A269">
            <v>21</v>
          </cell>
          <cell r="B269">
            <v>43</v>
          </cell>
          <cell r="C269">
            <v>46</v>
          </cell>
          <cell r="D269">
            <v>22</v>
          </cell>
          <cell r="F269">
            <v>23</v>
          </cell>
          <cell r="G269">
            <v>24</v>
          </cell>
          <cell r="H269">
            <v>24</v>
          </cell>
          <cell r="I269">
            <v>23</v>
          </cell>
          <cell r="K269">
            <v>22</v>
          </cell>
          <cell r="L269">
            <v>24</v>
          </cell>
          <cell r="M269">
            <v>19</v>
          </cell>
          <cell r="N269">
            <v>24</v>
          </cell>
          <cell r="P269">
            <v>407</v>
          </cell>
        </row>
        <row r="270">
          <cell r="A270">
            <v>23</v>
          </cell>
          <cell r="B270">
            <v>44</v>
          </cell>
          <cell r="C270">
            <v>47</v>
          </cell>
          <cell r="D270">
            <v>21</v>
          </cell>
          <cell r="F270">
            <v>24</v>
          </cell>
          <cell r="G270">
            <v>23</v>
          </cell>
          <cell r="H270">
            <v>24</v>
          </cell>
          <cell r="I270">
            <v>20</v>
          </cell>
          <cell r="K270">
            <v>25</v>
          </cell>
          <cell r="L270">
            <v>25</v>
          </cell>
          <cell r="M270">
            <v>17</v>
          </cell>
          <cell r="N270">
            <v>23</v>
          </cell>
          <cell r="P270">
            <v>411</v>
          </cell>
        </row>
        <row r="271">
          <cell r="A271">
            <v>21</v>
          </cell>
          <cell r="B271">
            <v>46.5</v>
          </cell>
          <cell r="C271">
            <v>50</v>
          </cell>
          <cell r="D271">
            <v>23</v>
          </cell>
          <cell r="F271">
            <v>24.5</v>
          </cell>
          <cell r="G271">
            <v>23</v>
          </cell>
          <cell r="H271">
            <v>23</v>
          </cell>
          <cell r="I271">
            <v>22</v>
          </cell>
          <cell r="K271">
            <v>24</v>
          </cell>
          <cell r="L271">
            <v>25</v>
          </cell>
          <cell r="M271">
            <v>21</v>
          </cell>
          <cell r="N271">
            <v>23</v>
          </cell>
          <cell r="P271">
            <v>412</v>
          </cell>
        </row>
        <row r="272">
          <cell r="A272">
            <v>24</v>
          </cell>
          <cell r="B272">
            <v>46.5</v>
          </cell>
          <cell r="C272">
            <v>48</v>
          </cell>
          <cell r="D272">
            <v>23</v>
          </cell>
          <cell r="F272">
            <v>24.5</v>
          </cell>
          <cell r="G272">
            <v>22</v>
          </cell>
          <cell r="H272">
            <v>24</v>
          </cell>
          <cell r="I272">
            <v>21</v>
          </cell>
          <cell r="K272">
            <v>23</v>
          </cell>
          <cell r="L272">
            <v>25</v>
          </cell>
          <cell r="M272">
            <v>19</v>
          </cell>
          <cell r="N272">
            <v>24</v>
          </cell>
          <cell r="P272">
            <v>416</v>
          </cell>
        </row>
        <row r="273">
          <cell r="A273">
            <v>24</v>
          </cell>
          <cell r="B273">
            <v>38.5</v>
          </cell>
          <cell r="C273">
            <v>46</v>
          </cell>
          <cell r="D273">
            <v>22</v>
          </cell>
          <cell r="F273">
            <v>21</v>
          </cell>
          <cell r="G273">
            <v>22</v>
          </cell>
          <cell r="H273">
            <v>20</v>
          </cell>
          <cell r="I273">
            <v>17</v>
          </cell>
          <cell r="K273">
            <v>19</v>
          </cell>
          <cell r="L273">
            <v>25</v>
          </cell>
          <cell r="M273">
            <v>18</v>
          </cell>
          <cell r="N273">
            <v>23</v>
          </cell>
          <cell r="P273">
            <v>417</v>
          </cell>
        </row>
        <row r="274">
          <cell r="A274">
            <v>21</v>
          </cell>
          <cell r="B274">
            <v>44.5</v>
          </cell>
          <cell r="C274">
            <v>41</v>
          </cell>
          <cell r="D274">
            <v>18</v>
          </cell>
          <cell r="F274">
            <v>9</v>
          </cell>
          <cell r="G274">
            <v>25</v>
          </cell>
          <cell r="H274">
            <v>21</v>
          </cell>
          <cell r="I274">
            <v>18</v>
          </cell>
          <cell r="K274">
            <v>23</v>
          </cell>
          <cell r="L274">
            <v>25</v>
          </cell>
          <cell r="M274">
            <v>22</v>
          </cell>
          <cell r="N274">
            <v>20</v>
          </cell>
          <cell r="P274">
            <v>418</v>
          </cell>
        </row>
        <row r="275">
          <cell r="A275">
            <v>25</v>
          </cell>
          <cell r="B275">
            <v>49</v>
          </cell>
          <cell r="C275">
            <v>49</v>
          </cell>
          <cell r="D275">
            <v>20</v>
          </cell>
          <cell r="F275">
            <v>23.5</v>
          </cell>
          <cell r="G275">
            <v>23</v>
          </cell>
          <cell r="H275">
            <v>25</v>
          </cell>
          <cell r="I275">
            <v>23</v>
          </cell>
          <cell r="K275">
            <v>24</v>
          </cell>
          <cell r="L275">
            <v>22</v>
          </cell>
          <cell r="M275">
            <v>23</v>
          </cell>
          <cell r="N275">
            <v>25</v>
          </cell>
          <cell r="P275">
            <v>425</v>
          </cell>
        </row>
        <row r="276">
          <cell r="A276">
            <v>20</v>
          </cell>
          <cell r="B276">
            <v>45</v>
          </cell>
          <cell r="C276">
            <v>48</v>
          </cell>
          <cell r="D276">
            <v>18</v>
          </cell>
          <cell r="F276">
            <v>23</v>
          </cell>
          <cell r="G276">
            <v>23</v>
          </cell>
          <cell r="H276">
            <v>20</v>
          </cell>
          <cell r="I276">
            <v>17</v>
          </cell>
          <cell r="K276">
            <v>22</v>
          </cell>
          <cell r="L276">
            <v>25</v>
          </cell>
          <cell r="M276">
            <v>20</v>
          </cell>
          <cell r="N276">
            <v>14</v>
          </cell>
          <cell r="P276">
            <v>427</v>
          </cell>
        </row>
        <row r="277">
          <cell r="A277">
            <v>24</v>
          </cell>
          <cell r="B277">
            <v>48.5</v>
          </cell>
          <cell r="C277">
            <v>49</v>
          </cell>
          <cell r="D277">
            <v>21</v>
          </cell>
          <cell r="F277">
            <v>23.5</v>
          </cell>
          <cell r="G277">
            <v>24</v>
          </cell>
          <cell r="H277">
            <v>25</v>
          </cell>
          <cell r="I277">
            <v>22</v>
          </cell>
          <cell r="K277">
            <v>22</v>
          </cell>
          <cell r="L277">
            <v>25</v>
          </cell>
          <cell r="M277">
            <v>23</v>
          </cell>
          <cell r="N277">
            <v>22</v>
          </cell>
          <cell r="P277">
            <v>428</v>
          </cell>
        </row>
        <row r="278">
          <cell r="A278">
            <v>20</v>
          </cell>
          <cell r="B278">
            <v>40.5</v>
          </cell>
          <cell r="C278">
            <v>46</v>
          </cell>
          <cell r="D278">
            <v>22</v>
          </cell>
          <cell r="F278">
            <v>23.5</v>
          </cell>
          <cell r="G278">
            <v>22</v>
          </cell>
          <cell r="H278">
            <v>21</v>
          </cell>
          <cell r="I278">
            <v>17</v>
          </cell>
          <cell r="K278">
            <v>20</v>
          </cell>
          <cell r="L278">
            <v>23</v>
          </cell>
          <cell r="M278">
            <v>19</v>
          </cell>
          <cell r="N278">
            <v>25</v>
          </cell>
          <cell r="P278">
            <v>436</v>
          </cell>
        </row>
        <row r="279">
          <cell r="A279">
            <v>21</v>
          </cell>
          <cell r="B279">
            <v>39.5</v>
          </cell>
          <cell r="C279">
            <v>37</v>
          </cell>
          <cell r="D279">
            <v>13</v>
          </cell>
          <cell r="F279">
            <v>23.5</v>
          </cell>
          <cell r="G279">
            <v>22</v>
          </cell>
          <cell r="H279">
            <v>22</v>
          </cell>
          <cell r="I279">
            <v>17</v>
          </cell>
          <cell r="K279">
            <v>22</v>
          </cell>
          <cell r="L279">
            <v>24</v>
          </cell>
          <cell r="M279">
            <v>22</v>
          </cell>
          <cell r="N279">
            <v>25</v>
          </cell>
          <cell r="P279">
            <v>437</v>
          </cell>
        </row>
        <row r="280">
          <cell r="A280">
            <v>20</v>
          </cell>
          <cell r="B280">
            <v>35.5</v>
          </cell>
          <cell r="C280">
            <v>37</v>
          </cell>
          <cell r="D280">
            <v>17</v>
          </cell>
          <cell r="F280">
            <v>20.5</v>
          </cell>
          <cell r="G280">
            <v>20</v>
          </cell>
          <cell r="H280">
            <v>17</v>
          </cell>
          <cell r="I280">
            <v>19</v>
          </cell>
          <cell r="K280">
            <v>17</v>
          </cell>
          <cell r="L280">
            <v>25</v>
          </cell>
          <cell r="M280">
            <v>19</v>
          </cell>
          <cell r="N280">
            <v>18</v>
          </cell>
          <cell r="P280">
            <v>438</v>
          </cell>
        </row>
        <row r="281">
          <cell r="A281">
            <v>21</v>
          </cell>
          <cell r="B281">
            <v>40.5</v>
          </cell>
          <cell r="C281">
            <v>42</v>
          </cell>
          <cell r="D281">
            <v>21</v>
          </cell>
          <cell r="F281">
            <v>23.5</v>
          </cell>
          <cell r="G281">
            <v>21</v>
          </cell>
          <cell r="H281">
            <v>19</v>
          </cell>
          <cell r="I281">
            <v>20</v>
          </cell>
          <cell r="K281">
            <v>24</v>
          </cell>
          <cell r="L281">
            <v>24</v>
          </cell>
          <cell r="M281">
            <v>23</v>
          </cell>
          <cell r="N281">
            <v>24</v>
          </cell>
          <cell r="P281">
            <v>441</v>
          </cell>
        </row>
        <row r="282">
          <cell r="A282">
            <v>24</v>
          </cell>
          <cell r="B282">
            <v>48.5</v>
          </cell>
          <cell r="C282">
            <v>50</v>
          </cell>
          <cell r="D282">
            <v>21</v>
          </cell>
          <cell r="F282">
            <v>24.5</v>
          </cell>
          <cell r="G282">
            <v>24</v>
          </cell>
          <cell r="H282">
            <v>24</v>
          </cell>
          <cell r="I282">
            <v>24</v>
          </cell>
          <cell r="K282">
            <v>25</v>
          </cell>
          <cell r="L282">
            <v>23</v>
          </cell>
          <cell r="M282">
            <v>24</v>
          </cell>
          <cell r="N282">
            <v>24</v>
          </cell>
          <cell r="P282">
            <v>449</v>
          </cell>
        </row>
        <row r="283">
          <cell r="A283">
            <v>23</v>
          </cell>
          <cell r="B283">
            <v>43</v>
          </cell>
          <cell r="C283">
            <v>41</v>
          </cell>
          <cell r="D283">
            <v>17</v>
          </cell>
          <cell r="F283">
            <v>24.5</v>
          </cell>
          <cell r="G283">
            <v>22</v>
          </cell>
          <cell r="H283">
            <v>23</v>
          </cell>
          <cell r="I283">
            <v>19</v>
          </cell>
          <cell r="K283">
            <v>22</v>
          </cell>
          <cell r="L283">
            <v>25</v>
          </cell>
          <cell r="M283">
            <v>18</v>
          </cell>
          <cell r="N283">
            <v>19</v>
          </cell>
          <cell r="P283">
            <v>450</v>
          </cell>
        </row>
        <row r="284">
          <cell r="A284">
            <v>25</v>
          </cell>
          <cell r="B284">
            <v>48</v>
          </cell>
          <cell r="C284">
            <v>50</v>
          </cell>
          <cell r="D284">
            <v>22</v>
          </cell>
          <cell r="F284">
            <v>25</v>
          </cell>
          <cell r="G284">
            <v>23</v>
          </cell>
          <cell r="H284">
            <v>25</v>
          </cell>
          <cell r="I284">
            <v>22</v>
          </cell>
          <cell r="K284">
            <v>25</v>
          </cell>
          <cell r="L284">
            <v>25</v>
          </cell>
          <cell r="M284">
            <v>23</v>
          </cell>
          <cell r="N284">
            <v>24</v>
          </cell>
          <cell r="P284">
            <v>451</v>
          </cell>
        </row>
        <row r="285">
          <cell r="A285">
            <v>22</v>
          </cell>
          <cell r="B285">
            <v>43.5</v>
          </cell>
          <cell r="C285">
            <v>47</v>
          </cell>
          <cell r="D285">
            <v>21</v>
          </cell>
          <cell r="F285">
            <v>24</v>
          </cell>
          <cell r="G285">
            <v>23</v>
          </cell>
          <cell r="H285">
            <v>23</v>
          </cell>
          <cell r="I285">
            <v>19</v>
          </cell>
          <cell r="K285">
            <v>13</v>
          </cell>
          <cell r="L285">
            <v>25</v>
          </cell>
          <cell r="M285">
            <v>21</v>
          </cell>
          <cell r="N285">
            <v>22</v>
          </cell>
          <cell r="P285">
            <v>454</v>
          </cell>
        </row>
        <row r="286">
          <cell r="A286">
            <v>25</v>
          </cell>
          <cell r="B286">
            <v>49.5</v>
          </cell>
          <cell r="C286">
            <v>50</v>
          </cell>
          <cell r="D286">
            <v>20</v>
          </cell>
          <cell r="F286">
            <v>25</v>
          </cell>
          <cell r="G286">
            <v>24</v>
          </cell>
          <cell r="H286">
            <v>24</v>
          </cell>
          <cell r="I286">
            <v>21</v>
          </cell>
          <cell r="K286">
            <v>22</v>
          </cell>
          <cell r="L286">
            <v>24</v>
          </cell>
          <cell r="M286">
            <v>23</v>
          </cell>
          <cell r="N286">
            <v>25</v>
          </cell>
          <cell r="P286">
            <v>455</v>
          </cell>
        </row>
        <row r="287">
          <cell r="A287">
            <v>21</v>
          </cell>
          <cell r="B287">
            <v>48</v>
          </cell>
          <cell r="C287">
            <v>45</v>
          </cell>
          <cell r="D287">
            <v>21</v>
          </cell>
          <cell r="F287">
            <v>24</v>
          </cell>
          <cell r="G287">
            <v>25</v>
          </cell>
          <cell r="H287">
            <v>23</v>
          </cell>
          <cell r="I287">
            <v>18</v>
          </cell>
          <cell r="K287">
            <v>22</v>
          </cell>
          <cell r="L287">
            <v>23</v>
          </cell>
          <cell r="M287">
            <v>21</v>
          </cell>
          <cell r="N287">
            <v>20</v>
          </cell>
          <cell r="P287">
            <v>457</v>
          </cell>
        </row>
        <row r="288">
          <cell r="A288">
            <v>24</v>
          </cell>
          <cell r="B288">
            <v>48</v>
          </cell>
          <cell r="C288">
            <v>49</v>
          </cell>
          <cell r="D288">
            <v>21</v>
          </cell>
          <cell r="F288">
            <v>25</v>
          </cell>
          <cell r="G288">
            <v>24</v>
          </cell>
          <cell r="H288">
            <v>25</v>
          </cell>
          <cell r="I288">
            <v>22</v>
          </cell>
          <cell r="K288">
            <v>24</v>
          </cell>
          <cell r="L288">
            <v>25</v>
          </cell>
          <cell r="M288">
            <v>24</v>
          </cell>
          <cell r="N288">
            <v>23</v>
          </cell>
          <cell r="P288">
            <v>458</v>
          </cell>
        </row>
        <row r="289">
          <cell r="A289">
            <v>24</v>
          </cell>
          <cell r="B289">
            <v>47.5</v>
          </cell>
          <cell r="C289">
            <v>50</v>
          </cell>
          <cell r="D289">
            <v>22</v>
          </cell>
          <cell r="F289">
            <v>24</v>
          </cell>
          <cell r="G289">
            <v>23</v>
          </cell>
          <cell r="H289">
            <v>23</v>
          </cell>
          <cell r="I289">
            <v>23</v>
          </cell>
          <cell r="K289">
            <v>23</v>
          </cell>
          <cell r="L289">
            <v>24</v>
          </cell>
          <cell r="M289">
            <v>24</v>
          </cell>
          <cell r="N289">
            <v>24</v>
          </cell>
          <cell r="P289">
            <v>460</v>
          </cell>
        </row>
        <row r="290">
          <cell r="A290">
            <v>25</v>
          </cell>
          <cell r="B290">
            <v>48.5</v>
          </cell>
          <cell r="C290">
            <v>50</v>
          </cell>
          <cell r="D290">
            <v>22</v>
          </cell>
          <cell r="F290">
            <v>25</v>
          </cell>
          <cell r="G290">
            <v>23</v>
          </cell>
          <cell r="H290">
            <v>25</v>
          </cell>
          <cell r="I290">
            <v>20</v>
          </cell>
          <cell r="K290">
            <v>21</v>
          </cell>
          <cell r="L290">
            <v>25</v>
          </cell>
          <cell r="M290">
            <v>22</v>
          </cell>
          <cell r="N290">
            <v>25</v>
          </cell>
          <cell r="P290">
            <v>461</v>
          </cell>
        </row>
        <row r="291">
          <cell r="A291">
            <v>23</v>
          </cell>
          <cell r="B291">
            <v>45.5</v>
          </cell>
          <cell r="C291">
            <v>49</v>
          </cell>
          <cell r="D291">
            <v>20</v>
          </cell>
          <cell r="F291">
            <v>25</v>
          </cell>
          <cell r="G291">
            <v>23.5</v>
          </cell>
          <cell r="H291">
            <v>24</v>
          </cell>
          <cell r="I291">
            <v>22</v>
          </cell>
          <cell r="K291">
            <v>23</v>
          </cell>
          <cell r="L291">
            <v>25</v>
          </cell>
          <cell r="M291">
            <v>24</v>
          </cell>
          <cell r="N291">
            <v>24</v>
          </cell>
          <cell r="P291">
            <v>462</v>
          </cell>
        </row>
        <row r="292">
          <cell r="A292">
            <v>22</v>
          </cell>
          <cell r="B292">
            <v>39</v>
          </cell>
          <cell r="C292">
            <v>47</v>
          </cell>
          <cell r="D292">
            <v>21</v>
          </cell>
          <cell r="F292">
            <v>23</v>
          </cell>
          <cell r="G292">
            <v>23</v>
          </cell>
          <cell r="H292">
            <v>20</v>
          </cell>
          <cell r="I292">
            <v>16</v>
          </cell>
          <cell r="K292">
            <v>20</v>
          </cell>
          <cell r="L292">
            <v>24</v>
          </cell>
          <cell r="M292">
            <v>17</v>
          </cell>
          <cell r="N292">
            <v>24</v>
          </cell>
          <cell r="P292">
            <v>463</v>
          </cell>
        </row>
        <row r="293">
          <cell r="A293">
            <v>21</v>
          </cell>
          <cell r="B293">
            <v>44.5</v>
          </cell>
          <cell r="C293">
            <v>48</v>
          </cell>
          <cell r="D293">
            <v>20</v>
          </cell>
          <cell r="F293">
            <v>21</v>
          </cell>
          <cell r="G293">
            <v>24</v>
          </cell>
          <cell r="H293">
            <v>18</v>
          </cell>
          <cell r="I293">
            <v>19</v>
          </cell>
          <cell r="K293">
            <v>22</v>
          </cell>
          <cell r="L293">
            <v>25</v>
          </cell>
          <cell r="M293">
            <v>17</v>
          </cell>
          <cell r="N293">
            <v>25</v>
          </cell>
          <cell r="P293">
            <v>469</v>
          </cell>
        </row>
        <row r="294">
          <cell r="A294">
            <v>21</v>
          </cell>
          <cell r="B294">
            <v>38.5</v>
          </cell>
          <cell r="C294">
            <v>44</v>
          </cell>
          <cell r="D294">
            <v>17</v>
          </cell>
          <cell r="F294">
            <v>22</v>
          </cell>
          <cell r="G294">
            <v>23</v>
          </cell>
          <cell r="H294">
            <v>19</v>
          </cell>
          <cell r="I294">
            <v>17</v>
          </cell>
          <cell r="K294">
            <v>18</v>
          </cell>
          <cell r="L294">
            <v>21</v>
          </cell>
          <cell r="M294">
            <v>16</v>
          </cell>
          <cell r="N294">
            <v>16</v>
          </cell>
          <cell r="P294">
            <v>471</v>
          </cell>
        </row>
        <row r="295">
          <cell r="A295">
            <v>23</v>
          </cell>
          <cell r="B295">
            <v>47</v>
          </cell>
          <cell r="C295">
            <v>47</v>
          </cell>
          <cell r="D295">
            <v>20</v>
          </cell>
          <cell r="F295">
            <v>23</v>
          </cell>
          <cell r="G295">
            <v>24</v>
          </cell>
          <cell r="H295">
            <v>20</v>
          </cell>
          <cell r="I295">
            <v>20</v>
          </cell>
          <cell r="K295">
            <v>18</v>
          </cell>
          <cell r="L295">
            <v>24</v>
          </cell>
          <cell r="M295">
            <v>17</v>
          </cell>
          <cell r="N295">
            <v>20</v>
          </cell>
          <cell r="P295">
            <v>473</v>
          </cell>
        </row>
        <row r="296">
          <cell r="A296">
            <v>25</v>
          </cell>
          <cell r="B296">
            <v>50</v>
          </cell>
          <cell r="C296">
            <v>50</v>
          </cell>
          <cell r="D296">
            <v>22</v>
          </cell>
          <cell r="F296">
            <v>25</v>
          </cell>
          <cell r="G296">
            <v>24</v>
          </cell>
          <cell r="H296">
            <v>25</v>
          </cell>
          <cell r="I296">
            <v>23</v>
          </cell>
          <cell r="K296">
            <v>24</v>
          </cell>
          <cell r="L296">
            <v>25</v>
          </cell>
          <cell r="M296">
            <v>23</v>
          </cell>
          <cell r="N296">
            <v>22</v>
          </cell>
          <cell r="P296">
            <v>474</v>
          </cell>
        </row>
        <row r="297">
          <cell r="A297">
            <v>23</v>
          </cell>
          <cell r="B297">
            <v>45</v>
          </cell>
          <cell r="C297">
            <v>50</v>
          </cell>
          <cell r="D297">
            <v>21</v>
          </cell>
          <cell r="F297">
            <v>25</v>
          </cell>
          <cell r="G297">
            <v>23</v>
          </cell>
          <cell r="H297">
            <v>25</v>
          </cell>
          <cell r="I297">
            <v>21</v>
          </cell>
          <cell r="K297">
            <v>23</v>
          </cell>
          <cell r="L297">
            <v>25</v>
          </cell>
          <cell r="M297">
            <v>23</v>
          </cell>
          <cell r="N297">
            <v>25</v>
          </cell>
          <cell r="P297">
            <v>477</v>
          </cell>
        </row>
        <row r="298">
          <cell r="A298">
            <v>24</v>
          </cell>
          <cell r="B298">
            <v>48.5</v>
          </cell>
          <cell r="C298">
            <v>47</v>
          </cell>
          <cell r="D298">
            <v>20</v>
          </cell>
          <cell r="F298">
            <v>23</v>
          </cell>
          <cell r="G298">
            <v>22</v>
          </cell>
          <cell r="H298">
            <v>22</v>
          </cell>
          <cell r="I298">
            <v>19</v>
          </cell>
          <cell r="K298">
            <v>24</v>
          </cell>
          <cell r="L298">
            <v>25</v>
          </cell>
          <cell r="M298">
            <v>21</v>
          </cell>
          <cell r="N298">
            <v>23</v>
          </cell>
          <cell r="P298">
            <v>478</v>
          </cell>
        </row>
        <row r="299">
          <cell r="A299">
            <v>25</v>
          </cell>
          <cell r="B299">
            <v>47.5</v>
          </cell>
          <cell r="C299">
            <v>50</v>
          </cell>
          <cell r="D299">
            <v>22</v>
          </cell>
          <cell r="F299">
            <v>25</v>
          </cell>
          <cell r="G299">
            <v>24</v>
          </cell>
          <cell r="H299">
            <v>25</v>
          </cell>
          <cell r="I299">
            <v>23</v>
          </cell>
          <cell r="K299">
            <v>23</v>
          </cell>
          <cell r="L299">
            <v>25</v>
          </cell>
          <cell r="M299">
            <v>24</v>
          </cell>
          <cell r="N299">
            <v>23</v>
          </cell>
          <cell r="P299">
            <v>479</v>
          </cell>
        </row>
        <row r="300">
          <cell r="A300">
            <v>23</v>
          </cell>
          <cell r="B300">
            <v>47.5</v>
          </cell>
          <cell r="C300">
            <v>50</v>
          </cell>
          <cell r="D300">
            <v>23</v>
          </cell>
          <cell r="F300">
            <v>25</v>
          </cell>
          <cell r="G300">
            <v>25</v>
          </cell>
          <cell r="H300">
            <v>25</v>
          </cell>
          <cell r="I300">
            <v>21</v>
          </cell>
          <cell r="K300">
            <v>24</v>
          </cell>
          <cell r="L300">
            <v>25</v>
          </cell>
          <cell r="M300">
            <v>23</v>
          </cell>
          <cell r="N300">
            <v>22</v>
          </cell>
          <cell r="P300">
            <v>481</v>
          </cell>
        </row>
        <row r="301">
          <cell r="A301">
            <v>23</v>
          </cell>
          <cell r="B301">
            <v>47</v>
          </cell>
          <cell r="C301">
            <v>47</v>
          </cell>
          <cell r="D301">
            <v>19</v>
          </cell>
          <cell r="F301">
            <v>24</v>
          </cell>
          <cell r="G301">
            <v>23</v>
          </cell>
          <cell r="H301">
            <v>24</v>
          </cell>
          <cell r="I301">
            <v>21</v>
          </cell>
          <cell r="K301">
            <v>23</v>
          </cell>
          <cell r="L301">
            <v>25</v>
          </cell>
          <cell r="M301">
            <v>23</v>
          </cell>
          <cell r="N301">
            <v>25</v>
          </cell>
          <cell r="P301">
            <v>483</v>
          </cell>
        </row>
        <row r="302">
          <cell r="A302">
            <v>23</v>
          </cell>
          <cell r="B302">
            <v>47</v>
          </cell>
          <cell r="C302">
            <v>49</v>
          </cell>
          <cell r="D302">
            <v>23</v>
          </cell>
          <cell r="F302">
            <v>25</v>
          </cell>
          <cell r="G302">
            <v>24</v>
          </cell>
          <cell r="H302">
            <v>24</v>
          </cell>
          <cell r="I302">
            <v>22</v>
          </cell>
          <cell r="K302">
            <v>23</v>
          </cell>
          <cell r="L302">
            <v>25</v>
          </cell>
          <cell r="M302">
            <v>24</v>
          </cell>
          <cell r="N302">
            <v>24</v>
          </cell>
          <cell r="P302">
            <v>484</v>
          </cell>
        </row>
        <row r="303">
          <cell r="A303">
            <v>24</v>
          </cell>
          <cell r="B303">
            <v>48.5</v>
          </cell>
          <cell r="C303">
            <v>50</v>
          </cell>
          <cell r="D303">
            <v>23</v>
          </cell>
          <cell r="F303">
            <v>25</v>
          </cell>
          <cell r="G303">
            <v>24</v>
          </cell>
          <cell r="H303">
            <v>23</v>
          </cell>
          <cell r="I303">
            <v>23</v>
          </cell>
          <cell r="K303">
            <v>23</v>
          </cell>
          <cell r="L303">
            <v>24</v>
          </cell>
          <cell r="M303">
            <v>23</v>
          </cell>
          <cell r="N303">
            <v>25</v>
          </cell>
          <cell r="P303">
            <v>486</v>
          </cell>
        </row>
        <row r="304">
          <cell r="A304">
            <v>23</v>
          </cell>
          <cell r="B304">
            <v>34.5</v>
          </cell>
          <cell r="C304">
            <v>47</v>
          </cell>
          <cell r="D304">
            <v>19</v>
          </cell>
          <cell r="F304">
            <v>23</v>
          </cell>
          <cell r="G304">
            <v>24</v>
          </cell>
          <cell r="H304">
            <v>21</v>
          </cell>
          <cell r="I304">
            <v>21</v>
          </cell>
          <cell r="K304">
            <v>23</v>
          </cell>
          <cell r="L304">
            <v>22</v>
          </cell>
          <cell r="M304">
            <v>21</v>
          </cell>
          <cell r="N304">
            <v>21</v>
          </cell>
          <cell r="P304">
            <v>487</v>
          </cell>
        </row>
        <row r="305">
          <cell r="A305">
            <v>23</v>
          </cell>
          <cell r="B305">
            <v>45</v>
          </cell>
          <cell r="C305">
            <v>48</v>
          </cell>
          <cell r="D305">
            <v>21</v>
          </cell>
          <cell r="F305">
            <v>23</v>
          </cell>
          <cell r="G305">
            <v>25</v>
          </cell>
          <cell r="H305">
            <v>24</v>
          </cell>
          <cell r="I305">
            <v>22</v>
          </cell>
          <cell r="K305">
            <v>22</v>
          </cell>
          <cell r="L305">
            <v>24</v>
          </cell>
          <cell r="M305">
            <v>23</v>
          </cell>
          <cell r="N305">
            <v>23</v>
          </cell>
          <cell r="P305">
            <v>488</v>
          </cell>
        </row>
        <row r="306">
          <cell r="A306">
            <v>22</v>
          </cell>
          <cell r="B306">
            <v>44</v>
          </cell>
          <cell r="C306">
            <v>49</v>
          </cell>
          <cell r="D306">
            <v>23</v>
          </cell>
          <cell r="F306">
            <v>24</v>
          </cell>
          <cell r="G306">
            <v>23</v>
          </cell>
          <cell r="H306">
            <v>22</v>
          </cell>
          <cell r="I306">
            <v>15</v>
          </cell>
          <cell r="K306">
            <v>20</v>
          </cell>
          <cell r="L306">
            <v>24</v>
          </cell>
          <cell r="M306">
            <v>23</v>
          </cell>
          <cell r="N306">
            <v>23</v>
          </cell>
          <cell r="P306">
            <v>490</v>
          </cell>
        </row>
        <row r="307">
          <cell r="A307">
            <v>24</v>
          </cell>
          <cell r="B307">
            <v>47</v>
          </cell>
          <cell r="C307">
            <v>49</v>
          </cell>
          <cell r="D307">
            <v>21</v>
          </cell>
          <cell r="F307">
            <v>25</v>
          </cell>
          <cell r="G307">
            <v>24</v>
          </cell>
          <cell r="H307">
            <v>22</v>
          </cell>
          <cell r="I307">
            <v>22</v>
          </cell>
          <cell r="K307">
            <v>23</v>
          </cell>
          <cell r="L307">
            <v>24</v>
          </cell>
          <cell r="M307">
            <v>24</v>
          </cell>
          <cell r="N307">
            <v>25</v>
          </cell>
          <cell r="P307">
            <v>491</v>
          </cell>
        </row>
        <row r="308">
          <cell r="A308">
            <v>23</v>
          </cell>
          <cell r="B308">
            <v>34</v>
          </cell>
          <cell r="C308">
            <v>47</v>
          </cell>
          <cell r="D308">
            <v>14</v>
          </cell>
          <cell r="F308">
            <v>25</v>
          </cell>
          <cell r="G308">
            <v>19.5</v>
          </cell>
          <cell r="H308">
            <v>19</v>
          </cell>
          <cell r="I308">
            <v>19</v>
          </cell>
          <cell r="K308">
            <v>23</v>
          </cell>
          <cell r="L308">
            <v>22</v>
          </cell>
          <cell r="M308">
            <v>19</v>
          </cell>
          <cell r="N308">
            <v>17</v>
          </cell>
          <cell r="P308">
            <v>495</v>
          </cell>
        </row>
        <row r="309">
          <cell r="A309">
            <v>24</v>
          </cell>
          <cell r="B309">
            <v>48.5</v>
          </cell>
          <cell r="C309">
            <v>50</v>
          </cell>
          <cell r="D309">
            <v>23</v>
          </cell>
          <cell r="F309">
            <v>25</v>
          </cell>
          <cell r="G309">
            <v>23.5</v>
          </cell>
          <cell r="H309">
            <v>25</v>
          </cell>
          <cell r="I309">
            <v>23</v>
          </cell>
          <cell r="K309">
            <v>23</v>
          </cell>
          <cell r="L309">
            <v>25</v>
          </cell>
          <cell r="M309">
            <v>23</v>
          </cell>
          <cell r="N309">
            <v>24</v>
          </cell>
          <cell r="P309">
            <v>496</v>
          </cell>
        </row>
        <row r="310">
          <cell r="A310">
            <v>25</v>
          </cell>
          <cell r="B310">
            <v>45.5</v>
          </cell>
          <cell r="C310">
            <v>48</v>
          </cell>
          <cell r="D310">
            <v>19</v>
          </cell>
          <cell r="F310">
            <v>24</v>
          </cell>
          <cell r="G310">
            <v>20.5</v>
          </cell>
          <cell r="H310">
            <v>20</v>
          </cell>
          <cell r="I310">
            <v>16</v>
          </cell>
          <cell r="K310">
            <v>21</v>
          </cell>
          <cell r="L310">
            <v>24</v>
          </cell>
          <cell r="M310">
            <v>21</v>
          </cell>
          <cell r="N310">
            <v>22</v>
          </cell>
          <cell r="P310">
            <v>498</v>
          </cell>
        </row>
        <row r="311">
          <cell r="A311">
            <v>25</v>
          </cell>
          <cell r="B311">
            <v>47.5</v>
          </cell>
          <cell r="C311">
            <v>47</v>
          </cell>
          <cell r="D311">
            <v>21</v>
          </cell>
          <cell r="F311">
            <v>25</v>
          </cell>
          <cell r="G311">
            <v>24</v>
          </cell>
          <cell r="H311">
            <v>23</v>
          </cell>
          <cell r="I311">
            <v>21</v>
          </cell>
          <cell r="K311">
            <v>22</v>
          </cell>
          <cell r="L311">
            <v>25</v>
          </cell>
          <cell r="M311">
            <v>22</v>
          </cell>
          <cell r="N311">
            <v>23</v>
          </cell>
          <cell r="P311">
            <v>499</v>
          </cell>
        </row>
        <row r="312">
          <cell r="A312">
            <v>24</v>
          </cell>
          <cell r="B312">
            <v>47</v>
          </cell>
          <cell r="C312">
            <v>50</v>
          </cell>
          <cell r="D312">
            <v>21</v>
          </cell>
          <cell r="F312">
            <v>23</v>
          </cell>
          <cell r="G312">
            <v>22</v>
          </cell>
          <cell r="H312">
            <v>22</v>
          </cell>
          <cell r="I312">
            <v>23</v>
          </cell>
          <cell r="K312">
            <v>22</v>
          </cell>
          <cell r="L312">
            <v>24</v>
          </cell>
          <cell r="M312">
            <v>22</v>
          </cell>
          <cell r="N312">
            <v>25</v>
          </cell>
          <cell r="P312">
            <v>500</v>
          </cell>
        </row>
        <row r="313">
          <cell r="A313">
            <v>23</v>
          </cell>
          <cell r="B313">
            <v>44.5</v>
          </cell>
          <cell r="C313">
            <v>50</v>
          </cell>
          <cell r="D313">
            <v>20</v>
          </cell>
          <cell r="F313">
            <v>24</v>
          </cell>
          <cell r="G313">
            <v>23</v>
          </cell>
          <cell r="H313">
            <v>24</v>
          </cell>
          <cell r="I313">
            <v>19</v>
          </cell>
          <cell r="K313">
            <v>22</v>
          </cell>
          <cell r="L313">
            <v>23</v>
          </cell>
          <cell r="M313">
            <v>23</v>
          </cell>
          <cell r="N313">
            <v>24</v>
          </cell>
          <cell r="P313">
            <v>501</v>
          </cell>
        </row>
        <row r="314">
          <cell r="A314">
            <v>21</v>
          </cell>
          <cell r="B314">
            <v>40</v>
          </cell>
          <cell r="C314">
            <v>47</v>
          </cell>
          <cell r="D314">
            <v>23</v>
          </cell>
          <cell r="F314">
            <v>23</v>
          </cell>
          <cell r="G314">
            <v>24</v>
          </cell>
          <cell r="H314">
            <v>23</v>
          </cell>
          <cell r="I314">
            <v>22</v>
          </cell>
          <cell r="K314">
            <v>21</v>
          </cell>
          <cell r="L314">
            <v>23</v>
          </cell>
          <cell r="M314">
            <v>22</v>
          </cell>
          <cell r="N314">
            <v>15</v>
          </cell>
          <cell r="P314">
            <v>502</v>
          </cell>
        </row>
        <row r="315">
          <cell r="A315">
            <v>25</v>
          </cell>
          <cell r="B315">
            <v>44</v>
          </cell>
          <cell r="C315">
            <v>47</v>
          </cell>
          <cell r="D315">
            <v>21</v>
          </cell>
          <cell r="F315">
            <v>24</v>
          </cell>
          <cell r="G315">
            <v>25</v>
          </cell>
          <cell r="H315">
            <v>21</v>
          </cell>
          <cell r="I315">
            <v>23</v>
          </cell>
          <cell r="K315">
            <v>23</v>
          </cell>
          <cell r="L315">
            <v>25</v>
          </cell>
          <cell r="M315">
            <v>18</v>
          </cell>
          <cell r="N315">
            <v>23</v>
          </cell>
          <cell r="P315">
            <v>503</v>
          </cell>
        </row>
        <row r="316">
          <cell r="A316">
            <v>23</v>
          </cell>
          <cell r="B316">
            <v>42</v>
          </cell>
          <cell r="C316">
            <v>48</v>
          </cell>
          <cell r="D316">
            <v>21</v>
          </cell>
          <cell r="F316">
            <v>23</v>
          </cell>
          <cell r="G316">
            <v>24</v>
          </cell>
          <cell r="H316">
            <v>21</v>
          </cell>
          <cell r="I316">
            <v>20</v>
          </cell>
          <cell r="K316">
            <v>21</v>
          </cell>
          <cell r="L316">
            <v>24</v>
          </cell>
          <cell r="M316">
            <v>20</v>
          </cell>
          <cell r="N316">
            <v>23</v>
          </cell>
          <cell r="P316">
            <v>506</v>
          </cell>
        </row>
        <row r="317">
          <cell r="A317">
            <v>25</v>
          </cell>
          <cell r="B317">
            <v>46</v>
          </cell>
          <cell r="C317">
            <v>50</v>
          </cell>
          <cell r="D317">
            <v>22</v>
          </cell>
          <cell r="F317">
            <v>25</v>
          </cell>
          <cell r="G317">
            <v>24</v>
          </cell>
          <cell r="H317">
            <v>21</v>
          </cell>
          <cell r="I317">
            <v>22</v>
          </cell>
          <cell r="K317">
            <v>24</v>
          </cell>
          <cell r="L317">
            <v>24</v>
          </cell>
          <cell r="M317">
            <v>22</v>
          </cell>
          <cell r="N317">
            <v>24</v>
          </cell>
          <cell r="P317">
            <v>509</v>
          </cell>
        </row>
        <row r="318">
          <cell r="A318">
            <v>22</v>
          </cell>
          <cell r="B318">
            <v>40</v>
          </cell>
          <cell r="C318">
            <v>46</v>
          </cell>
          <cell r="D318">
            <v>21</v>
          </cell>
          <cell r="F318">
            <v>23</v>
          </cell>
          <cell r="G318">
            <v>23</v>
          </cell>
          <cell r="H318">
            <v>23</v>
          </cell>
          <cell r="I318">
            <v>19</v>
          </cell>
          <cell r="K318">
            <v>18</v>
          </cell>
          <cell r="L318">
            <v>23</v>
          </cell>
          <cell r="M318">
            <v>21</v>
          </cell>
          <cell r="N318">
            <v>19</v>
          </cell>
          <cell r="P318">
            <v>510</v>
          </cell>
        </row>
        <row r="319">
          <cell r="A319">
            <v>22</v>
          </cell>
          <cell r="B319">
            <v>41.5</v>
          </cell>
          <cell r="C319">
            <v>48</v>
          </cell>
          <cell r="D319">
            <v>20</v>
          </cell>
          <cell r="F319">
            <v>25</v>
          </cell>
          <cell r="G319">
            <v>23</v>
          </cell>
          <cell r="H319">
            <v>24</v>
          </cell>
          <cell r="I319">
            <v>22</v>
          </cell>
          <cell r="K319">
            <v>21</v>
          </cell>
          <cell r="L319">
            <v>24</v>
          </cell>
          <cell r="M319">
            <v>21</v>
          </cell>
          <cell r="N319">
            <v>21</v>
          </cell>
          <cell r="P319">
            <v>511</v>
          </cell>
        </row>
        <row r="320">
          <cell r="A320">
            <v>24</v>
          </cell>
          <cell r="B320">
            <v>46</v>
          </cell>
          <cell r="C320">
            <v>44</v>
          </cell>
          <cell r="D320">
            <v>22</v>
          </cell>
          <cell r="F320">
            <v>23</v>
          </cell>
          <cell r="G320">
            <v>22</v>
          </cell>
          <cell r="H320">
            <v>24</v>
          </cell>
          <cell r="I320">
            <v>20</v>
          </cell>
          <cell r="K320">
            <v>21</v>
          </cell>
          <cell r="L320">
            <v>25</v>
          </cell>
          <cell r="M320">
            <v>22</v>
          </cell>
          <cell r="N320">
            <v>20</v>
          </cell>
          <cell r="P320">
            <v>512</v>
          </cell>
        </row>
        <row r="321">
          <cell r="A321">
            <v>23</v>
          </cell>
          <cell r="B321">
            <v>45.5</v>
          </cell>
          <cell r="C321">
            <v>49</v>
          </cell>
          <cell r="D321">
            <v>21</v>
          </cell>
          <cell r="F321">
            <v>25</v>
          </cell>
          <cell r="G321">
            <v>23</v>
          </cell>
          <cell r="H321">
            <v>22</v>
          </cell>
          <cell r="I321">
            <v>21</v>
          </cell>
          <cell r="K321">
            <v>22</v>
          </cell>
          <cell r="L321">
            <v>25</v>
          </cell>
          <cell r="M321">
            <v>23</v>
          </cell>
          <cell r="N321">
            <v>25</v>
          </cell>
          <cell r="P321">
            <v>513</v>
          </cell>
        </row>
        <row r="322">
          <cell r="A322">
            <v>20</v>
          </cell>
          <cell r="B322">
            <v>41.5</v>
          </cell>
          <cell r="C322">
            <v>47</v>
          </cell>
          <cell r="D322">
            <v>22</v>
          </cell>
          <cell r="F322">
            <v>23</v>
          </cell>
          <cell r="G322">
            <v>21</v>
          </cell>
          <cell r="H322">
            <v>24</v>
          </cell>
          <cell r="I322">
            <v>18</v>
          </cell>
          <cell r="K322">
            <v>18</v>
          </cell>
          <cell r="L322">
            <v>23</v>
          </cell>
          <cell r="M322">
            <v>20</v>
          </cell>
          <cell r="N322">
            <v>24</v>
          </cell>
          <cell r="P322">
            <v>514</v>
          </cell>
        </row>
        <row r="323">
          <cell r="A323">
            <v>13</v>
          </cell>
          <cell r="B323">
            <v>20.5</v>
          </cell>
          <cell r="C323">
            <v>27</v>
          </cell>
          <cell r="D323">
            <v>15</v>
          </cell>
          <cell r="F323">
            <v>16</v>
          </cell>
          <cell r="G323">
            <v>22</v>
          </cell>
          <cell r="H323">
            <v>15</v>
          </cell>
          <cell r="I323">
            <v>11</v>
          </cell>
          <cell r="K323">
            <v>13</v>
          </cell>
          <cell r="L323">
            <v>23</v>
          </cell>
          <cell r="M323">
            <v>10</v>
          </cell>
          <cell r="N323">
            <v>13</v>
          </cell>
          <cell r="P323">
            <v>517</v>
          </cell>
        </row>
        <row r="324">
          <cell r="A324">
            <v>24</v>
          </cell>
          <cell r="B324">
            <v>48.5</v>
          </cell>
          <cell r="C324">
            <v>50</v>
          </cell>
          <cell r="D324">
            <v>21</v>
          </cell>
          <cell r="F324">
            <v>24</v>
          </cell>
          <cell r="G324">
            <v>23</v>
          </cell>
          <cell r="H324">
            <v>25</v>
          </cell>
          <cell r="I324">
            <v>20</v>
          </cell>
          <cell r="K324">
            <v>23</v>
          </cell>
          <cell r="L324">
            <v>23</v>
          </cell>
          <cell r="M324">
            <v>22</v>
          </cell>
          <cell r="N324">
            <v>22</v>
          </cell>
          <cell r="P324">
            <v>518</v>
          </cell>
        </row>
        <row r="325">
          <cell r="A325">
            <v>25</v>
          </cell>
          <cell r="B325">
            <v>42</v>
          </cell>
          <cell r="C325">
            <v>48</v>
          </cell>
          <cell r="D325">
            <v>21</v>
          </cell>
          <cell r="F325">
            <v>24</v>
          </cell>
          <cell r="G325">
            <v>23</v>
          </cell>
          <cell r="H325">
            <v>22</v>
          </cell>
          <cell r="I325">
            <v>20</v>
          </cell>
          <cell r="K325">
            <v>19</v>
          </cell>
          <cell r="L325">
            <v>22</v>
          </cell>
          <cell r="M325">
            <v>22</v>
          </cell>
          <cell r="N325">
            <v>22</v>
          </cell>
          <cell r="P325">
            <v>522</v>
          </cell>
        </row>
        <row r="326">
          <cell r="A326">
            <v>18</v>
          </cell>
          <cell r="B326">
            <v>33.5</v>
          </cell>
          <cell r="C326">
            <v>25</v>
          </cell>
          <cell r="D326">
            <v>13</v>
          </cell>
          <cell r="F326">
            <v>24</v>
          </cell>
          <cell r="G326">
            <v>22</v>
          </cell>
          <cell r="H326">
            <v>22</v>
          </cell>
          <cell r="I326">
            <v>17</v>
          </cell>
          <cell r="K326">
            <v>16</v>
          </cell>
          <cell r="L326">
            <v>22</v>
          </cell>
          <cell r="M326">
            <v>20</v>
          </cell>
          <cell r="N326">
            <v>15</v>
          </cell>
          <cell r="P326">
            <v>523</v>
          </cell>
        </row>
        <row r="327">
          <cell r="A327">
            <v>21</v>
          </cell>
          <cell r="B327">
            <v>39</v>
          </cell>
          <cell r="C327">
            <v>36</v>
          </cell>
          <cell r="D327">
            <v>15</v>
          </cell>
          <cell r="F327">
            <v>22</v>
          </cell>
          <cell r="G327">
            <v>22.5</v>
          </cell>
          <cell r="H327">
            <v>21</v>
          </cell>
          <cell r="I327">
            <v>16</v>
          </cell>
          <cell r="K327">
            <v>15</v>
          </cell>
          <cell r="L327">
            <v>21</v>
          </cell>
          <cell r="M327">
            <v>16</v>
          </cell>
          <cell r="N327">
            <v>19</v>
          </cell>
          <cell r="P327">
            <v>524</v>
          </cell>
        </row>
        <row r="328">
          <cell r="A328">
            <v>24</v>
          </cell>
          <cell r="B328">
            <v>46.5</v>
          </cell>
          <cell r="C328">
            <v>48</v>
          </cell>
          <cell r="D328">
            <v>18</v>
          </cell>
          <cell r="F328">
            <v>25</v>
          </cell>
          <cell r="G328">
            <v>24</v>
          </cell>
          <cell r="H328">
            <v>25</v>
          </cell>
          <cell r="I328">
            <v>20</v>
          </cell>
          <cell r="K328">
            <v>25</v>
          </cell>
          <cell r="L328">
            <v>24</v>
          </cell>
          <cell r="M328">
            <v>23</v>
          </cell>
          <cell r="N328">
            <v>25</v>
          </cell>
          <cell r="P328">
            <v>528</v>
          </cell>
        </row>
        <row r="329">
          <cell r="A329">
            <v>21</v>
          </cell>
          <cell r="B329">
            <v>45.5</v>
          </cell>
          <cell r="C329">
            <v>49</v>
          </cell>
          <cell r="D329">
            <v>21</v>
          </cell>
          <cell r="F329">
            <v>24</v>
          </cell>
          <cell r="G329">
            <v>22</v>
          </cell>
          <cell r="H329">
            <v>24</v>
          </cell>
          <cell r="I329">
            <v>17</v>
          </cell>
          <cell r="K329">
            <v>20</v>
          </cell>
          <cell r="L329">
            <v>23</v>
          </cell>
          <cell r="M329">
            <v>22</v>
          </cell>
          <cell r="N329">
            <v>19</v>
          </cell>
          <cell r="P329">
            <v>532</v>
          </cell>
        </row>
        <row r="330">
          <cell r="A330">
            <v>21</v>
          </cell>
          <cell r="B330">
            <v>41</v>
          </cell>
          <cell r="C330">
            <v>43</v>
          </cell>
          <cell r="D330">
            <v>15</v>
          </cell>
          <cell r="F330">
            <v>24</v>
          </cell>
          <cell r="G330">
            <v>21</v>
          </cell>
          <cell r="H330">
            <v>23</v>
          </cell>
          <cell r="I330">
            <v>17</v>
          </cell>
          <cell r="K330">
            <v>19</v>
          </cell>
          <cell r="L330">
            <v>22</v>
          </cell>
          <cell r="M330">
            <v>19</v>
          </cell>
          <cell r="N330">
            <v>18</v>
          </cell>
          <cell r="P330">
            <v>540</v>
          </cell>
        </row>
        <row r="331">
          <cell r="A331">
            <v>22</v>
          </cell>
          <cell r="B331">
            <v>46</v>
          </cell>
          <cell r="C331">
            <v>50</v>
          </cell>
          <cell r="D331">
            <v>20</v>
          </cell>
          <cell r="F331">
            <v>22</v>
          </cell>
          <cell r="G331">
            <v>24</v>
          </cell>
          <cell r="H331">
            <v>23</v>
          </cell>
          <cell r="I331">
            <v>17</v>
          </cell>
          <cell r="K331">
            <v>20</v>
          </cell>
          <cell r="L331">
            <v>24</v>
          </cell>
          <cell r="M331">
            <v>21</v>
          </cell>
          <cell r="N331">
            <v>25</v>
          </cell>
          <cell r="P331">
            <v>543</v>
          </cell>
        </row>
        <row r="332">
          <cell r="A332">
            <v>19</v>
          </cell>
          <cell r="B332">
            <v>41.5</v>
          </cell>
          <cell r="C332">
            <v>44</v>
          </cell>
          <cell r="D332">
            <v>18</v>
          </cell>
          <cell r="F332">
            <v>24</v>
          </cell>
          <cell r="G332">
            <v>24</v>
          </cell>
          <cell r="H332">
            <v>23</v>
          </cell>
          <cell r="I332">
            <v>18</v>
          </cell>
          <cell r="K332">
            <v>19</v>
          </cell>
          <cell r="L332">
            <v>25</v>
          </cell>
          <cell r="M332">
            <v>16</v>
          </cell>
          <cell r="N332">
            <v>20</v>
          </cell>
          <cell r="P332">
            <v>549</v>
          </cell>
        </row>
        <row r="333">
          <cell r="A333">
            <v>23</v>
          </cell>
          <cell r="B333">
            <v>35</v>
          </cell>
          <cell r="C333">
            <v>45</v>
          </cell>
          <cell r="D333">
            <v>20</v>
          </cell>
          <cell r="F333">
            <v>22</v>
          </cell>
          <cell r="G333">
            <v>22</v>
          </cell>
          <cell r="H333">
            <v>20</v>
          </cell>
          <cell r="I333">
            <v>19</v>
          </cell>
          <cell r="K333">
            <v>21</v>
          </cell>
          <cell r="L333">
            <v>24</v>
          </cell>
          <cell r="M333">
            <v>18</v>
          </cell>
          <cell r="N333">
            <v>18</v>
          </cell>
          <cell r="P333">
            <v>555</v>
          </cell>
        </row>
        <row r="334">
          <cell r="A334">
            <v>24</v>
          </cell>
          <cell r="B334">
            <v>34</v>
          </cell>
          <cell r="C334">
            <v>46</v>
          </cell>
          <cell r="D334">
            <v>19</v>
          </cell>
          <cell r="F334">
            <v>20</v>
          </cell>
          <cell r="G334">
            <v>19</v>
          </cell>
          <cell r="H334">
            <v>16</v>
          </cell>
          <cell r="I334">
            <v>21</v>
          </cell>
          <cell r="K334">
            <v>14</v>
          </cell>
          <cell r="L334">
            <v>23</v>
          </cell>
          <cell r="M334">
            <v>16</v>
          </cell>
          <cell r="N334">
            <v>21</v>
          </cell>
          <cell r="P334">
            <v>556</v>
          </cell>
        </row>
        <row r="335">
          <cell r="A335">
            <v>23</v>
          </cell>
          <cell r="B335">
            <v>45.5</v>
          </cell>
          <cell r="C335">
            <v>46</v>
          </cell>
          <cell r="D335">
            <v>24</v>
          </cell>
          <cell r="F335">
            <v>25</v>
          </cell>
          <cell r="G335">
            <v>22</v>
          </cell>
          <cell r="H335">
            <v>21</v>
          </cell>
          <cell r="I335">
            <v>20</v>
          </cell>
          <cell r="K335">
            <v>22</v>
          </cell>
          <cell r="L335">
            <v>25</v>
          </cell>
          <cell r="M335">
            <v>20</v>
          </cell>
          <cell r="N335">
            <v>23</v>
          </cell>
          <cell r="P335">
            <v>558</v>
          </cell>
        </row>
        <row r="336">
          <cell r="A336">
            <v>23</v>
          </cell>
          <cell r="B336">
            <v>31</v>
          </cell>
          <cell r="C336">
            <v>49</v>
          </cell>
          <cell r="D336">
            <v>20</v>
          </cell>
          <cell r="F336">
            <v>22</v>
          </cell>
          <cell r="G336">
            <v>22</v>
          </cell>
          <cell r="H336">
            <v>19</v>
          </cell>
          <cell r="I336">
            <v>17</v>
          </cell>
          <cell r="K336">
            <v>12</v>
          </cell>
          <cell r="L336">
            <v>18</v>
          </cell>
          <cell r="M336">
            <v>21</v>
          </cell>
          <cell r="N336">
            <v>19</v>
          </cell>
          <cell r="P336">
            <v>560</v>
          </cell>
        </row>
        <row r="337">
          <cell r="A337">
            <v>24</v>
          </cell>
          <cell r="B337">
            <v>45</v>
          </cell>
          <cell r="C337">
            <v>45</v>
          </cell>
          <cell r="D337">
            <v>19</v>
          </cell>
          <cell r="F337">
            <v>23</v>
          </cell>
          <cell r="G337">
            <v>23</v>
          </cell>
          <cell r="H337">
            <v>25</v>
          </cell>
          <cell r="I337">
            <v>23</v>
          </cell>
          <cell r="K337">
            <v>19</v>
          </cell>
          <cell r="L337">
            <v>25</v>
          </cell>
          <cell r="M337">
            <v>23</v>
          </cell>
          <cell r="N337">
            <v>25</v>
          </cell>
          <cell r="P337">
            <v>562</v>
          </cell>
        </row>
        <row r="338">
          <cell r="A338">
            <v>24</v>
          </cell>
          <cell r="B338">
            <v>47</v>
          </cell>
          <cell r="C338">
            <v>47</v>
          </cell>
          <cell r="D338">
            <v>19</v>
          </cell>
          <cell r="F338">
            <v>24</v>
          </cell>
          <cell r="G338">
            <v>22</v>
          </cell>
          <cell r="H338">
            <v>23</v>
          </cell>
          <cell r="I338">
            <v>22</v>
          </cell>
          <cell r="K338">
            <v>24</v>
          </cell>
          <cell r="L338">
            <v>25</v>
          </cell>
          <cell r="M338">
            <v>23</v>
          </cell>
          <cell r="N338">
            <v>23</v>
          </cell>
          <cell r="P338">
            <v>564</v>
          </cell>
        </row>
        <row r="339">
          <cell r="A339">
            <v>23</v>
          </cell>
          <cell r="B339">
            <v>47.5</v>
          </cell>
          <cell r="C339">
            <v>47</v>
          </cell>
          <cell r="D339">
            <v>23</v>
          </cell>
          <cell r="F339">
            <v>22</v>
          </cell>
          <cell r="G339">
            <v>22</v>
          </cell>
          <cell r="H339">
            <v>23</v>
          </cell>
          <cell r="I339">
            <v>23</v>
          </cell>
          <cell r="K339">
            <v>20</v>
          </cell>
          <cell r="L339">
            <v>24</v>
          </cell>
          <cell r="M339">
            <v>22</v>
          </cell>
          <cell r="N339">
            <v>23</v>
          </cell>
          <cell r="P339">
            <v>565</v>
          </cell>
        </row>
        <row r="340">
          <cell r="A340">
            <v>23</v>
          </cell>
          <cell r="B340">
            <v>38</v>
          </cell>
          <cell r="C340">
            <v>44</v>
          </cell>
          <cell r="D340">
            <v>21</v>
          </cell>
          <cell r="F340">
            <v>25</v>
          </cell>
          <cell r="G340">
            <v>23</v>
          </cell>
          <cell r="H340">
            <v>19</v>
          </cell>
          <cell r="I340">
            <v>18</v>
          </cell>
          <cell r="K340">
            <v>21</v>
          </cell>
          <cell r="L340">
            <v>25</v>
          </cell>
          <cell r="M340">
            <v>13</v>
          </cell>
          <cell r="N340">
            <v>16</v>
          </cell>
          <cell r="P340">
            <v>566</v>
          </cell>
        </row>
        <row r="341">
          <cell r="A341">
            <v>24</v>
          </cell>
          <cell r="B341">
            <v>46.5</v>
          </cell>
          <cell r="C341">
            <v>49</v>
          </cell>
          <cell r="D341">
            <v>22</v>
          </cell>
          <cell r="F341">
            <v>25</v>
          </cell>
          <cell r="G341">
            <v>23</v>
          </cell>
          <cell r="H341">
            <v>23</v>
          </cell>
          <cell r="I341">
            <v>20</v>
          </cell>
          <cell r="K341">
            <v>23</v>
          </cell>
          <cell r="L341">
            <v>25</v>
          </cell>
          <cell r="M341">
            <v>20</v>
          </cell>
          <cell r="N341">
            <v>25</v>
          </cell>
          <cell r="P341">
            <v>569</v>
          </cell>
        </row>
        <row r="342">
          <cell r="A342">
            <v>19</v>
          </cell>
          <cell r="B342">
            <v>25.5</v>
          </cell>
          <cell r="C342">
            <v>29</v>
          </cell>
          <cell r="D342">
            <v>14</v>
          </cell>
          <cell r="F342">
            <v>24</v>
          </cell>
          <cell r="G342">
            <v>20.5</v>
          </cell>
          <cell r="H342">
            <v>21</v>
          </cell>
          <cell r="I342">
            <v>20</v>
          </cell>
          <cell r="K342">
            <v>21</v>
          </cell>
          <cell r="L342">
            <v>22</v>
          </cell>
          <cell r="M342">
            <v>14</v>
          </cell>
          <cell r="N342">
            <v>17</v>
          </cell>
          <cell r="P342">
            <v>571</v>
          </cell>
        </row>
        <row r="343">
          <cell r="A343">
            <v>19</v>
          </cell>
          <cell r="B343">
            <v>40.5</v>
          </cell>
          <cell r="C343">
            <v>39</v>
          </cell>
          <cell r="D343">
            <v>20</v>
          </cell>
          <cell r="F343">
            <v>20</v>
          </cell>
          <cell r="G343">
            <v>21</v>
          </cell>
          <cell r="H343">
            <v>21</v>
          </cell>
          <cell r="I343">
            <v>19</v>
          </cell>
          <cell r="K343">
            <v>13</v>
          </cell>
          <cell r="L343">
            <v>22</v>
          </cell>
          <cell r="M343">
            <v>11</v>
          </cell>
          <cell r="N343">
            <v>15</v>
          </cell>
          <cell r="P343">
            <v>572</v>
          </cell>
        </row>
        <row r="344">
          <cell r="A344">
            <v>15</v>
          </cell>
          <cell r="B344">
            <v>40.5</v>
          </cell>
          <cell r="C344">
            <v>43</v>
          </cell>
          <cell r="D344">
            <v>19</v>
          </cell>
          <cell r="F344">
            <v>22</v>
          </cell>
          <cell r="G344">
            <v>22.5</v>
          </cell>
          <cell r="H344">
            <v>22</v>
          </cell>
          <cell r="I344">
            <v>19</v>
          </cell>
          <cell r="K344">
            <v>23</v>
          </cell>
          <cell r="L344">
            <v>22</v>
          </cell>
          <cell r="M344">
            <v>17</v>
          </cell>
          <cell r="N344">
            <v>17</v>
          </cell>
          <cell r="P344">
            <v>574</v>
          </cell>
        </row>
        <row r="345">
          <cell r="A345">
            <v>24</v>
          </cell>
          <cell r="B345">
            <v>46</v>
          </cell>
          <cell r="C345">
            <v>50</v>
          </cell>
          <cell r="D345">
            <v>19</v>
          </cell>
          <cell r="F345">
            <v>25</v>
          </cell>
          <cell r="G345">
            <v>21.5</v>
          </cell>
          <cell r="H345">
            <v>23</v>
          </cell>
          <cell r="I345">
            <v>23</v>
          </cell>
          <cell r="K345">
            <v>23</v>
          </cell>
          <cell r="L345">
            <v>24</v>
          </cell>
          <cell r="M345">
            <v>20</v>
          </cell>
          <cell r="N345">
            <v>25</v>
          </cell>
          <cell r="P345">
            <v>581</v>
          </cell>
        </row>
        <row r="346">
          <cell r="A346">
            <v>19</v>
          </cell>
          <cell r="B346">
            <v>39</v>
          </cell>
          <cell r="C346">
            <v>46</v>
          </cell>
          <cell r="D346">
            <v>19</v>
          </cell>
          <cell r="F346">
            <v>24</v>
          </cell>
          <cell r="G346">
            <v>22.5</v>
          </cell>
          <cell r="H346">
            <v>21</v>
          </cell>
          <cell r="I346">
            <v>14</v>
          </cell>
          <cell r="K346">
            <v>19</v>
          </cell>
          <cell r="L346">
            <v>23</v>
          </cell>
          <cell r="M346">
            <v>20</v>
          </cell>
          <cell r="N346">
            <v>20</v>
          </cell>
          <cell r="P346">
            <v>583</v>
          </cell>
        </row>
        <row r="347">
          <cell r="A347">
            <v>23</v>
          </cell>
          <cell r="B347">
            <v>45.5</v>
          </cell>
          <cell r="C347">
            <v>47</v>
          </cell>
          <cell r="D347">
            <v>24</v>
          </cell>
          <cell r="F347">
            <v>24</v>
          </cell>
          <cell r="G347">
            <v>23</v>
          </cell>
          <cell r="H347">
            <v>25</v>
          </cell>
          <cell r="I347">
            <v>21</v>
          </cell>
          <cell r="K347">
            <v>23</v>
          </cell>
          <cell r="L347">
            <v>24</v>
          </cell>
          <cell r="M347">
            <v>23</v>
          </cell>
          <cell r="N347">
            <v>24</v>
          </cell>
          <cell r="P347">
            <v>584</v>
          </cell>
        </row>
        <row r="348">
          <cell r="A348">
            <v>22</v>
          </cell>
          <cell r="B348">
            <v>41</v>
          </cell>
          <cell r="C348">
            <v>45</v>
          </cell>
          <cell r="D348">
            <v>18</v>
          </cell>
          <cell r="F348">
            <v>25</v>
          </cell>
          <cell r="G348">
            <v>21</v>
          </cell>
          <cell r="H348">
            <v>22</v>
          </cell>
          <cell r="I348">
            <v>20</v>
          </cell>
          <cell r="K348">
            <v>21</v>
          </cell>
          <cell r="L348">
            <v>25</v>
          </cell>
          <cell r="M348">
            <v>18</v>
          </cell>
          <cell r="N348">
            <v>25</v>
          </cell>
          <cell r="P348">
            <v>586</v>
          </cell>
        </row>
        <row r="349">
          <cell r="A349">
            <v>23</v>
          </cell>
          <cell r="B349">
            <v>45.5</v>
          </cell>
          <cell r="C349">
            <v>47</v>
          </cell>
          <cell r="D349">
            <v>15</v>
          </cell>
          <cell r="F349">
            <v>25</v>
          </cell>
          <cell r="G349">
            <v>22</v>
          </cell>
          <cell r="H349">
            <v>24</v>
          </cell>
          <cell r="I349">
            <v>20</v>
          </cell>
          <cell r="K349">
            <v>24</v>
          </cell>
          <cell r="L349">
            <v>25</v>
          </cell>
          <cell r="M349">
            <v>23</v>
          </cell>
          <cell r="N349">
            <v>20</v>
          </cell>
          <cell r="P349">
            <v>587</v>
          </cell>
        </row>
        <row r="350">
          <cell r="A350">
            <v>22</v>
          </cell>
          <cell r="B350">
            <v>46.5</v>
          </cell>
          <cell r="C350">
            <v>47</v>
          </cell>
          <cell r="D350">
            <v>22</v>
          </cell>
          <cell r="F350">
            <v>24</v>
          </cell>
          <cell r="G350">
            <v>22.5</v>
          </cell>
          <cell r="H350">
            <v>23</v>
          </cell>
          <cell r="I350">
            <v>19</v>
          </cell>
          <cell r="K350">
            <v>24</v>
          </cell>
          <cell r="L350">
            <v>25</v>
          </cell>
          <cell r="M350">
            <v>24</v>
          </cell>
          <cell r="N350">
            <v>24</v>
          </cell>
          <cell r="P350">
            <v>589</v>
          </cell>
        </row>
        <row r="351">
          <cell r="A351">
            <v>23</v>
          </cell>
          <cell r="B351">
            <v>33</v>
          </cell>
          <cell r="C351">
            <v>47</v>
          </cell>
          <cell r="D351">
            <v>22</v>
          </cell>
          <cell r="F351">
            <v>21</v>
          </cell>
          <cell r="G351">
            <v>17</v>
          </cell>
          <cell r="H351">
            <v>23</v>
          </cell>
          <cell r="I351">
            <v>14</v>
          </cell>
          <cell r="K351">
            <v>22</v>
          </cell>
          <cell r="L351">
            <v>22</v>
          </cell>
          <cell r="M351">
            <v>15</v>
          </cell>
          <cell r="N351">
            <v>18</v>
          </cell>
          <cell r="P351">
            <v>594</v>
          </cell>
        </row>
        <row r="352">
          <cell r="A352">
            <v>24</v>
          </cell>
          <cell r="B352">
            <v>48.5</v>
          </cell>
          <cell r="C352">
            <v>50</v>
          </cell>
          <cell r="D352">
            <v>21</v>
          </cell>
          <cell r="F352">
            <v>25</v>
          </cell>
          <cell r="G352">
            <v>22</v>
          </cell>
          <cell r="H352">
            <v>25</v>
          </cell>
          <cell r="I352">
            <v>22</v>
          </cell>
          <cell r="K352">
            <v>24</v>
          </cell>
          <cell r="L352">
            <v>23</v>
          </cell>
          <cell r="M352">
            <v>24</v>
          </cell>
          <cell r="N352">
            <v>22</v>
          </cell>
          <cell r="P352">
            <v>595</v>
          </cell>
        </row>
        <row r="353">
          <cell r="A353">
            <v>24</v>
          </cell>
          <cell r="B353">
            <v>49</v>
          </cell>
          <cell r="C353">
            <v>48</v>
          </cell>
          <cell r="D353">
            <v>20</v>
          </cell>
          <cell r="F353">
            <v>24</v>
          </cell>
          <cell r="G353">
            <v>23</v>
          </cell>
          <cell r="H353">
            <v>22</v>
          </cell>
          <cell r="I353">
            <v>18</v>
          </cell>
          <cell r="K353">
            <v>21</v>
          </cell>
          <cell r="L353">
            <v>25</v>
          </cell>
          <cell r="M353">
            <v>21</v>
          </cell>
          <cell r="N353">
            <v>23</v>
          </cell>
          <cell r="P353">
            <v>596</v>
          </cell>
        </row>
        <row r="354">
          <cell r="A354">
            <v>24</v>
          </cell>
          <cell r="B354">
            <v>47.5</v>
          </cell>
          <cell r="C354">
            <v>49</v>
          </cell>
          <cell r="D354">
            <v>24</v>
          </cell>
          <cell r="F354">
            <v>24</v>
          </cell>
          <cell r="G354">
            <v>23</v>
          </cell>
          <cell r="H354">
            <v>24</v>
          </cell>
          <cell r="I354">
            <v>18</v>
          </cell>
          <cell r="K354">
            <v>23</v>
          </cell>
          <cell r="L354">
            <v>25</v>
          </cell>
          <cell r="M354">
            <v>21</v>
          </cell>
          <cell r="N354">
            <v>24</v>
          </cell>
          <cell r="P354">
            <v>599</v>
          </cell>
        </row>
        <row r="355">
          <cell r="A355">
            <v>21</v>
          </cell>
          <cell r="B355">
            <v>45</v>
          </cell>
          <cell r="C355">
            <v>46</v>
          </cell>
          <cell r="D355">
            <v>21</v>
          </cell>
          <cell r="F355">
            <v>24</v>
          </cell>
          <cell r="G355">
            <v>22</v>
          </cell>
          <cell r="H355">
            <v>25</v>
          </cell>
          <cell r="I355">
            <v>20</v>
          </cell>
          <cell r="K355">
            <v>23</v>
          </cell>
          <cell r="L355">
            <v>25</v>
          </cell>
          <cell r="M355">
            <v>24</v>
          </cell>
          <cell r="N355">
            <v>22</v>
          </cell>
          <cell r="P355">
            <v>601</v>
          </cell>
        </row>
        <row r="356">
          <cell r="A356">
            <v>25</v>
          </cell>
          <cell r="B356">
            <v>46</v>
          </cell>
          <cell r="C356">
            <v>49</v>
          </cell>
          <cell r="D356">
            <v>21</v>
          </cell>
          <cell r="F356">
            <v>25</v>
          </cell>
          <cell r="G356">
            <v>22.5</v>
          </cell>
          <cell r="H356">
            <v>22</v>
          </cell>
          <cell r="I356">
            <v>21</v>
          </cell>
          <cell r="K356">
            <v>24</v>
          </cell>
          <cell r="L356">
            <v>24</v>
          </cell>
          <cell r="M356">
            <v>23</v>
          </cell>
          <cell r="N356">
            <v>24</v>
          </cell>
          <cell r="P356">
            <v>605</v>
          </cell>
        </row>
        <row r="357">
          <cell r="A357">
            <v>25</v>
          </cell>
          <cell r="B357">
            <v>47.5</v>
          </cell>
          <cell r="C357">
            <v>49</v>
          </cell>
          <cell r="D357">
            <v>23</v>
          </cell>
          <cell r="F357">
            <v>25</v>
          </cell>
          <cell r="G357">
            <v>22</v>
          </cell>
          <cell r="H357">
            <v>23</v>
          </cell>
          <cell r="I357">
            <v>17</v>
          </cell>
          <cell r="K357">
            <v>22</v>
          </cell>
          <cell r="L357">
            <v>25</v>
          </cell>
          <cell r="M357">
            <v>19</v>
          </cell>
          <cell r="N357">
            <v>19</v>
          </cell>
          <cell r="P357">
            <v>606</v>
          </cell>
        </row>
        <row r="358">
          <cell r="A358">
            <v>23</v>
          </cell>
          <cell r="B358">
            <v>46</v>
          </cell>
          <cell r="C358">
            <v>50</v>
          </cell>
          <cell r="D358">
            <v>24</v>
          </cell>
          <cell r="F358">
            <v>25</v>
          </cell>
          <cell r="G358">
            <v>22</v>
          </cell>
          <cell r="H358">
            <v>23</v>
          </cell>
          <cell r="I358">
            <v>22</v>
          </cell>
          <cell r="K358">
            <v>23</v>
          </cell>
          <cell r="L358">
            <v>25</v>
          </cell>
          <cell r="M358">
            <v>21</v>
          </cell>
          <cell r="N358">
            <v>22</v>
          </cell>
          <cell r="P358">
            <v>607</v>
          </cell>
        </row>
        <row r="359">
          <cell r="A359">
            <v>20</v>
          </cell>
          <cell r="B359">
            <v>39.5</v>
          </cell>
          <cell r="C359">
            <v>48</v>
          </cell>
          <cell r="D359">
            <v>18</v>
          </cell>
          <cell r="F359">
            <v>24</v>
          </cell>
          <cell r="G359">
            <v>20</v>
          </cell>
          <cell r="H359">
            <v>20</v>
          </cell>
          <cell r="I359">
            <v>20</v>
          </cell>
          <cell r="K359">
            <v>22</v>
          </cell>
          <cell r="L359">
            <v>23</v>
          </cell>
          <cell r="M359">
            <v>20</v>
          </cell>
          <cell r="N359">
            <v>19</v>
          </cell>
          <cell r="P359">
            <v>608</v>
          </cell>
        </row>
        <row r="360">
          <cell r="A360">
            <v>22</v>
          </cell>
          <cell r="B360">
            <v>40.5</v>
          </cell>
          <cell r="C360">
            <v>44</v>
          </cell>
          <cell r="D360">
            <v>22</v>
          </cell>
          <cell r="F360">
            <v>24</v>
          </cell>
          <cell r="G360">
            <v>20</v>
          </cell>
          <cell r="H360">
            <v>19</v>
          </cell>
          <cell r="I360">
            <v>23</v>
          </cell>
          <cell r="K360">
            <v>21</v>
          </cell>
          <cell r="L360">
            <v>24</v>
          </cell>
          <cell r="M360">
            <v>19</v>
          </cell>
          <cell r="N360">
            <v>17</v>
          </cell>
          <cell r="P360">
            <v>609</v>
          </cell>
        </row>
        <row r="361">
          <cell r="A361">
            <v>22</v>
          </cell>
          <cell r="B361">
            <v>43</v>
          </cell>
          <cell r="C361">
            <v>50</v>
          </cell>
          <cell r="D361">
            <v>21</v>
          </cell>
          <cell r="F361">
            <v>25</v>
          </cell>
          <cell r="G361">
            <v>21</v>
          </cell>
          <cell r="H361">
            <v>24</v>
          </cell>
          <cell r="I361">
            <v>21</v>
          </cell>
          <cell r="K361">
            <v>24</v>
          </cell>
          <cell r="L361">
            <v>23</v>
          </cell>
          <cell r="M361">
            <v>21</v>
          </cell>
          <cell r="N361">
            <v>23</v>
          </cell>
          <cell r="P361">
            <v>611</v>
          </cell>
        </row>
        <row r="362">
          <cell r="A362">
            <v>23</v>
          </cell>
          <cell r="B362">
            <v>46</v>
          </cell>
          <cell r="C362">
            <v>49</v>
          </cell>
          <cell r="D362">
            <v>18</v>
          </cell>
          <cell r="F362">
            <v>25</v>
          </cell>
          <cell r="G362">
            <v>19</v>
          </cell>
          <cell r="H362">
            <v>25</v>
          </cell>
          <cell r="I362">
            <v>16</v>
          </cell>
          <cell r="K362">
            <v>23</v>
          </cell>
          <cell r="L362">
            <v>23</v>
          </cell>
          <cell r="M362">
            <v>24</v>
          </cell>
          <cell r="N362">
            <v>19</v>
          </cell>
          <cell r="P362">
            <v>614</v>
          </cell>
        </row>
        <row r="363">
          <cell r="A363">
            <v>20</v>
          </cell>
          <cell r="B363">
            <v>42</v>
          </cell>
          <cell r="C363">
            <v>44</v>
          </cell>
          <cell r="D363">
            <v>18</v>
          </cell>
          <cell r="F363">
            <v>23</v>
          </cell>
          <cell r="G363">
            <v>20</v>
          </cell>
          <cell r="H363">
            <v>22</v>
          </cell>
          <cell r="I363">
            <v>16</v>
          </cell>
          <cell r="K363">
            <v>16</v>
          </cell>
          <cell r="L363">
            <v>24</v>
          </cell>
          <cell r="M363">
            <v>21</v>
          </cell>
          <cell r="N363">
            <v>18</v>
          </cell>
          <cell r="P363">
            <v>615</v>
          </cell>
        </row>
        <row r="364">
          <cell r="A364">
            <v>10</v>
          </cell>
          <cell r="B364">
            <v>49.5</v>
          </cell>
          <cell r="C364">
            <v>49</v>
          </cell>
          <cell r="D364">
            <v>23</v>
          </cell>
          <cell r="F364">
            <v>24.5</v>
          </cell>
          <cell r="G364">
            <v>22</v>
          </cell>
          <cell r="H364">
            <v>25</v>
          </cell>
          <cell r="I364">
            <v>21</v>
          </cell>
          <cell r="K364">
            <v>21</v>
          </cell>
          <cell r="L364">
            <v>25</v>
          </cell>
          <cell r="M364">
            <v>23</v>
          </cell>
          <cell r="N364">
            <v>22</v>
          </cell>
          <cell r="P364">
            <v>618</v>
          </cell>
        </row>
        <row r="365">
          <cell r="A365">
            <v>21</v>
          </cell>
          <cell r="B365">
            <v>39</v>
          </cell>
          <cell r="C365">
            <v>38</v>
          </cell>
          <cell r="D365">
            <v>22</v>
          </cell>
          <cell r="F365">
            <v>23.5</v>
          </cell>
          <cell r="G365">
            <v>21</v>
          </cell>
          <cell r="H365">
            <v>18</v>
          </cell>
          <cell r="I365">
            <v>18</v>
          </cell>
          <cell r="K365">
            <v>21</v>
          </cell>
          <cell r="L365">
            <v>24</v>
          </cell>
          <cell r="M365">
            <v>18</v>
          </cell>
          <cell r="N365">
            <v>21</v>
          </cell>
          <cell r="P365">
            <v>619</v>
          </cell>
        </row>
        <row r="366">
          <cell r="A366">
            <v>25</v>
          </cell>
          <cell r="B366">
            <v>50</v>
          </cell>
          <cell r="C366">
            <v>50</v>
          </cell>
          <cell r="D366">
            <v>24</v>
          </cell>
          <cell r="F366">
            <v>25</v>
          </cell>
          <cell r="G366">
            <v>21</v>
          </cell>
          <cell r="H366">
            <v>25</v>
          </cell>
          <cell r="I366">
            <v>22</v>
          </cell>
          <cell r="K366">
            <v>24</v>
          </cell>
          <cell r="L366">
            <v>25</v>
          </cell>
          <cell r="M366">
            <v>24</v>
          </cell>
          <cell r="N366">
            <v>24</v>
          </cell>
          <cell r="P366">
            <v>620</v>
          </cell>
        </row>
        <row r="367">
          <cell r="A367">
            <v>25</v>
          </cell>
          <cell r="B367">
            <v>47</v>
          </cell>
          <cell r="C367">
            <v>50</v>
          </cell>
          <cell r="D367">
            <v>24</v>
          </cell>
          <cell r="F367">
            <v>25</v>
          </cell>
          <cell r="G367">
            <v>24</v>
          </cell>
          <cell r="H367">
            <v>23</v>
          </cell>
          <cell r="I367">
            <v>22</v>
          </cell>
          <cell r="K367">
            <v>22</v>
          </cell>
          <cell r="L367">
            <v>23</v>
          </cell>
          <cell r="M367">
            <v>22</v>
          </cell>
          <cell r="N367">
            <v>24</v>
          </cell>
          <cell r="P367">
            <v>621</v>
          </cell>
        </row>
        <row r="368">
          <cell r="A368">
            <v>21</v>
          </cell>
          <cell r="B368">
            <v>42.5</v>
          </cell>
          <cell r="C368">
            <v>45</v>
          </cell>
          <cell r="D368">
            <v>18</v>
          </cell>
          <cell r="F368">
            <v>20</v>
          </cell>
          <cell r="G368">
            <v>20</v>
          </cell>
          <cell r="H368">
            <v>19</v>
          </cell>
          <cell r="I368">
            <v>17</v>
          </cell>
          <cell r="K368">
            <v>21</v>
          </cell>
          <cell r="L368">
            <v>22</v>
          </cell>
          <cell r="M368">
            <v>17</v>
          </cell>
          <cell r="N368">
            <v>18</v>
          </cell>
          <cell r="P368">
            <v>622</v>
          </cell>
        </row>
        <row r="369">
          <cell r="A369">
            <v>24</v>
          </cell>
          <cell r="B369">
            <v>47</v>
          </cell>
          <cell r="C369">
            <v>50</v>
          </cell>
          <cell r="D369">
            <v>22</v>
          </cell>
          <cell r="F369">
            <v>24</v>
          </cell>
          <cell r="G369">
            <v>21</v>
          </cell>
          <cell r="H369">
            <v>23</v>
          </cell>
          <cell r="I369">
            <v>22</v>
          </cell>
          <cell r="K369">
            <v>23</v>
          </cell>
          <cell r="L369">
            <v>24</v>
          </cell>
          <cell r="M369">
            <v>23</v>
          </cell>
          <cell r="N369">
            <v>24</v>
          </cell>
          <cell r="P369">
            <v>623</v>
          </cell>
        </row>
        <row r="370">
          <cell r="A370">
            <v>22</v>
          </cell>
          <cell r="B370">
            <v>48</v>
          </cell>
          <cell r="C370">
            <v>49</v>
          </cell>
          <cell r="D370">
            <v>23</v>
          </cell>
          <cell r="F370">
            <v>24.5</v>
          </cell>
          <cell r="G370">
            <v>22</v>
          </cell>
          <cell r="H370">
            <v>23</v>
          </cell>
          <cell r="I370">
            <v>21</v>
          </cell>
          <cell r="K370">
            <v>22</v>
          </cell>
          <cell r="L370">
            <v>25</v>
          </cell>
          <cell r="M370">
            <v>22</v>
          </cell>
          <cell r="N370">
            <v>23</v>
          </cell>
          <cell r="P370">
            <v>624</v>
          </cell>
        </row>
        <row r="371">
          <cell r="A371">
            <v>22</v>
          </cell>
          <cell r="B371">
            <v>47</v>
          </cell>
          <cell r="C371">
            <v>50</v>
          </cell>
          <cell r="D371">
            <v>19</v>
          </cell>
          <cell r="F371">
            <v>24.5</v>
          </cell>
          <cell r="G371">
            <v>23</v>
          </cell>
          <cell r="H371">
            <v>24</v>
          </cell>
          <cell r="I371">
            <v>18</v>
          </cell>
          <cell r="K371">
            <v>24</v>
          </cell>
          <cell r="L371">
            <v>25</v>
          </cell>
          <cell r="M371">
            <v>21</v>
          </cell>
          <cell r="N371">
            <v>18</v>
          </cell>
          <cell r="P371">
            <v>626</v>
          </cell>
        </row>
        <row r="372">
          <cell r="A372">
            <v>24</v>
          </cell>
          <cell r="B372">
            <v>46.5</v>
          </cell>
          <cell r="C372">
            <v>50</v>
          </cell>
          <cell r="D372">
            <v>23</v>
          </cell>
          <cell r="F372">
            <v>24.5</v>
          </cell>
          <cell r="G372">
            <v>22</v>
          </cell>
          <cell r="H372">
            <v>24</v>
          </cell>
          <cell r="I372">
            <v>22</v>
          </cell>
          <cell r="K372">
            <v>24</v>
          </cell>
          <cell r="L372">
            <v>24</v>
          </cell>
          <cell r="M372">
            <v>24</v>
          </cell>
          <cell r="N372">
            <v>24</v>
          </cell>
          <cell r="P372">
            <v>628</v>
          </cell>
        </row>
        <row r="373">
          <cell r="A373">
            <v>22</v>
          </cell>
          <cell r="B373">
            <v>41</v>
          </cell>
          <cell r="C373">
            <v>49</v>
          </cell>
          <cell r="D373">
            <v>21</v>
          </cell>
          <cell r="F373">
            <v>25</v>
          </cell>
          <cell r="G373">
            <v>22</v>
          </cell>
          <cell r="H373">
            <v>22</v>
          </cell>
          <cell r="I373">
            <v>20</v>
          </cell>
          <cell r="K373">
            <v>21</v>
          </cell>
          <cell r="L373">
            <v>22</v>
          </cell>
          <cell r="M373">
            <v>20</v>
          </cell>
          <cell r="N373">
            <v>23</v>
          </cell>
          <cell r="P373">
            <v>629</v>
          </cell>
        </row>
        <row r="374">
          <cell r="A374">
            <v>22</v>
          </cell>
          <cell r="B374">
            <v>46</v>
          </cell>
          <cell r="C374">
            <v>48</v>
          </cell>
          <cell r="D374">
            <v>21</v>
          </cell>
          <cell r="F374">
            <v>23.5</v>
          </cell>
          <cell r="G374">
            <v>23</v>
          </cell>
          <cell r="H374">
            <v>24</v>
          </cell>
          <cell r="I374">
            <v>13</v>
          </cell>
          <cell r="K374">
            <v>20</v>
          </cell>
          <cell r="L374">
            <v>24</v>
          </cell>
          <cell r="M374">
            <v>23</v>
          </cell>
          <cell r="N374">
            <v>20</v>
          </cell>
          <cell r="P374">
            <v>631</v>
          </cell>
        </row>
        <row r="375">
          <cell r="A375">
            <v>23</v>
          </cell>
          <cell r="B375">
            <v>47</v>
          </cell>
          <cell r="C375">
            <v>50</v>
          </cell>
          <cell r="D375">
            <v>21</v>
          </cell>
          <cell r="F375">
            <v>25</v>
          </cell>
          <cell r="G375">
            <v>24</v>
          </cell>
          <cell r="H375">
            <v>24</v>
          </cell>
          <cell r="I375">
            <v>22</v>
          </cell>
          <cell r="K375">
            <v>24</v>
          </cell>
          <cell r="L375">
            <v>25</v>
          </cell>
          <cell r="M375">
            <v>24</v>
          </cell>
          <cell r="N375">
            <v>24</v>
          </cell>
          <cell r="P375">
            <v>632</v>
          </cell>
        </row>
        <row r="376">
          <cell r="A376">
            <v>25</v>
          </cell>
          <cell r="B376">
            <v>47.5</v>
          </cell>
          <cell r="C376">
            <v>49</v>
          </cell>
          <cell r="D376">
            <v>20</v>
          </cell>
          <cell r="F376">
            <v>23.5</v>
          </cell>
          <cell r="G376">
            <v>22</v>
          </cell>
          <cell r="H376">
            <v>24</v>
          </cell>
          <cell r="I376">
            <v>20</v>
          </cell>
          <cell r="K376">
            <v>22</v>
          </cell>
          <cell r="L376">
            <v>25</v>
          </cell>
          <cell r="M376">
            <v>20</v>
          </cell>
          <cell r="N376">
            <v>20</v>
          </cell>
          <cell r="P376">
            <v>636</v>
          </cell>
        </row>
        <row r="377">
          <cell r="A377">
            <v>24</v>
          </cell>
          <cell r="B377">
            <v>45.5</v>
          </cell>
          <cell r="C377">
            <v>49</v>
          </cell>
          <cell r="D377">
            <v>21</v>
          </cell>
          <cell r="F377">
            <v>22.5</v>
          </cell>
          <cell r="G377">
            <v>21</v>
          </cell>
          <cell r="H377">
            <v>23</v>
          </cell>
          <cell r="I377">
            <v>22</v>
          </cell>
          <cell r="K377">
            <v>21</v>
          </cell>
          <cell r="L377">
            <v>25</v>
          </cell>
          <cell r="M377">
            <v>24</v>
          </cell>
          <cell r="N377">
            <v>23</v>
          </cell>
          <cell r="P377">
            <v>637</v>
          </cell>
        </row>
        <row r="378">
          <cell r="A378">
            <v>20</v>
          </cell>
          <cell r="B378">
            <v>43</v>
          </cell>
          <cell r="C378">
            <v>49</v>
          </cell>
          <cell r="D378">
            <v>7</v>
          </cell>
          <cell r="F378">
            <v>24</v>
          </cell>
          <cell r="G378">
            <v>19</v>
          </cell>
          <cell r="H378">
            <v>5</v>
          </cell>
          <cell r="I378">
            <v>15</v>
          </cell>
          <cell r="K378">
            <v>24</v>
          </cell>
          <cell r="L378">
            <v>17</v>
          </cell>
          <cell r="M378">
            <v>12</v>
          </cell>
          <cell r="N378">
            <v>5</v>
          </cell>
          <cell r="P378">
            <v>638</v>
          </cell>
        </row>
        <row r="379">
          <cell r="A379">
            <v>20</v>
          </cell>
          <cell r="B379">
            <v>43.5</v>
          </cell>
          <cell r="C379">
            <v>37</v>
          </cell>
          <cell r="D379">
            <v>18</v>
          </cell>
          <cell r="F379">
            <v>23.5</v>
          </cell>
          <cell r="G379">
            <v>19</v>
          </cell>
          <cell r="H379">
            <v>13</v>
          </cell>
          <cell r="I379">
            <v>17</v>
          </cell>
          <cell r="K379">
            <v>24</v>
          </cell>
          <cell r="L379">
            <v>21</v>
          </cell>
          <cell r="M379">
            <v>13</v>
          </cell>
          <cell r="N379">
            <v>11</v>
          </cell>
          <cell r="P379">
            <v>639</v>
          </cell>
        </row>
        <row r="380">
          <cell r="A380">
            <v>20</v>
          </cell>
          <cell r="B380">
            <v>42</v>
          </cell>
          <cell r="C380">
            <v>47</v>
          </cell>
          <cell r="D380">
            <v>18</v>
          </cell>
          <cell r="F380">
            <v>24.5</v>
          </cell>
          <cell r="G380">
            <v>23</v>
          </cell>
          <cell r="H380">
            <v>22</v>
          </cell>
          <cell r="I380">
            <v>13</v>
          </cell>
          <cell r="K380">
            <v>24</v>
          </cell>
          <cell r="L380">
            <v>24</v>
          </cell>
          <cell r="M380">
            <v>24</v>
          </cell>
          <cell r="N380">
            <v>25</v>
          </cell>
          <cell r="P380">
            <v>640</v>
          </cell>
        </row>
        <row r="381">
          <cell r="A381">
            <v>23</v>
          </cell>
          <cell r="B381">
            <v>49</v>
          </cell>
          <cell r="C381">
            <v>50</v>
          </cell>
          <cell r="D381">
            <v>23</v>
          </cell>
          <cell r="F381">
            <v>24.5</v>
          </cell>
          <cell r="G381">
            <v>23</v>
          </cell>
          <cell r="H381">
            <v>25</v>
          </cell>
          <cell r="I381">
            <v>24</v>
          </cell>
          <cell r="K381">
            <v>24</v>
          </cell>
          <cell r="L381">
            <v>25</v>
          </cell>
          <cell r="M381">
            <v>23</v>
          </cell>
          <cell r="N381">
            <v>25</v>
          </cell>
          <cell r="P381">
            <v>642</v>
          </cell>
        </row>
        <row r="382">
          <cell r="A382">
            <v>23</v>
          </cell>
          <cell r="B382">
            <v>49.5</v>
          </cell>
          <cell r="C382">
            <v>50</v>
          </cell>
          <cell r="D382">
            <v>23</v>
          </cell>
          <cell r="F382">
            <v>24.5</v>
          </cell>
          <cell r="G382">
            <v>21</v>
          </cell>
          <cell r="H382">
            <v>24</v>
          </cell>
          <cell r="I382">
            <v>24</v>
          </cell>
          <cell r="K382">
            <v>24</v>
          </cell>
          <cell r="L382">
            <v>25</v>
          </cell>
          <cell r="M382">
            <v>23</v>
          </cell>
          <cell r="N382">
            <v>25</v>
          </cell>
          <cell r="P382">
            <v>643</v>
          </cell>
        </row>
        <row r="383">
          <cell r="A383">
            <v>21</v>
          </cell>
          <cell r="B383">
            <v>45.5</v>
          </cell>
          <cell r="C383">
            <v>47</v>
          </cell>
          <cell r="D383">
            <v>23</v>
          </cell>
          <cell r="F383">
            <v>24.5</v>
          </cell>
          <cell r="G383">
            <v>24</v>
          </cell>
          <cell r="H383">
            <v>23</v>
          </cell>
          <cell r="I383">
            <v>21</v>
          </cell>
          <cell r="K383">
            <v>23</v>
          </cell>
          <cell r="L383">
            <v>24</v>
          </cell>
          <cell r="M383">
            <v>21</v>
          </cell>
          <cell r="N383">
            <v>23</v>
          </cell>
          <cell r="P383">
            <v>646</v>
          </cell>
        </row>
        <row r="384">
          <cell r="A384">
            <v>23</v>
          </cell>
          <cell r="B384">
            <v>47</v>
          </cell>
          <cell r="C384">
            <v>45</v>
          </cell>
          <cell r="D384">
            <v>22</v>
          </cell>
          <cell r="F384">
            <v>23</v>
          </cell>
          <cell r="G384">
            <v>21</v>
          </cell>
          <cell r="H384">
            <v>23</v>
          </cell>
          <cell r="I384">
            <v>21</v>
          </cell>
          <cell r="K384">
            <v>23</v>
          </cell>
          <cell r="L384">
            <v>24</v>
          </cell>
          <cell r="M384">
            <v>23</v>
          </cell>
          <cell r="N384">
            <v>21</v>
          </cell>
          <cell r="P384">
            <v>649</v>
          </cell>
        </row>
        <row r="385">
          <cell r="A385">
            <v>21</v>
          </cell>
          <cell r="B385">
            <v>47</v>
          </cell>
          <cell r="C385">
            <v>50</v>
          </cell>
          <cell r="D385">
            <v>22</v>
          </cell>
          <cell r="F385">
            <v>22</v>
          </cell>
          <cell r="G385">
            <v>22</v>
          </cell>
          <cell r="H385">
            <v>23</v>
          </cell>
          <cell r="I385">
            <v>15</v>
          </cell>
          <cell r="K385">
            <v>23</v>
          </cell>
          <cell r="L385">
            <v>25</v>
          </cell>
          <cell r="M385">
            <v>22</v>
          </cell>
          <cell r="N385">
            <v>19</v>
          </cell>
          <cell r="P385">
            <v>654</v>
          </cell>
        </row>
        <row r="386">
          <cell r="A386">
            <v>23</v>
          </cell>
          <cell r="B386">
            <v>42</v>
          </cell>
          <cell r="C386">
            <v>26</v>
          </cell>
          <cell r="D386">
            <v>16</v>
          </cell>
          <cell r="F386">
            <v>24.5</v>
          </cell>
          <cell r="G386">
            <v>21</v>
          </cell>
          <cell r="H386">
            <v>18</v>
          </cell>
          <cell r="I386">
            <v>15</v>
          </cell>
          <cell r="K386">
            <v>22</v>
          </cell>
          <cell r="L386">
            <v>24</v>
          </cell>
          <cell r="M386">
            <v>11</v>
          </cell>
          <cell r="N386">
            <v>21</v>
          </cell>
          <cell r="P386">
            <v>659</v>
          </cell>
        </row>
        <row r="387">
          <cell r="A387">
            <v>22</v>
          </cell>
          <cell r="B387">
            <v>46.5</v>
          </cell>
          <cell r="C387">
            <v>50</v>
          </cell>
          <cell r="D387">
            <v>22</v>
          </cell>
          <cell r="F387">
            <v>25</v>
          </cell>
          <cell r="G387">
            <v>24</v>
          </cell>
          <cell r="H387">
            <v>23</v>
          </cell>
          <cell r="I387">
            <v>21</v>
          </cell>
          <cell r="K387">
            <v>24</v>
          </cell>
          <cell r="L387">
            <v>24</v>
          </cell>
          <cell r="M387">
            <v>22</v>
          </cell>
          <cell r="N387">
            <v>20</v>
          </cell>
          <cell r="P387">
            <v>660</v>
          </cell>
        </row>
        <row r="388">
          <cell r="A388">
            <v>22</v>
          </cell>
          <cell r="B388">
            <v>45</v>
          </cell>
          <cell r="C388">
            <v>47</v>
          </cell>
          <cell r="D388">
            <v>23</v>
          </cell>
          <cell r="F388">
            <v>24</v>
          </cell>
          <cell r="G388">
            <v>24</v>
          </cell>
          <cell r="H388">
            <v>23</v>
          </cell>
          <cell r="I388">
            <v>19</v>
          </cell>
          <cell r="K388">
            <v>21</v>
          </cell>
          <cell r="L388">
            <v>25</v>
          </cell>
          <cell r="M388">
            <v>21</v>
          </cell>
          <cell r="N388">
            <v>23</v>
          </cell>
          <cell r="P388">
            <v>661</v>
          </cell>
        </row>
        <row r="389">
          <cell r="A389">
            <v>21</v>
          </cell>
          <cell r="B389">
            <v>41.5</v>
          </cell>
          <cell r="C389">
            <v>50</v>
          </cell>
          <cell r="D389">
            <v>21</v>
          </cell>
          <cell r="F389">
            <v>25</v>
          </cell>
          <cell r="G389">
            <v>21</v>
          </cell>
          <cell r="H389">
            <v>22</v>
          </cell>
          <cell r="I389">
            <v>20</v>
          </cell>
          <cell r="K389">
            <v>24</v>
          </cell>
          <cell r="L389">
            <v>22</v>
          </cell>
          <cell r="M389">
            <v>21</v>
          </cell>
          <cell r="N389">
            <v>22</v>
          </cell>
          <cell r="P389">
            <v>662</v>
          </cell>
        </row>
        <row r="390">
          <cell r="A390">
            <v>23</v>
          </cell>
          <cell r="B390">
            <v>42.5</v>
          </cell>
          <cell r="C390">
            <v>46</v>
          </cell>
          <cell r="D390">
            <v>25</v>
          </cell>
          <cell r="F390">
            <v>23.5</v>
          </cell>
          <cell r="G390">
            <v>22</v>
          </cell>
          <cell r="H390">
            <v>21</v>
          </cell>
          <cell r="I390">
            <v>15</v>
          </cell>
          <cell r="K390">
            <v>23</v>
          </cell>
          <cell r="L390">
            <v>21</v>
          </cell>
          <cell r="M390">
            <v>20</v>
          </cell>
          <cell r="N390">
            <v>22</v>
          </cell>
          <cell r="P390">
            <v>663</v>
          </cell>
        </row>
        <row r="391">
          <cell r="A391">
            <v>23</v>
          </cell>
          <cell r="B391">
            <v>47</v>
          </cell>
          <cell r="C391">
            <v>48</v>
          </cell>
          <cell r="D391">
            <v>22</v>
          </cell>
          <cell r="F391">
            <v>24</v>
          </cell>
          <cell r="G391">
            <v>23</v>
          </cell>
          <cell r="H391">
            <v>23</v>
          </cell>
          <cell r="I391">
            <v>20</v>
          </cell>
          <cell r="K391">
            <v>21</v>
          </cell>
          <cell r="L391">
            <v>25</v>
          </cell>
          <cell r="M391">
            <v>20</v>
          </cell>
          <cell r="N391">
            <v>22</v>
          </cell>
          <cell r="P391">
            <v>664</v>
          </cell>
        </row>
        <row r="392">
          <cell r="A392">
            <v>20</v>
          </cell>
          <cell r="B392">
            <v>45</v>
          </cell>
          <cell r="C392">
            <v>37</v>
          </cell>
          <cell r="D392">
            <v>13</v>
          </cell>
          <cell r="F392">
            <v>24</v>
          </cell>
          <cell r="G392">
            <v>22</v>
          </cell>
          <cell r="H392">
            <v>18</v>
          </cell>
          <cell r="I392">
            <v>13</v>
          </cell>
          <cell r="K392">
            <v>20</v>
          </cell>
          <cell r="L392">
            <v>17</v>
          </cell>
          <cell r="M392">
            <v>16</v>
          </cell>
          <cell r="N392">
            <v>25</v>
          </cell>
          <cell r="P392">
            <v>665</v>
          </cell>
        </row>
        <row r="393">
          <cell r="A393">
            <v>22</v>
          </cell>
          <cell r="B393">
            <v>47</v>
          </cell>
          <cell r="C393">
            <v>50</v>
          </cell>
          <cell r="D393">
            <v>22</v>
          </cell>
          <cell r="F393">
            <v>24</v>
          </cell>
          <cell r="G393">
            <v>22</v>
          </cell>
          <cell r="H393">
            <v>22</v>
          </cell>
          <cell r="I393">
            <v>21</v>
          </cell>
          <cell r="K393">
            <v>24</v>
          </cell>
          <cell r="L393">
            <v>22</v>
          </cell>
          <cell r="M393">
            <v>21</v>
          </cell>
          <cell r="N393">
            <v>22</v>
          </cell>
          <cell r="P393">
            <v>666</v>
          </cell>
        </row>
        <row r="394">
          <cell r="A394">
            <v>24</v>
          </cell>
          <cell r="B394">
            <v>47.5</v>
          </cell>
          <cell r="C394">
            <v>50</v>
          </cell>
          <cell r="D394">
            <v>24</v>
          </cell>
          <cell r="F394">
            <v>25</v>
          </cell>
          <cell r="G394">
            <v>22</v>
          </cell>
          <cell r="H394">
            <v>23</v>
          </cell>
          <cell r="I394">
            <v>23</v>
          </cell>
          <cell r="K394">
            <v>24</v>
          </cell>
          <cell r="L394">
            <v>23</v>
          </cell>
          <cell r="M394">
            <v>22</v>
          </cell>
          <cell r="N394">
            <v>24</v>
          </cell>
          <cell r="P394">
            <v>667</v>
          </cell>
        </row>
        <row r="395">
          <cell r="A395">
            <v>20</v>
          </cell>
          <cell r="B395">
            <v>42.5</v>
          </cell>
          <cell r="C395">
            <v>46</v>
          </cell>
          <cell r="D395">
            <v>22</v>
          </cell>
          <cell r="F395">
            <v>24</v>
          </cell>
          <cell r="G395">
            <v>23</v>
          </cell>
          <cell r="H395">
            <v>25</v>
          </cell>
          <cell r="I395">
            <v>21</v>
          </cell>
          <cell r="K395">
            <v>22</v>
          </cell>
          <cell r="L395">
            <v>22</v>
          </cell>
          <cell r="M395">
            <v>23</v>
          </cell>
          <cell r="N395">
            <v>17</v>
          </cell>
          <cell r="P395">
            <v>669</v>
          </cell>
        </row>
        <row r="396">
          <cell r="A396">
            <v>24</v>
          </cell>
          <cell r="B396">
            <v>46</v>
          </cell>
          <cell r="C396">
            <v>48</v>
          </cell>
          <cell r="D396">
            <v>22</v>
          </cell>
          <cell r="F396">
            <v>22</v>
          </cell>
          <cell r="G396">
            <v>22</v>
          </cell>
          <cell r="H396">
            <v>23</v>
          </cell>
          <cell r="I396">
            <v>23</v>
          </cell>
          <cell r="K396">
            <v>20</v>
          </cell>
          <cell r="L396">
            <v>24</v>
          </cell>
          <cell r="M396">
            <v>21</v>
          </cell>
          <cell r="N396">
            <v>21</v>
          </cell>
          <cell r="P396">
            <v>670</v>
          </cell>
        </row>
        <row r="397">
          <cell r="A397">
            <v>24</v>
          </cell>
          <cell r="B397">
            <v>46.5</v>
          </cell>
          <cell r="C397">
            <v>49</v>
          </cell>
          <cell r="D397">
            <v>24</v>
          </cell>
          <cell r="F397">
            <v>24</v>
          </cell>
          <cell r="G397">
            <v>24</v>
          </cell>
          <cell r="H397">
            <v>25</v>
          </cell>
          <cell r="I397">
            <v>23</v>
          </cell>
          <cell r="K397">
            <v>24</v>
          </cell>
          <cell r="L397">
            <v>24</v>
          </cell>
          <cell r="M397">
            <v>22</v>
          </cell>
          <cell r="N397">
            <v>24</v>
          </cell>
          <cell r="P397">
            <v>671</v>
          </cell>
        </row>
        <row r="398">
          <cell r="A398">
            <v>20</v>
          </cell>
          <cell r="B398">
            <v>36.5</v>
          </cell>
          <cell r="C398">
            <v>30</v>
          </cell>
          <cell r="D398">
            <v>15</v>
          </cell>
          <cell r="F398">
            <v>24</v>
          </cell>
          <cell r="G398">
            <v>23</v>
          </cell>
          <cell r="H398">
            <v>20</v>
          </cell>
          <cell r="I398">
            <v>13</v>
          </cell>
          <cell r="K398">
            <v>15</v>
          </cell>
          <cell r="L398">
            <v>21</v>
          </cell>
          <cell r="M398">
            <v>18</v>
          </cell>
          <cell r="N398">
            <v>14</v>
          </cell>
          <cell r="P398">
            <v>673</v>
          </cell>
        </row>
        <row r="399">
          <cell r="A399">
            <v>20</v>
          </cell>
          <cell r="B399">
            <v>47</v>
          </cell>
          <cell r="C399">
            <v>49</v>
          </cell>
          <cell r="D399">
            <v>21</v>
          </cell>
          <cell r="F399">
            <v>24</v>
          </cell>
          <cell r="G399">
            <v>23</v>
          </cell>
          <cell r="H399">
            <v>22</v>
          </cell>
          <cell r="I399">
            <v>19</v>
          </cell>
          <cell r="K399">
            <v>23</v>
          </cell>
          <cell r="L399">
            <v>22</v>
          </cell>
          <cell r="M399">
            <v>21</v>
          </cell>
          <cell r="N399">
            <v>24</v>
          </cell>
          <cell r="P399">
            <v>677</v>
          </cell>
        </row>
        <row r="400">
          <cell r="A400">
            <v>23</v>
          </cell>
          <cell r="B400">
            <v>50</v>
          </cell>
          <cell r="C400">
            <v>50</v>
          </cell>
          <cell r="D400">
            <v>24</v>
          </cell>
          <cell r="F400">
            <v>25</v>
          </cell>
          <cell r="G400">
            <v>25</v>
          </cell>
          <cell r="H400">
            <v>25</v>
          </cell>
          <cell r="I400">
            <v>23</v>
          </cell>
          <cell r="K400">
            <v>25</v>
          </cell>
          <cell r="L400">
            <v>25</v>
          </cell>
          <cell r="M400">
            <v>23</v>
          </cell>
          <cell r="N400">
            <v>25</v>
          </cell>
          <cell r="P400">
            <v>678</v>
          </cell>
        </row>
        <row r="401">
          <cell r="A401">
            <v>25</v>
          </cell>
          <cell r="B401">
            <v>49.5</v>
          </cell>
          <cell r="C401">
            <v>49</v>
          </cell>
          <cell r="D401">
            <v>21</v>
          </cell>
          <cell r="F401">
            <v>25</v>
          </cell>
          <cell r="G401">
            <v>20</v>
          </cell>
          <cell r="H401">
            <v>25</v>
          </cell>
          <cell r="I401">
            <v>21</v>
          </cell>
          <cell r="K401">
            <v>24</v>
          </cell>
          <cell r="L401">
            <v>24</v>
          </cell>
          <cell r="M401">
            <v>23</v>
          </cell>
          <cell r="N401">
            <v>24</v>
          </cell>
          <cell r="P401">
            <v>679</v>
          </cell>
        </row>
        <row r="402">
          <cell r="A402">
            <v>25</v>
          </cell>
          <cell r="B402">
            <v>48.5</v>
          </cell>
          <cell r="C402">
            <v>50</v>
          </cell>
          <cell r="D402">
            <v>22</v>
          </cell>
          <cell r="F402">
            <v>24</v>
          </cell>
          <cell r="G402">
            <v>22</v>
          </cell>
          <cell r="H402">
            <v>24</v>
          </cell>
          <cell r="I402">
            <v>21</v>
          </cell>
          <cell r="K402">
            <v>25</v>
          </cell>
          <cell r="L402">
            <v>25</v>
          </cell>
          <cell r="M402">
            <v>22</v>
          </cell>
          <cell r="N402">
            <v>24</v>
          </cell>
          <cell r="P402">
            <v>680</v>
          </cell>
        </row>
        <row r="403">
          <cell r="A403">
            <v>24</v>
          </cell>
          <cell r="B403">
            <v>48.5</v>
          </cell>
          <cell r="C403">
            <v>50</v>
          </cell>
          <cell r="D403">
            <v>21</v>
          </cell>
          <cell r="F403">
            <v>25</v>
          </cell>
          <cell r="G403">
            <v>23</v>
          </cell>
          <cell r="H403">
            <v>24</v>
          </cell>
          <cell r="I403">
            <v>19</v>
          </cell>
          <cell r="K403">
            <v>25</v>
          </cell>
          <cell r="L403">
            <v>25</v>
          </cell>
          <cell r="M403">
            <v>23</v>
          </cell>
          <cell r="N403">
            <v>22</v>
          </cell>
          <cell r="P403">
            <v>681</v>
          </cell>
        </row>
        <row r="404">
          <cell r="A404">
            <v>24</v>
          </cell>
          <cell r="B404">
            <v>48.5</v>
          </cell>
          <cell r="C404">
            <v>50</v>
          </cell>
          <cell r="D404">
            <v>24</v>
          </cell>
          <cell r="F404">
            <v>24</v>
          </cell>
          <cell r="G404">
            <v>24</v>
          </cell>
          <cell r="H404">
            <v>24</v>
          </cell>
          <cell r="I404">
            <v>20</v>
          </cell>
          <cell r="K404">
            <v>22</v>
          </cell>
          <cell r="L404">
            <v>24</v>
          </cell>
          <cell r="M404">
            <v>23</v>
          </cell>
          <cell r="N404">
            <v>25</v>
          </cell>
          <cell r="P404">
            <v>682</v>
          </cell>
        </row>
        <row r="405">
          <cell r="A405">
            <v>19</v>
          </cell>
          <cell r="B405">
            <v>45</v>
          </cell>
          <cell r="C405">
            <v>47</v>
          </cell>
          <cell r="D405">
            <v>21</v>
          </cell>
          <cell r="F405">
            <v>24</v>
          </cell>
          <cell r="G405">
            <v>23</v>
          </cell>
          <cell r="H405">
            <v>23</v>
          </cell>
          <cell r="I405">
            <v>19</v>
          </cell>
          <cell r="K405">
            <v>18</v>
          </cell>
          <cell r="L405">
            <v>24</v>
          </cell>
          <cell r="M405">
            <v>18</v>
          </cell>
          <cell r="N405">
            <v>20</v>
          </cell>
          <cell r="P405">
            <v>683</v>
          </cell>
        </row>
        <row r="406">
          <cell r="A406">
            <v>20</v>
          </cell>
          <cell r="B406">
            <v>37</v>
          </cell>
          <cell r="C406">
            <v>24</v>
          </cell>
          <cell r="D406">
            <v>16</v>
          </cell>
          <cell r="F406">
            <v>20</v>
          </cell>
          <cell r="G406">
            <v>22</v>
          </cell>
          <cell r="H406">
            <v>13</v>
          </cell>
          <cell r="I406">
            <v>15</v>
          </cell>
          <cell r="K406">
            <v>21</v>
          </cell>
          <cell r="L406">
            <v>24</v>
          </cell>
          <cell r="M406">
            <v>12</v>
          </cell>
          <cell r="N406">
            <v>18</v>
          </cell>
          <cell r="P406">
            <v>684</v>
          </cell>
        </row>
        <row r="407">
          <cell r="A407">
            <v>22</v>
          </cell>
          <cell r="B407">
            <v>48</v>
          </cell>
          <cell r="C407">
            <v>48</v>
          </cell>
          <cell r="D407">
            <v>19</v>
          </cell>
          <cell r="F407">
            <v>25</v>
          </cell>
          <cell r="G407">
            <v>22.5</v>
          </cell>
          <cell r="H407">
            <v>22</v>
          </cell>
          <cell r="I407">
            <v>20</v>
          </cell>
          <cell r="K407">
            <v>23</v>
          </cell>
          <cell r="L407">
            <v>25</v>
          </cell>
          <cell r="M407">
            <v>20</v>
          </cell>
          <cell r="N407">
            <v>24</v>
          </cell>
          <cell r="P407">
            <v>685</v>
          </cell>
        </row>
        <row r="408">
          <cell r="A408">
            <v>23</v>
          </cell>
          <cell r="B408">
            <v>48.5</v>
          </cell>
          <cell r="C408">
            <v>50</v>
          </cell>
          <cell r="D408">
            <v>21</v>
          </cell>
          <cell r="F408">
            <v>25</v>
          </cell>
          <cell r="G408">
            <v>24</v>
          </cell>
          <cell r="H408">
            <v>22</v>
          </cell>
          <cell r="I408">
            <v>22</v>
          </cell>
          <cell r="K408">
            <v>25</v>
          </cell>
          <cell r="L408">
            <v>25</v>
          </cell>
          <cell r="M408">
            <v>23</v>
          </cell>
          <cell r="N408">
            <v>25</v>
          </cell>
          <cell r="P408">
            <v>686</v>
          </cell>
        </row>
        <row r="409">
          <cell r="A409">
            <v>21</v>
          </cell>
          <cell r="B409">
            <v>43.5</v>
          </cell>
          <cell r="C409">
            <v>47</v>
          </cell>
          <cell r="D409">
            <v>22</v>
          </cell>
          <cell r="F409">
            <v>25</v>
          </cell>
          <cell r="G409">
            <v>23</v>
          </cell>
          <cell r="H409">
            <v>20</v>
          </cell>
          <cell r="I409">
            <v>18</v>
          </cell>
          <cell r="K409">
            <v>23</v>
          </cell>
          <cell r="L409">
            <v>24</v>
          </cell>
          <cell r="M409">
            <v>16</v>
          </cell>
          <cell r="N409">
            <v>24</v>
          </cell>
          <cell r="P409">
            <v>687</v>
          </cell>
        </row>
        <row r="410">
          <cell r="A410">
            <v>23</v>
          </cell>
          <cell r="B410">
            <v>48</v>
          </cell>
          <cell r="C410">
            <v>50</v>
          </cell>
          <cell r="D410">
            <v>22</v>
          </cell>
          <cell r="F410">
            <v>24</v>
          </cell>
          <cell r="G410">
            <v>23</v>
          </cell>
          <cell r="H410">
            <v>24</v>
          </cell>
          <cell r="I410">
            <v>20</v>
          </cell>
          <cell r="K410">
            <v>25</v>
          </cell>
          <cell r="L410">
            <v>25</v>
          </cell>
          <cell r="M410">
            <v>23</v>
          </cell>
          <cell r="N410">
            <v>22</v>
          </cell>
          <cell r="P410">
            <v>688</v>
          </cell>
        </row>
        <row r="411">
          <cell r="A411">
            <v>22</v>
          </cell>
          <cell r="B411">
            <v>48.5</v>
          </cell>
          <cell r="C411">
            <v>50</v>
          </cell>
          <cell r="D411">
            <v>23</v>
          </cell>
          <cell r="F411">
            <v>25</v>
          </cell>
          <cell r="G411">
            <v>23.5</v>
          </cell>
          <cell r="H411">
            <v>25</v>
          </cell>
          <cell r="I411" t="str">
            <v>غ</v>
          </cell>
          <cell r="K411">
            <v>21</v>
          </cell>
          <cell r="L411">
            <v>25</v>
          </cell>
          <cell r="M411">
            <v>23</v>
          </cell>
          <cell r="N411">
            <v>23</v>
          </cell>
          <cell r="P411">
            <v>689</v>
          </cell>
        </row>
        <row r="412">
          <cell r="A412">
            <v>23</v>
          </cell>
          <cell r="B412">
            <v>45.5</v>
          </cell>
          <cell r="C412">
            <v>47</v>
          </cell>
          <cell r="D412">
            <v>22</v>
          </cell>
          <cell r="F412">
            <v>25</v>
          </cell>
          <cell r="G412">
            <v>23.5</v>
          </cell>
          <cell r="H412">
            <v>23</v>
          </cell>
          <cell r="I412">
            <v>19</v>
          </cell>
          <cell r="K412">
            <v>23</v>
          </cell>
          <cell r="L412">
            <v>23</v>
          </cell>
          <cell r="M412">
            <v>24</v>
          </cell>
          <cell r="N412">
            <v>25</v>
          </cell>
          <cell r="P412">
            <v>690</v>
          </cell>
        </row>
        <row r="413">
          <cell r="A413">
            <v>23</v>
          </cell>
          <cell r="B413">
            <v>44</v>
          </cell>
          <cell r="C413">
            <v>46</v>
          </cell>
          <cell r="D413">
            <v>20</v>
          </cell>
          <cell r="F413">
            <v>25</v>
          </cell>
          <cell r="G413">
            <v>23.5</v>
          </cell>
          <cell r="H413">
            <v>24</v>
          </cell>
          <cell r="I413">
            <v>23</v>
          </cell>
          <cell r="K413">
            <v>22</v>
          </cell>
          <cell r="L413">
            <v>24</v>
          </cell>
          <cell r="M413">
            <v>21</v>
          </cell>
          <cell r="N413">
            <v>22</v>
          </cell>
          <cell r="P413">
            <v>693</v>
          </cell>
        </row>
        <row r="414">
          <cell r="A414">
            <v>22</v>
          </cell>
          <cell r="B414">
            <v>38</v>
          </cell>
          <cell r="C414">
            <v>39</v>
          </cell>
          <cell r="D414">
            <v>20</v>
          </cell>
          <cell r="F414">
            <v>24</v>
          </cell>
          <cell r="G414">
            <v>24.5</v>
          </cell>
          <cell r="H414">
            <v>21</v>
          </cell>
          <cell r="I414">
            <v>16</v>
          </cell>
          <cell r="K414">
            <v>20</v>
          </cell>
          <cell r="L414">
            <v>24</v>
          </cell>
          <cell r="M414">
            <v>23</v>
          </cell>
          <cell r="N414">
            <v>24</v>
          </cell>
          <cell r="P414">
            <v>694</v>
          </cell>
        </row>
        <row r="415">
          <cell r="A415">
            <v>24</v>
          </cell>
          <cell r="B415">
            <v>33</v>
          </cell>
          <cell r="C415">
            <v>23</v>
          </cell>
          <cell r="D415">
            <v>14</v>
          </cell>
          <cell r="F415">
            <v>20</v>
          </cell>
          <cell r="G415">
            <v>21.5</v>
          </cell>
          <cell r="H415">
            <v>24</v>
          </cell>
          <cell r="I415">
            <v>13</v>
          </cell>
          <cell r="K415">
            <v>17</v>
          </cell>
          <cell r="L415">
            <v>23</v>
          </cell>
          <cell r="M415">
            <v>16</v>
          </cell>
          <cell r="N415">
            <v>14</v>
          </cell>
          <cell r="P415">
            <v>696</v>
          </cell>
        </row>
        <row r="416">
          <cell r="A416">
            <v>22</v>
          </cell>
          <cell r="B416">
            <v>46</v>
          </cell>
          <cell r="C416">
            <v>47</v>
          </cell>
          <cell r="D416">
            <v>19</v>
          </cell>
          <cell r="F416">
            <v>24</v>
          </cell>
          <cell r="G416">
            <v>23.5</v>
          </cell>
          <cell r="H416">
            <v>22</v>
          </cell>
          <cell r="I416">
            <v>22</v>
          </cell>
          <cell r="K416">
            <v>23</v>
          </cell>
          <cell r="L416">
            <v>23</v>
          </cell>
          <cell r="M416">
            <v>22</v>
          </cell>
          <cell r="N416">
            <v>25</v>
          </cell>
          <cell r="P416">
            <v>698</v>
          </cell>
        </row>
        <row r="417">
          <cell r="A417">
            <v>21</v>
          </cell>
          <cell r="B417">
            <v>46</v>
          </cell>
          <cell r="C417">
            <v>49</v>
          </cell>
          <cell r="D417">
            <v>21</v>
          </cell>
          <cell r="F417">
            <v>24</v>
          </cell>
          <cell r="G417">
            <v>24</v>
          </cell>
          <cell r="H417">
            <v>25</v>
          </cell>
          <cell r="I417">
            <v>24</v>
          </cell>
          <cell r="K417">
            <v>23</v>
          </cell>
          <cell r="L417">
            <v>24</v>
          </cell>
          <cell r="M417">
            <v>23</v>
          </cell>
          <cell r="N417">
            <v>23</v>
          </cell>
          <cell r="P417">
            <v>703</v>
          </cell>
        </row>
        <row r="418">
          <cell r="A418">
            <v>24</v>
          </cell>
          <cell r="B418">
            <v>49.5</v>
          </cell>
          <cell r="C418">
            <v>50</v>
          </cell>
          <cell r="D418">
            <v>22</v>
          </cell>
          <cell r="F418">
            <v>25</v>
          </cell>
          <cell r="G418">
            <v>23</v>
          </cell>
          <cell r="H418">
            <v>25</v>
          </cell>
          <cell r="I418">
            <v>23</v>
          </cell>
          <cell r="K418">
            <v>25</v>
          </cell>
          <cell r="L418">
            <v>25</v>
          </cell>
          <cell r="M418">
            <v>23</v>
          </cell>
          <cell r="N418">
            <v>23</v>
          </cell>
          <cell r="P418">
            <v>704</v>
          </cell>
        </row>
        <row r="419">
          <cell r="A419">
            <v>22</v>
          </cell>
          <cell r="B419">
            <v>47.5</v>
          </cell>
          <cell r="C419">
            <v>50</v>
          </cell>
          <cell r="D419">
            <v>23</v>
          </cell>
          <cell r="F419">
            <v>24</v>
          </cell>
          <cell r="G419">
            <v>23.5</v>
          </cell>
          <cell r="H419">
            <v>25</v>
          </cell>
          <cell r="I419">
            <v>24</v>
          </cell>
          <cell r="K419">
            <v>23</v>
          </cell>
          <cell r="L419">
            <v>25</v>
          </cell>
          <cell r="M419">
            <v>24</v>
          </cell>
          <cell r="N419">
            <v>24</v>
          </cell>
          <cell r="P419">
            <v>705</v>
          </cell>
        </row>
        <row r="420">
          <cell r="A420">
            <v>25</v>
          </cell>
          <cell r="B420">
            <v>48</v>
          </cell>
          <cell r="C420">
            <v>50</v>
          </cell>
          <cell r="D420">
            <v>24</v>
          </cell>
          <cell r="F420">
            <v>25</v>
          </cell>
          <cell r="G420">
            <v>22.5</v>
          </cell>
          <cell r="H420">
            <v>25</v>
          </cell>
          <cell r="I420">
            <v>23</v>
          </cell>
          <cell r="K420">
            <v>23</v>
          </cell>
          <cell r="L420">
            <v>25</v>
          </cell>
          <cell r="M420">
            <v>23</v>
          </cell>
          <cell r="N420">
            <v>25</v>
          </cell>
          <cell r="P420">
            <v>706</v>
          </cell>
        </row>
        <row r="421">
          <cell r="A421">
            <v>24</v>
          </cell>
          <cell r="B421">
            <v>47.5</v>
          </cell>
          <cell r="C421">
            <v>50</v>
          </cell>
          <cell r="D421">
            <v>20</v>
          </cell>
          <cell r="F421">
            <v>25</v>
          </cell>
          <cell r="G421">
            <v>24</v>
          </cell>
          <cell r="H421">
            <v>23</v>
          </cell>
          <cell r="I421">
            <v>20</v>
          </cell>
          <cell r="K421">
            <v>22</v>
          </cell>
          <cell r="L421">
            <v>25</v>
          </cell>
          <cell r="M421">
            <v>22</v>
          </cell>
          <cell r="N421">
            <v>24</v>
          </cell>
          <cell r="P421">
            <v>707</v>
          </cell>
        </row>
        <row r="422">
          <cell r="A422">
            <v>24</v>
          </cell>
          <cell r="B422">
            <v>47</v>
          </cell>
          <cell r="C422">
            <v>50</v>
          </cell>
          <cell r="D422">
            <v>23</v>
          </cell>
          <cell r="F422">
            <v>25</v>
          </cell>
          <cell r="G422">
            <v>24.5</v>
          </cell>
          <cell r="H422">
            <v>22</v>
          </cell>
          <cell r="I422">
            <v>22</v>
          </cell>
          <cell r="K422">
            <v>23</v>
          </cell>
          <cell r="L422">
            <v>23</v>
          </cell>
          <cell r="M422">
            <v>24</v>
          </cell>
          <cell r="N422">
            <v>24</v>
          </cell>
          <cell r="P422">
            <v>708</v>
          </cell>
        </row>
        <row r="423">
          <cell r="A423">
            <v>21</v>
          </cell>
          <cell r="B423">
            <v>44.5</v>
          </cell>
          <cell r="C423">
            <v>48</v>
          </cell>
          <cell r="D423">
            <v>21</v>
          </cell>
          <cell r="F423">
            <v>19</v>
          </cell>
          <cell r="G423">
            <v>23</v>
          </cell>
          <cell r="H423">
            <v>17</v>
          </cell>
          <cell r="I423">
            <v>20</v>
          </cell>
          <cell r="K423">
            <v>17</v>
          </cell>
          <cell r="L423">
            <v>24</v>
          </cell>
          <cell r="M423">
            <v>19</v>
          </cell>
          <cell r="N423">
            <v>21</v>
          </cell>
          <cell r="P423">
            <v>710</v>
          </cell>
        </row>
        <row r="424">
          <cell r="A424">
            <v>20</v>
          </cell>
          <cell r="B424">
            <v>44</v>
          </cell>
          <cell r="C424">
            <v>46</v>
          </cell>
          <cell r="D424">
            <v>19</v>
          </cell>
          <cell r="F424">
            <v>25</v>
          </cell>
          <cell r="G424">
            <v>24</v>
          </cell>
          <cell r="H424">
            <v>20</v>
          </cell>
          <cell r="I424">
            <v>16</v>
          </cell>
          <cell r="K424">
            <v>24</v>
          </cell>
          <cell r="L424">
            <v>24</v>
          </cell>
          <cell r="M424">
            <v>19</v>
          </cell>
          <cell r="N424">
            <v>23</v>
          </cell>
          <cell r="P424">
            <v>711</v>
          </cell>
        </row>
        <row r="425">
          <cell r="A425">
            <v>21</v>
          </cell>
          <cell r="B425">
            <v>42.5</v>
          </cell>
          <cell r="C425">
            <v>49</v>
          </cell>
          <cell r="D425">
            <v>23</v>
          </cell>
          <cell r="F425">
            <v>25</v>
          </cell>
          <cell r="G425">
            <v>23.5</v>
          </cell>
          <cell r="H425">
            <v>24</v>
          </cell>
          <cell r="I425">
            <v>20</v>
          </cell>
          <cell r="K425">
            <v>25</v>
          </cell>
          <cell r="L425">
            <v>25</v>
          </cell>
          <cell r="M425">
            <v>21</v>
          </cell>
          <cell r="N425">
            <v>24</v>
          </cell>
          <cell r="P425">
            <v>715</v>
          </cell>
        </row>
        <row r="426">
          <cell r="A426">
            <v>23</v>
          </cell>
          <cell r="B426">
            <v>47</v>
          </cell>
          <cell r="C426">
            <v>49</v>
          </cell>
          <cell r="D426">
            <v>23</v>
          </cell>
          <cell r="F426">
            <v>24</v>
          </cell>
          <cell r="G426">
            <v>23</v>
          </cell>
          <cell r="H426">
            <v>24</v>
          </cell>
          <cell r="I426">
            <v>20</v>
          </cell>
          <cell r="K426">
            <v>24</v>
          </cell>
          <cell r="L426">
            <v>25</v>
          </cell>
          <cell r="M426">
            <v>22</v>
          </cell>
          <cell r="N426">
            <v>25</v>
          </cell>
          <cell r="P426">
            <v>716</v>
          </cell>
        </row>
        <row r="427">
          <cell r="A427">
            <v>25</v>
          </cell>
          <cell r="B427">
            <v>46</v>
          </cell>
          <cell r="C427">
            <v>48</v>
          </cell>
          <cell r="D427">
            <v>23</v>
          </cell>
          <cell r="F427">
            <v>24</v>
          </cell>
          <cell r="G427">
            <v>22.5</v>
          </cell>
          <cell r="H427">
            <v>21</v>
          </cell>
          <cell r="I427">
            <v>21</v>
          </cell>
          <cell r="K427">
            <v>25</v>
          </cell>
          <cell r="L427">
            <v>24</v>
          </cell>
          <cell r="M427">
            <v>23</v>
          </cell>
          <cell r="N427">
            <v>23</v>
          </cell>
          <cell r="P427">
            <v>717</v>
          </cell>
        </row>
        <row r="428">
          <cell r="A428">
            <v>25</v>
          </cell>
          <cell r="B428">
            <v>49.5</v>
          </cell>
          <cell r="C428">
            <v>50</v>
          </cell>
          <cell r="D428">
            <v>19</v>
          </cell>
          <cell r="F428">
            <v>25</v>
          </cell>
          <cell r="G428">
            <v>24.5</v>
          </cell>
          <cell r="H428">
            <v>22</v>
          </cell>
          <cell r="I428">
            <v>22</v>
          </cell>
          <cell r="K428">
            <v>22</v>
          </cell>
          <cell r="L428">
            <v>25</v>
          </cell>
          <cell r="M428">
            <v>22</v>
          </cell>
          <cell r="N428">
            <v>25</v>
          </cell>
          <cell r="P428">
            <v>718</v>
          </cell>
        </row>
        <row r="429">
          <cell r="A429">
            <v>23</v>
          </cell>
          <cell r="B429">
            <v>45.5</v>
          </cell>
          <cell r="C429">
            <v>28</v>
          </cell>
          <cell r="D429">
            <v>15</v>
          </cell>
          <cell r="F429">
            <v>24</v>
          </cell>
          <cell r="G429">
            <v>21</v>
          </cell>
          <cell r="H429">
            <v>17</v>
          </cell>
          <cell r="I429">
            <v>20</v>
          </cell>
          <cell r="K429">
            <v>20</v>
          </cell>
          <cell r="L429">
            <v>23</v>
          </cell>
          <cell r="M429">
            <v>17</v>
          </cell>
          <cell r="N429">
            <v>22</v>
          </cell>
          <cell r="P429">
            <v>720</v>
          </cell>
        </row>
        <row r="430">
          <cell r="A430">
            <v>19</v>
          </cell>
          <cell r="B430">
            <v>24</v>
          </cell>
          <cell r="C430">
            <v>18</v>
          </cell>
          <cell r="D430">
            <v>13</v>
          </cell>
          <cell r="F430">
            <v>20</v>
          </cell>
          <cell r="G430">
            <v>19</v>
          </cell>
          <cell r="H430">
            <v>9</v>
          </cell>
          <cell r="I430">
            <v>11</v>
          </cell>
          <cell r="K430">
            <v>11</v>
          </cell>
          <cell r="L430">
            <v>17</v>
          </cell>
          <cell r="M430">
            <v>8</v>
          </cell>
          <cell r="N430">
            <v>9</v>
          </cell>
          <cell r="P430">
            <v>721</v>
          </cell>
        </row>
        <row r="431">
          <cell r="A431">
            <v>24</v>
          </cell>
          <cell r="B431">
            <v>42.5</v>
          </cell>
          <cell r="C431">
            <v>44</v>
          </cell>
          <cell r="D431">
            <v>22</v>
          </cell>
          <cell r="F431">
            <v>25</v>
          </cell>
          <cell r="G431">
            <v>22</v>
          </cell>
          <cell r="H431">
            <v>19</v>
          </cell>
          <cell r="I431">
            <v>21</v>
          </cell>
          <cell r="K431">
            <v>21</v>
          </cell>
          <cell r="L431">
            <v>25</v>
          </cell>
          <cell r="M431">
            <v>15</v>
          </cell>
          <cell r="N431">
            <v>24</v>
          </cell>
          <cell r="P431">
            <v>722</v>
          </cell>
        </row>
        <row r="432">
          <cell r="A432">
            <v>18</v>
          </cell>
          <cell r="B432">
            <v>47</v>
          </cell>
          <cell r="C432">
            <v>50</v>
          </cell>
          <cell r="D432">
            <v>20</v>
          </cell>
          <cell r="F432">
            <v>22</v>
          </cell>
          <cell r="G432">
            <v>23</v>
          </cell>
          <cell r="H432">
            <v>24</v>
          </cell>
          <cell r="I432">
            <v>22</v>
          </cell>
          <cell r="K432">
            <v>23</v>
          </cell>
          <cell r="L432">
            <v>25</v>
          </cell>
          <cell r="M432">
            <v>21</v>
          </cell>
          <cell r="N432">
            <v>20</v>
          </cell>
          <cell r="P432">
            <v>723</v>
          </cell>
        </row>
        <row r="433">
          <cell r="A433">
            <v>24</v>
          </cell>
          <cell r="B433">
            <v>47.5</v>
          </cell>
          <cell r="C433">
            <v>50</v>
          </cell>
          <cell r="D433">
            <v>22</v>
          </cell>
          <cell r="F433">
            <v>25</v>
          </cell>
          <cell r="G433">
            <v>23</v>
          </cell>
          <cell r="H433">
            <v>24</v>
          </cell>
          <cell r="I433">
            <v>22</v>
          </cell>
          <cell r="K433">
            <v>23</v>
          </cell>
          <cell r="L433">
            <v>25</v>
          </cell>
          <cell r="M433">
            <v>22</v>
          </cell>
          <cell r="N433">
            <v>24</v>
          </cell>
          <cell r="P433">
            <v>724</v>
          </cell>
        </row>
        <row r="434">
          <cell r="A434">
            <v>23</v>
          </cell>
          <cell r="B434">
            <v>47</v>
          </cell>
          <cell r="C434">
            <v>46</v>
          </cell>
          <cell r="D434">
            <v>20</v>
          </cell>
          <cell r="F434">
            <v>25</v>
          </cell>
          <cell r="G434">
            <v>23.5</v>
          </cell>
          <cell r="H434">
            <v>24</v>
          </cell>
          <cell r="I434">
            <v>25</v>
          </cell>
          <cell r="K434">
            <v>24</v>
          </cell>
          <cell r="L434">
            <v>25</v>
          </cell>
          <cell r="M434">
            <v>23</v>
          </cell>
          <cell r="N434">
            <v>20</v>
          </cell>
          <cell r="P434">
            <v>725</v>
          </cell>
        </row>
        <row r="435">
          <cell r="A435">
            <v>22</v>
          </cell>
          <cell r="B435">
            <v>43</v>
          </cell>
          <cell r="C435">
            <v>39</v>
          </cell>
          <cell r="D435">
            <v>19</v>
          </cell>
          <cell r="F435">
            <v>25</v>
          </cell>
          <cell r="G435">
            <v>24.5</v>
          </cell>
          <cell r="H435">
            <v>25</v>
          </cell>
          <cell r="I435">
            <v>22</v>
          </cell>
          <cell r="K435">
            <v>25</v>
          </cell>
          <cell r="L435">
            <v>24</v>
          </cell>
          <cell r="M435">
            <v>19</v>
          </cell>
          <cell r="N435">
            <v>19</v>
          </cell>
          <cell r="P435">
            <v>726</v>
          </cell>
        </row>
        <row r="436">
          <cell r="A436">
            <v>22</v>
          </cell>
          <cell r="B436">
            <v>41.5</v>
          </cell>
          <cell r="C436">
            <v>46</v>
          </cell>
          <cell r="D436">
            <v>20</v>
          </cell>
          <cell r="F436">
            <v>24</v>
          </cell>
          <cell r="G436">
            <v>21.5</v>
          </cell>
          <cell r="H436">
            <v>21</v>
          </cell>
          <cell r="I436">
            <v>15</v>
          </cell>
          <cell r="K436">
            <v>21</v>
          </cell>
          <cell r="L436">
            <v>24</v>
          </cell>
          <cell r="M436">
            <v>20</v>
          </cell>
          <cell r="N436">
            <v>19</v>
          </cell>
          <cell r="P436">
            <v>727</v>
          </cell>
        </row>
        <row r="437">
          <cell r="A437">
            <v>24</v>
          </cell>
          <cell r="B437">
            <v>46.5</v>
          </cell>
          <cell r="C437">
            <v>48</v>
          </cell>
          <cell r="D437">
            <v>22</v>
          </cell>
          <cell r="F437">
            <v>22</v>
          </cell>
          <cell r="G437">
            <v>23.5</v>
          </cell>
          <cell r="H437">
            <v>21</v>
          </cell>
          <cell r="I437">
            <v>21</v>
          </cell>
          <cell r="K437">
            <v>22</v>
          </cell>
          <cell r="L437">
            <v>25</v>
          </cell>
          <cell r="M437">
            <v>22</v>
          </cell>
          <cell r="N437">
            <v>24</v>
          </cell>
          <cell r="P437">
            <v>728</v>
          </cell>
        </row>
        <row r="438">
          <cell r="A438">
            <v>22</v>
          </cell>
          <cell r="B438">
            <v>48</v>
          </cell>
          <cell r="C438">
            <v>47</v>
          </cell>
          <cell r="D438">
            <v>23</v>
          </cell>
          <cell r="F438">
            <v>25</v>
          </cell>
          <cell r="G438">
            <v>21.5</v>
          </cell>
          <cell r="H438">
            <v>23</v>
          </cell>
          <cell r="I438">
            <v>16</v>
          </cell>
          <cell r="K438">
            <v>23</v>
          </cell>
          <cell r="L438">
            <v>22</v>
          </cell>
          <cell r="M438">
            <v>21</v>
          </cell>
          <cell r="N438">
            <v>25</v>
          </cell>
          <cell r="P438">
            <v>737</v>
          </cell>
        </row>
        <row r="439">
          <cell r="A439">
            <v>24</v>
          </cell>
          <cell r="B439">
            <v>46</v>
          </cell>
          <cell r="C439">
            <v>50</v>
          </cell>
          <cell r="D439">
            <v>21</v>
          </cell>
          <cell r="F439">
            <v>24</v>
          </cell>
          <cell r="G439">
            <v>23.5</v>
          </cell>
          <cell r="H439">
            <v>25</v>
          </cell>
          <cell r="I439">
            <v>24</v>
          </cell>
          <cell r="K439">
            <v>20</v>
          </cell>
          <cell r="L439">
            <v>25</v>
          </cell>
          <cell r="M439">
            <v>22</v>
          </cell>
          <cell r="N439">
            <v>24</v>
          </cell>
          <cell r="P439">
            <v>739</v>
          </cell>
        </row>
        <row r="440">
          <cell r="A440">
            <v>22</v>
          </cell>
          <cell r="B440">
            <v>42</v>
          </cell>
          <cell r="C440">
            <v>38</v>
          </cell>
          <cell r="D440">
            <v>19</v>
          </cell>
          <cell r="F440">
            <v>25</v>
          </cell>
          <cell r="G440">
            <v>23</v>
          </cell>
          <cell r="H440">
            <v>23</v>
          </cell>
          <cell r="I440">
            <v>19</v>
          </cell>
          <cell r="K440">
            <v>23</v>
          </cell>
          <cell r="L440">
            <v>24</v>
          </cell>
          <cell r="M440">
            <v>23</v>
          </cell>
          <cell r="N440">
            <v>24</v>
          </cell>
          <cell r="P440">
            <v>740</v>
          </cell>
        </row>
        <row r="441">
          <cell r="A441">
            <v>22</v>
          </cell>
          <cell r="B441">
            <v>36</v>
          </cell>
          <cell r="C441">
            <v>46</v>
          </cell>
          <cell r="D441">
            <v>20</v>
          </cell>
          <cell r="F441">
            <v>23</v>
          </cell>
          <cell r="G441">
            <v>21</v>
          </cell>
          <cell r="H441">
            <v>23</v>
          </cell>
          <cell r="I441">
            <v>19</v>
          </cell>
          <cell r="K441">
            <v>20</v>
          </cell>
          <cell r="L441">
            <v>23</v>
          </cell>
          <cell r="M441">
            <v>22</v>
          </cell>
          <cell r="N441">
            <v>24</v>
          </cell>
          <cell r="P441">
            <v>741</v>
          </cell>
        </row>
        <row r="442">
          <cell r="A442">
            <v>19</v>
          </cell>
          <cell r="B442">
            <v>38.5</v>
          </cell>
          <cell r="C442">
            <v>45</v>
          </cell>
          <cell r="D442">
            <v>21</v>
          </cell>
          <cell r="F442">
            <v>23</v>
          </cell>
          <cell r="G442">
            <v>23.5</v>
          </cell>
          <cell r="H442">
            <v>23</v>
          </cell>
          <cell r="I442">
            <v>21</v>
          </cell>
          <cell r="K442">
            <v>23</v>
          </cell>
          <cell r="L442">
            <v>23</v>
          </cell>
          <cell r="M442">
            <v>21</v>
          </cell>
          <cell r="N442">
            <v>24</v>
          </cell>
          <cell r="P442">
            <v>742</v>
          </cell>
        </row>
        <row r="443">
          <cell r="A443">
            <v>24</v>
          </cell>
          <cell r="B443">
            <v>44</v>
          </cell>
          <cell r="C443">
            <v>49</v>
          </cell>
          <cell r="D443">
            <v>22</v>
          </cell>
          <cell r="F443">
            <v>24</v>
          </cell>
          <cell r="G443">
            <v>22.5</v>
          </cell>
          <cell r="H443">
            <v>21</v>
          </cell>
          <cell r="I443">
            <v>21</v>
          </cell>
          <cell r="K443">
            <v>17</v>
          </cell>
          <cell r="L443">
            <v>25</v>
          </cell>
          <cell r="M443">
            <v>22</v>
          </cell>
          <cell r="N443">
            <v>24</v>
          </cell>
          <cell r="P443">
            <v>747</v>
          </cell>
        </row>
        <row r="444">
          <cell r="A444">
            <v>22</v>
          </cell>
          <cell r="B444">
            <v>43</v>
          </cell>
          <cell r="C444">
            <v>45</v>
          </cell>
          <cell r="D444">
            <v>21</v>
          </cell>
          <cell r="F444">
            <v>22</v>
          </cell>
          <cell r="G444">
            <v>23</v>
          </cell>
          <cell r="H444">
            <v>23</v>
          </cell>
          <cell r="I444">
            <v>23</v>
          </cell>
          <cell r="K444">
            <v>19</v>
          </cell>
          <cell r="L444">
            <v>24</v>
          </cell>
          <cell r="M444">
            <v>22</v>
          </cell>
          <cell r="N444">
            <v>24</v>
          </cell>
          <cell r="P444">
            <v>749</v>
          </cell>
        </row>
        <row r="445">
          <cell r="A445">
            <v>19</v>
          </cell>
          <cell r="B445">
            <v>37</v>
          </cell>
          <cell r="C445">
            <v>42</v>
          </cell>
          <cell r="D445">
            <v>21</v>
          </cell>
          <cell r="F445">
            <v>22</v>
          </cell>
          <cell r="G445">
            <v>21.5</v>
          </cell>
          <cell r="H445">
            <v>19</v>
          </cell>
          <cell r="I445">
            <v>15</v>
          </cell>
          <cell r="K445">
            <v>18</v>
          </cell>
          <cell r="L445">
            <v>23</v>
          </cell>
          <cell r="M445">
            <v>19</v>
          </cell>
          <cell r="N445">
            <v>17</v>
          </cell>
          <cell r="P445">
            <v>750</v>
          </cell>
        </row>
        <row r="446">
          <cell r="A446">
            <v>23</v>
          </cell>
          <cell r="B446">
            <v>42</v>
          </cell>
          <cell r="C446">
            <v>43</v>
          </cell>
          <cell r="D446">
            <v>22</v>
          </cell>
          <cell r="F446">
            <v>21</v>
          </cell>
          <cell r="G446">
            <v>24</v>
          </cell>
          <cell r="H446">
            <v>23</v>
          </cell>
          <cell r="I446">
            <v>20</v>
          </cell>
          <cell r="K446">
            <v>24</v>
          </cell>
          <cell r="L446">
            <v>23</v>
          </cell>
          <cell r="M446">
            <v>22</v>
          </cell>
          <cell r="N446">
            <v>24</v>
          </cell>
          <cell r="P446">
            <v>751</v>
          </cell>
        </row>
        <row r="447">
          <cell r="A447">
            <v>21</v>
          </cell>
          <cell r="B447">
            <v>45.5</v>
          </cell>
          <cell r="C447">
            <v>49</v>
          </cell>
          <cell r="D447">
            <v>17</v>
          </cell>
          <cell r="F447">
            <v>22</v>
          </cell>
          <cell r="G447">
            <v>22</v>
          </cell>
          <cell r="H447">
            <v>23</v>
          </cell>
          <cell r="I447">
            <v>19</v>
          </cell>
          <cell r="K447">
            <v>21</v>
          </cell>
          <cell r="L447">
            <v>21</v>
          </cell>
          <cell r="M447">
            <v>21</v>
          </cell>
          <cell r="N447">
            <v>19</v>
          </cell>
          <cell r="P447">
            <v>752</v>
          </cell>
        </row>
        <row r="448">
          <cell r="A448">
            <v>23</v>
          </cell>
          <cell r="B448">
            <v>35</v>
          </cell>
          <cell r="C448">
            <v>44</v>
          </cell>
          <cell r="D448">
            <v>21</v>
          </cell>
          <cell r="F448">
            <v>23</v>
          </cell>
          <cell r="G448">
            <v>22.5</v>
          </cell>
          <cell r="H448">
            <v>22</v>
          </cell>
          <cell r="I448">
            <v>17</v>
          </cell>
          <cell r="K448">
            <v>22</v>
          </cell>
          <cell r="L448">
            <v>23</v>
          </cell>
          <cell r="M448">
            <v>17</v>
          </cell>
          <cell r="N448">
            <v>21</v>
          </cell>
          <cell r="P448">
            <v>753</v>
          </cell>
        </row>
        <row r="449">
          <cell r="A449">
            <v>21</v>
          </cell>
          <cell r="B449">
            <v>46</v>
          </cell>
          <cell r="C449">
            <v>46</v>
          </cell>
          <cell r="D449">
            <v>18</v>
          </cell>
          <cell r="F449">
            <v>23</v>
          </cell>
          <cell r="G449">
            <v>23</v>
          </cell>
          <cell r="H449">
            <v>21</v>
          </cell>
          <cell r="I449">
            <v>16</v>
          </cell>
          <cell r="K449">
            <v>19</v>
          </cell>
          <cell r="L449">
            <v>22</v>
          </cell>
          <cell r="M449">
            <v>11</v>
          </cell>
          <cell r="N449">
            <v>13</v>
          </cell>
          <cell r="P449">
            <v>754</v>
          </cell>
        </row>
        <row r="450">
          <cell r="A450">
            <v>22</v>
          </cell>
          <cell r="B450">
            <v>45.5</v>
          </cell>
          <cell r="C450">
            <v>43</v>
          </cell>
          <cell r="D450">
            <v>19</v>
          </cell>
          <cell r="F450">
            <v>23</v>
          </cell>
          <cell r="G450">
            <v>25</v>
          </cell>
          <cell r="H450">
            <v>24</v>
          </cell>
          <cell r="I450">
            <v>20</v>
          </cell>
          <cell r="K450">
            <v>25</v>
          </cell>
          <cell r="L450">
            <v>25</v>
          </cell>
          <cell r="M450">
            <v>22</v>
          </cell>
          <cell r="N450">
            <v>23</v>
          </cell>
          <cell r="P450">
            <v>755</v>
          </cell>
        </row>
        <row r="451">
          <cell r="A451">
            <v>24</v>
          </cell>
          <cell r="B451">
            <v>47.5</v>
          </cell>
          <cell r="C451">
            <v>48</v>
          </cell>
          <cell r="D451">
            <v>23</v>
          </cell>
          <cell r="F451">
            <v>24</v>
          </cell>
          <cell r="G451">
            <v>22</v>
          </cell>
          <cell r="H451">
            <v>23</v>
          </cell>
          <cell r="I451">
            <v>22</v>
          </cell>
          <cell r="K451">
            <v>23</v>
          </cell>
          <cell r="L451">
            <v>25</v>
          </cell>
          <cell r="M451">
            <v>21</v>
          </cell>
          <cell r="N451">
            <v>25</v>
          </cell>
          <cell r="P451">
            <v>756</v>
          </cell>
        </row>
        <row r="452">
          <cell r="A452">
            <v>24</v>
          </cell>
          <cell r="B452">
            <v>49.5</v>
          </cell>
          <cell r="C452">
            <v>50</v>
          </cell>
          <cell r="D452">
            <v>24</v>
          </cell>
          <cell r="F452">
            <v>23</v>
          </cell>
          <cell r="G452">
            <v>23</v>
          </cell>
          <cell r="H452">
            <v>25</v>
          </cell>
          <cell r="I452">
            <v>23</v>
          </cell>
          <cell r="K452">
            <v>23</v>
          </cell>
          <cell r="L452">
            <v>25</v>
          </cell>
          <cell r="M452">
            <v>24</v>
          </cell>
          <cell r="N452">
            <v>24</v>
          </cell>
          <cell r="P452">
            <v>757</v>
          </cell>
        </row>
        <row r="453">
          <cell r="A453">
            <v>23</v>
          </cell>
          <cell r="B453">
            <v>46.5</v>
          </cell>
          <cell r="C453">
            <v>50</v>
          </cell>
          <cell r="D453">
            <v>19</v>
          </cell>
          <cell r="F453">
            <v>25</v>
          </cell>
          <cell r="G453">
            <v>24</v>
          </cell>
          <cell r="H453">
            <v>24</v>
          </cell>
          <cell r="I453">
            <v>21</v>
          </cell>
          <cell r="K453">
            <v>23</v>
          </cell>
          <cell r="L453">
            <v>24</v>
          </cell>
          <cell r="M453">
            <v>23</v>
          </cell>
          <cell r="N453">
            <v>22</v>
          </cell>
          <cell r="P453">
            <v>758</v>
          </cell>
        </row>
        <row r="454">
          <cell r="A454">
            <v>18.5</v>
          </cell>
          <cell r="B454">
            <v>33</v>
          </cell>
          <cell r="C454">
            <v>31</v>
          </cell>
          <cell r="D454">
            <v>17</v>
          </cell>
          <cell r="F454">
            <v>22</v>
          </cell>
          <cell r="G454">
            <v>25</v>
          </cell>
          <cell r="H454">
            <v>15</v>
          </cell>
          <cell r="I454">
            <v>17</v>
          </cell>
          <cell r="K454">
            <v>19</v>
          </cell>
          <cell r="L454">
            <v>23</v>
          </cell>
          <cell r="M454">
            <v>17</v>
          </cell>
          <cell r="N454">
            <v>15</v>
          </cell>
          <cell r="P454">
            <v>760</v>
          </cell>
        </row>
        <row r="455">
          <cell r="A455">
            <v>23</v>
          </cell>
          <cell r="B455">
            <v>35.5</v>
          </cell>
          <cell r="C455">
            <v>43</v>
          </cell>
          <cell r="D455">
            <v>21</v>
          </cell>
          <cell r="F455">
            <v>23</v>
          </cell>
          <cell r="G455">
            <v>24</v>
          </cell>
          <cell r="H455">
            <v>21</v>
          </cell>
          <cell r="I455">
            <v>22</v>
          </cell>
          <cell r="K455">
            <v>21</v>
          </cell>
          <cell r="L455">
            <v>24</v>
          </cell>
          <cell r="M455">
            <v>16</v>
          </cell>
          <cell r="N455">
            <v>20</v>
          </cell>
          <cell r="P455">
            <v>761</v>
          </cell>
        </row>
        <row r="456">
          <cell r="A456">
            <v>23</v>
          </cell>
          <cell r="B456">
            <v>38.5</v>
          </cell>
          <cell r="C456">
            <v>47</v>
          </cell>
          <cell r="D456">
            <v>21</v>
          </cell>
          <cell r="F456">
            <v>24</v>
          </cell>
          <cell r="G456">
            <v>21</v>
          </cell>
          <cell r="H456">
            <v>23</v>
          </cell>
          <cell r="I456">
            <v>22</v>
          </cell>
          <cell r="K456">
            <v>21</v>
          </cell>
          <cell r="L456">
            <v>24</v>
          </cell>
          <cell r="M456">
            <v>18</v>
          </cell>
          <cell r="N456">
            <v>20</v>
          </cell>
          <cell r="P456">
            <v>762</v>
          </cell>
        </row>
        <row r="457">
          <cell r="A457">
            <v>23.5</v>
          </cell>
          <cell r="B457">
            <v>43</v>
          </cell>
          <cell r="C457">
            <v>44</v>
          </cell>
          <cell r="D457">
            <v>19</v>
          </cell>
          <cell r="F457">
            <v>23</v>
          </cell>
          <cell r="G457">
            <v>23</v>
          </cell>
          <cell r="H457">
            <v>22</v>
          </cell>
          <cell r="I457">
            <v>21</v>
          </cell>
          <cell r="K457">
            <v>21</v>
          </cell>
          <cell r="L457">
            <v>25</v>
          </cell>
          <cell r="M457">
            <v>19</v>
          </cell>
          <cell r="N457">
            <v>25</v>
          </cell>
          <cell r="P457">
            <v>764</v>
          </cell>
        </row>
        <row r="458">
          <cell r="A458">
            <v>24</v>
          </cell>
          <cell r="B458">
            <v>47.5</v>
          </cell>
          <cell r="C458">
            <v>50</v>
          </cell>
          <cell r="D458">
            <v>24</v>
          </cell>
          <cell r="F458">
            <v>25</v>
          </cell>
          <cell r="G458">
            <v>24</v>
          </cell>
          <cell r="H458">
            <v>24</v>
          </cell>
          <cell r="I458">
            <v>24</v>
          </cell>
          <cell r="K458">
            <v>24</v>
          </cell>
          <cell r="L458">
            <v>25</v>
          </cell>
          <cell r="M458">
            <v>23</v>
          </cell>
          <cell r="N458">
            <v>24</v>
          </cell>
          <cell r="P458">
            <v>766</v>
          </cell>
        </row>
        <row r="459">
          <cell r="A459">
            <v>25</v>
          </cell>
          <cell r="B459">
            <v>49</v>
          </cell>
          <cell r="C459">
            <v>50</v>
          </cell>
          <cell r="D459">
            <v>24</v>
          </cell>
          <cell r="F459">
            <v>23.5</v>
          </cell>
          <cell r="G459">
            <v>24.5</v>
          </cell>
          <cell r="H459">
            <v>25</v>
          </cell>
          <cell r="I459">
            <v>24</v>
          </cell>
          <cell r="K459">
            <v>23</v>
          </cell>
          <cell r="L459">
            <v>25</v>
          </cell>
          <cell r="M459">
            <v>23</v>
          </cell>
          <cell r="N459">
            <v>24</v>
          </cell>
          <cell r="P459">
            <v>768</v>
          </cell>
        </row>
        <row r="460">
          <cell r="A460">
            <v>24</v>
          </cell>
          <cell r="B460">
            <v>42</v>
          </cell>
          <cell r="C460">
            <v>48</v>
          </cell>
          <cell r="D460">
            <v>23</v>
          </cell>
          <cell r="F460">
            <v>25</v>
          </cell>
          <cell r="G460">
            <v>21</v>
          </cell>
          <cell r="H460">
            <v>20</v>
          </cell>
          <cell r="I460">
            <v>17</v>
          </cell>
          <cell r="K460">
            <v>23</v>
          </cell>
          <cell r="L460">
            <v>25</v>
          </cell>
          <cell r="M460">
            <v>22</v>
          </cell>
          <cell r="N460">
            <v>20</v>
          </cell>
          <cell r="P460">
            <v>769</v>
          </cell>
        </row>
        <row r="461">
          <cell r="A461">
            <v>22</v>
          </cell>
          <cell r="B461">
            <v>40.5</v>
          </cell>
          <cell r="C461">
            <v>42</v>
          </cell>
          <cell r="D461">
            <v>19</v>
          </cell>
          <cell r="F461">
            <v>22</v>
          </cell>
          <cell r="G461">
            <v>21</v>
          </cell>
          <cell r="H461">
            <v>24</v>
          </cell>
          <cell r="I461">
            <v>15</v>
          </cell>
          <cell r="K461">
            <v>19</v>
          </cell>
          <cell r="L461">
            <v>23</v>
          </cell>
          <cell r="M461">
            <v>22</v>
          </cell>
          <cell r="N461">
            <v>21</v>
          </cell>
          <cell r="P461">
            <v>770</v>
          </cell>
        </row>
        <row r="462">
          <cell r="A462">
            <v>22</v>
          </cell>
          <cell r="B462">
            <v>36.5</v>
          </cell>
          <cell r="C462">
            <v>39</v>
          </cell>
          <cell r="D462">
            <v>22</v>
          </cell>
          <cell r="F462">
            <v>22.5</v>
          </cell>
          <cell r="G462">
            <v>23</v>
          </cell>
          <cell r="H462">
            <v>21</v>
          </cell>
          <cell r="I462">
            <v>18</v>
          </cell>
          <cell r="K462">
            <v>21</v>
          </cell>
          <cell r="L462">
            <v>24</v>
          </cell>
          <cell r="M462">
            <v>15</v>
          </cell>
          <cell r="N462">
            <v>21</v>
          </cell>
          <cell r="P462">
            <v>774</v>
          </cell>
        </row>
        <row r="463">
          <cell r="A463">
            <v>20</v>
          </cell>
          <cell r="B463">
            <v>37.5</v>
          </cell>
          <cell r="C463">
            <v>29</v>
          </cell>
          <cell r="D463">
            <v>16</v>
          </cell>
          <cell r="F463">
            <v>24</v>
          </cell>
          <cell r="G463">
            <v>21</v>
          </cell>
          <cell r="H463">
            <v>17</v>
          </cell>
          <cell r="I463">
            <v>17</v>
          </cell>
          <cell r="K463">
            <v>18</v>
          </cell>
          <cell r="L463">
            <v>23</v>
          </cell>
          <cell r="M463">
            <v>13</v>
          </cell>
          <cell r="N463">
            <v>19</v>
          </cell>
          <cell r="P463">
            <v>777</v>
          </cell>
        </row>
        <row r="464">
          <cell r="A464">
            <v>23</v>
          </cell>
          <cell r="B464">
            <v>46</v>
          </cell>
          <cell r="C464">
            <v>50</v>
          </cell>
          <cell r="D464">
            <v>25</v>
          </cell>
          <cell r="F464">
            <v>25</v>
          </cell>
          <cell r="G464">
            <v>25</v>
          </cell>
          <cell r="H464">
            <v>24</v>
          </cell>
          <cell r="I464">
            <v>21</v>
          </cell>
          <cell r="K464">
            <v>25</v>
          </cell>
          <cell r="L464">
            <v>25</v>
          </cell>
          <cell r="M464">
            <v>23</v>
          </cell>
          <cell r="N464">
            <v>25</v>
          </cell>
          <cell r="P464">
            <v>779</v>
          </cell>
        </row>
        <row r="465">
          <cell r="A465">
            <v>25</v>
          </cell>
          <cell r="B465">
            <v>45.5</v>
          </cell>
          <cell r="C465">
            <v>49</v>
          </cell>
          <cell r="D465">
            <v>23</v>
          </cell>
          <cell r="F465">
            <v>25</v>
          </cell>
          <cell r="G465">
            <v>24</v>
          </cell>
          <cell r="H465">
            <v>25</v>
          </cell>
          <cell r="I465">
            <v>22</v>
          </cell>
          <cell r="K465">
            <v>23</v>
          </cell>
          <cell r="L465">
            <v>25</v>
          </cell>
          <cell r="M465">
            <v>24</v>
          </cell>
          <cell r="N465">
            <v>25</v>
          </cell>
          <cell r="P465">
            <v>780</v>
          </cell>
        </row>
        <row r="466">
          <cell r="A466">
            <v>0</v>
          </cell>
          <cell r="B466">
            <v>0</v>
          </cell>
          <cell r="C466">
            <v>50</v>
          </cell>
          <cell r="D466">
            <v>23</v>
          </cell>
          <cell r="F466" t="str">
            <v>غ</v>
          </cell>
          <cell r="G466" t="str">
            <v>غ</v>
          </cell>
          <cell r="H466">
            <v>25</v>
          </cell>
          <cell r="I466">
            <v>20</v>
          </cell>
          <cell r="K466" t="str">
            <v>غ</v>
          </cell>
          <cell r="L466" t="str">
            <v>غ</v>
          </cell>
          <cell r="M466">
            <v>23</v>
          </cell>
          <cell r="N466">
            <v>23</v>
          </cell>
          <cell r="P466">
            <v>782</v>
          </cell>
        </row>
        <row r="467">
          <cell r="A467">
            <v>23</v>
          </cell>
          <cell r="B467">
            <v>44</v>
          </cell>
          <cell r="C467">
            <v>46</v>
          </cell>
          <cell r="D467">
            <v>19</v>
          </cell>
          <cell r="F467">
            <v>24.5</v>
          </cell>
          <cell r="G467">
            <v>24</v>
          </cell>
          <cell r="H467">
            <v>22</v>
          </cell>
          <cell r="I467">
            <v>14</v>
          </cell>
          <cell r="K467">
            <v>21</v>
          </cell>
          <cell r="L467">
            <v>25</v>
          </cell>
          <cell r="M467">
            <v>19</v>
          </cell>
          <cell r="N467">
            <v>22</v>
          </cell>
          <cell r="P467">
            <v>783</v>
          </cell>
        </row>
        <row r="468">
          <cell r="A468">
            <v>21.5</v>
          </cell>
          <cell r="B468">
            <v>35.5</v>
          </cell>
          <cell r="C468">
            <v>47</v>
          </cell>
          <cell r="D468">
            <v>17</v>
          </cell>
          <cell r="F468">
            <v>22</v>
          </cell>
          <cell r="G468">
            <v>22.5</v>
          </cell>
          <cell r="H468">
            <v>22</v>
          </cell>
          <cell r="I468">
            <v>18</v>
          </cell>
          <cell r="K468">
            <v>18</v>
          </cell>
          <cell r="L468">
            <v>22</v>
          </cell>
          <cell r="M468">
            <v>15</v>
          </cell>
          <cell r="N468">
            <v>23</v>
          </cell>
          <cell r="P468">
            <v>785</v>
          </cell>
        </row>
        <row r="469">
          <cell r="A469">
            <v>20</v>
          </cell>
          <cell r="B469">
            <v>43.5</v>
          </cell>
          <cell r="C469">
            <v>46</v>
          </cell>
          <cell r="D469">
            <v>23</v>
          </cell>
          <cell r="F469">
            <v>25</v>
          </cell>
          <cell r="G469">
            <v>23.5</v>
          </cell>
          <cell r="H469">
            <v>24</v>
          </cell>
          <cell r="I469">
            <v>22</v>
          </cell>
          <cell r="K469">
            <v>22</v>
          </cell>
          <cell r="L469">
            <v>25</v>
          </cell>
          <cell r="M469">
            <v>23</v>
          </cell>
          <cell r="N469">
            <v>19</v>
          </cell>
          <cell r="P469">
            <v>788</v>
          </cell>
        </row>
        <row r="470">
          <cell r="A470">
            <v>24</v>
          </cell>
          <cell r="B470">
            <v>47.5</v>
          </cell>
          <cell r="C470">
            <v>48</v>
          </cell>
          <cell r="D470">
            <v>24</v>
          </cell>
          <cell r="F470">
            <v>24</v>
          </cell>
          <cell r="G470">
            <v>24</v>
          </cell>
          <cell r="H470">
            <v>24</v>
          </cell>
          <cell r="I470">
            <v>23</v>
          </cell>
          <cell r="K470">
            <v>21</v>
          </cell>
          <cell r="L470">
            <v>23</v>
          </cell>
          <cell r="M470">
            <v>22</v>
          </cell>
          <cell r="N470">
            <v>25</v>
          </cell>
          <cell r="P470">
            <v>791</v>
          </cell>
        </row>
        <row r="471">
          <cell r="A471">
            <v>21</v>
          </cell>
          <cell r="B471">
            <v>43.5</v>
          </cell>
          <cell r="C471">
            <v>44</v>
          </cell>
          <cell r="D471">
            <v>22</v>
          </cell>
          <cell r="F471">
            <v>19</v>
          </cell>
          <cell r="G471">
            <v>22.5</v>
          </cell>
          <cell r="H471">
            <v>18</v>
          </cell>
          <cell r="I471">
            <v>13</v>
          </cell>
          <cell r="K471">
            <v>21</v>
          </cell>
          <cell r="L471">
            <v>25</v>
          </cell>
          <cell r="M471">
            <v>18</v>
          </cell>
          <cell r="N471">
            <v>20</v>
          </cell>
          <cell r="P471">
            <v>794</v>
          </cell>
        </row>
        <row r="472">
          <cell r="A472">
            <v>21.5</v>
          </cell>
          <cell r="B472">
            <v>25</v>
          </cell>
          <cell r="C472">
            <v>39</v>
          </cell>
          <cell r="D472">
            <v>19</v>
          </cell>
          <cell r="F472">
            <v>24</v>
          </cell>
          <cell r="G472">
            <v>21.5</v>
          </cell>
          <cell r="H472">
            <v>22</v>
          </cell>
          <cell r="I472">
            <v>20</v>
          </cell>
          <cell r="K472">
            <v>19</v>
          </cell>
          <cell r="L472">
            <v>20</v>
          </cell>
          <cell r="M472">
            <v>18</v>
          </cell>
          <cell r="N472">
            <v>18</v>
          </cell>
          <cell r="P472">
            <v>802</v>
          </cell>
        </row>
        <row r="473">
          <cell r="A473">
            <v>22.5</v>
          </cell>
          <cell r="B473">
            <v>49</v>
          </cell>
          <cell r="C473">
            <v>50</v>
          </cell>
          <cell r="D473">
            <v>23</v>
          </cell>
          <cell r="F473">
            <v>23</v>
          </cell>
          <cell r="G473">
            <v>24</v>
          </cell>
          <cell r="H473">
            <v>25</v>
          </cell>
          <cell r="I473">
            <v>21</v>
          </cell>
          <cell r="K473">
            <v>24</v>
          </cell>
          <cell r="L473">
            <v>25</v>
          </cell>
          <cell r="M473">
            <v>24</v>
          </cell>
          <cell r="N473">
            <v>24</v>
          </cell>
          <cell r="P473">
            <v>803</v>
          </cell>
        </row>
        <row r="474">
          <cell r="A474">
            <v>20.5</v>
          </cell>
          <cell r="B474">
            <v>44.5</v>
          </cell>
          <cell r="C474">
            <v>50</v>
          </cell>
          <cell r="D474">
            <v>20</v>
          </cell>
          <cell r="F474">
            <v>25</v>
          </cell>
          <cell r="G474">
            <v>22.5</v>
          </cell>
          <cell r="H474">
            <v>25</v>
          </cell>
          <cell r="I474">
            <v>17</v>
          </cell>
          <cell r="K474">
            <v>23</v>
          </cell>
          <cell r="L474">
            <v>24</v>
          </cell>
          <cell r="M474">
            <v>24</v>
          </cell>
          <cell r="N474">
            <v>20</v>
          </cell>
          <cell r="P474">
            <v>804</v>
          </cell>
        </row>
        <row r="475">
          <cell r="A475">
            <v>20.5</v>
          </cell>
          <cell r="B475">
            <v>46</v>
          </cell>
          <cell r="C475">
            <v>50</v>
          </cell>
          <cell r="D475">
            <v>20</v>
          </cell>
          <cell r="F475">
            <v>20</v>
          </cell>
          <cell r="G475">
            <v>21.5</v>
          </cell>
          <cell r="H475">
            <v>24</v>
          </cell>
          <cell r="I475">
            <v>16</v>
          </cell>
          <cell r="K475">
            <v>25</v>
          </cell>
          <cell r="L475">
            <v>25</v>
          </cell>
          <cell r="M475">
            <v>24</v>
          </cell>
          <cell r="N475">
            <v>23</v>
          </cell>
          <cell r="P475">
            <v>806</v>
          </cell>
        </row>
        <row r="476">
          <cell r="A476">
            <v>21.5</v>
          </cell>
          <cell r="B476">
            <v>43</v>
          </cell>
          <cell r="C476">
            <v>40</v>
          </cell>
          <cell r="D476">
            <v>22</v>
          </cell>
          <cell r="F476">
            <v>24</v>
          </cell>
          <cell r="G476">
            <v>24</v>
          </cell>
          <cell r="H476">
            <v>22</v>
          </cell>
          <cell r="I476">
            <v>21</v>
          </cell>
          <cell r="K476">
            <v>21</v>
          </cell>
          <cell r="L476">
            <v>25</v>
          </cell>
          <cell r="M476">
            <v>17</v>
          </cell>
          <cell r="N476">
            <v>19</v>
          </cell>
          <cell r="P476">
            <v>807</v>
          </cell>
        </row>
        <row r="477">
          <cell r="A477">
            <v>22.5</v>
          </cell>
          <cell r="B477">
            <v>48.5</v>
          </cell>
          <cell r="C477">
            <v>50</v>
          </cell>
          <cell r="D477">
            <v>23</v>
          </cell>
          <cell r="F477">
            <v>25</v>
          </cell>
          <cell r="G477">
            <v>22</v>
          </cell>
          <cell r="H477">
            <v>25</v>
          </cell>
          <cell r="I477">
            <v>22</v>
          </cell>
          <cell r="K477">
            <v>24</v>
          </cell>
          <cell r="L477">
            <v>25</v>
          </cell>
          <cell r="M477">
            <v>23</v>
          </cell>
          <cell r="N477">
            <v>25</v>
          </cell>
          <cell r="P477">
            <v>808</v>
          </cell>
        </row>
        <row r="478">
          <cell r="A478">
            <v>19.5</v>
          </cell>
          <cell r="B478">
            <v>45</v>
          </cell>
          <cell r="C478">
            <v>50</v>
          </cell>
          <cell r="D478">
            <v>23</v>
          </cell>
          <cell r="F478">
            <v>23</v>
          </cell>
          <cell r="G478">
            <v>21.5</v>
          </cell>
          <cell r="H478">
            <v>24</v>
          </cell>
          <cell r="I478">
            <v>24</v>
          </cell>
          <cell r="K478">
            <v>18</v>
          </cell>
          <cell r="L478">
            <v>22</v>
          </cell>
          <cell r="M478">
            <v>23</v>
          </cell>
          <cell r="N478">
            <v>25</v>
          </cell>
          <cell r="P478">
            <v>809</v>
          </cell>
        </row>
        <row r="479">
          <cell r="A479">
            <v>19</v>
          </cell>
          <cell r="B479">
            <v>43</v>
          </cell>
          <cell r="C479">
            <v>45</v>
          </cell>
          <cell r="D479">
            <v>24</v>
          </cell>
          <cell r="F479">
            <v>22</v>
          </cell>
          <cell r="G479">
            <v>24.5</v>
          </cell>
          <cell r="H479">
            <v>22</v>
          </cell>
          <cell r="I479">
            <v>14</v>
          </cell>
          <cell r="K479">
            <v>23</v>
          </cell>
          <cell r="L479">
            <v>25</v>
          </cell>
          <cell r="M479">
            <v>18</v>
          </cell>
          <cell r="N479">
            <v>21</v>
          </cell>
          <cell r="P479">
            <v>811</v>
          </cell>
        </row>
        <row r="480">
          <cell r="A480">
            <v>19</v>
          </cell>
          <cell r="B480">
            <v>38</v>
          </cell>
          <cell r="C480">
            <v>44</v>
          </cell>
          <cell r="D480">
            <v>21</v>
          </cell>
          <cell r="F480">
            <v>23</v>
          </cell>
          <cell r="G480">
            <v>24</v>
          </cell>
          <cell r="H480">
            <v>21</v>
          </cell>
          <cell r="I480">
            <v>19</v>
          </cell>
          <cell r="K480">
            <v>19</v>
          </cell>
          <cell r="L480">
            <v>24</v>
          </cell>
          <cell r="M480">
            <v>15</v>
          </cell>
          <cell r="N480">
            <v>17</v>
          </cell>
          <cell r="P480">
            <v>812</v>
          </cell>
        </row>
        <row r="481">
          <cell r="A481">
            <v>21</v>
          </cell>
          <cell r="B481">
            <v>45</v>
          </cell>
          <cell r="C481">
            <v>49</v>
          </cell>
          <cell r="D481">
            <v>21</v>
          </cell>
          <cell r="F481">
            <v>23</v>
          </cell>
          <cell r="G481">
            <v>24</v>
          </cell>
          <cell r="H481">
            <v>23</v>
          </cell>
          <cell r="I481">
            <v>19</v>
          </cell>
          <cell r="K481">
            <v>22</v>
          </cell>
          <cell r="L481">
            <v>24</v>
          </cell>
          <cell r="M481">
            <v>22</v>
          </cell>
          <cell r="N481">
            <v>21</v>
          </cell>
          <cell r="P481">
            <v>813</v>
          </cell>
        </row>
        <row r="482">
          <cell r="A482">
            <v>0</v>
          </cell>
          <cell r="B482">
            <v>6</v>
          </cell>
          <cell r="C482">
            <v>43</v>
          </cell>
          <cell r="D482">
            <v>18</v>
          </cell>
          <cell r="F482">
            <v>11</v>
          </cell>
          <cell r="G482">
            <v>21</v>
          </cell>
          <cell r="H482">
            <v>22</v>
          </cell>
          <cell r="I482">
            <v>21</v>
          </cell>
          <cell r="K482" t="str">
            <v>غ</v>
          </cell>
          <cell r="L482">
            <v>22</v>
          </cell>
          <cell r="M482">
            <v>21</v>
          </cell>
          <cell r="N482">
            <v>13</v>
          </cell>
          <cell r="P482">
            <v>814</v>
          </cell>
        </row>
        <row r="483">
          <cell r="A483">
            <v>23</v>
          </cell>
          <cell r="B483">
            <v>46.5</v>
          </cell>
          <cell r="C483">
            <v>49</v>
          </cell>
          <cell r="D483">
            <v>22</v>
          </cell>
          <cell r="F483">
            <v>22</v>
          </cell>
          <cell r="G483">
            <v>23</v>
          </cell>
          <cell r="H483">
            <v>22</v>
          </cell>
          <cell r="I483">
            <v>24</v>
          </cell>
          <cell r="K483">
            <v>24</v>
          </cell>
          <cell r="L483">
            <v>25</v>
          </cell>
          <cell r="M483">
            <v>23</v>
          </cell>
          <cell r="N483">
            <v>24</v>
          </cell>
          <cell r="P483">
            <v>815</v>
          </cell>
        </row>
        <row r="484">
          <cell r="A484">
            <v>13</v>
          </cell>
          <cell r="B484">
            <v>29</v>
          </cell>
          <cell r="C484">
            <v>39</v>
          </cell>
          <cell r="D484">
            <v>14</v>
          </cell>
          <cell r="F484">
            <v>20.5</v>
          </cell>
          <cell r="G484">
            <v>23</v>
          </cell>
          <cell r="H484">
            <v>19</v>
          </cell>
          <cell r="I484">
            <v>18</v>
          </cell>
          <cell r="K484">
            <v>18</v>
          </cell>
          <cell r="L484">
            <v>22</v>
          </cell>
          <cell r="M484">
            <v>15</v>
          </cell>
          <cell r="N484">
            <v>17</v>
          </cell>
          <cell r="P484">
            <v>816</v>
          </cell>
        </row>
        <row r="485">
          <cell r="A485">
            <v>24.5</v>
          </cell>
          <cell r="B485">
            <v>44.5</v>
          </cell>
          <cell r="C485">
            <v>47</v>
          </cell>
          <cell r="D485">
            <v>22</v>
          </cell>
          <cell r="F485">
            <v>21</v>
          </cell>
          <cell r="G485">
            <v>22</v>
          </cell>
          <cell r="H485">
            <v>21</v>
          </cell>
          <cell r="I485">
            <v>19</v>
          </cell>
          <cell r="K485">
            <v>23</v>
          </cell>
          <cell r="L485">
            <v>24</v>
          </cell>
          <cell r="M485">
            <v>20</v>
          </cell>
          <cell r="N485">
            <v>20</v>
          </cell>
          <cell r="P485">
            <v>817</v>
          </cell>
        </row>
        <row r="486">
          <cell r="A486">
            <v>22.5</v>
          </cell>
          <cell r="B486">
            <v>42</v>
          </cell>
          <cell r="C486">
            <v>46</v>
          </cell>
          <cell r="D486">
            <v>20</v>
          </cell>
          <cell r="F486">
            <v>24</v>
          </cell>
          <cell r="G486">
            <v>20</v>
          </cell>
          <cell r="H486">
            <v>23</v>
          </cell>
          <cell r="I486">
            <v>21</v>
          </cell>
          <cell r="K486">
            <v>22</v>
          </cell>
          <cell r="L486">
            <v>23</v>
          </cell>
          <cell r="M486">
            <v>16</v>
          </cell>
          <cell r="N486">
            <v>19</v>
          </cell>
          <cell r="P486">
            <v>818</v>
          </cell>
        </row>
        <row r="487">
          <cell r="A487">
            <v>24.5</v>
          </cell>
          <cell r="B487">
            <v>49</v>
          </cell>
          <cell r="C487">
            <v>49</v>
          </cell>
          <cell r="D487">
            <v>24</v>
          </cell>
          <cell r="F487">
            <v>24</v>
          </cell>
          <cell r="G487">
            <v>24</v>
          </cell>
          <cell r="H487">
            <v>25</v>
          </cell>
          <cell r="I487">
            <v>24</v>
          </cell>
          <cell r="K487">
            <v>24</v>
          </cell>
          <cell r="L487">
            <v>25</v>
          </cell>
          <cell r="M487">
            <v>23</v>
          </cell>
          <cell r="N487">
            <v>24</v>
          </cell>
          <cell r="P487">
            <v>819</v>
          </cell>
        </row>
        <row r="488">
          <cell r="A488">
            <v>22.5</v>
          </cell>
          <cell r="B488">
            <v>44.5</v>
          </cell>
          <cell r="C488">
            <v>37</v>
          </cell>
          <cell r="D488">
            <v>20</v>
          </cell>
          <cell r="F488">
            <v>15</v>
          </cell>
          <cell r="G488">
            <v>24</v>
          </cell>
          <cell r="H488">
            <v>23</v>
          </cell>
          <cell r="I488">
            <v>20</v>
          </cell>
          <cell r="K488">
            <v>23</v>
          </cell>
          <cell r="L488">
            <v>24</v>
          </cell>
          <cell r="M488">
            <v>18</v>
          </cell>
          <cell r="N488">
            <v>21</v>
          </cell>
          <cell r="P488">
            <v>820</v>
          </cell>
        </row>
        <row r="489">
          <cell r="A489">
            <v>22.5</v>
          </cell>
          <cell r="B489">
            <v>46</v>
          </cell>
          <cell r="C489">
            <v>49</v>
          </cell>
          <cell r="D489">
            <v>20</v>
          </cell>
          <cell r="F489">
            <v>25</v>
          </cell>
          <cell r="G489">
            <v>23</v>
          </cell>
          <cell r="H489">
            <v>24</v>
          </cell>
          <cell r="I489">
            <v>19</v>
          </cell>
          <cell r="K489">
            <v>25</v>
          </cell>
          <cell r="L489">
            <v>24</v>
          </cell>
          <cell r="M489">
            <v>23</v>
          </cell>
          <cell r="N489">
            <v>23</v>
          </cell>
          <cell r="P489">
            <v>821</v>
          </cell>
        </row>
        <row r="490">
          <cell r="A490">
            <v>21</v>
          </cell>
          <cell r="B490">
            <v>45</v>
          </cell>
          <cell r="C490">
            <v>48</v>
          </cell>
          <cell r="D490">
            <v>23</v>
          </cell>
          <cell r="F490">
            <v>24</v>
          </cell>
          <cell r="G490">
            <v>25</v>
          </cell>
          <cell r="H490">
            <v>23</v>
          </cell>
          <cell r="I490">
            <v>24</v>
          </cell>
          <cell r="K490">
            <v>24</v>
          </cell>
          <cell r="L490">
            <v>24</v>
          </cell>
          <cell r="M490">
            <v>24</v>
          </cell>
          <cell r="N490">
            <v>23</v>
          </cell>
          <cell r="P490">
            <v>824</v>
          </cell>
        </row>
        <row r="491">
          <cell r="A491">
            <v>22</v>
          </cell>
          <cell r="B491">
            <v>43.5</v>
          </cell>
          <cell r="C491">
            <v>46</v>
          </cell>
          <cell r="D491">
            <v>21</v>
          </cell>
          <cell r="F491">
            <v>24</v>
          </cell>
          <cell r="G491">
            <v>24</v>
          </cell>
          <cell r="H491">
            <v>24</v>
          </cell>
          <cell r="I491">
            <v>19</v>
          </cell>
          <cell r="K491">
            <v>20</v>
          </cell>
          <cell r="L491">
            <v>25</v>
          </cell>
          <cell r="M491">
            <v>21</v>
          </cell>
          <cell r="N491">
            <v>24</v>
          </cell>
          <cell r="P491">
            <v>825</v>
          </cell>
        </row>
        <row r="492">
          <cell r="A492">
            <v>22</v>
          </cell>
          <cell r="B492">
            <v>47.5</v>
          </cell>
          <cell r="C492">
            <v>50</v>
          </cell>
          <cell r="D492">
            <v>20</v>
          </cell>
          <cell r="F492">
            <v>25</v>
          </cell>
          <cell r="G492">
            <v>25</v>
          </cell>
          <cell r="H492">
            <v>23</v>
          </cell>
          <cell r="I492">
            <v>18</v>
          </cell>
          <cell r="K492">
            <v>23</v>
          </cell>
          <cell r="L492">
            <v>24</v>
          </cell>
          <cell r="M492">
            <v>23</v>
          </cell>
          <cell r="N492">
            <v>24</v>
          </cell>
          <cell r="P492">
            <v>826</v>
          </cell>
        </row>
        <row r="493">
          <cell r="A493">
            <v>23</v>
          </cell>
          <cell r="B493">
            <v>47</v>
          </cell>
          <cell r="C493">
            <v>47</v>
          </cell>
          <cell r="D493">
            <v>20</v>
          </cell>
          <cell r="F493">
            <v>24</v>
          </cell>
          <cell r="G493">
            <v>23</v>
          </cell>
          <cell r="H493">
            <v>21</v>
          </cell>
          <cell r="I493">
            <v>22</v>
          </cell>
          <cell r="K493">
            <v>23</v>
          </cell>
          <cell r="L493">
            <v>25</v>
          </cell>
          <cell r="M493">
            <v>20</v>
          </cell>
          <cell r="N493">
            <v>23</v>
          </cell>
          <cell r="P493">
            <v>827</v>
          </cell>
        </row>
        <row r="494">
          <cell r="A494">
            <v>24</v>
          </cell>
          <cell r="B494">
            <v>47.5</v>
          </cell>
          <cell r="C494">
            <v>50</v>
          </cell>
          <cell r="D494">
            <v>24</v>
          </cell>
          <cell r="F494">
            <v>25</v>
          </cell>
          <cell r="G494">
            <v>24</v>
          </cell>
          <cell r="H494">
            <v>25</v>
          </cell>
          <cell r="I494">
            <v>23</v>
          </cell>
          <cell r="K494">
            <v>24</v>
          </cell>
          <cell r="L494">
            <v>25</v>
          </cell>
          <cell r="M494">
            <v>23</v>
          </cell>
          <cell r="N494">
            <v>25</v>
          </cell>
          <cell r="P494">
            <v>828</v>
          </cell>
        </row>
        <row r="495">
          <cell r="A495">
            <v>22</v>
          </cell>
          <cell r="B495">
            <v>46</v>
          </cell>
          <cell r="C495">
            <v>50</v>
          </cell>
          <cell r="D495">
            <v>21</v>
          </cell>
          <cell r="F495">
            <v>24</v>
          </cell>
          <cell r="G495">
            <v>24</v>
          </cell>
          <cell r="H495">
            <v>25</v>
          </cell>
          <cell r="I495">
            <v>18</v>
          </cell>
          <cell r="K495">
            <v>24</v>
          </cell>
          <cell r="L495">
            <v>24</v>
          </cell>
          <cell r="M495">
            <v>23</v>
          </cell>
          <cell r="N495">
            <v>22</v>
          </cell>
          <cell r="P495">
            <v>829</v>
          </cell>
        </row>
        <row r="496">
          <cell r="A496">
            <v>19</v>
          </cell>
          <cell r="B496">
            <v>34</v>
          </cell>
          <cell r="C496">
            <v>27</v>
          </cell>
          <cell r="D496">
            <v>18</v>
          </cell>
          <cell r="F496">
            <v>24</v>
          </cell>
          <cell r="G496">
            <v>22</v>
          </cell>
          <cell r="H496">
            <v>17</v>
          </cell>
          <cell r="I496">
            <v>15</v>
          </cell>
          <cell r="K496">
            <v>22</v>
          </cell>
          <cell r="L496">
            <v>23</v>
          </cell>
          <cell r="M496">
            <v>16</v>
          </cell>
          <cell r="N496">
            <v>17</v>
          </cell>
          <cell r="P496">
            <v>830</v>
          </cell>
        </row>
        <row r="497">
          <cell r="A497">
            <v>23</v>
          </cell>
          <cell r="B497">
            <v>49.5</v>
          </cell>
          <cell r="C497">
            <v>49</v>
          </cell>
          <cell r="D497">
            <v>21</v>
          </cell>
          <cell r="F497">
            <v>25</v>
          </cell>
          <cell r="G497">
            <v>24</v>
          </cell>
          <cell r="H497">
            <v>25</v>
          </cell>
          <cell r="I497">
            <v>22</v>
          </cell>
          <cell r="K497">
            <v>25</v>
          </cell>
          <cell r="L497">
            <v>25</v>
          </cell>
          <cell r="M497">
            <v>23</v>
          </cell>
          <cell r="N497">
            <v>23</v>
          </cell>
          <cell r="P497">
            <v>832</v>
          </cell>
        </row>
        <row r="498">
          <cell r="A498">
            <v>20</v>
          </cell>
          <cell r="B498">
            <v>31.5</v>
          </cell>
          <cell r="C498">
            <v>34</v>
          </cell>
          <cell r="D498">
            <v>14</v>
          </cell>
          <cell r="F498">
            <v>23</v>
          </cell>
          <cell r="G498">
            <v>21</v>
          </cell>
          <cell r="H498">
            <v>15</v>
          </cell>
          <cell r="I498">
            <v>15</v>
          </cell>
          <cell r="K498">
            <v>18</v>
          </cell>
          <cell r="L498">
            <v>19</v>
          </cell>
          <cell r="M498">
            <v>9</v>
          </cell>
          <cell r="N498">
            <v>13</v>
          </cell>
          <cell r="P498">
            <v>833</v>
          </cell>
        </row>
        <row r="499">
          <cell r="A499">
            <v>20</v>
          </cell>
          <cell r="B499">
            <v>41.5</v>
          </cell>
          <cell r="C499">
            <v>38</v>
          </cell>
          <cell r="D499">
            <v>12</v>
          </cell>
          <cell r="F499">
            <v>25</v>
          </cell>
          <cell r="G499">
            <v>23</v>
          </cell>
          <cell r="H499">
            <v>16</v>
          </cell>
          <cell r="I499">
            <v>12</v>
          </cell>
          <cell r="K499">
            <v>23</v>
          </cell>
          <cell r="L499">
            <v>23</v>
          </cell>
          <cell r="M499">
            <v>16</v>
          </cell>
          <cell r="N499">
            <v>12</v>
          </cell>
          <cell r="P499">
            <v>835</v>
          </cell>
        </row>
        <row r="500">
          <cell r="A500">
            <v>25</v>
          </cell>
          <cell r="B500">
            <v>44</v>
          </cell>
          <cell r="C500">
            <v>49</v>
          </cell>
          <cell r="D500">
            <v>23</v>
          </cell>
          <cell r="F500">
            <v>24</v>
          </cell>
          <cell r="G500">
            <v>24</v>
          </cell>
          <cell r="H500">
            <v>22</v>
          </cell>
          <cell r="I500">
            <v>19</v>
          </cell>
          <cell r="K500">
            <v>24</v>
          </cell>
          <cell r="L500">
            <v>24</v>
          </cell>
          <cell r="M500">
            <v>20</v>
          </cell>
          <cell r="N500">
            <v>25</v>
          </cell>
          <cell r="P500">
            <v>836</v>
          </cell>
        </row>
        <row r="501">
          <cell r="A501">
            <v>21</v>
          </cell>
          <cell r="B501">
            <v>36</v>
          </cell>
          <cell r="C501">
            <v>44</v>
          </cell>
          <cell r="D501">
            <v>17</v>
          </cell>
          <cell r="F501">
            <v>24</v>
          </cell>
          <cell r="G501">
            <v>24</v>
          </cell>
          <cell r="H501">
            <v>23</v>
          </cell>
          <cell r="I501">
            <v>20</v>
          </cell>
          <cell r="K501">
            <v>20</v>
          </cell>
          <cell r="L501">
            <v>23</v>
          </cell>
          <cell r="M501">
            <v>20</v>
          </cell>
          <cell r="N501">
            <v>24</v>
          </cell>
          <cell r="P501">
            <v>837</v>
          </cell>
        </row>
        <row r="502">
          <cell r="A502">
            <v>22</v>
          </cell>
          <cell r="B502">
            <v>35</v>
          </cell>
          <cell r="C502">
            <v>48</v>
          </cell>
          <cell r="D502">
            <v>18</v>
          </cell>
          <cell r="F502">
            <v>22</v>
          </cell>
          <cell r="G502">
            <v>23</v>
          </cell>
          <cell r="H502">
            <v>22</v>
          </cell>
          <cell r="I502">
            <v>22</v>
          </cell>
          <cell r="K502">
            <v>23</v>
          </cell>
          <cell r="L502">
            <v>24</v>
          </cell>
          <cell r="M502">
            <v>21</v>
          </cell>
          <cell r="N502">
            <v>22</v>
          </cell>
          <cell r="P502">
            <v>839</v>
          </cell>
        </row>
        <row r="503">
          <cell r="A503">
            <v>22</v>
          </cell>
          <cell r="B503">
            <v>46.5</v>
          </cell>
          <cell r="C503">
            <v>47</v>
          </cell>
          <cell r="D503">
            <v>23</v>
          </cell>
          <cell r="F503">
            <v>25</v>
          </cell>
          <cell r="G503">
            <v>23</v>
          </cell>
          <cell r="H503">
            <v>25</v>
          </cell>
          <cell r="I503">
            <v>21</v>
          </cell>
          <cell r="K503">
            <v>24</v>
          </cell>
          <cell r="L503">
            <v>25</v>
          </cell>
          <cell r="M503">
            <v>23</v>
          </cell>
          <cell r="N503">
            <v>23</v>
          </cell>
          <cell r="P503">
            <v>841</v>
          </cell>
        </row>
        <row r="504">
          <cell r="A504">
            <v>19</v>
          </cell>
          <cell r="B504">
            <v>41</v>
          </cell>
          <cell r="C504">
            <v>49</v>
          </cell>
          <cell r="D504">
            <v>20</v>
          </cell>
          <cell r="F504">
            <v>23</v>
          </cell>
          <cell r="G504">
            <v>24</v>
          </cell>
          <cell r="H504">
            <v>22</v>
          </cell>
          <cell r="I504">
            <v>21</v>
          </cell>
          <cell r="K504">
            <v>20</v>
          </cell>
          <cell r="L504">
            <v>23</v>
          </cell>
          <cell r="M504">
            <v>23</v>
          </cell>
          <cell r="N504">
            <v>22</v>
          </cell>
          <cell r="P504">
            <v>842</v>
          </cell>
        </row>
        <row r="505">
          <cell r="A505">
            <v>24</v>
          </cell>
          <cell r="B505">
            <v>49</v>
          </cell>
          <cell r="C505">
            <v>49</v>
          </cell>
          <cell r="D505">
            <v>23</v>
          </cell>
          <cell r="F505">
            <v>24</v>
          </cell>
          <cell r="G505">
            <v>23</v>
          </cell>
          <cell r="H505">
            <v>24</v>
          </cell>
          <cell r="I505">
            <v>19</v>
          </cell>
          <cell r="K505">
            <v>23</v>
          </cell>
          <cell r="L505">
            <v>24</v>
          </cell>
          <cell r="M505">
            <v>23</v>
          </cell>
          <cell r="N505">
            <v>25</v>
          </cell>
          <cell r="P505">
            <v>843</v>
          </cell>
        </row>
        <row r="506">
          <cell r="A506">
            <v>24</v>
          </cell>
          <cell r="B506">
            <v>44.5</v>
          </cell>
          <cell r="C506">
            <v>47</v>
          </cell>
          <cell r="D506">
            <v>22</v>
          </cell>
          <cell r="F506">
            <v>21</v>
          </cell>
          <cell r="G506">
            <v>23</v>
          </cell>
          <cell r="H506">
            <v>24</v>
          </cell>
          <cell r="I506">
            <v>22</v>
          </cell>
          <cell r="K506">
            <v>21</v>
          </cell>
          <cell r="L506">
            <v>25</v>
          </cell>
          <cell r="M506">
            <v>22</v>
          </cell>
          <cell r="N506">
            <v>22</v>
          </cell>
          <cell r="P506">
            <v>844</v>
          </cell>
        </row>
        <row r="507">
          <cell r="A507">
            <v>24</v>
          </cell>
          <cell r="B507">
            <v>37</v>
          </cell>
          <cell r="C507">
            <v>49</v>
          </cell>
          <cell r="D507">
            <v>20</v>
          </cell>
          <cell r="F507">
            <v>23</v>
          </cell>
          <cell r="G507">
            <v>23</v>
          </cell>
          <cell r="H507">
            <v>24</v>
          </cell>
          <cell r="I507">
            <v>18</v>
          </cell>
          <cell r="K507">
            <v>20</v>
          </cell>
          <cell r="L507">
            <v>22</v>
          </cell>
          <cell r="M507">
            <v>24</v>
          </cell>
          <cell r="N507">
            <v>24</v>
          </cell>
          <cell r="P507">
            <v>845</v>
          </cell>
        </row>
        <row r="508">
          <cell r="A508">
            <v>24</v>
          </cell>
          <cell r="B508">
            <v>47</v>
          </cell>
          <cell r="C508">
            <v>50</v>
          </cell>
          <cell r="D508">
            <v>24</v>
          </cell>
          <cell r="F508">
            <v>25</v>
          </cell>
          <cell r="G508">
            <v>23</v>
          </cell>
          <cell r="H508">
            <v>25</v>
          </cell>
          <cell r="I508">
            <v>21</v>
          </cell>
          <cell r="K508">
            <v>23</v>
          </cell>
          <cell r="L508">
            <v>25</v>
          </cell>
          <cell r="M508">
            <v>21</v>
          </cell>
          <cell r="N508">
            <v>21</v>
          </cell>
          <cell r="P508">
            <v>847</v>
          </cell>
        </row>
        <row r="509">
          <cell r="A509">
            <v>25</v>
          </cell>
          <cell r="B509">
            <v>49</v>
          </cell>
          <cell r="C509">
            <v>50</v>
          </cell>
          <cell r="D509">
            <v>24</v>
          </cell>
          <cell r="F509">
            <v>25</v>
          </cell>
          <cell r="G509">
            <v>24</v>
          </cell>
          <cell r="H509">
            <v>24</v>
          </cell>
          <cell r="I509">
            <v>23</v>
          </cell>
          <cell r="K509">
            <v>24</v>
          </cell>
          <cell r="L509">
            <v>24</v>
          </cell>
          <cell r="M509">
            <v>24</v>
          </cell>
          <cell r="N509">
            <v>24</v>
          </cell>
          <cell r="P509">
            <v>850</v>
          </cell>
        </row>
        <row r="510">
          <cell r="A510">
            <v>25</v>
          </cell>
          <cell r="B510">
            <v>48</v>
          </cell>
          <cell r="C510">
            <v>50</v>
          </cell>
          <cell r="D510">
            <v>22</v>
          </cell>
          <cell r="F510">
            <v>25</v>
          </cell>
          <cell r="G510">
            <v>24</v>
          </cell>
          <cell r="H510">
            <v>24</v>
          </cell>
          <cell r="I510">
            <v>22</v>
          </cell>
          <cell r="K510">
            <v>24</v>
          </cell>
          <cell r="L510">
            <v>25</v>
          </cell>
          <cell r="M510">
            <v>24</v>
          </cell>
          <cell r="N510">
            <v>25</v>
          </cell>
          <cell r="P510">
            <v>853</v>
          </cell>
        </row>
        <row r="511">
          <cell r="A511">
            <v>25</v>
          </cell>
          <cell r="B511">
            <v>41</v>
          </cell>
          <cell r="C511">
            <v>49</v>
          </cell>
          <cell r="D511">
            <v>24</v>
          </cell>
          <cell r="F511">
            <v>24</v>
          </cell>
          <cell r="G511">
            <v>23</v>
          </cell>
          <cell r="H511">
            <v>22</v>
          </cell>
          <cell r="I511">
            <v>21</v>
          </cell>
          <cell r="K511">
            <v>18</v>
          </cell>
          <cell r="L511">
            <v>25</v>
          </cell>
          <cell r="M511">
            <v>20</v>
          </cell>
          <cell r="N511">
            <v>20</v>
          </cell>
          <cell r="P511">
            <v>855</v>
          </cell>
        </row>
        <row r="512">
          <cell r="A512">
            <v>22</v>
          </cell>
          <cell r="B512">
            <v>47.5</v>
          </cell>
          <cell r="C512">
            <v>50</v>
          </cell>
          <cell r="D512">
            <v>23</v>
          </cell>
          <cell r="F512">
            <v>25</v>
          </cell>
          <cell r="G512">
            <v>24</v>
          </cell>
          <cell r="H512">
            <v>25</v>
          </cell>
          <cell r="I512">
            <v>24</v>
          </cell>
          <cell r="K512">
            <v>23</v>
          </cell>
          <cell r="L512">
            <v>24</v>
          </cell>
          <cell r="M512">
            <v>24</v>
          </cell>
          <cell r="N512">
            <v>25</v>
          </cell>
          <cell r="P512">
            <v>858</v>
          </cell>
        </row>
        <row r="513">
          <cell r="A513">
            <v>23</v>
          </cell>
          <cell r="B513">
            <v>49.5</v>
          </cell>
          <cell r="C513">
            <v>50</v>
          </cell>
          <cell r="D513">
            <v>23</v>
          </cell>
          <cell r="F513">
            <v>21</v>
          </cell>
          <cell r="G513">
            <v>22</v>
          </cell>
          <cell r="H513">
            <v>25</v>
          </cell>
          <cell r="I513">
            <v>20</v>
          </cell>
          <cell r="K513">
            <v>23</v>
          </cell>
          <cell r="L513">
            <v>25</v>
          </cell>
          <cell r="M513">
            <v>22</v>
          </cell>
          <cell r="N513">
            <v>25</v>
          </cell>
          <cell r="P513">
            <v>864</v>
          </cell>
        </row>
        <row r="514">
          <cell r="A514">
            <v>23</v>
          </cell>
          <cell r="B514">
            <v>47.5</v>
          </cell>
          <cell r="C514">
            <v>49</v>
          </cell>
          <cell r="D514">
            <v>22</v>
          </cell>
          <cell r="F514">
            <v>25</v>
          </cell>
          <cell r="G514">
            <v>24</v>
          </cell>
          <cell r="H514">
            <v>25</v>
          </cell>
          <cell r="I514">
            <v>21</v>
          </cell>
          <cell r="K514">
            <v>23</v>
          </cell>
          <cell r="L514">
            <v>25</v>
          </cell>
          <cell r="M514">
            <v>24</v>
          </cell>
          <cell r="N514">
            <v>24</v>
          </cell>
          <cell r="P514">
            <v>865</v>
          </cell>
        </row>
        <row r="515">
          <cell r="A515">
            <v>23</v>
          </cell>
          <cell r="B515">
            <v>50</v>
          </cell>
          <cell r="C515">
            <v>50</v>
          </cell>
          <cell r="D515">
            <v>25</v>
          </cell>
          <cell r="F515">
            <v>25</v>
          </cell>
          <cell r="G515">
            <v>24</v>
          </cell>
          <cell r="H515">
            <v>25</v>
          </cell>
          <cell r="I515">
            <v>23</v>
          </cell>
          <cell r="K515">
            <v>24</v>
          </cell>
          <cell r="L515">
            <v>25</v>
          </cell>
          <cell r="M515">
            <v>23</v>
          </cell>
          <cell r="N515">
            <v>25</v>
          </cell>
          <cell r="P515">
            <v>867</v>
          </cell>
        </row>
        <row r="516">
          <cell r="A516">
            <v>24</v>
          </cell>
          <cell r="B516">
            <v>47</v>
          </cell>
          <cell r="C516">
            <v>49</v>
          </cell>
          <cell r="D516">
            <v>21</v>
          </cell>
          <cell r="F516">
            <v>25</v>
          </cell>
          <cell r="G516">
            <v>22</v>
          </cell>
          <cell r="H516">
            <v>23</v>
          </cell>
          <cell r="I516">
            <v>21</v>
          </cell>
          <cell r="K516">
            <v>21</v>
          </cell>
          <cell r="L516">
            <v>24</v>
          </cell>
          <cell r="M516">
            <v>20</v>
          </cell>
          <cell r="N516">
            <v>22</v>
          </cell>
          <cell r="P516">
            <v>868</v>
          </cell>
        </row>
        <row r="517">
          <cell r="A517">
            <v>22</v>
          </cell>
          <cell r="B517">
            <v>48.5</v>
          </cell>
          <cell r="C517">
            <v>48</v>
          </cell>
          <cell r="D517">
            <v>20</v>
          </cell>
          <cell r="F517">
            <v>24</v>
          </cell>
          <cell r="G517">
            <v>22</v>
          </cell>
          <cell r="H517">
            <v>25</v>
          </cell>
          <cell r="I517">
            <v>15</v>
          </cell>
          <cell r="K517">
            <v>24</v>
          </cell>
          <cell r="L517">
            <v>25</v>
          </cell>
          <cell r="M517">
            <v>23</v>
          </cell>
          <cell r="N517">
            <v>20</v>
          </cell>
          <cell r="P517">
            <v>869</v>
          </cell>
        </row>
        <row r="518">
          <cell r="A518">
            <v>19</v>
          </cell>
          <cell r="B518">
            <v>45</v>
          </cell>
          <cell r="C518">
            <v>48</v>
          </cell>
          <cell r="D518">
            <v>22</v>
          </cell>
          <cell r="F518">
            <v>25</v>
          </cell>
          <cell r="G518">
            <v>24</v>
          </cell>
          <cell r="H518">
            <v>22</v>
          </cell>
          <cell r="I518">
            <v>19</v>
          </cell>
          <cell r="K518">
            <v>18</v>
          </cell>
          <cell r="L518">
            <v>24</v>
          </cell>
          <cell r="M518">
            <v>23</v>
          </cell>
          <cell r="N518">
            <v>19</v>
          </cell>
          <cell r="P518">
            <v>870</v>
          </cell>
        </row>
        <row r="519">
          <cell r="A519">
            <v>24</v>
          </cell>
          <cell r="B519">
            <v>49</v>
          </cell>
          <cell r="C519">
            <v>50</v>
          </cell>
          <cell r="D519">
            <v>23</v>
          </cell>
          <cell r="F519">
            <v>25</v>
          </cell>
          <cell r="G519">
            <v>23</v>
          </cell>
          <cell r="H519">
            <v>24</v>
          </cell>
          <cell r="I519">
            <v>22</v>
          </cell>
          <cell r="K519">
            <v>24</v>
          </cell>
          <cell r="L519">
            <v>25</v>
          </cell>
          <cell r="M519">
            <v>21</v>
          </cell>
          <cell r="N519">
            <v>23</v>
          </cell>
          <cell r="P519">
            <v>871</v>
          </cell>
        </row>
        <row r="520">
          <cell r="A520">
            <v>23</v>
          </cell>
          <cell r="B520">
            <v>48.5</v>
          </cell>
          <cell r="C520">
            <v>50</v>
          </cell>
          <cell r="D520">
            <v>24</v>
          </cell>
          <cell r="F520">
            <v>25</v>
          </cell>
          <cell r="G520">
            <v>23</v>
          </cell>
          <cell r="H520">
            <v>25</v>
          </cell>
          <cell r="I520">
            <v>20</v>
          </cell>
          <cell r="K520">
            <v>23</v>
          </cell>
          <cell r="L520">
            <v>24</v>
          </cell>
          <cell r="M520">
            <v>23</v>
          </cell>
          <cell r="N520">
            <v>22</v>
          </cell>
          <cell r="P520">
            <v>872</v>
          </cell>
        </row>
        <row r="521">
          <cell r="A521">
            <v>20</v>
          </cell>
          <cell r="B521">
            <v>35</v>
          </cell>
          <cell r="C521">
            <v>37</v>
          </cell>
          <cell r="D521">
            <v>8</v>
          </cell>
          <cell r="F521">
            <v>22</v>
          </cell>
          <cell r="G521">
            <v>23</v>
          </cell>
          <cell r="H521">
            <v>18</v>
          </cell>
          <cell r="K521">
            <v>17</v>
          </cell>
          <cell r="L521">
            <v>23</v>
          </cell>
          <cell r="M521">
            <v>16</v>
          </cell>
          <cell r="P521">
            <v>874</v>
          </cell>
        </row>
        <row r="522">
          <cell r="A522">
            <v>22</v>
          </cell>
          <cell r="B522">
            <v>43</v>
          </cell>
          <cell r="C522">
            <v>45</v>
          </cell>
          <cell r="D522">
            <v>22</v>
          </cell>
          <cell r="F522">
            <v>25</v>
          </cell>
          <cell r="G522">
            <v>22</v>
          </cell>
          <cell r="H522">
            <v>23</v>
          </cell>
          <cell r="I522">
            <v>19</v>
          </cell>
          <cell r="K522">
            <v>23</v>
          </cell>
          <cell r="L522">
            <v>22</v>
          </cell>
          <cell r="M522">
            <v>15</v>
          </cell>
          <cell r="N522">
            <v>23</v>
          </cell>
          <cell r="P522">
            <v>876</v>
          </cell>
        </row>
        <row r="523">
          <cell r="A523">
            <v>18</v>
          </cell>
          <cell r="B523">
            <v>35</v>
          </cell>
          <cell r="C523">
            <v>36</v>
          </cell>
          <cell r="D523">
            <v>20</v>
          </cell>
          <cell r="F523">
            <v>23.5</v>
          </cell>
          <cell r="G523">
            <v>22</v>
          </cell>
          <cell r="H523">
            <v>23</v>
          </cell>
          <cell r="I523">
            <v>18</v>
          </cell>
          <cell r="K523">
            <v>12</v>
          </cell>
          <cell r="L523">
            <v>24</v>
          </cell>
          <cell r="M523">
            <v>17</v>
          </cell>
          <cell r="N523">
            <v>15</v>
          </cell>
          <cell r="P523">
            <v>877</v>
          </cell>
        </row>
        <row r="524">
          <cell r="A524">
            <v>24</v>
          </cell>
          <cell r="B524">
            <v>48.5</v>
          </cell>
          <cell r="C524">
            <v>49</v>
          </cell>
          <cell r="D524">
            <v>22</v>
          </cell>
          <cell r="F524">
            <v>22</v>
          </cell>
          <cell r="G524">
            <v>24</v>
          </cell>
          <cell r="H524">
            <v>25</v>
          </cell>
          <cell r="I524">
            <v>23</v>
          </cell>
          <cell r="K524">
            <v>24</v>
          </cell>
          <cell r="L524">
            <v>24</v>
          </cell>
          <cell r="M524">
            <v>24</v>
          </cell>
          <cell r="N524">
            <v>23</v>
          </cell>
          <cell r="P524">
            <v>878</v>
          </cell>
        </row>
        <row r="525">
          <cell r="A525">
            <v>22</v>
          </cell>
          <cell r="B525">
            <v>42</v>
          </cell>
          <cell r="C525">
            <v>43</v>
          </cell>
          <cell r="D525">
            <v>21</v>
          </cell>
          <cell r="F525">
            <v>25</v>
          </cell>
          <cell r="G525">
            <v>23</v>
          </cell>
          <cell r="H525">
            <v>22</v>
          </cell>
          <cell r="I525">
            <v>18</v>
          </cell>
          <cell r="K525">
            <v>20</v>
          </cell>
          <cell r="L525">
            <v>25</v>
          </cell>
          <cell r="M525">
            <v>22</v>
          </cell>
          <cell r="N525">
            <v>21</v>
          </cell>
          <cell r="P525">
            <v>879</v>
          </cell>
        </row>
        <row r="526">
          <cell r="A526">
            <v>19</v>
          </cell>
          <cell r="B526">
            <v>41</v>
          </cell>
          <cell r="C526">
            <v>49</v>
          </cell>
          <cell r="D526">
            <v>21</v>
          </cell>
          <cell r="F526">
            <v>22</v>
          </cell>
          <cell r="G526">
            <v>23</v>
          </cell>
          <cell r="H526">
            <v>22</v>
          </cell>
          <cell r="I526">
            <v>17</v>
          </cell>
          <cell r="K526">
            <v>19</v>
          </cell>
          <cell r="L526">
            <v>22</v>
          </cell>
          <cell r="M526">
            <v>21</v>
          </cell>
          <cell r="N526">
            <v>19</v>
          </cell>
          <cell r="P526">
            <v>881</v>
          </cell>
        </row>
        <row r="527">
          <cell r="A527">
            <v>23</v>
          </cell>
          <cell r="B527">
            <v>41.5</v>
          </cell>
          <cell r="C527">
            <v>46</v>
          </cell>
          <cell r="D527">
            <v>18</v>
          </cell>
          <cell r="F527">
            <v>25</v>
          </cell>
          <cell r="G527">
            <v>24</v>
          </cell>
          <cell r="H527">
            <v>24</v>
          </cell>
          <cell r="I527">
            <v>15</v>
          </cell>
          <cell r="K527">
            <v>25</v>
          </cell>
          <cell r="L527">
            <v>24</v>
          </cell>
          <cell r="M527">
            <v>21</v>
          </cell>
          <cell r="N527">
            <v>22</v>
          </cell>
          <cell r="P527">
            <v>882</v>
          </cell>
        </row>
        <row r="528">
          <cell r="A528">
            <v>23</v>
          </cell>
          <cell r="B528">
            <v>46.5</v>
          </cell>
          <cell r="C528">
            <v>50</v>
          </cell>
          <cell r="D528">
            <v>22</v>
          </cell>
          <cell r="F528">
            <v>25</v>
          </cell>
          <cell r="G528">
            <v>22</v>
          </cell>
          <cell r="H528">
            <v>24</v>
          </cell>
          <cell r="I528">
            <v>21</v>
          </cell>
          <cell r="K528">
            <v>23</v>
          </cell>
          <cell r="L528">
            <v>24</v>
          </cell>
          <cell r="M528">
            <v>22</v>
          </cell>
          <cell r="N528">
            <v>22</v>
          </cell>
          <cell r="P528">
            <v>883</v>
          </cell>
        </row>
        <row r="529">
          <cell r="A529">
            <v>22</v>
          </cell>
          <cell r="B529">
            <v>47</v>
          </cell>
          <cell r="C529">
            <v>48</v>
          </cell>
          <cell r="D529">
            <v>21</v>
          </cell>
          <cell r="F529">
            <v>25</v>
          </cell>
          <cell r="G529">
            <v>24</v>
          </cell>
          <cell r="H529">
            <v>25</v>
          </cell>
          <cell r="I529">
            <v>21</v>
          </cell>
          <cell r="K529">
            <v>22</v>
          </cell>
          <cell r="L529">
            <v>25</v>
          </cell>
          <cell r="M529">
            <v>23</v>
          </cell>
          <cell r="N529">
            <v>24</v>
          </cell>
          <cell r="P529">
            <v>884</v>
          </cell>
        </row>
        <row r="530">
          <cell r="A530">
            <v>17</v>
          </cell>
          <cell r="B530">
            <v>42</v>
          </cell>
          <cell r="C530">
            <v>37</v>
          </cell>
          <cell r="D530">
            <v>22</v>
          </cell>
          <cell r="F530">
            <v>25</v>
          </cell>
          <cell r="G530">
            <v>24</v>
          </cell>
          <cell r="H530">
            <v>21</v>
          </cell>
          <cell r="I530">
            <v>18</v>
          </cell>
          <cell r="K530">
            <v>24</v>
          </cell>
          <cell r="L530">
            <v>22</v>
          </cell>
          <cell r="M530">
            <v>18</v>
          </cell>
          <cell r="N530">
            <v>22</v>
          </cell>
          <cell r="P530">
            <v>885</v>
          </cell>
        </row>
        <row r="531">
          <cell r="A531">
            <v>24</v>
          </cell>
          <cell r="B531">
            <v>48</v>
          </cell>
          <cell r="C531">
            <v>50</v>
          </cell>
          <cell r="D531">
            <v>25</v>
          </cell>
          <cell r="F531">
            <v>25</v>
          </cell>
          <cell r="G531">
            <v>24</v>
          </cell>
          <cell r="H531">
            <v>24</v>
          </cell>
          <cell r="I531">
            <v>24</v>
          </cell>
          <cell r="K531">
            <v>23</v>
          </cell>
          <cell r="L531">
            <v>25</v>
          </cell>
          <cell r="M531">
            <v>24</v>
          </cell>
          <cell r="N531">
            <v>21</v>
          </cell>
          <cell r="P531">
            <v>886</v>
          </cell>
        </row>
        <row r="532">
          <cell r="A532">
            <v>24</v>
          </cell>
          <cell r="B532">
            <v>44</v>
          </cell>
          <cell r="C532">
            <v>48</v>
          </cell>
          <cell r="D532">
            <v>16</v>
          </cell>
          <cell r="F532">
            <v>25</v>
          </cell>
          <cell r="G532">
            <v>23</v>
          </cell>
          <cell r="H532">
            <v>21</v>
          </cell>
          <cell r="I532">
            <v>19</v>
          </cell>
          <cell r="K532">
            <v>23</v>
          </cell>
          <cell r="L532">
            <v>25</v>
          </cell>
          <cell r="M532">
            <v>16</v>
          </cell>
          <cell r="N532">
            <v>20</v>
          </cell>
          <cell r="P532">
            <v>887</v>
          </cell>
        </row>
        <row r="533">
          <cell r="A533">
            <v>22</v>
          </cell>
          <cell r="B533">
            <v>45.5</v>
          </cell>
          <cell r="C533">
            <v>46</v>
          </cell>
          <cell r="D533">
            <v>21</v>
          </cell>
          <cell r="F533">
            <v>25</v>
          </cell>
          <cell r="G533">
            <v>24</v>
          </cell>
          <cell r="H533">
            <v>24</v>
          </cell>
          <cell r="I533">
            <v>21</v>
          </cell>
          <cell r="K533">
            <v>22</v>
          </cell>
          <cell r="L533">
            <v>25</v>
          </cell>
          <cell r="M533">
            <v>23</v>
          </cell>
          <cell r="N533">
            <v>22</v>
          </cell>
          <cell r="P533">
            <v>890</v>
          </cell>
        </row>
        <row r="534">
          <cell r="A534">
            <v>24</v>
          </cell>
          <cell r="B534">
            <v>40</v>
          </cell>
          <cell r="C534">
            <v>41</v>
          </cell>
          <cell r="D534">
            <v>20</v>
          </cell>
          <cell r="F534">
            <v>23</v>
          </cell>
          <cell r="G534">
            <v>22</v>
          </cell>
          <cell r="H534">
            <v>21</v>
          </cell>
          <cell r="I534">
            <v>18</v>
          </cell>
          <cell r="K534">
            <v>22</v>
          </cell>
          <cell r="L534">
            <v>23</v>
          </cell>
          <cell r="M534">
            <v>23</v>
          </cell>
          <cell r="N534">
            <v>20</v>
          </cell>
          <cell r="P534">
            <v>891</v>
          </cell>
        </row>
        <row r="535">
          <cell r="A535">
            <v>22</v>
          </cell>
          <cell r="B535">
            <v>39.5</v>
          </cell>
          <cell r="C535">
            <v>47</v>
          </cell>
          <cell r="D535">
            <v>18</v>
          </cell>
          <cell r="F535">
            <v>23</v>
          </cell>
          <cell r="G535">
            <v>22</v>
          </cell>
          <cell r="H535">
            <v>22</v>
          </cell>
          <cell r="I535">
            <v>20</v>
          </cell>
          <cell r="K535">
            <v>21</v>
          </cell>
          <cell r="L535">
            <v>25</v>
          </cell>
          <cell r="M535">
            <v>21</v>
          </cell>
          <cell r="N535">
            <v>23</v>
          </cell>
          <cell r="P535">
            <v>892</v>
          </cell>
        </row>
        <row r="536">
          <cell r="A536">
            <v>22</v>
          </cell>
          <cell r="B536">
            <v>44</v>
          </cell>
          <cell r="C536">
            <v>39</v>
          </cell>
          <cell r="D536">
            <v>10</v>
          </cell>
          <cell r="F536">
            <v>25</v>
          </cell>
          <cell r="G536">
            <v>23</v>
          </cell>
          <cell r="H536">
            <v>17</v>
          </cell>
          <cell r="I536">
            <v>11</v>
          </cell>
          <cell r="K536">
            <v>22</v>
          </cell>
          <cell r="L536">
            <v>25</v>
          </cell>
          <cell r="M536">
            <v>16</v>
          </cell>
          <cell r="N536">
            <v>7</v>
          </cell>
          <cell r="P536">
            <v>894</v>
          </cell>
        </row>
        <row r="537">
          <cell r="A537">
            <v>24</v>
          </cell>
          <cell r="B537">
            <v>47.5</v>
          </cell>
          <cell r="C537">
            <v>50</v>
          </cell>
          <cell r="D537">
            <v>22</v>
          </cell>
          <cell r="F537">
            <v>24</v>
          </cell>
          <cell r="G537">
            <v>23</v>
          </cell>
          <cell r="H537">
            <v>25</v>
          </cell>
          <cell r="I537">
            <v>20</v>
          </cell>
          <cell r="K537">
            <v>24</v>
          </cell>
          <cell r="L537">
            <v>25</v>
          </cell>
          <cell r="M537">
            <v>22</v>
          </cell>
          <cell r="N537">
            <v>25</v>
          </cell>
          <cell r="P537">
            <v>895</v>
          </cell>
        </row>
        <row r="538">
          <cell r="A538">
            <v>21</v>
          </cell>
          <cell r="B538">
            <v>45</v>
          </cell>
          <cell r="C538">
            <v>50</v>
          </cell>
          <cell r="D538">
            <v>19</v>
          </cell>
          <cell r="F538">
            <v>24</v>
          </cell>
          <cell r="G538">
            <v>21</v>
          </cell>
          <cell r="H538">
            <v>23</v>
          </cell>
          <cell r="I538">
            <v>21</v>
          </cell>
          <cell r="K538">
            <v>23</v>
          </cell>
          <cell r="L538">
            <v>25</v>
          </cell>
          <cell r="M538">
            <v>23</v>
          </cell>
          <cell r="N538">
            <v>22</v>
          </cell>
          <cell r="P538">
            <v>896</v>
          </cell>
        </row>
        <row r="539">
          <cell r="A539">
            <v>25</v>
          </cell>
          <cell r="B539">
            <v>49</v>
          </cell>
          <cell r="C539">
            <v>49</v>
          </cell>
          <cell r="D539">
            <v>22</v>
          </cell>
          <cell r="F539">
            <v>25</v>
          </cell>
          <cell r="G539">
            <v>23</v>
          </cell>
          <cell r="H539">
            <v>25</v>
          </cell>
          <cell r="I539">
            <v>21</v>
          </cell>
          <cell r="K539">
            <v>23</v>
          </cell>
          <cell r="L539">
            <v>25</v>
          </cell>
          <cell r="M539">
            <v>23</v>
          </cell>
          <cell r="N539">
            <v>25</v>
          </cell>
          <cell r="P539">
            <v>897</v>
          </cell>
        </row>
        <row r="540">
          <cell r="A540">
            <v>25</v>
          </cell>
          <cell r="B540">
            <v>48</v>
          </cell>
          <cell r="C540">
            <v>50</v>
          </cell>
          <cell r="D540">
            <v>23</v>
          </cell>
          <cell r="F540">
            <v>25</v>
          </cell>
          <cell r="G540">
            <v>25</v>
          </cell>
          <cell r="H540">
            <v>25</v>
          </cell>
          <cell r="I540">
            <v>23</v>
          </cell>
          <cell r="K540">
            <v>24</v>
          </cell>
          <cell r="L540">
            <v>24</v>
          </cell>
          <cell r="M540">
            <v>24</v>
          </cell>
          <cell r="N540">
            <v>24</v>
          </cell>
          <cell r="P540">
            <v>898</v>
          </cell>
        </row>
        <row r="541">
          <cell r="A541">
            <v>21</v>
          </cell>
          <cell r="B541">
            <v>42.5</v>
          </cell>
          <cell r="C541">
            <v>50</v>
          </cell>
          <cell r="D541">
            <v>20</v>
          </cell>
          <cell r="F541">
            <v>23</v>
          </cell>
          <cell r="G541">
            <v>21</v>
          </cell>
          <cell r="H541">
            <v>24</v>
          </cell>
          <cell r="I541">
            <v>22</v>
          </cell>
          <cell r="K541">
            <v>22</v>
          </cell>
          <cell r="L541">
            <v>23</v>
          </cell>
          <cell r="M541">
            <v>23</v>
          </cell>
          <cell r="N541">
            <v>21</v>
          </cell>
          <cell r="P541">
            <v>900</v>
          </cell>
        </row>
        <row r="542">
          <cell r="A542">
            <v>23</v>
          </cell>
          <cell r="B542">
            <v>42.5</v>
          </cell>
          <cell r="C542">
            <v>48</v>
          </cell>
          <cell r="D542">
            <v>22</v>
          </cell>
          <cell r="F542">
            <v>23</v>
          </cell>
          <cell r="G542">
            <v>22</v>
          </cell>
          <cell r="H542">
            <v>22</v>
          </cell>
          <cell r="I542">
            <v>19</v>
          </cell>
          <cell r="K542">
            <v>17</v>
          </cell>
          <cell r="L542">
            <v>22</v>
          </cell>
          <cell r="M542">
            <v>20</v>
          </cell>
          <cell r="N542">
            <v>21</v>
          </cell>
          <cell r="P542">
            <v>905</v>
          </cell>
        </row>
        <row r="543">
          <cell r="A543">
            <v>25</v>
          </cell>
          <cell r="B543">
            <v>46</v>
          </cell>
          <cell r="C543">
            <v>49</v>
          </cell>
          <cell r="D543">
            <v>21</v>
          </cell>
          <cell r="F543">
            <v>24</v>
          </cell>
          <cell r="G543">
            <v>23</v>
          </cell>
          <cell r="H543">
            <v>24</v>
          </cell>
          <cell r="I543">
            <v>18</v>
          </cell>
          <cell r="K543">
            <v>23</v>
          </cell>
          <cell r="L543">
            <v>25</v>
          </cell>
          <cell r="M543">
            <v>23</v>
          </cell>
          <cell r="N543">
            <v>23</v>
          </cell>
          <cell r="P543">
            <v>906</v>
          </cell>
        </row>
        <row r="544">
          <cell r="A544">
            <v>25</v>
          </cell>
          <cell r="B544">
            <v>49.5</v>
          </cell>
          <cell r="C544">
            <v>50</v>
          </cell>
          <cell r="D544">
            <v>23</v>
          </cell>
          <cell r="F544">
            <v>25</v>
          </cell>
          <cell r="G544">
            <v>24</v>
          </cell>
          <cell r="H544">
            <v>25</v>
          </cell>
          <cell r="I544">
            <v>21</v>
          </cell>
          <cell r="K544">
            <v>24</v>
          </cell>
          <cell r="L544">
            <v>24</v>
          </cell>
          <cell r="M544">
            <v>23</v>
          </cell>
          <cell r="N544">
            <v>24</v>
          </cell>
          <cell r="P544">
            <v>907</v>
          </cell>
        </row>
        <row r="545">
          <cell r="A545">
            <v>24</v>
          </cell>
          <cell r="B545">
            <v>45</v>
          </cell>
          <cell r="C545">
            <v>46</v>
          </cell>
          <cell r="D545">
            <v>21</v>
          </cell>
          <cell r="F545">
            <v>25</v>
          </cell>
          <cell r="G545">
            <v>22</v>
          </cell>
          <cell r="H545">
            <v>22</v>
          </cell>
          <cell r="I545">
            <v>18</v>
          </cell>
          <cell r="K545">
            <v>25</v>
          </cell>
          <cell r="L545">
            <v>24</v>
          </cell>
          <cell r="M545">
            <v>22</v>
          </cell>
          <cell r="N545">
            <v>22</v>
          </cell>
          <cell r="P545">
            <v>908</v>
          </cell>
        </row>
        <row r="546">
          <cell r="A546">
            <v>20</v>
          </cell>
          <cell r="B546">
            <v>42</v>
          </cell>
          <cell r="C546">
            <v>42</v>
          </cell>
          <cell r="D546">
            <v>16</v>
          </cell>
          <cell r="F546">
            <v>15</v>
          </cell>
          <cell r="G546">
            <v>21</v>
          </cell>
          <cell r="H546">
            <v>18</v>
          </cell>
          <cell r="I546">
            <v>15</v>
          </cell>
          <cell r="K546">
            <v>19</v>
          </cell>
          <cell r="L546">
            <v>23</v>
          </cell>
          <cell r="M546">
            <v>20</v>
          </cell>
          <cell r="N546">
            <v>18</v>
          </cell>
          <cell r="P546">
            <v>909</v>
          </cell>
        </row>
        <row r="547">
          <cell r="A547">
            <v>24</v>
          </cell>
          <cell r="B547">
            <v>32.5</v>
          </cell>
          <cell r="C547">
            <v>46</v>
          </cell>
          <cell r="D547">
            <v>20</v>
          </cell>
          <cell r="F547">
            <v>23</v>
          </cell>
          <cell r="G547">
            <v>21</v>
          </cell>
          <cell r="H547">
            <v>17</v>
          </cell>
          <cell r="I547">
            <v>17</v>
          </cell>
          <cell r="K547">
            <v>22</v>
          </cell>
          <cell r="L547">
            <v>22</v>
          </cell>
          <cell r="M547">
            <v>15</v>
          </cell>
          <cell r="N547">
            <v>23</v>
          </cell>
          <cell r="P547">
            <v>912</v>
          </cell>
        </row>
        <row r="548">
          <cell r="A548">
            <v>24</v>
          </cell>
          <cell r="B548">
            <v>47.5</v>
          </cell>
          <cell r="C548">
            <v>49</v>
          </cell>
          <cell r="D548">
            <v>22</v>
          </cell>
          <cell r="F548">
            <v>24</v>
          </cell>
          <cell r="G548">
            <v>24</v>
          </cell>
          <cell r="H548">
            <v>25</v>
          </cell>
          <cell r="I548">
            <v>18</v>
          </cell>
          <cell r="K548">
            <v>23</v>
          </cell>
          <cell r="L548">
            <v>25</v>
          </cell>
          <cell r="M548">
            <v>23</v>
          </cell>
          <cell r="N548">
            <v>24</v>
          </cell>
          <cell r="P548">
            <v>916</v>
          </cell>
        </row>
        <row r="549">
          <cell r="A549">
            <v>23</v>
          </cell>
          <cell r="B549">
            <v>48</v>
          </cell>
          <cell r="C549">
            <v>48</v>
          </cell>
          <cell r="D549">
            <v>23</v>
          </cell>
          <cell r="F549">
            <v>24</v>
          </cell>
          <cell r="G549">
            <v>23</v>
          </cell>
          <cell r="H549">
            <v>23</v>
          </cell>
          <cell r="I549">
            <v>23</v>
          </cell>
          <cell r="K549">
            <v>23</v>
          </cell>
          <cell r="L549">
            <v>25</v>
          </cell>
          <cell r="M549">
            <v>22</v>
          </cell>
          <cell r="N549">
            <v>24</v>
          </cell>
          <cell r="P549">
            <v>921</v>
          </cell>
        </row>
        <row r="550">
          <cell r="A550">
            <v>21</v>
          </cell>
          <cell r="B550">
            <v>47</v>
          </cell>
          <cell r="C550">
            <v>49</v>
          </cell>
          <cell r="D550">
            <v>23</v>
          </cell>
          <cell r="F550">
            <v>25</v>
          </cell>
          <cell r="G550">
            <v>23</v>
          </cell>
          <cell r="H550">
            <v>24</v>
          </cell>
          <cell r="I550">
            <v>18</v>
          </cell>
          <cell r="K550">
            <v>21</v>
          </cell>
          <cell r="L550">
            <v>24</v>
          </cell>
          <cell r="M550">
            <v>23</v>
          </cell>
          <cell r="N550">
            <v>23</v>
          </cell>
          <cell r="P550">
            <v>925</v>
          </cell>
        </row>
        <row r="551">
          <cell r="A551">
            <v>22</v>
          </cell>
          <cell r="B551">
            <v>43.5</v>
          </cell>
          <cell r="C551">
            <v>46</v>
          </cell>
          <cell r="D551">
            <v>20</v>
          </cell>
          <cell r="F551">
            <v>15</v>
          </cell>
          <cell r="G551">
            <v>24</v>
          </cell>
          <cell r="H551">
            <v>24</v>
          </cell>
          <cell r="I551">
            <v>21</v>
          </cell>
          <cell r="K551">
            <v>25</v>
          </cell>
          <cell r="L551">
            <v>25</v>
          </cell>
          <cell r="M551">
            <v>20</v>
          </cell>
          <cell r="N551">
            <v>24</v>
          </cell>
          <cell r="P551">
            <v>937</v>
          </cell>
        </row>
        <row r="552">
          <cell r="A552">
            <v>25</v>
          </cell>
          <cell r="B552">
            <v>46</v>
          </cell>
          <cell r="C552">
            <v>49</v>
          </cell>
          <cell r="D552">
            <v>21</v>
          </cell>
          <cell r="F552">
            <v>23</v>
          </cell>
          <cell r="G552">
            <v>25</v>
          </cell>
          <cell r="H552">
            <v>21</v>
          </cell>
          <cell r="I552">
            <v>19</v>
          </cell>
          <cell r="K552">
            <v>23</v>
          </cell>
          <cell r="L552">
            <v>25</v>
          </cell>
          <cell r="M552">
            <v>21</v>
          </cell>
          <cell r="N552">
            <v>23</v>
          </cell>
          <cell r="P552">
            <v>941</v>
          </cell>
        </row>
        <row r="553">
          <cell r="A553">
            <v>24</v>
          </cell>
          <cell r="B553">
            <v>49</v>
          </cell>
          <cell r="C553">
            <v>50</v>
          </cell>
          <cell r="D553">
            <v>21</v>
          </cell>
          <cell r="F553">
            <v>25</v>
          </cell>
          <cell r="G553">
            <v>23</v>
          </cell>
          <cell r="H553">
            <v>25</v>
          </cell>
          <cell r="I553">
            <v>23</v>
          </cell>
          <cell r="K553">
            <v>21</v>
          </cell>
          <cell r="L553">
            <v>24</v>
          </cell>
          <cell r="M553">
            <v>23</v>
          </cell>
          <cell r="N553">
            <v>24</v>
          </cell>
          <cell r="P553">
            <v>942</v>
          </cell>
        </row>
        <row r="554">
          <cell r="A554">
            <v>22</v>
          </cell>
          <cell r="B554">
            <v>30.5</v>
          </cell>
          <cell r="C554">
            <v>37</v>
          </cell>
          <cell r="D554">
            <v>13</v>
          </cell>
          <cell r="F554">
            <v>22</v>
          </cell>
          <cell r="G554">
            <v>21</v>
          </cell>
          <cell r="H554">
            <v>16</v>
          </cell>
          <cell r="I554">
            <v>14</v>
          </cell>
          <cell r="K554">
            <v>23</v>
          </cell>
          <cell r="L554">
            <v>21</v>
          </cell>
          <cell r="M554">
            <v>15</v>
          </cell>
          <cell r="N554">
            <v>16</v>
          </cell>
          <cell r="P554">
            <v>949</v>
          </cell>
        </row>
        <row r="555">
          <cell r="A555">
            <v>24</v>
          </cell>
          <cell r="B555">
            <v>48</v>
          </cell>
          <cell r="C555">
            <v>50</v>
          </cell>
          <cell r="D555">
            <v>24</v>
          </cell>
          <cell r="F555">
            <v>25</v>
          </cell>
          <cell r="G555">
            <v>24</v>
          </cell>
          <cell r="H555">
            <v>25</v>
          </cell>
          <cell r="I555">
            <v>22</v>
          </cell>
          <cell r="K555">
            <v>25</v>
          </cell>
          <cell r="L555">
            <v>25</v>
          </cell>
          <cell r="M555">
            <v>24</v>
          </cell>
          <cell r="N555">
            <v>25</v>
          </cell>
          <cell r="P555">
            <v>951</v>
          </cell>
        </row>
        <row r="556">
          <cell r="A556">
            <v>22</v>
          </cell>
          <cell r="B556">
            <v>43</v>
          </cell>
          <cell r="C556">
            <v>50</v>
          </cell>
          <cell r="D556">
            <v>19</v>
          </cell>
          <cell r="F556">
            <v>24</v>
          </cell>
          <cell r="G556">
            <v>23</v>
          </cell>
          <cell r="H556">
            <v>24</v>
          </cell>
          <cell r="I556">
            <v>19</v>
          </cell>
          <cell r="K556">
            <v>24</v>
          </cell>
          <cell r="L556">
            <v>25</v>
          </cell>
          <cell r="M556">
            <v>18</v>
          </cell>
          <cell r="N556">
            <v>25</v>
          </cell>
          <cell r="P556">
            <v>954</v>
          </cell>
        </row>
        <row r="557">
          <cell r="A557">
            <v>24</v>
          </cell>
          <cell r="B557">
            <v>47.5</v>
          </cell>
          <cell r="C557">
            <v>49</v>
          </cell>
          <cell r="D557">
            <v>21</v>
          </cell>
          <cell r="F557">
            <v>25</v>
          </cell>
          <cell r="G557">
            <v>25</v>
          </cell>
          <cell r="H557">
            <v>25</v>
          </cell>
          <cell r="I557">
            <v>22</v>
          </cell>
          <cell r="K557">
            <v>24</v>
          </cell>
          <cell r="L557">
            <v>25</v>
          </cell>
          <cell r="M557">
            <v>23</v>
          </cell>
          <cell r="N557">
            <v>23</v>
          </cell>
          <cell r="P557">
            <v>955</v>
          </cell>
        </row>
        <row r="558">
          <cell r="A558">
            <v>24</v>
          </cell>
          <cell r="B558">
            <v>45</v>
          </cell>
          <cell r="C558">
            <v>46</v>
          </cell>
          <cell r="D558">
            <v>20</v>
          </cell>
          <cell r="F558">
            <v>25</v>
          </cell>
          <cell r="G558">
            <v>23</v>
          </cell>
          <cell r="H558">
            <v>23</v>
          </cell>
          <cell r="I558">
            <v>22</v>
          </cell>
          <cell r="K558">
            <v>23</v>
          </cell>
          <cell r="L558">
            <v>24</v>
          </cell>
          <cell r="M558">
            <v>22</v>
          </cell>
          <cell r="N558">
            <v>24</v>
          </cell>
          <cell r="P558">
            <v>957</v>
          </cell>
        </row>
        <row r="559">
          <cell r="A559">
            <v>24</v>
          </cell>
          <cell r="B559">
            <v>46.5</v>
          </cell>
          <cell r="C559">
            <v>50</v>
          </cell>
          <cell r="D559">
            <v>22</v>
          </cell>
          <cell r="F559">
            <v>25</v>
          </cell>
          <cell r="G559">
            <v>24</v>
          </cell>
          <cell r="H559">
            <v>24</v>
          </cell>
          <cell r="I559">
            <v>22</v>
          </cell>
          <cell r="K559">
            <v>24</v>
          </cell>
          <cell r="L559">
            <v>24</v>
          </cell>
          <cell r="M559">
            <v>24</v>
          </cell>
          <cell r="N559">
            <v>20</v>
          </cell>
          <cell r="P559">
            <v>958</v>
          </cell>
        </row>
        <row r="560">
          <cell r="A560">
            <v>23</v>
          </cell>
          <cell r="B560">
            <v>31.5</v>
          </cell>
          <cell r="C560">
            <v>39</v>
          </cell>
          <cell r="D560">
            <v>21</v>
          </cell>
          <cell r="F560">
            <v>23</v>
          </cell>
          <cell r="G560">
            <v>19</v>
          </cell>
          <cell r="H560">
            <v>17</v>
          </cell>
          <cell r="I560">
            <v>15</v>
          </cell>
          <cell r="K560">
            <v>22</v>
          </cell>
          <cell r="L560">
            <v>25</v>
          </cell>
          <cell r="M560">
            <v>14</v>
          </cell>
          <cell r="N560">
            <v>17</v>
          </cell>
          <cell r="P560">
            <v>961</v>
          </cell>
        </row>
        <row r="561">
          <cell r="A561">
            <v>23</v>
          </cell>
          <cell r="B561">
            <v>47</v>
          </cell>
          <cell r="C561">
            <v>48</v>
          </cell>
          <cell r="D561">
            <v>19</v>
          </cell>
          <cell r="F561">
            <v>24</v>
          </cell>
          <cell r="G561">
            <v>23</v>
          </cell>
          <cell r="H561">
            <v>25</v>
          </cell>
          <cell r="I561">
            <v>23</v>
          </cell>
          <cell r="K561">
            <v>21</v>
          </cell>
          <cell r="L561">
            <v>25</v>
          </cell>
          <cell r="M561">
            <v>20</v>
          </cell>
          <cell r="N561">
            <v>25</v>
          </cell>
          <cell r="P561">
            <v>963</v>
          </cell>
        </row>
        <row r="562">
          <cell r="A562">
            <v>25</v>
          </cell>
          <cell r="B562">
            <v>45</v>
          </cell>
          <cell r="C562">
            <v>50</v>
          </cell>
          <cell r="D562">
            <v>21</v>
          </cell>
          <cell r="F562">
            <v>25</v>
          </cell>
          <cell r="G562">
            <v>25</v>
          </cell>
          <cell r="H562">
            <v>24</v>
          </cell>
          <cell r="I562">
            <v>20</v>
          </cell>
          <cell r="K562">
            <v>22</v>
          </cell>
          <cell r="L562">
            <v>25</v>
          </cell>
          <cell r="M562">
            <v>23</v>
          </cell>
          <cell r="N562">
            <v>25</v>
          </cell>
          <cell r="P562">
            <v>964</v>
          </cell>
        </row>
        <row r="563">
          <cell r="A563">
            <v>23</v>
          </cell>
          <cell r="B563">
            <v>47.5</v>
          </cell>
          <cell r="C563">
            <v>50</v>
          </cell>
          <cell r="D563">
            <v>19</v>
          </cell>
          <cell r="F563">
            <v>25</v>
          </cell>
          <cell r="G563">
            <v>22</v>
          </cell>
          <cell r="H563">
            <v>25</v>
          </cell>
          <cell r="I563">
            <v>22</v>
          </cell>
          <cell r="K563">
            <v>24</v>
          </cell>
          <cell r="L563">
            <v>25</v>
          </cell>
          <cell r="M563">
            <v>22</v>
          </cell>
          <cell r="N563">
            <v>24</v>
          </cell>
          <cell r="P563">
            <v>966</v>
          </cell>
        </row>
        <row r="564">
          <cell r="A564">
            <v>22</v>
          </cell>
          <cell r="B564">
            <v>49</v>
          </cell>
          <cell r="C564">
            <v>50</v>
          </cell>
          <cell r="D564">
            <v>23</v>
          </cell>
          <cell r="F564">
            <v>24</v>
          </cell>
          <cell r="G564">
            <v>23</v>
          </cell>
          <cell r="H564">
            <v>25</v>
          </cell>
          <cell r="I564">
            <v>22</v>
          </cell>
          <cell r="K564">
            <v>25</v>
          </cell>
          <cell r="L564">
            <v>25</v>
          </cell>
          <cell r="M564">
            <v>23</v>
          </cell>
          <cell r="N564">
            <v>24</v>
          </cell>
          <cell r="P564">
            <v>968</v>
          </cell>
        </row>
        <row r="565">
          <cell r="A565">
            <v>24</v>
          </cell>
          <cell r="B565">
            <v>47</v>
          </cell>
          <cell r="C565">
            <v>50</v>
          </cell>
          <cell r="D565">
            <v>22</v>
          </cell>
          <cell r="F565">
            <v>25</v>
          </cell>
          <cell r="G565">
            <v>21</v>
          </cell>
          <cell r="H565">
            <v>23</v>
          </cell>
          <cell r="I565">
            <v>22</v>
          </cell>
          <cell r="K565">
            <v>25</v>
          </cell>
          <cell r="L565">
            <v>25</v>
          </cell>
          <cell r="M565">
            <v>23</v>
          </cell>
          <cell r="N565">
            <v>24</v>
          </cell>
          <cell r="P565">
            <v>969</v>
          </cell>
        </row>
        <row r="566">
          <cell r="A566">
            <v>24</v>
          </cell>
          <cell r="B566">
            <v>46</v>
          </cell>
          <cell r="C566">
            <v>50</v>
          </cell>
          <cell r="D566">
            <v>20</v>
          </cell>
          <cell r="F566">
            <v>23</v>
          </cell>
          <cell r="G566">
            <v>23</v>
          </cell>
          <cell r="H566">
            <v>24</v>
          </cell>
          <cell r="I566">
            <v>22</v>
          </cell>
          <cell r="K566">
            <v>23</v>
          </cell>
          <cell r="L566">
            <v>24</v>
          </cell>
          <cell r="M566">
            <v>23</v>
          </cell>
          <cell r="N566">
            <v>24</v>
          </cell>
          <cell r="P566">
            <v>970</v>
          </cell>
        </row>
        <row r="567">
          <cell r="A567">
            <v>21</v>
          </cell>
          <cell r="B567">
            <v>37</v>
          </cell>
          <cell r="C567">
            <v>36</v>
          </cell>
          <cell r="D567">
            <v>19</v>
          </cell>
          <cell r="F567">
            <v>24</v>
          </cell>
          <cell r="G567">
            <v>19</v>
          </cell>
          <cell r="H567">
            <v>17</v>
          </cell>
          <cell r="I567">
            <v>19</v>
          </cell>
          <cell r="K567">
            <v>25</v>
          </cell>
          <cell r="L567">
            <v>21</v>
          </cell>
          <cell r="M567">
            <v>10</v>
          </cell>
          <cell r="N567">
            <v>21</v>
          </cell>
          <cell r="P567">
            <v>971</v>
          </cell>
        </row>
        <row r="568">
          <cell r="A568">
            <v>23</v>
          </cell>
          <cell r="B568">
            <v>38.5</v>
          </cell>
          <cell r="C568">
            <v>42</v>
          </cell>
          <cell r="D568">
            <v>20</v>
          </cell>
          <cell r="F568">
            <v>24</v>
          </cell>
          <cell r="G568">
            <v>24</v>
          </cell>
          <cell r="H568">
            <v>23</v>
          </cell>
          <cell r="I568">
            <v>18</v>
          </cell>
          <cell r="K568">
            <v>23</v>
          </cell>
          <cell r="L568">
            <v>25</v>
          </cell>
          <cell r="M568">
            <v>22</v>
          </cell>
          <cell r="N568">
            <v>22</v>
          </cell>
          <cell r="P568">
            <v>975</v>
          </cell>
        </row>
        <row r="569">
          <cell r="A569">
            <v>24</v>
          </cell>
          <cell r="B569">
            <v>39.5</v>
          </cell>
          <cell r="C569">
            <v>43</v>
          </cell>
          <cell r="D569">
            <v>19</v>
          </cell>
          <cell r="F569">
            <v>23</v>
          </cell>
          <cell r="G569">
            <v>20</v>
          </cell>
          <cell r="H569">
            <v>20</v>
          </cell>
          <cell r="I569">
            <v>20</v>
          </cell>
          <cell r="K569">
            <v>19</v>
          </cell>
          <cell r="L569">
            <v>23</v>
          </cell>
          <cell r="M569">
            <v>18</v>
          </cell>
          <cell r="N569">
            <v>19</v>
          </cell>
          <cell r="P569">
            <v>977</v>
          </cell>
        </row>
        <row r="570">
          <cell r="A570">
            <v>25</v>
          </cell>
          <cell r="B570">
            <v>30</v>
          </cell>
          <cell r="C570">
            <v>16</v>
          </cell>
          <cell r="D570">
            <v>22</v>
          </cell>
          <cell r="F570">
            <v>23</v>
          </cell>
          <cell r="G570">
            <v>19</v>
          </cell>
          <cell r="H570">
            <v>16</v>
          </cell>
          <cell r="I570">
            <v>17</v>
          </cell>
          <cell r="K570">
            <v>24</v>
          </cell>
          <cell r="L570">
            <v>25</v>
          </cell>
          <cell r="M570">
            <v>14</v>
          </cell>
          <cell r="N570">
            <v>18</v>
          </cell>
          <cell r="P570">
            <v>978</v>
          </cell>
        </row>
        <row r="571">
          <cell r="A571">
            <v>22</v>
          </cell>
          <cell r="B571">
            <v>39</v>
          </cell>
          <cell r="C571">
            <v>50</v>
          </cell>
          <cell r="D571">
            <v>24</v>
          </cell>
          <cell r="F571">
            <v>15</v>
          </cell>
          <cell r="G571">
            <v>24</v>
          </cell>
          <cell r="H571">
            <v>23</v>
          </cell>
          <cell r="I571">
            <v>19</v>
          </cell>
          <cell r="K571">
            <v>19</v>
          </cell>
          <cell r="L571">
            <v>22</v>
          </cell>
          <cell r="M571">
            <v>20</v>
          </cell>
          <cell r="N571">
            <v>19</v>
          </cell>
          <cell r="P571">
            <v>982</v>
          </cell>
        </row>
        <row r="572">
          <cell r="A572">
            <v>25</v>
          </cell>
          <cell r="B572">
            <v>29</v>
          </cell>
          <cell r="C572">
            <v>39</v>
          </cell>
          <cell r="D572">
            <v>20</v>
          </cell>
          <cell r="F572">
            <v>25</v>
          </cell>
          <cell r="G572">
            <v>20</v>
          </cell>
          <cell r="H572">
            <v>21</v>
          </cell>
          <cell r="I572">
            <v>16</v>
          </cell>
          <cell r="K572">
            <v>18</v>
          </cell>
          <cell r="L572">
            <v>24.5</v>
          </cell>
          <cell r="M572">
            <v>19</v>
          </cell>
          <cell r="N572">
            <v>23</v>
          </cell>
          <cell r="P572">
            <v>983</v>
          </cell>
        </row>
        <row r="573">
          <cell r="A573">
            <v>25</v>
          </cell>
          <cell r="B573">
            <v>47</v>
          </cell>
          <cell r="C573">
            <v>49</v>
          </cell>
          <cell r="D573">
            <v>23</v>
          </cell>
          <cell r="F573">
            <v>25</v>
          </cell>
          <cell r="G573">
            <v>21.5</v>
          </cell>
          <cell r="H573">
            <v>24</v>
          </cell>
          <cell r="I573">
            <v>23</v>
          </cell>
          <cell r="K573">
            <v>24</v>
          </cell>
          <cell r="L573">
            <v>25</v>
          </cell>
          <cell r="M573">
            <v>23</v>
          </cell>
          <cell r="N573">
            <v>25</v>
          </cell>
          <cell r="P573">
            <v>984</v>
          </cell>
        </row>
        <row r="574">
          <cell r="A574">
            <v>23</v>
          </cell>
          <cell r="B574">
            <v>46</v>
          </cell>
          <cell r="C574">
            <v>47</v>
          </cell>
          <cell r="D574">
            <v>22</v>
          </cell>
          <cell r="F574">
            <v>23</v>
          </cell>
          <cell r="G574">
            <v>22</v>
          </cell>
          <cell r="H574">
            <v>23</v>
          </cell>
          <cell r="I574">
            <v>18</v>
          </cell>
          <cell r="K574">
            <v>24</v>
          </cell>
          <cell r="L574">
            <v>24</v>
          </cell>
          <cell r="M574">
            <v>21</v>
          </cell>
          <cell r="N574">
            <v>22</v>
          </cell>
          <cell r="P574">
            <v>985</v>
          </cell>
        </row>
        <row r="575">
          <cell r="A575">
            <v>22</v>
          </cell>
          <cell r="B575">
            <v>42</v>
          </cell>
          <cell r="C575">
            <v>48</v>
          </cell>
          <cell r="D575">
            <v>18</v>
          </cell>
          <cell r="F575">
            <v>21</v>
          </cell>
          <cell r="G575">
            <v>21.5</v>
          </cell>
          <cell r="H575">
            <v>21</v>
          </cell>
          <cell r="I575">
            <v>18</v>
          </cell>
          <cell r="K575">
            <v>18</v>
          </cell>
          <cell r="L575">
            <v>22.5</v>
          </cell>
          <cell r="M575">
            <v>22</v>
          </cell>
          <cell r="N575">
            <v>19</v>
          </cell>
          <cell r="P575">
            <v>986</v>
          </cell>
        </row>
        <row r="576">
          <cell r="A576">
            <v>23</v>
          </cell>
          <cell r="B576">
            <v>45</v>
          </cell>
          <cell r="C576">
            <v>49</v>
          </cell>
          <cell r="D576">
            <v>21</v>
          </cell>
          <cell r="F576">
            <v>24</v>
          </cell>
          <cell r="G576">
            <v>23</v>
          </cell>
          <cell r="H576">
            <v>22</v>
          </cell>
          <cell r="I576">
            <v>20</v>
          </cell>
          <cell r="K576">
            <v>21</v>
          </cell>
          <cell r="L576">
            <v>24.5</v>
          </cell>
          <cell r="M576">
            <v>21</v>
          </cell>
          <cell r="N576">
            <v>23</v>
          </cell>
          <cell r="P576">
            <v>987</v>
          </cell>
        </row>
        <row r="577">
          <cell r="A577">
            <v>8</v>
          </cell>
          <cell r="B577">
            <v>9</v>
          </cell>
          <cell r="C577">
            <v>37</v>
          </cell>
          <cell r="D577">
            <v>21</v>
          </cell>
          <cell r="F577">
            <v>18</v>
          </cell>
          <cell r="G577">
            <v>21</v>
          </cell>
          <cell r="H577">
            <v>19</v>
          </cell>
          <cell r="I577">
            <v>19</v>
          </cell>
          <cell r="K577">
            <v>15</v>
          </cell>
          <cell r="L577">
            <v>10</v>
          </cell>
          <cell r="M577">
            <v>20</v>
          </cell>
          <cell r="N577">
            <v>17</v>
          </cell>
          <cell r="P577">
            <v>988</v>
          </cell>
        </row>
        <row r="578">
          <cell r="A578">
            <v>21</v>
          </cell>
          <cell r="B578">
            <v>32</v>
          </cell>
          <cell r="C578">
            <v>45</v>
          </cell>
          <cell r="D578">
            <v>20</v>
          </cell>
          <cell r="F578">
            <v>25</v>
          </cell>
          <cell r="G578">
            <v>19</v>
          </cell>
          <cell r="H578">
            <v>22</v>
          </cell>
          <cell r="I578">
            <v>14</v>
          </cell>
          <cell r="K578">
            <v>19</v>
          </cell>
          <cell r="L578">
            <v>24</v>
          </cell>
          <cell r="M578">
            <v>15</v>
          </cell>
          <cell r="N578">
            <v>15</v>
          </cell>
          <cell r="P578">
            <v>989</v>
          </cell>
        </row>
        <row r="579">
          <cell r="A579">
            <v>23</v>
          </cell>
          <cell r="B579">
            <v>43</v>
          </cell>
          <cell r="C579">
            <v>46</v>
          </cell>
          <cell r="D579">
            <v>22</v>
          </cell>
          <cell r="F579">
            <v>25</v>
          </cell>
          <cell r="G579">
            <v>24</v>
          </cell>
          <cell r="H579">
            <v>23</v>
          </cell>
          <cell r="I579">
            <v>22</v>
          </cell>
          <cell r="K579">
            <v>22</v>
          </cell>
          <cell r="L579">
            <v>23</v>
          </cell>
          <cell r="M579">
            <v>23</v>
          </cell>
          <cell r="N579">
            <v>23</v>
          </cell>
          <cell r="P579">
            <v>991</v>
          </cell>
        </row>
        <row r="580">
          <cell r="A580">
            <v>19</v>
          </cell>
          <cell r="B580">
            <v>47.5</v>
          </cell>
          <cell r="C580">
            <v>49</v>
          </cell>
          <cell r="D580">
            <v>22</v>
          </cell>
          <cell r="F580">
            <v>23</v>
          </cell>
          <cell r="G580">
            <v>21.5</v>
          </cell>
          <cell r="H580">
            <v>25</v>
          </cell>
          <cell r="I580">
            <v>22</v>
          </cell>
          <cell r="K580">
            <v>20</v>
          </cell>
          <cell r="L580">
            <v>24</v>
          </cell>
          <cell r="M580">
            <v>23</v>
          </cell>
          <cell r="N580">
            <v>24</v>
          </cell>
          <cell r="P580">
            <v>992</v>
          </cell>
        </row>
        <row r="581">
          <cell r="A581">
            <v>21</v>
          </cell>
          <cell r="B581">
            <v>46</v>
          </cell>
          <cell r="C581">
            <v>50</v>
          </cell>
          <cell r="D581">
            <v>19</v>
          </cell>
          <cell r="F581">
            <v>25</v>
          </cell>
          <cell r="G581">
            <v>25</v>
          </cell>
          <cell r="H581">
            <v>23</v>
          </cell>
          <cell r="I581">
            <v>22</v>
          </cell>
          <cell r="K581">
            <v>25</v>
          </cell>
          <cell r="L581">
            <v>25</v>
          </cell>
          <cell r="M581">
            <v>23</v>
          </cell>
          <cell r="N581">
            <v>24</v>
          </cell>
          <cell r="P581">
            <v>993</v>
          </cell>
        </row>
        <row r="582">
          <cell r="A582">
            <v>24</v>
          </cell>
          <cell r="B582">
            <v>48.5</v>
          </cell>
          <cell r="C582">
            <v>50</v>
          </cell>
          <cell r="D582">
            <v>21</v>
          </cell>
          <cell r="F582">
            <v>25</v>
          </cell>
          <cell r="G582">
            <v>23</v>
          </cell>
          <cell r="H582">
            <v>21</v>
          </cell>
          <cell r="I582">
            <v>22</v>
          </cell>
          <cell r="K582">
            <v>21</v>
          </cell>
          <cell r="L582">
            <v>24</v>
          </cell>
          <cell r="M582">
            <v>23</v>
          </cell>
          <cell r="N582">
            <v>21</v>
          </cell>
          <cell r="P582">
            <v>994</v>
          </cell>
        </row>
        <row r="583">
          <cell r="A583">
            <v>25</v>
          </cell>
          <cell r="B583">
            <v>47.5</v>
          </cell>
          <cell r="C583">
            <v>48</v>
          </cell>
          <cell r="D583">
            <v>22</v>
          </cell>
          <cell r="F583">
            <v>25</v>
          </cell>
          <cell r="G583">
            <v>22</v>
          </cell>
          <cell r="H583">
            <v>24</v>
          </cell>
          <cell r="I583">
            <v>21</v>
          </cell>
          <cell r="K583">
            <v>23</v>
          </cell>
          <cell r="L583">
            <v>25</v>
          </cell>
          <cell r="M583">
            <v>22</v>
          </cell>
          <cell r="N583">
            <v>25</v>
          </cell>
          <cell r="P583">
            <v>997</v>
          </cell>
        </row>
        <row r="584">
          <cell r="A584">
            <v>25</v>
          </cell>
          <cell r="B584">
            <v>44</v>
          </cell>
          <cell r="C584">
            <v>40</v>
          </cell>
          <cell r="D584">
            <v>20</v>
          </cell>
          <cell r="F584">
            <v>25</v>
          </cell>
          <cell r="G584">
            <v>23</v>
          </cell>
          <cell r="H584">
            <v>20</v>
          </cell>
          <cell r="I584">
            <v>19</v>
          </cell>
          <cell r="K584">
            <v>25</v>
          </cell>
          <cell r="L584">
            <v>24.5</v>
          </cell>
          <cell r="M584">
            <v>18</v>
          </cell>
          <cell r="N584">
            <v>19</v>
          </cell>
          <cell r="P584">
            <v>998</v>
          </cell>
        </row>
        <row r="585">
          <cell r="A585">
            <v>24</v>
          </cell>
          <cell r="B585">
            <v>10</v>
          </cell>
          <cell r="C585">
            <v>45</v>
          </cell>
          <cell r="D585">
            <v>18</v>
          </cell>
          <cell r="F585">
            <v>20</v>
          </cell>
          <cell r="G585">
            <v>21</v>
          </cell>
          <cell r="H585">
            <v>23</v>
          </cell>
          <cell r="I585">
            <v>21</v>
          </cell>
          <cell r="K585">
            <v>23</v>
          </cell>
          <cell r="L585">
            <v>20.5</v>
          </cell>
          <cell r="M585">
            <v>20</v>
          </cell>
          <cell r="N585">
            <v>18</v>
          </cell>
          <cell r="P585">
            <v>999</v>
          </cell>
        </row>
        <row r="586">
          <cell r="A586">
            <v>19.5</v>
          </cell>
          <cell r="B586">
            <v>30.5</v>
          </cell>
          <cell r="C586">
            <v>40</v>
          </cell>
          <cell r="D586">
            <v>18</v>
          </cell>
          <cell r="F586">
            <v>22</v>
          </cell>
          <cell r="G586">
            <v>22</v>
          </cell>
          <cell r="H586">
            <v>18</v>
          </cell>
          <cell r="I586">
            <v>17</v>
          </cell>
          <cell r="K586">
            <v>22</v>
          </cell>
          <cell r="L586">
            <v>22</v>
          </cell>
          <cell r="M586">
            <v>16</v>
          </cell>
          <cell r="N586">
            <v>23</v>
          </cell>
          <cell r="P586">
            <v>1000</v>
          </cell>
        </row>
        <row r="587">
          <cell r="A587">
            <v>19.5</v>
          </cell>
          <cell r="B587">
            <v>41.5</v>
          </cell>
          <cell r="C587">
            <v>40</v>
          </cell>
          <cell r="D587">
            <v>20</v>
          </cell>
          <cell r="F587">
            <v>24</v>
          </cell>
          <cell r="G587">
            <v>19.5</v>
          </cell>
          <cell r="H587">
            <v>21</v>
          </cell>
          <cell r="I587">
            <v>17</v>
          </cell>
          <cell r="K587">
            <v>21</v>
          </cell>
          <cell r="L587">
            <v>25</v>
          </cell>
          <cell r="M587">
            <v>17</v>
          </cell>
          <cell r="N587">
            <v>19</v>
          </cell>
          <cell r="P587">
            <v>1001</v>
          </cell>
        </row>
        <row r="588">
          <cell r="A588">
            <v>22</v>
          </cell>
          <cell r="B588">
            <v>37.5</v>
          </cell>
          <cell r="C588">
            <v>43</v>
          </cell>
          <cell r="D588">
            <v>20</v>
          </cell>
          <cell r="F588">
            <v>23</v>
          </cell>
          <cell r="G588">
            <v>21</v>
          </cell>
          <cell r="H588">
            <v>21</v>
          </cell>
          <cell r="I588">
            <v>20</v>
          </cell>
          <cell r="K588">
            <v>20</v>
          </cell>
          <cell r="L588">
            <v>24</v>
          </cell>
          <cell r="M588">
            <v>18</v>
          </cell>
          <cell r="N588">
            <v>24</v>
          </cell>
          <cell r="P588">
            <v>1003</v>
          </cell>
        </row>
        <row r="589">
          <cell r="A589">
            <v>24</v>
          </cell>
          <cell r="B589">
            <v>47.5</v>
          </cell>
          <cell r="C589">
            <v>50</v>
          </cell>
          <cell r="D589">
            <v>19</v>
          </cell>
          <cell r="F589">
            <v>25</v>
          </cell>
          <cell r="G589">
            <v>22</v>
          </cell>
          <cell r="H589">
            <v>25</v>
          </cell>
          <cell r="I589">
            <v>22</v>
          </cell>
          <cell r="K589">
            <v>24</v>
          </cell>
          <cell r="L589">
            <v>25</v>
          </cell>
          <cell r="M589">
            <v>22</v>
          </cell>
          <cell r="N589">
            <v>24</v>
          </cell>
          <cell r="P589">
            <v>1004</v>
          </cell>
        </row>
        <row r="590">
          <cell r="A590">
            <v>20</v>
          </cell>
          <cell r="B590">
            <v>40.5</v>
          </cell>
          <cell r="C590">
            <v>45</v>
          </cell>
          <cell r="D590">
            <v>22</v>
          </cell>
          <cell r="F590">
            <v>23</v>
          </cell>
          <cell r="G590">
            <v>23</v>
          </cell>
          <cell r="H590">
            <v>17</v>
          </cell>
          <cell r="I590">
            <v>17</v>
          </cell>
          <cell r="K590">
            <v>20</v>
          </cell>
          <cell r="L590">
            <v>23</v>
          </cell>
          <cell r="M590">
            <v>18</v>
          </cell>
          <cell r="N590">
            <v>19</v>
          </cell>
          <cell r="P590">
            <v>1005</v>
          </cell>
        </row>
        <row r="591">
          <cell r="A591">
            <v>21</v>
          </cell>
          <cell r="B591">
            <v>36.5</v>
          </cell>
          <cell r="C591">
            <v>44</v>
          </cell>
          <cell r="D591">
            <v>10</v>
          </cell>
          <cell r="F591">
            <v>24</v>
          </cell>
          <cell r="G591">
            <v>17</v>
          </cell>
          <cell r="H591">
            <v>20</v>
          </cell>
          <cell r="I591">
            <v>14</v>
          </cell>
          <cell r="K591">
            <v>20</v>
          </cell>
          <cell r="L591">
            <v>24</v>
          </cell>
          <cell r="M591">
            <v>21</v>
          </cell>
          <cell r="N591">
            <v>15</v>
          </cell>
          <cell r="P591">
            <v>1006</v>
          </cell>
        </row>
        <row r="592">
          <cell r="A592">
            <v>23</v>
          </cell>
          <cell r="B592">
            <v>47.5</v>
          </cell>
          <cell r="C592">
            <v>50</v>
          </cell>
          <cell r="D592">
            <v>22</v>
          </cell>
          <cell r="F592">
            <v>25</v>
          </cell>
          <cell r="G592">
            <v>22</v>
          </cell>
          <cell r="H592">
            <v>23</v>
          </cell>
          <cell r="I592">
            <v>23</v>
          </cell>
          <cell r="K592">
            <v>23</v>
          </cell>
          <cell r="L592">
            <v>24</v>
          </cell>
          <cell r="M592">
            <v>23</v>
          </cell>
          <cell r="N592">
            <v>21</v>
          </cell>
          <cell r="P592">
            <v>1008</v>
          </cell>
        </row>
        <row r="593">
          <cell r="A593">
            <v>18</v>
          </cell>
          <cell r="B593">
            <v>37</v>
          </cell>
          <cell r="C593">
            <v>48</v>
          </cell>
          <cell r="D593">
            <v>20</v>
          </cell>
          <cell r="F593">
            <v>25</v>
          </cell>
          <cell r="G593">
            <v>23</v>
          </cell>
          <cell r="H593">
            <v>24</v>
          </cell>
          <cell r="I593">
            <v>22</v>
          </cell>
          <cell r="K593">
            <v>24</v>
          </cell>
          <cell r="L593">
            <v>24</v>
          </cell>
          <cell r="M593">
            <v>21</v>
          </cell>
          <cell r="N593">
            <v>25</v>
          </cell>
          <cell r="P593">
            <v>1009</v>
          </cell>
        </row>
        <row r="594">
          <cell r="A594">
            <v>21</v>
          </cell>
          <cell r="B594">
            <v>47</v>
          </cell>
          <cell r="C594">
            <v>50</v>
          </cell>
          <cell r="D594">
            <v>20</v>
          </cell>
          <cell r="F594">
            <v>22</v>
          </cell>
          <cell r="G594">
            <v>22</v>
          </cell>
          <cell r="H594">
            <v>23</v>
          </cell>
          <cell r="I594">
            <v>19</v>
          </cell>
          <cell r="K594">
            <v>23</v>
          </cell>
          <cell r="L594">
            <v>25</v>
          </cell>
          <cell r="M594">
            <v>23</v>
          </cell>
          <cell r="N594">
            <v>22</v>
          </cell>
          <cell r="P594">
            <v>1010</v>
          </cell>
        </row>
        <row r="595">
          <cell r="A595">
            <v>21</v>
          </cell>
          <cell r="B595">
            <v>45</v>
          </cell>
          <cell r="C595">
            <v>47</v>
          </cell>
          <cell r="D595">
            <v>22</v>
          </cell>
          <cell r="F595">
            <v>25</v>
          </cell>
          <cell r="G595">
            <v>24</v>
          </cell>
          <cell r="H595">
            <v>24</v>
          </cell>
          <cell r="I595">
            <v>22</v>
          </cell>
          <cell r="K595">
            <v>25</v>
          </cell>
          <cell r="L595">
            <v>25</v>
          </cell>
          <cell r="M595">
            <v>22</v>
          </cell>
          <cell r="N595">
            <v>24</v>
          </cell>
          <cell r="P595">
            <v>1012</v>
          </cell>
        </row>
        <row r="596">
          <cell r="A596">
            <v>23.5</v>
          </cell>
          <cell r="B596">
            <v>44.5</v>
          </cell>
          <cell r="C596">
            <v>47</v>
          </cell>
          <cell r="D596">
            <v>21</v>
          </cell>
          <cell r="F596">
            <v>25</v>
          </cell>
          <cell r="G596">
            <v>23</v>
          </cell>
          <cell r="H596">
            <v>21</v>
          </cell>
          <cell r="I596">
            <v>19</v>
          </cell>
          <cell r="K596">
            <v>23</v>
          </cell>
          <cell r="L596">
            <v>24</v>
          </cell>
          <cell r="M596">
            <v>22</v>
          </cell>
          <cell r="N596">
            <v>21</v>
          </cell>
          <cell r="P596">
            <v>1013</v>
          </cell>
        </row>
        <row r="597">
          <cell r="A597">
            <v>23</v>
          </cell>
          <cell r="B597">
            <v>47.5</v>
          </cell>
          <cell r="C597">
            <v>50</v>
          </cell>
          <cell r="D597">
            <v>21</v>
          </cell>
          <cell r="F597">
            <v>24</v>
          </cell>
          <cell r="G597">
            <v>21.5</v>
          </cell>
          <cell r="H597">
            <v>25</v>
          </cell>
          <cell r="I597">
            <v>20</v>
          </cell>
          <cell r="K597">
            <v>23</v>
          </cell>
          <cell r="L597">
            <v>25</v>
          </cell>
          <cell r="M597">
            <v>24</v>
          </cell>
          <cell r="N597">
            <v>24</v>
          </cell>
          <cell r="P597">
            <v>1014</v>
          </cell>
        </row>
        <row r="598">
          <cell r="A598">
            <v>21</v>
          </cell>
          <cell r="B598">
            <v>26</v>
          </cell>
          <cell r="C598">
            <v>44</v>
          </cell>
          <cell r="D598">
            <v>20</v>
          </cell>
          <cell r="F598">
            <v>24</v>
          </cell>
          <cell r="G598">
            <v>19</v>
          </cell>
          <cell r="H598">
            <v>11</v>
          </cell>
          <cell r="I598">
            <v>11</v>
          </cell>
          <cell r="K598">
            <v>20</v>
          </cell>
          <cell r="L598">
            <v>25</v>
          </cell>
          <cell r="M598">
            <v>2</v>
          </cell>
          <cell r="N598">
            <v>13</v>
          </cell>
          <cell r="P598">
            <v>1015</v>
          </cell>
        </row>
        <row r="599">
          <cell r="A599">
            <v>20</v>
          </cell>
          <cell r="B599">
            <v>42</v>
          </cell>
          <cell r="C599">
            <v>49</v>
          </cell>
          <cell r="D599">
            <v>21</v>
          </cell>
          <cell r="F599">
            <v>25</v>
          </cell>
          <cell r="G599">
            <v>20</v>
          </cell>
          <cell r="H599">
            <v>24</v>
          </cell>
          <cell r="I599">
            <v>20</v>
          </cell>
          <cell r="K599">
            <v>21</v>
          </cell>
          <cell r="L599">
            <v>25</v>
          </cell>
          <cell r="M599">
            <v>19</v>
          </cell>
          <cell r="N599">
            <v>19</v>
          </cell>
          <cell r="P599">
            <v>1016</v>
          </cell>
        </row>
        <row r="600">
          <cell r="A600">
            <v>24.5</v>
          </cell>
          <cell r="B600">
            <v>49</v>
          </cell>
          <cell r="C600">
            <v>48</v>
          </cell>
          <cell r="D600">
            <v>21</v>
          </cell>
          <cell r="F600">
            <v>25</v>
          </cell>
          <cell r="G600">
            <v>24</v>
          </cell>
          <cell r="H600">
            <v>25</v>
          </cell>
          <cell r="I600">
            <v>22</v>
          </cell>
          <cell r="K600">
            <v>25</v>
          </cell>
          <cell r="L600">
            <v>22.5</v>
          </cell>
          <cell r="M600">
            <v>23</v>
          </cell>
          <cell r="N600">
            <v>23</v>
          </cell>
          <cell r="P600">
            <v>1028</v>
          </cell>
        </row>
        <row r="601">
          <cell r="A601">
            <v>23</v>
          </cell>
          <cell r="B601">
            <v>40.5</v>
          </cell>
          <cell r="C601">
            <v>44</v>
          </cell>
          <cell r="D601">
            <v>22</v>
          </cell>
          <cell r="F601">
            <v>25</v>
          </cell>
          <cell r="G601">
            <v>24</v>
          </cell>
          <cell r="H601">
            <v>25</v>
          </cell>
          <cell r="I601">
            <v>21</v>
          </cell>
          <cell r="K601">
            <v>22</v>
          </cell>
          <cell r="L601">
            <v>24.5</v>
          </cell>
          <cell r="M601">
            <v>23</v>
          </cell>
          <cell r="N601">
            <v>24</v>
          </cell>
          <cell r="P601">
            <v>1032</v>
          </cell>
        </row>
        <row r="602">
          <cell r="A602">
            <v>25</v>
          </cell>
          <cell r="B602">
            <v>47.5</v>
          </cell>
          <cell r="C602">
            <v>47</v>
          </cell>
          <cell r="D602">
            <v>16</v>
          </cell>
          <cell r="F602">
            <v>23.5</v>
          </cell>
          <cell r="G602">
            <v>24</v>
          </cell>
          <cell r="H602">
            <v>23</v>
          </cell>
          <cell r="I602">
            <v>15</v>
          </cell>
          <cell r="K602">
            <v>17</v>
          </cell>
          <cell r="L602">
            <v>25</v>
          </cell>
          <cell r="M602">
            <v>19</v>
          </cell>
          <cell r="N602">
            <v>25</v>
          </cell>
          <cell r="P602">
            <v>1033</v>
          </cell>
        </row>
        <row r="603">
          <cell r="A603">
            <v>25</v>
          </cell>
          <cell r="B603">
            <v>46.5</v>
          </cell>
          <cell r="C603">
            <v>47</v>
          </cell>
          <cell r="D603">
            <v>18</v>
          </cell>
          <cell r="F603">
            <v>21.5</v>
          </cell>
          <cell r="G603">
            <v>23</v>
          </cell>
          <cell r="H603">
            <v>25</v>
          </cell>
          <cell r="I603">
            <v>20</v>
          </cell>
          <cell r="K603">
            <v>24</v>
          </cell>
          <cell r="L603">
            <v>24.5</v>
          </cell>
          <cell r="M603">
            <v>22</v>
          </cell>
          <cell r="N603">
            <v>20</v>
          </cell>
          <cell r="P603">
            <v>1034</v>
          </cell>
        </row>
        <row r="604">
          <cell r="A604">
            <v>23</v>
          </cell>
          <cell r="B604">
            <v>42.5</v>
          </cell>
          <cell r="C604">
            <v>34</v>
          </cell>
          <cell r="D604">
            <v>18</v>
          </cell>
          <cell r="F604">
            <v>23.5</v>
          </cell>
          <cell r="G604">
            <v>24</v>
          </cell>
          <cell r="H604">
            <v>22</v>
          </cell>
          <cell r="I604">
            <v>12</v>
          </cell>
          <cell r="K604">
            <v>18</v>
          </cell>
          <cell r="L604">
            <v>23</v>
          </cell>
          <cell r="M604">
            <v>19</v>
          </cell>
          <cell r="N604">
            <v>18</v>
          </cell>
          <cell r="P604">
            <v>1040</v>
          </cell>
        </row>
        <row r="605">
          <cell r="A605">
            <v>24</v>
          </cell>
          <cell r="B605">
            <v>41.5</v>
          </cell>
          <cell r="C605">
            <v>27</v>
          </cell>
          <cell r="D605">
            <v>18</v>
          </cell>
          <cell r="F605">
            <v>11</v>
          </cell>
          <cell r="G605">
            <v>22</v>
          </cell>
          <cell r="H605">
            <v>17</v>
          </cell>
          <cell r="I605">
            <v>12</v>
          </cell>
          <cell r="K605">
            <v>18</v>
          </cell>
          <cell r="L605">
            <v>21</v>
          </cell>
          <cell r="M605">
            <v>19</v>
          </cell>
          <cell r="N605">
            <v>20</v>
          </cell>
          <cell r="P605">
            <v>1042</v>
          </cell>
        </row>
        <row r="606">
          <cell r="A606">
            <v>22</v>
          </cell>
          <cell r="B606">
            <v>45</v>
          </cell>
          <cell r="C606">
            <v>47</v>
          </cell>
          <cell r="D606">
            <v>18</v>
          </cell>
          <cell r="F606">
            <v>23.5</v>
          </cell>
          <cell r="G606">
            <v>22.5</v>
          </cell>
          <cell r="H606">
            <v>24</v>
          </cell>
          <cell r="I606">
            <v>21</v>
          </cell>
          <cell r="K606">
            <v>24</v>
          </cell>
          <cell r="L606">
            <v>23</v>
          </cell>
          <cell r="M606">
            <v>23</v>
          </cell>
          <cell r="N606">
            <v>22</v>
          </cell>
          <cell r="P606">
            <v>1047</v>
          </cell>
        </row>
        <row r="607">
          <cell r="A607">
            <v>25</v>
          </cell>
          <cell r="B607">
            <v>45.5</v>
          </cell>
          <cell r="C607">
            <v>48</v>
          </cell>
          <cell r="D607">
            <v>24</v>
          </cell>
          <cell r="F607">
            <v>23.5</v>
          </cell>
          <cell r="G607">
            <v>24</v>
          </cell>
          <cell r="H607">
            <v>24</v>
          </cell>
          <cell r="I607">
            <v>22</v>
          </cell>
          <cell r="K607">
            <v>22</v>
          </cell>
          <cell r="L607">
            <v>24</v>
          </cell>
          <cell r="M607">
            <v>22</v>
          </cell>
          <cell r="N607">
            <v>23</v>
          </cell>
          <cell r="P607">
            <v>1050</v>
          </cell>
        </row>
        <row r="608">
          <cell r="A608">
            <v>22</v>
          </cell>
          <cell r="B608">
            <v>32</v>
          </cell>
          <cell r="C608">
            <v>40</v>
          </cell>
          <cell r="D608">
            <v>22</v>
          </cell>
          <cell r="F608">
            <v>20.5</v>
          </cell>
          <cell r="G608">
            <v>22</v>
          </cell>
          <cell r="H608">
            <v>23</v>
          </cell>
          <cell r="I608">
            <v>17</v>
          </cell>
          <cell r="K608">
            <v>17</v>
          </cell>
          <cell r="L608">
            <v>24</v>
          </cell>
          <cell r="M608">
            <v>17</v>
          </cell>
          <cell r="N608">
            <v>24</v>
          </cell>
          <cell r="P608">
            <v>1054</v>
          </cell>
        </row>
        <row r="609">
          <cell r="A609">
            <v>25</v>
          </cell>
          <cell r="B609">
            <v>45.5</v>
          </cell>
          <cell r="C609">
            <v>50</v>
          </cell>
          <cell r="D609">
            <v>23</v>
          </cell>
          <cell r="F609">
            <v>22.5</v>
          </cell>
          <cell r="G609">
            <v>23</v>
          </cell>
          <cell r="H609">
            <v>24</v>
          </cell>
          <cell r="I609">
            <v>23</v>
          </cell>
          <cell r="K609">
            <v>23</v>
          </cell>
          <cell r="L609">
            <v>25</v>
          </cell>
          <cell r="M609">
            <v>20</v>
          </cell>
          <cell r="N609">
            <v>24</v>
          </cell>
          <cell r="P609">
            <v>1055</v>
          </cell>
        </row>
        <row r="610">
          <cell r="A610">
            <v>24</v>
          </cell>
          <cell r="B610">
            <v>48.5</v>
          </cell>
          <cell r="C610">
            <v>50</v>
          </cell>
          <cell r="D610">
            <v>23</v>
          </cell>
          <cell r="F610">
            <v>24</v>
          </cell>
          <cell r="G610">
            <v>24</v>
          </cell>
          <cell r="H610">
            <v>25</v>
          </cell>
          <cell r="I610">
            <v>24</v>
          </cell>
          <cell r="K610">
            <v>23</v>
          </cell>
          <cell r="L610">
            <v>25</v>
          </cell>
          <cell r="M610">
            <v>24</v>
          </cell>
          <cell r="N610">
            <v>24</v>
          </cell>
          <cell r="P610">
            <v>1056</v>
          </cell>
        </row>
        <row r="611">
          <cell r="A611">
            <v>25</v>
          </cell>
          <cell r="B611">
            <v>48</v>
          </cell>
          <cell r="C611">
            <v>50</v>
          </cell>
          <cell r="D611">
            <v>23</v>
          </cell>
          <cell r="F611">
            <v>22.5</v>
          </cell>
          <cell r="G611">
            <v>24</v>
          </cell>
          <cell r="H611">
            <v>23</v>
          </cell>
          <cell r="I611">
            <v>20</v>
          </cell>
          <cell r="K611">
            <v>21</v>
          </cell>
          <cell r="L611">
            <v>24</v>
          </cell>
          <cell r="M611">
            <v>20</v>
          </cell>
          <cell r="N611">
            <v>18</v>
          </cell>
          <cell r="P611">
            <v>1057</v>
          </cell>
        </row>
        <row r="612">
          <cell r="A612">
            <v>23</v>
          </cell>
          <cell r="B612">
            <v>47.5</v>
          </cell>
          <cell r="C612">
            <v>50</v>
          </cell>
          <cell r="D612">
            <v>23</v>
          </cell>
          <cell r="F612">
            <v>23.5</v>
          </cell>
          <cell r="G612">
            <v>24</v>
          </cell>
          <cell r="H612">
            <v>25</v>
          </cell>
          <cell r="I612">
            <v>22</v>
          </cell>
          <cell r="K612">
            <v>23</v>
          </cell>
          <cell r="L612">
            <v>25</v>
          </cell>
          <cell r="M612">
            <v>23</v>
          </cell>
          <cell r="N612">
            <v>25</v>
          </cell>
          <cell r="P612">
            <v>1059</v>
          </cell>
        </row>
        <row r="613">
          <cell r="A613">
            <v>12</v>
          </cell>
          <cell r="B613">
            <v>32</v>
          </cell>
          <cell r="C613">
            <v>38</v>
          </cell>
          <cell r="D613">
            <v>21</v>
          </cell>
          <cell r="F613">
            <v>18.5</v>
          </cell>
          <cell r="G613">
            <v>14</v>
          </cell>
          <cell r="H613">
            <v>20</v>
          </cell>
          <cell r="I613">
            <v>16</v>
          </cell>
          <cell r="K613">
            <v>18</v>
          </cell>
          <cell r="L613">
            <v>22</v>
          </cell>
          <cell r="M613">
            <v>19</v>
          </cell>
          <cell r="N613">
            <v>22</v>
          </cell>
          <cell r="P613">
            <v>1060</v>
          </cell>
        </row>
        <row r="614">
          <cell r="A614">
            <v>23</v>
          </cell>
          <cell r="B614">
            <v>49.5</v>
          </cell>
          <cell r="C614">
            <v>50</v>
          </cell>
          <cell r="D614">
            <v>22</v>
          </cell>
          <cell r="F614">
            <v>24.5</v>
          </cell>
          <cell r="G614">
            <v>25</v>
          </cell>
          <cell r="H614">
            <v>25</v>
          </cell>
          <cell r="I614">
            <v>23</v>
          </cell>
          <cell r="K614">
            <v>25</v>
          </cell>
          <cell r="L614">
            <v>25</v>
          </cell>
          <cell r="M614">
            <v>24</v>
          </cell>
          <cell r="N614">
            <v>24</v>
          </cell>
          <cell r="P614">
            <v>1062</v>
          </cell>
        </row>
        <row r="615">
          <cell r="A615">
            <v>20</v>
          </cell>
          <cell r="B615">
            <v>48</v>
          </cell>
          <cell r="C615">
            <v>48</v>
          </cell>
          <cell r="D615">
            <v>21</v>
          </cell>
          <cell r="F615">
            <v>23.5</v>
          </cell>
          <cell r="G615">
            <v>25</v>
          </cell>
          <cell r="H615">
            <v>22</v>
          </cell>
          <cell r="I615">
            <v>21</v>
          </cell>
          <cell r="K615">
            <v>22</v>
          </cell>
          <cell r="L615">
            <v>24</v>
          </cell>
          <cell r="M615">
            <v>20</v>
          </cell>
          <cell r="N615">
            <v>23</v>
          </cell>
          <cell r="P615">
            <v>1069</v>
          </cell>
        </row>
        <row r="616">
          <cell r="A616">
            <v>20</v>
          </cell>
          <cell r="B616">
            <v>44</v>
          </cell>
          <cell r="C616">
            <v>50</v>
          </cell>
          <cell r="D616">
            <v>22</v>
          </cell>
          <cell r="F616">
            <v>23.5</v>
          </cell>
          <cell r="G616">
            <v>21.5</v>
          </cell>
          <cell r="H616">
            <v>24</v>
          </cell>
          <cell r="I616">
            <v>21</v>
          </cell>
          <cell r="K616">
            <v>18</v>
          </cell>
          <cell r="L616">
            <v>24</v>
          </cell>
          <cell r="M616">
            <v>19</v>
          </cell>
          <cell r="N616">
            <v>23</v>
          </cell>
          <cell r="P616">
            <v>1070</v>
          </cell>
        </row>
        <row r="617">
          <cell r="A617">
            <v>25</v>
          </cell>
          <cell r="B617">
            <v>50</v>
          </cell>
          <cell r="C617">
            <v>49</v>
          </cell>
          <cell r="D617">
            <v>24</v>
          </cell>
          <cell r="F617">
            <v>23.5</v>
          </cell>
          <cell r="G617">
            <v>23</v>
          </cell>
          <cell r="H617">
            <v>23</v>
          </cell>
          <cell r="I617">
            <v>23</v>
          </cell>
          <cell r="K617">
            <v>23</v>
          </cell>
          <cell r="L617">
            <v>25</v>
          </cell>
          <cell r="M617">
            <v>22</v>
          </cell>
          <cell r="N617">
            <v>23</v>
          </cell>
          <cell r="P617">
            <v>1073</v>
          </cell>
        </row>
        <row r="618">
          <cell r="A618">
            <v>23</v>
          </cell>
          <cell r="B618">
            <v>43.5</v>
          </cell>
          <cell r="C618">
            <v>47</v>
          </cell>
          <cell r="D618">
            <v>22</v>
          </cell>
          <cell r="F618">
            <v>21.5</v>
          </cell>
          <cell r="G618">
            <v>23</v>
          </cell>
          <cell r="H618">
            <v>22</v>
          </cell>
          <cell r="I618">
            <v>19</v>
          </cell>
          <cell r="K618">
            <v>22</v>
          </cell>
          <cell r="L618">
            <v>25</v>
          </cell>
          <cell r="M618">
            <v>23</v>
          </cell>
          <cell r="N618">
            <v>23</v>
          </cell>
          <cell r="P618">
            <v>1081</v>
          </cell>
        </row>
        <row r="619">
          <cell r="A619">
            <v>22</v>
          </cell>
          <cell r="B619">
            <v>40.5</v>
          </cell>
          <cell r="C619">
            <v>37</v>
          </cell>
          <cell r="D619">
            <v>19</v>
          </cell>
          <cell r="F619">
            <v>21.5</v>
          </cell>
          <cell r="G619">
            <v>21</v>
          </cell>
          <cell r="H619">
            <v>23</v>
          </cell>
          <cell r="I619">
            <v>21</v>
          </cell>
          <cell r="K619">
            <v>16</v>
          </cell>
          <cell r="L619">
            <v>24</v>
          </cell>
          <cell r="M619">
            <v>20</v>
          </cell>
          <cell r="N619">
            <v>15</v>
          </cell>
          <cell r="P619">
            <v>1082</v>
          </cell>
        </row>
        <row r="620">
          <cell r="A620">
            <v>25</v>
          </cell>
          <cell r="B620">
            <v>49</v>
          </cell>
          <cell r="C620">
            <v>50</v>
          </cell>
          <cell r="D620">
            <v>22</v>
          </cell>
          <cell r="F620">
            <v>24.5</v>
          </cell>
          <cell r="G620">
            <v>22.5</v>
          </cell>
          <cell r="H620">
            <v>25</v>
          </cell>
          <cell r="I620">
            <v>17</v>
          </cell>
          <cell r="K620">
            <v>24</v>
          </cell>
          <cell r="L620">
            <v>25</v>
          </cell>
          <cell r="M620">
            <v>23</v>
          </cell>
          <cell r="N620">
            <v>22</v>
          </cell>
          <cell r="P620">
            <v>1084</v>
          </cell>
        </row>
        <row r="621">
          <cell r="A621">
            <v>24</v>
          </cell>
          <cell r="B621">
            <v>47</v>
          </cell>
          <cell r="C621">
            <v>50</v>
          </cell>
          <cell r="D621">
            <v>23</v>
          </cell>
          <cell r="F621">
            <v>23.5</v>
          </cell>
          <cell r="G621">
            <v>24</v>
          </cell>
          <cell r="H621">
            <v>23</v>
          </cell>
          <cell r="I621">
            <v>21</v>
          </cell>
          <cell r="K621">
            <v>23</v>
          </cell>
          <cell r="L621">
            <v>24</v>
          </cell>
          <cell r="M621">
            <v>23</v>
          </cell>
          <cell r="N621">
            <v>25</v>
          </cell>
          <cell r="P621">
            <v>1085</v>
          </cell>
        </row>
        <row r="622">
          <cell r="A622">
            <v>24</v>
          </cell>
          <cell r="B622">
            <v>48</v>
          </cell>
          <cell r="C622">
            <v>50</v>
          </cell>
          <cell r="D622">
            <v>20</v>
          </cell>
          <cell r="F622">
            <v>21.5</v>
          </cell>
          <cell r="G622">
            <v>24</v>
          </cell>
          <cell r="H622">
            <v>24</v>
          </cell>
          <cell r="I622">
            <v>22</v>
          </cell>
          <cell r="K622">
            <v>24</v>
          </cell>
          <cell r="L622">
            <v>25</v>
          </cell>
          <cell r="M622">
            <v>22</v>
          </cell>
          <cell r="N622">
            <v>25</v>
          </cell>
          <cell r="P622">
            <v>1086</v>
          </cell>
        </row>
        <row r="623">
          <cell r="A623">
            <v>23</v>
          </cell>
          <cell r="B623">
            <v>29.5</v>
          </cell>
          <cell r="C623">
            <v>10</v>
          </cell>
          <cell r="D623">
            <v>17</v>
          </cell>
          <cell r="F623">
            <v>18.5</v>
          </cell>
          <cell r="G623">
            <v>21.5</v>
          </cell>
          <cell r="H623">
            <v>13</v>
          </cell>
          <cell r="I623">
            <v>18</v>
          </cell>
          <cell r="K623">
            <v>23</v>
          </cell>
          <cell r="L623">
            <v>22</v>
          </cell>
          <cell r="M623">
            <v>9</v>
          </cell>
          <cell r="N623">
            <v>21</v>
          </cell>
          <cell r="P623">
            <v>1087</v>
          </cell>
        </row>
        <row r="624">
          <cell r="A624">
            <v>15</v>
          </cell>
          <cell r="B624">
            <v>27</v>
          </cell>
          <cell r="C624">
            <v>35</v>
          </cell>
          <cell r="D624">
            <v>14</v>
          </cell>
          <cell r="F624">
            <v>17.5</v>
          </cell>
          <cell r="G624">
            <v>18</v>
          </cell>
          <cell r="H624">
            <v>15</v>
          </cell>
          <cell r="I624">
            <v>14</v>
          </cell>
          <cell r="K624">
            <v>14</v>
          </cell>
          <cell r="L624">
            <v>20</v>
          </cell>
          <cell r="M624">
            <v>16</v>
          </cell>
          <cell r="N624">
            <v>10</v>
          </cell>
          <cell r="P624">
            <v>1088</v>
          </cell>
        </row>
        <row r="625">
          <cell r="A625">
            <v>20</v>
          </cell>
          <cell r="B625">
            <v>33.5</v>
          </cell>
          <cell r="C625">
            <v>42</v>
          </cell>
          <cell r="D625">
            <v>16</v>
          </cell>
          <cell r="F625">
            <v>20.5</v>
          </cell>
          <cell r="G625">
            <v>22.5</v>
          </cell>
          <cell r="H625">
            <v>21</v>
          </cell>
          <cell r="I625">
            <v>21</v>
          </cell>
          <cell r="K625">
            <v>20</v>
          </cell>
          <cell r="L625">
            <v>25</v>
          </cell>
          <cell r="M625">
            <v>19</v>
          </cell>
          <cell r="N625">
            <v>25</v>
          </cell>
          <cell r="P625">
            <v>1089</v>
          </cell>
        </row>
        <row r="626">
          <cell r="A626">
            <v>20</v>
          </cell>
          <cell r="B626">
            <v>30</v>
          </cell>
          <cell r="C626">
            <v>28</v>
          </cell>
          <cell r="D626">
            <v>15</v>
          </cell>
          <cell r="F626">
            <v>21.5</v>
          </cell>
          <cell r="G626">
            <v>22.5</v>
          </cell>
          <cell r="H626">
            <v>15</v>
          </cell>
          <cell r="I626">
            <v>11</v>
          </cell>
          <cell r="K626">
            <v>17</v>
          </cell>
          <cell r="L626">
            <v>22</v>
          </cell>
          <cell r="M626">
            <v>13</v>
          </cell>
          <cell r="N626">
            <v>10</v>
          </cell>
          <cell r="P626">
            <v>1090</v>
          </cell>
        </row>
        <row r="627">
          <cell r="A627">
            <v>20</v>
          </cell>
          <cell r="B627">
            <v>37.5</v>
          </cell>
          <cell r="C627">
            <v>46</v>
          </cell>
          <cell r="D627">
            <v>20</v>
          </cell>
          <cell r="F627">
            <v>20.5</v>
          </cell>
          <cell r="G627">
            <v>22.5</v>
          </cell>
          <cell r="H627">
            <v>22</v>
          </cell>
          <cell r="I627">
            <v>21</v>
          </cell>
          <cell r="K627">
            <v>23</v>
          </cell>
          <cell r="L627">
            <v>23</v>
          </cell>
          <cell r="M627">
            <v>17</v>
          </cell>
          <cell r="N627">
            <v>25</v>
          </cell>
          <cell r="P627">
            <v>1093</v>
          </cell>
        </row>
        <row r="628">
          <cell r="A628">
            <v>25</v>
          </cell>
          <cell r="B628">
            <v>48.5</v>
          </cell>
          <cell r="C628">
            <v>50</v>
          </cell>
          <cell r="D628">
            <v>22</v>
          </cell>
          <cell r="F628">
            <v>22.5</v>
          </cell>
          <cell r="G628">
            <v>23</v>
          </cell>
          <cell r="H628">
            <v>25</v>
          </cell>
          <cell r="I628">
            <v>23</v>
          </cell>
          <cell r="K628">
            <v>24</v>
          </cell>
          <cell r="L628">
            <v>25</v>
          </cell>
          <cell r="M628">
            <v>23</v>
          </cell>
          <cell r="N628">
            <v>24</v>
          </cell>
          <cell r="P628">
            <v>1094</v>
          </cell>
        </row>
        <row r="629">
          <cell r="A629">
            <v>21</v>
          </cell>
          <cell r="B629">
            <v>48.5</v>
          </cell>
          <cell r="C629">
            <v>49</v>
          </cell>
          <cell r="D629">
            <v>20</v>
          </cell>
          <cell r="F629">
            <v>22</v>
          </cell>
          <cell r="G629">
            <v>23</v>
          </cell>
          <cell r="H629">
            <v>22</v>
          </cell>
          <cell r="I629">
            <v>17</v>
          </cell>
          <cell r="K629">
            <v>24</v>
          </cell>
          <cell r="L629">
            <v>21.5</v>
          </cell>
          <cell r="M629">
            <v>22</v>
          </cell>
          <cell r="N629">
            <v>23</v>
          </cell>
          <cell r="P629">
            <v>1096</v>
          </cell>
        </row>
        <row r="630">
          <cell r="A630">
            <v>22</v>
          </cell>
          <cell r="B630">
            <v>47</v>
          </cell>
          <cell r="C630">
            <v>50</v>
          </cell>
          <cell r="D630">
            <v>21</v>
          </cell>
          <cell r="F630">
            <v>23.5</v>
          </cell>
          <cell r="G630">
            <v>21</v>
          </cell>
          <cell r="H630">
            <v>24</v>
          </cell>
          <cell r="I630">
            <v>24</v>
          </cell>
          <cell r="K630">
            <v>25</v>
          </cell>
          <cell r="L630">
            <v>25</v>
          </cell>
          <cell r="M630">
            <v>23</v>
          </cell>
          <cell r="N630">
            <v>25</v>
          </cell>
          <cell r="P630">
            <v>1097</v>
          </cell>
        </row>
        <row r="631">
          <cell r="A631">
            <v>24</v>
          </cell>
          <cell r="B631">
            <v>44.5</v>
          </cell>
          <cell r="C631">
            <v>48</v>
          </cell>
          <cell r="D631">
            <v>20</v>
          </cell>
          <cell r="F631">
            <v>23.5</v>
          </cell>
          <cell r="G631">
            <v>22</v>
          </cell>
          <cell r="H631">
            <v>24</v>
          </cell>
          <cell r="I631">
            <v>19</v>
          </cell>
          <cell r="K631">
            <v>18</v>
          </cell>
          <cell r="L631">
            <v>25</v>
          </cell>
          <cell r="M631">
            <v>20</v>
          </cell>
          <cell r="N631">
            <v>14</v>
          </cell>
          <cell r="P631">
            <v>1098</v>
          </cell>
        </row>
        <row r="632">
          <cell r="A632">
            <v>21</v>
          </cell>
          <cell r="B632">
            <v>45</v>
          </cell>
          <cell r="C632">
            <v>41</v>
          </cell>
          <cell r="D632">
            <v>20</v>
          </cell>
          <cell r="F632">
            <v>25</v>
          </cell>
          <cell r="G632">
            <v>23</v>
          </cell>
          <cell r="H632">
            <v>24</v>
          </cell>
          <cell r="I632">
            <v>21</v>
          </cell>
          <cell r="K632">
            <v>24</v>
          </cell>
          <cell r="L632">
            <v>23</v>
          </cell>
          <cell r="M632">
            <v>17</v>
          </cell>
          <cell r="N632">
            <v>18</v>
          </cell>
          <cell r="P632">
            <v>1099</v>
          </cell>
        </row>
        <row r="633">
          <cell r="A633">
            <v>25</v>
          </cell>
          <cell r="B633">
            <v>48</v>
          </cell>
          <cell r="C633">
            <v>50</v>
          </cell>
          <cell r="D633">
            <v>22</v>
          </cell>
          <cell r="F633">
            <v>21.5</v>
          </cell>
          <cell r="G633">
            <v>23</v>
          </cell>
          <cell r="H633">
            <v>25</v>
          </cell>
          <cell r="I633">
            <v>20</v>
          </cell>
          <cell r="K633">
            <v>25</v>
          </cell>
          <cell r="L633">
            <v>25</v>
          </cell>
          <cell r="M633">
            <v>23</v>
          </cell>
          <cell r="N633">
            <v>22</v>
          </cell>
          <cell r="P633">
            <v>1101</v>
          </cell>
        </row>
        <row r="634">
          <cell r="A634">
            <v>25</v>
          </cell>
          <cell r="B634">
            <v>48.5</v>
          </cell>
          <cell r="C634">
            <v>48</v>
          </cell>
          <cell r="D634">
            <v>22</v>
          </cell>
          <cell r="F634">
            <v>25</v>
          </cell>
          <cell r="G634">
            <v>23</v>
          </cell>
          <cell r="H634">
            <v>25</v>
          </cell>
          <cell r="I634">
            <v>21</v>
          </cell>
          <cell r="K634">
            <v>23</v>
          </cell>
          <cell r="L634">
            <v>25</v>
          </cell>
          <cell r="M634">
            <v>22</v>
          </cell>
          <cell r="N634">
            <v>23</v>
          </cell>
          <cell r="P634">
            <v>1103</v>
          </cell>
        </row>
        <row r="635">
          <cell r="A635">
            <v>21</v>
          </cell>
          <cell r="B635">
            <v>43</v>
          </cell>
          <cell r="C635">
            <v>41</v>
          </cell>
          <cell r="D635">
            <v>22</v>
          </cell>
          <cell r="F635">
            <v>23.5</v>
          </cell>
          <cell r="G635">
            <v>22</v>
          </cell>
          <cell r="H635">
            <v>22</v>
          </cell>
          <cell r="I635">
            <v>20</v>
          </cell>
          <cell r="K635">
            <v>22</v>
          </cell>
          <cell r="L635">
            <v>24</v>
          </cell>
          <cell r="M635">
            <v>20</v>
          </cell>
          <cell r="N635">
            <v>19</v>
          </cell>
          <cell r="P635">
            <v>1107</v>
          </cell>
        </row>
        <row r="636">
          <cell r="A636">
            <v>24</v>
          </cell>
          <cell r="B636">
            <v>47.5</v>
          </cell>
          <cell r="C636">
            <v>50</v>
          </cell>
          <cell r="D636">
            <v>22</v>
          </cell>
          <cell r="F636">
            <v>25</v>
          </cell>
          <cell r="G636">
            <v>24</v>
          </cell>
          <cell r="H636">
            <v>24</v>
          </cell>
          <cell r="I636">
            <v>21</v>
          </cell>
          <cell r="K636">
            <v>23</v>
          </cell>
          <cell r="L636">
            <v>24</v>
          </cell>
          <cell r="M636">
            <v>20</v>
          </cell>
          <cell r="N636">
            <v>24</v>
          </cell>
          <cell r="P636">
            <v>1108</v>
          </cell>
        </row>
        <row r="637">
          <cell r="A637">
            <v>22</v>
          </cell>
          <cell r="B637">
            <v>41</v>
          </cell>
          <cell r="C637">
            <v>47</v>
          </cell>
          <cell r="D637">
            <v>22</v>
          </cell>
          <cell r="F637">
            <v>23.5</v>
          </cell>
          <cell r="G637">
            <v>23</v>
          </cell>
          <cell r="H637">
            <v>24</v>
          </cell>
          <cell r="I637">
            <v>16</v>
          </cell>
          <cell r="K637">
            <v>20</v>
          </cell>
          <cell r="L637">
            <v>24</v>
          </cell>
          <cell r="M637">
            <v>20</v>
          </cell>
          <cell r="N637">
            <v>24</v>
          </cell>
          <cell r="P637">
            <v>1111</v>
          </cell>
        </row>
        <row r="638">
          <cell r="A638">
            <v>25</v>
          </cell>
          <cell r="B638">
            <v>48.5</v>
          </cell>
          <cell r="C638">
            <v>49</v>
          </cell>
          <cell r="D638">
            <v>21</v>
          </cell>
          <cell r="F638">
            <v>25</v>
          </cell>
          <cell r="G638">
            <v>22</v>
          </cell>
          <cell r="H638">
            <v>24</v>
          </cell>
          <cell r="I638">
            <v>20</v>
          </cell>
          <cell r="K638">
            <v>21</v>
          </cell>
          <cell r="L638">
            <v>25</v>
          </cell>
          <cell r="M638">
            <v>24</v>
          </cell>
          <cell r="N638">
            <v>20</v>
          </cell>
          <cell r="P638">
            <v>1112</v>
          </cell>
        </row>
        <row r="639">
          <cell r="A639">
            <v>24</v>
          </cell>
          <cell r="B639">
            <v>49</v>
          </cell>
          <cell r="C639">
            <v>50</v>
          </cell>
          <cell r="D639">
            <v>24</v>
          </cell>
          <cell r="F639">
            <v>24</v>
          </cell>
          <cell r="G639">
            <v>21.5</v>
          </cell>
          <cell r="H639">
            <v>25</v>
          </cell>
          <cell r="I639">
            <v>21</v>
          </cell>
          <cell r="K639">
            <v>23</v>
          </cell>
          <cell r="L639">
            <v>25</v>
          </cell>
          <cell r="M639">
            <v>24</v>
          </cell>
          <cell r="N639">
            <v>24</v>
          </cell>
          <cell r="P639">
            <v>1115</v>
          </cell>
        </row>
        <row r="640">
          <cell r="A640">
            <v>21</v>
          </cell>
          <cell r="B640">
            <v>44.5</v>
          </cell>
          <cell r="C640">
            <v>50</v>
          </cell>
          <cell r="D640">
            <v>22</v>
          </cell>
          <cell r="F640">
            <v>23.5</v>
          </cell>
          <cell r="G640">
            <v>22</v>
          </cell>
          <cell r="H640">
            <v>24</v>
          </cell>
          <cell r="I640">
            <v>23</v>
          </cell>
          <cell r="K640">
            <v>23</v>
          </cell>
          <cell r="L640">
            <v>25</v>
          </cell>
          <cell r="M640">
            <v>24</v>
          </cell>
          <cell r="N640">
            <v>25</v>
          </cell>
          <cell r="P640">
            <v>1116</v>
          </cell>
        </row>
        <row r="641">
          <cell r="A641">
            <v>23</v>
          </cell>
          <cell r="B641">
            <v>49.5</v>
          </cell>
          <cell r="C641">
            <v>50</v>
          </cell>
          <cell r="D641">
            <v>24</v>
          </cell>
          <cell r="F641">
            <v>24</v>
          </cell>
          <cell r="G641">
            <v>23</v>
          </cell>
          <cell r="H641">
            <v>24</v>
          </cell>
          <cell r="I641">
            <v>23</v>
          </cell>
          <cell r="K641">
            <v>22</v>
          </cell>
          <cell r="L641">
            <v>25</v>
          </cell>
          <cell r="M641">
            <v>22</v>
          </cell>
          <cell r="N641">
            <v>25</v>
          </cell>
          <cell r="P641">
            <v>1117</v>
          </cell>
        </row>
        <row r="642">
          <cell r="A642">
            <v>24</v>
          </cell>
          <cell r="B642">
            <v>48</v>
          </cell>
          <cell r="C642">
            <v>50</v>
          </cell>
          <cell r="D642">
            <v>23</v>
          </cell>
          <cell r="F642">
            <v>25</v>
          </cell>
          <cell r="G642">
            <v>23</v>
          </cell>
          <cell r="H642">
            <v>24</v>
          </cell>
          <cell r="I642">
            <v>22</v>
          </cell>
          <cell r="K642">
            <v>24</v>
          </cell>
          <cell r="L642">
            <v>25</v>
          </cell>
          <cell r="M642">
            <v>23</v>
          </cell>
          <cell r="N642">
            <v>23</v>
          </cell>
          <cell r="P642">
            <v>1123</v>
          </cell>
        </row>
        <row r="643">
          <cell r="A643">
            <v>17</v>
          </cell>
          <cell r="B643">
            <v>42.5</v>
          </cell>
          <cell r="C643">
            <v>49</v>
          </cell>
          <cell r="D643">
            <v>22</v>
          </cell>
          <cell r="F643">
            <v>19</v>
          </cell>
          <cell r="G643">
            <v>22</v>
          </cell>
          <cell r="H643">
            <v>23</v>
          </cell>
          <cell r="I643">
            <v>24</v>
          </cell>
          <cell r="K643">
            <v>16</v>
          </cell>
          <cell r="L643">
            <v>18</v>
          </cell>
          <cell r="M643">
            <v>19</v>
          </cell>
          <cell r="N643">
            <v>23</v>
          </cell>
          <cell r="P643">
            <v>1124</v>
          </cell>
        </row>
        <row r="644">
          <cell r="A644">
            <v>20</v>
          </cell>
          <cell r="B644">
            <v>45</v>
          </cell>
          <cell r="C644">
            <v>50</v>
          </cell>
          <cell r="D644">
            <v>18</v>
          </cell>
          <cell r="F644">
            <v>23.5</v>
          </cell>
          <cell r="G644">
            <v>22</v>
          </cell>
          <cell r="H644">
            <v>23</v>
          </cell>
          <cell r="I644">
            <v>18</v>
          </cell>
          <cell r="K644">
            <v>20</v>
          </cell>
          <cell r="L644">
            <v>25</v>
          </cell>
          <cell r="M644">
            <v>21</v>
          </cell>
          <cell r="N644">
            <v>18</v>
          </cell>
          <cell r="P644">
            <v>1126</v>
          </cell>
        </row>
        <row r="645">
          <cell r="A645">
            <v>25</v>
          </cell>
          <cell r="B645">
            <v>46.5</v>
          </cell>
          <cell r="C645">
            <v>50</v>
          </cell>
          <cell r="D645">
            <v>21</v>
          </cell>
          <cell r="F645">
            <v>24.5</v>
          </cell>
          <cell r="G645">
            <v>23</v>
          </cell>
          <cell r="H645">
            <v>25</v>
          </cell>
          <cell r="I645">
            <v>23</v>
          </cell>
          <cell r="K645">
            <v>23</v>
          </cell>
          <cell r="L645">
            <v>23</v>
          </cell>
          <cell r="M645">
            <v>23</v>
          </cell>
          <cell r="N645">
            <v>23</v>
          </cell>
          <cell r="P645">
            <v>1127</v>
          </cell>
        </row>
        <row r="646">
          <cell r="A646">
            <v>20</v>
          </cell>
          <cell r="B646">
            <v>43</v>
          </cell>
          <cell r="C646">
            <v>49</v>
          </cell>
          <cell r="D646">
            <v>23</v>
          </cell>
          <cell r="F646">
            <v>24</v>
          </cell>
          <cell r="G646">
            <v>24</v>
          </cell>
          <cell r="H646">
            <v>25</v>
          </cell>
          <cell r="I646">
            <v>22</v>
          </cell>
          <cell r="K646">
            <v>23</v>
          </cell>
          <cell r="L646">
            <v>23</v>
          </cell>
          <cell r="M646">
            <v>20</v>
          </cell>
          <cell r="N646">
            <v>25</v>
          </cell>
          <cell r="P646">
            <v>1128</v>
          </cell>
        </row>
        <row r="647">
          <cell r="A647">
            <v>20.5</v>
          </cell>
          <cell r="B647">
            <v>34.5</v>
          </cell>
          <cell r="C647">
            <v>34</v>
          </cell>
          <cell r="D647">
            <v>15</v>
          </cell>
          <cell r="F647">
            <v>23</v>
          </cell>
          <cell r="G647">
            <v>20</v>
          </cell>
          <cell r="H647">
            <v>21</v>
          </cell>
          <cell r="K647">
            <v>19</v>
          </cell>
          <cell r="L647">
            <v>23</v>
          </cell>
          <cell r="M647">
            <v>18</v>
          </cell>
          <cell r="N647">
            <v>15</v>
          </cell>
          <cell r="P647">
            <v>1129</v>
          </cell>
        </row>
        <row r="648">
          <cell r="A648">
            <v>24</v>
          </cell>
          <cell r="B648">
            <v>48.5</v>
          </cell>
          <cell r="C648">
            <v>49</v>
          </cell>
          <cell r="D648">
            <v>23</v>
          </cell>
          <cell r="F648">
            <v>24</v>
          </cell>
          <cell r="G648">
            <v>24</v>
          </cell>
          <cell r="H648">
            <v>23</v>
          </cell>
          <cell r="I648">
            <v>22</v>
          </cell>
          <cell r="K648">
            <v>25</v>
          </cell>
          <cell r="L648">
            <v>24</v>
          </cell>
          <cell r="M648">
            <v>20</v>
          </cell>
          <cell r="N648">
            <v>17</v>
          </cell>
          <cell r="P648">
            <v>1132</v>
          </cell>
        </row>
        <row r="649">
          <cell r="A649">
            <v>22</v>
          </cell>
          <cell r="B649">
            <v>46</v>
          </cell>
          <cell r="C649">
            <v>49</v>
          </cell>
          <cell r="D649">
            <v>23</v>
          </cell>
          <cell r="F649">
            <v>25</v>
          </cell>
          <cell r="G649">
            <v>24</v>
          </cell>
          <cell r="H649">
            <v>24</v>
          </cell>
          <cell r="I649">
            <v>21</v>
          </cell>
          <cell r="K649">
            <v>22</v>
          </cell>
          <cell r="L649">
            <v>24</v>
          </cell>
          <cell r="M649">
            <v>23</v>
          </cell>
          <cell r="N649">
            <v>23</v>
          </cell>
          <cell r="P649">
            <v>1137</v>
          </cell>
        </row>
        <row r="650">
          <cell r="A650">
            <v>22</v>
          </cell>
          <cell r="B650">
            <v>44</v>
          </cell>
          <cell r="C650">
            <v>43</v>
          </cell>
          <cell r="D650">
            <v>17</v>
          </cell>
          <cell r="F650">
            <v>24</v>
          </cell>
          <cell r="G650">
            <v>21</v>
          </cell>
          <cell r="H650">
            <v>22</v>
          </cell>
          <cell r="I650">
            <v>13</v>
          </cell>
          <cell r="K650">
            <v>23</v>
          </cell>
          <cell r="L650">
            <v>24</v>
          </cell>
          <cell r="M650">
            <v>16</v>
          </cell>
          <cell r="N650">
            <v>22</v>
          </cell>
          <cell r="P650">
            <v>1138</v>
          </cell>
        </row>
        <row r="651">
          <cell r="A651">
            <v>24</v>
          </cell>
          <cell r="B651">
            <v>49.5</v>
          </cell>
          <cell r="C651">
            <v>50</v>
          </cell>
          <cell r="D651">
            <v>23</v>
          </cell>
          <cell r="F651">
            <v>25</v>
          </cell>
          <cell r="G651">
            <v>23</v>
          </cell>
          <cell r="H651">
            <v>25</v>
          </cell>
          <cell r="I651">
            <v>24</v>
          </cell>
          <cell r="K651">
            <v>23</v>
          </cell>
          <cell r="L651">
            <v>24</v>
          </cell>
          <cell r="M651">
            <v>23</v>
          </cell>
          <cell r="N651">
            <v>23</v>
          </cell>
          <cell r="P651">
            <v>1139</v>
          </cell>
        </row>
        <row r="652">
          <cell r="A652">
            <v>25</v>
          </cell>
          <cell r="B652">
            <v>45</v>
          </cell>
          <cell r="C652">
            <v>50</v>
          </cell>
          <cell r="D652">
            <v>23</v>
          </cell>
          <cell r="F652">
            <v>24</v>
          </cell>
          <cell r="G652">
            <v>22</v>
          </cell>
          <cell r="H652">
            <v>25</v>
          </cell>
          <cell r="I652">
            <v>20</v>
          </cell>
          <cell r="K652">
            <v>24</v>
          </cell>
          <cell r="L652">
            <v>24</v>
          </cell>
          <cell r="M652">
            <v>23</v>
          </cell>
          <cell r="N652">
            <v>23</v>
          </cell>
          <cell r="P652">
            <v>1142</v>
          </cell>
        </row>
        <row r="653">
          <cell r="A653">
            <v>21</v>
          </cell>
          <cell r="B653">
            <v>43.5</v>
          </cell>
          <cell r="C653">
            <v>10</v>
          </cell>
          <cell r="D653">
            <v>18</v>
          </cell>
          <cell r="F653">
            <v>22.5</v>
          </cell>
          <cell r="G653">
            <v>14</v>
          </cell>
          <cell r="H653">
            <v>23</v>
          </cell>
          <cell r="I653">
            <v>22</v>
          </cell>
          <cell r="K653">
            <v>23</v>
          </cell>
          <cell r="L653">
            <v>22</v>
          </cell>
          <cell r="M653">
            <v>19</v>
          </cell>
          <cell r="N653">
            <v>20</v>
          </cell>
          <cell r="P653">
            <v>1144</v>
          </cell>
        </row>
        <row r="654">
          <cell r="A654">
            <v>24</v>
          </cell>
          <cell r="B654">
            <v>44.5</v>
          </cell>
          <cell r="C654">
            <v>49</v>
          </cell>
          <cell r="D654">
            <v>24</v>
          </cell>
          <cell r="F654">
            <v>25</v>
          </cell>
          <cell r="G654">
            <v>23</v>
          </cell>
          <cell r="H654">
            <v>24</v>
          </cell>
          <cell r="I654">
            <v>23</v>
          </cell>
          <cell r="K654">
            <v>23</v>
          </cell>
          <cell r="L654">
            <v>24</v>
          </cell>
          <cell r="M654">
            <v>21</v>
          </cell>
          <cell r="N654">
            <v>24</v>
          </cell>
          <cell r="P654">
            <v>1147</v>
          </cell>
        </row>
        <row r="655">
          <cell r="A655">
            <v>20.5</v>
          </cell>
          <cell r="B655">
            <v>44.5</v>
          </cell>
          <cell r="C655">
            <v>49</v>
          </cell>
          <cell r="D655">
            <v>22</v>
          </cell>
          <cell r="F655">
            <v>25</v>
          </cell>
          <cell r="G655">
            <v>22</v>
          </cell>
          <cell r="H655">
            <v>24</v>
          </cell>
          <cell r="I655">
            <v>22</v>
          </cell>
          <cell r="K655">
            <v>20</v>
          </cell>
          <cell r="L655">
            <v>23</v>
          </cell>
          <cell r="M655">
            <v>23</v>
          </cell>
          <cell r="N655">
            <v>24</v>
          </cell>
          <cell r="P655">
            <v>1148</v>
          </cell>
        </row>
        <row r="656">
          <cell r="A656">
            <v>22</v>
          </cell>
          <cell r="B656">
            <v>47.5</v>
          </cell>
          <cell r="C656">
            <v>50</v>
          </cell>
          <cell r="D656">
            <v>22</v>
          </cell>
          <cell r="F656">
            <v>22</v>
          </cell>
          <cell r="G656">
            <v>24</v>
          </cell>
          <cell r="H656">
            <v>24</v>
          </cell>
          <cell r="I656">
            <v>22</v>
          </cell>
          <cell r="K656">
            <v>25</v>
          </cell>
          <cell r="L656">
            <v>25</v>
          </cell>
          <cell r="M656">
            <v>23</v>
          </cell>
          <cell r="N656">
            <v>24</v>
          </cell>
          <cell r="P656">
            <v>1149</v>
          </cell>
        </row>
        <row r="657">
          <cell r="A657">
            <v>23</v>
          </cell>
          <cell r="B657">
            <v>48.5</v>
          </cell>
          <cell r="C657">
            <v>49</v>
          </cell>
          <cell r="D657">
            <v>21</v>
          </cell>
          <cell r="F657">
            <v>24</v>
          </cell>
          <cell r="G657">
            <v>23</v>
          </cell>
          <cell r="H657">
            <v>25</v>
          </cell>
          <cell r="I657">
            <v>23</v>
          </cell>
          <cell r="K657">
            <v>22</v>
          </cell>
          <cell r="L657">
            <v>25</v>
          </cell>
          <cell r="M657">
            <v>22</v>
          </cell>
          <cell r="N657">
            <v>23</v>
          </cell>
          <cell r="P657">
            <v>1150</v>
          </cell>
        </row>
        <row r="658">
          <cell r="A658">
            <v>24</v>
          </cell>
          <cell r="B658">
            <v>48.5</v>
          </cell>
          <cell r="C658">
            <v>47</v>
          </cell>
          <cell r="D658">
            <v>20</v>
          </cell>
          <cell r="F658">
            <v>22</v>
          </cell>
          <cell r="G658">
            <v>23</v>
          </cell>
          <cell r="H658">
            <v>25</v>
          </cell>
          <cell r="I658">
            <v>23</v>
          </cell>
          <cell r="K658">
            <v>22</v>
          </cell>
          <cell r="L658">
            <v>25</v>
          </cell>
          <cell r="M658">
            <v>22</v>
          </cell>
          <cell r="N658">
            <v>24</v>
          </cell>
          <cell r="P658">
            <v>1152</v>
          </cell>
        </row>
        <row r="659">
          <cell r="A659">
            <v>23</v>
          </cell>
          <cell r="B659">
            <v>49</v>
          </cell>
          <cell r="C659">
            <v>50</v>
          </cell>
          <cell r="D659">
            <v>22</v>
          </cell>
          <cell r="F659">
            <v>24</v>
          </cell>
          <cell r="G659">
            <v>23</v>
          </cell>
          <cell r="H659">
            <v>24</v>
          </cell>
          <cell r="I659">
            <v>22</v>
          </cell>
          <cell r="K659">
            <v>24</v>
          </cell>
          <cell r="L659">
            <v>25</v>
          </cell>
          <cell r="M659">
            <v>23</v>
          </cell>
          <cell r="N659">
            <v>20</v>
          </cell>
          <cell r="P659">
            <v>1153</v>
          </cell>
        </row>
        <row r="660">
          <cell r="A660">
            <v>25</v>
          </cell>
          <cell r="B660">
            <v>49.5</v>
          </cell>
          <cell r="C660">
            <v>50</v>
          </cell>
          <cell r="D660">
            <v>22</v>
          </cell>
          <cell r="F660">
            <v>25</v>
          </cell>
          <cell r="G660">
            <v>24</v>
          </cell>
          <cell r="H660">
            <v>25</v>
          </cell>
          <cell r="I660">
            <v>22</v>
          </cell>
          <cell r="K660">
            <v>24</v>
          </cell>
          <cell r="L660">
            <v>24</v>
          </cell>
          <cell r="M660">
            <v>23</v>
          </cell>
          <cell r="N660">
            <v>25</v>
          </cell>
          <cell r="P660">
            <v>1155</v>
          </cell>
        </row>
        <row r="661">
          <cell r="A661">
            <v>20.5</v>
          </cell>
          <cell r="B661">
            <v>48</v>
          </cell>
          <cell r="C661">
            <v>48</v>
          </cell>
          <cell r="D661">
            <v>21</v>
          </cell>
          <cell r="F661">
            <v>24</v>
          </cell>
          <cell r="G661">
            <v>22</v>
          </cell>
          <cell r="H661">
            <v>19</v>
          </cell>
          <cell r="I661">
            <v>22</v>
          </cell>
          <cell r="K661">
            <v>22</v>
          </cell>
          <cell r="L661">
            <v>24</v>
          </cell>
          <cell r="M661">
            <v>19</v>
          </cell>
          <cell r="N661">
            <v>25</v>
          </cell>
          <cell r="P661">
            <v>1156</v>
          </cell>
        </row>
        <row r="662">
          <cell r="A662">
            <v>25</v>
          </cell>
          <cell r="B662">
            <v>46.5</v>
          </cell>
          <cell r="C662">
            <v>45</v>
          </cell>
          <cell r="D662">
            <v>20</v>
          </cell>
          <cell r="F662">
            <v>21.5</v>
          </cell>
          <cell r="G662">
            <v>23</v>
          </cell>
          <cell r="H662">
            <v>23</v>
          </cell>
          <cell r="I662">
            <v>21</v>
          </cell>
          <cell r="K662">
            <v>18</v>
          </cell>
          <cell r="L662">
            <v>25</v>
          </cell>
          <cell r="M662">
            <v>20</v>
          </cell>
          <cell r="N662">
            <v>22</v>
          </cell>
          <cell r="P662">
            <v>1158</v>
          </cell>
        </row>
        <row r="663">
          <cell r="A663">
            <v>21</v>
          </cell>
          <cell r="B663">
            <v>45</v>
          </cell>
          <cell r="C663">
            <v>48</v>
          </cell>
          <cell r="D663">
            <v>22</v>
          </cell>
          <cell r="F663">
            <v>24</v>
          </cell>
          <cell r="G663">
            <v>23</v>
          </cell>
          <cell r="H663">
            <v>23</v>
          </cell>
          <cell r="I663">
            <v>20</v>
          </cell>
          <cell r="K663">
            <v>22</v>
          </cell>
          <cell r="L663">
            <v>24</v>
          </cell>
          <cell r="M663">
            <v>18</v>
          </cell>
          <cell r="N663">
            <v>21</v>
          </cell>
          <cell r="P663">
            <v>1161</v>
          </cell>
        </row>
        <row r="664">
          <cell r="A664">
            <v>17</v>
          </cell>
          <cell r="B664">
            <v>45</v>
          </cell>
          <cell r="C664">
            <v>46</v>
          </cell>
          <cell r="D664">
            <v>14</v>
          </cell>
          <cell r="F664">
            <v>22.5</v>
          </cell>
          <cell r="G664">
            <v>23</v>
          </cell>
          <cell r="H664">
            <v>21</v>
          </cell>
          <cell r="I664">
            <v>15</v>
          </cell>
          <cell r="K664">
            <v>22</v>
          </cell>
          <cell r="L664">
            <v>24</v>
          </cell>
          <cell r="M664">
            <v>20</v>
          </cell>
          <cell r="N664">
            <v>15</v>
          </cell>
          <cell r="P664">
            <v>1163</v>
          </cell>
        </row>
        <row r="665">
          <cell r="A665">
            <v>24</v>
          </cell>
          <cell r="B665">
            <v>41</v>
          </cell>
          <cell r="C665">
            <v>46</v>
          </cell>
          <cell r="D665">
            <v>23</v>
          </cell>
          <cell r="F665">
            <v>24</v>
          </cell>
          <cell r="G665">
            <v>23</v>
          </cell>
          <cell r="H665">
            <v>25</v>
          </cell>
          <cell r="I665">
            <v>20</v>
          </cell>
          <cell r="K665">
            <v>21</v>
          </cell>
          <cell r="L665">
            <v>22</v>
          </cell>
          <cell r="M665">
            <v>23</v>
          </cell>
          <cell r="N665">
            <v>23</v>
          </cell>
          <cell r="P665">
            <v>1168</v>
          </cell>
        </row>
        <row r="666">
          <cell r="A666">
            <v>21</v>
          </cell>
          <cell r="B666">
            <v>30.5</v>
          </cell>
          <cell r="C666">
            <v>34</v>
          </cell>
          <cell r="D666">
            <v>20</v>
          </cell>
          <cell r="F666">
            <v>24</v>
          </cell>
          <cell r="G666">
            <v>21</v>
          </cell>
          <cell r="H666">
            <v>20</v>
          </cell>
          <cell r="I666">
            <v>15</v>
          </cell>
          <cell r="K666">
            <v>17</v>
          </cell>
          <cell r="L666">
            <v>22</v>
          </cell>
          <cell r="M666">
            <v>16</v>
          </cell>
          <cell r="N666">
            <v>17</v>
          </cell>
          <cell r="P666">
            <v>1173</v>
          </cell>
        </row>
        <row r="667">
          <cell r="A667">
            <v>23</v>
          </cell>
          <cell r="B667">
            <v>49.5</v>
          </cell>
          <cell r="C667">
            <v>49</v>
          </cell>
          <cell r="D667">
            <v>23</v>
          </cell>
          <cell r="F667">
            <v>25</v>
          </cell>
          <cell r="G667">
            <v>22</v>
          </cell>
          <cell r="H667">
            <v>25</v>
          </cell>
          <cell r="I667">
            <v>23</v>
          </cell>
          <cell r="K667">
            <v>24</v>
          </cell>
          <cell r="L667">
            <v>25</v>
          </cell>
          <cell r="M667">
            <v>24</v>
          </cell>
          <cell r="N667">
            <v>23</v>
          </cell>
          <cell r="P667">
            <v>1176</v>
          </cell>
        </row>
        <row r="668">
          <cell r="A668">
            <v>22</v>
          </cell>
          <cell r="B668">
            <v>45.5</v>
          </cell>
          <cell r="C668">
            <v>48</v>
          </cell>
          <cell r="D668">
            <v>22</v>
          </cell>
          <cell r="F668">
            <v>20.5</v>
          </cell>
          <cell r="G668">
            <v>23</v>
          </cell>
          <cell r="H668">
            <v>22</v>
          </cell>
          <cell r="I668">
            <v>18</v>
          </cell>
          <cell r="K668">
            <v>18</v>
          </cell>
          <cell r="L668">
            <v>23</v>
          </cell>
          <cell r="M668">
            <v>21</v>
          </cell>
          <cell r="N668">
            <v>20</v>
          </cell>
          <cell r="P668">
            <v>1179</v>
          </cell>
        </row>
        <row r="669">
          <cell r="A669">
            <v>23</v>
          </cell>
          <cell r="B669">
            <v>35</v>
          </cell>
          <cell r="C669">
            <v>31</v>
          </cell>
          <cell r="D669">
            <v>17</v>
          </cell>
          <cell r="F669">
            <v>19</v>
          </cell>
          <cell r="G669">
            <v>21</v>
          </cell>
          <cell r="H669">
            <v>20</v>
          </cell>
          <cell r="I669">
            <v>14</v>
          </cell>
          <cell r="K669">
            <v>17</v>
          </cell>
          <cell r="L669">
            <v>22</v>
          </cell>
          <cell r="M669">
            <v>19</v>
          </cell>
          <cell r="N669">
            <v>23</v>
          </cell>
          <cell r="P669">
            <v>1180</v>
          </cell>
        </row>
        <row r="670">
          <cell r="A670">
            <v>22</v>
          </cell>
          <cell r="B670">
            <v>43</v>
          </cell>
          <cell r="C670">
            <v>48</v>
          </cell>
          <cell r="D670">
            <v>21</v>
          </cell>
          <cell r="F670">
            <v>22</v>
          </cell>
          <cell r="G670">
            <v>23</v>
          </cell>
          <cell r="H670">
            <v>25</v>
          </cell>
          <cell r="I670">
            <v>21</v>
          </cell>
          <cell r="K670">
            <v>23</v>
          </cell>
          <cell r="L670">
            <v>24</v>
          </cell>
          <cell r="M670">
            <v>19</v>
          </cell>
          <cell r="N670">
            <v>17</v>
          </cell>
          <cell r="P670">
            <v>1181</v>
          </cell>
        </row>
        <row r="671">
          <cell r="A671">
            <v>24</v>
          </cell>
          <cell r="B671">
            <v>49</v>
          </cell>
          <cell r="C671">
            <v>47</v>
          </cell>
          <cell r="D671">
            <v>21</v>
          </cell>
          <cell r="F671">
            <v>24</v>
          </cell>
          <cell r="G671">
            <v>23</v>
          </cell>
          <cell r="H671">
            <v>21</v>
          </cell>
          <cell r="I671">
            <v>22</v>
          </cell>
          <cell r="K671">
            <v>21</v>
          </cell>
          <cell r="L671">
            <v>23</v>
          </cell>
          <cell r="M671">
            <v>21</v>
          </cell>
          <cell r="N671">
            <v>25</v>
          </cell>
          <cell r="P671">
            <v>1182</v>
          </cell>
        </row>
        <row r="672">
          <cell r="A672">
            <v>22</v>
          </cell>
          <cell r="B672">
            <v>47.5</v>
          </cell>
          <cell r="C672">
            <v>50</v>
          </cell>
          <cell r="D672">
            <v>22</v>
          </cell>
          <cell r="F672">
            <v>23.5</v>
          </cell>
          <cell r="G672">
            <v>21</v>
          </cell>
          <cell r="H672">
            <v>25</v>
          </cell>
          <cell r="I672">
            <v>22</v>
          </cell>
          <cell r="K672">
            <v>22</v>
          </cell>
          <cell r="L672">
            <v>24</v>
          </cell>
          <cell r="M672">
            <v>23</v>
          </cell>
          <cell r="N672">
            <v>25</v>
          </cell>
          <cell r="P672">
            <v>1185</v>
          </cell>
        </row>
        <row r="673">
          <cell r="A673">
            <v>23</v>
          </cell>
          <cell r="B673">
            <v>46</v>
          </cell>
          <cell r="C673">
            <v>48</v>
          </cell>
          <cell r="D673">
            <v>17</v>
          </cell>
          <cell r="F673">
            <v>21</v>
          </cell>
          <cell r="G673">
            <v>24</v>
          </cell>
          <cell r="H673">
            <v>23</v>
          </cell>
          <cell r="I673">
            <v>19</v>
          </cell>
          <cell r="K673">
            <v>22</v>
          </cell>
          <cell r="L673">
            <v>22</v>
          </cell>
          <cell r="M673">
            <v>18</v>
          </cell>
          <cell r="N673">
            <v>19</v>
          </cell>
          <cell r="P673">
            <v>1186</v>
          </cell>
        </row>
        <row r="674">
          <cell r="A674">
            <v>17</v>
          </cell>
          <cell r="B674">
            <v>31</v>
          </cell>
          <cell r="C674">
            <v>38</v>
          </cell>
          <cell r="D674">
            <v>15</v>
          </cell>
          <cell r="F674">
            <v>19.5</v>
          </cell>
          <cell r="G674">
            <v>23</v>
          </cell>
          <cell r="H674">
            <v>19</v>
          </cell>
          <cell r="I674">
            <v>16</v>
          </cell>
          <cell r="K674">
            <v>17</v>
          </cell>
          <cell r="L674">
            <v>22</v>
          </cell>
          <cell r="M674">
            <v>13</v>
          </cell>
          <cell r="N674">
            <v>22</v>
          </cell>
          <cell r="P674">
            <v>1188</v>
          </cell>
        </row>
        <row r="675">
          <cell r="A675">
            <v>23</v>
          </cell>
          <cell r="B675">
            <v>46</v>
          </cell>
          <cell r="C675">
            <v>49</v>
          </cell>
          <cell r="D675">
            <v>24</v>
          </cell>
          <cell r="F675">
            <v>24</v>
          </cell>
          <cell r="G675">
            <v>25</v>
          </cell>
          <cell r="H675">
            <v>24</v>
          </cell>
          <cell r="I675">
            <v>22</v>
          </cell>
          <cell r="K675">
            <v>24</v>
          </cell>
          <cell r="L675">
            <v>23</v>
          </cell>
          <cell r="M675">
            <v>21</v>
          </cell>
          <cell r="N675">
            <v>21</v>
          </cell>
          <cell r="P675">
            <v>1189</v>
          </cell>
        </row>
        <row r="676">
          <cell r="A676">
            <v>24</v>
          </cell>
          <cell r="B676">
            <v>48</v>
          </cell>
          <cell r="C676">
            <v>50</v>
          </cell>
          <cell r="D676">
            <v>23</v>
          </cell>
          <cell r="F676">
            <v>24.5</v>
          </cell>
          <cell r="G676">
            <v>23</v>
          </cell>
          <cell r="H676">
            <v>24</v>
          </cell>
          <cell r="I676">
            <v>22</v>
          </cell>
          <cell r="K676">
            <v>24</v>
          </cell>
          <cell r="L676">
            <v>24</v>
          </cell>
          <cell r="M676">
            <v>22</v>
          </cell>
          <cell r="N676">
            <v>25</v>
          </cell>
          <cell r="P676">
            <v>1190</v>
          </cell>
        </row>
        <row r="677">
          <cell r="A677">
            <v>23</v>
          </cell>
          <cell r="B677">
            <v>47.5</v>
          </cell>
          <cell r="C677">
            <v>50</v>
          </cell>
          <cell r="D677">
            <v>21</v>
          </cell>
          <cell r="F677">
            <v>24.5</v>
          </cell>
          <cell r="G677">
            <v>23</v>
          </cell>
          <cell r="H677">
            <v>24</v>
          </cell>
          <cell r="I677">
            <v>21</v>
          </cell>
          <cell r="K677">
            <v>25</v>
          </cell>
          <cell r="L677">
            <v>25</v>
          </cell>
          <cell r="M677">
            <v>23</v>
          </cell>
          <cell r="N677">
            <v>22</v>
          </cell>
          <cell r="P677">
            <v>1192</v>
          </cell>
        </row>
        <row r="678">
          <cell r="A678">
            <v>22</v>
          </cell>
          <cell r="B678">
            <v>42.5</v>
          </cell>
          <cell r="C678">
            <v>48</v>
          </cell>
          <cell r="D678">
            <v>23</v>
          </cell>
          <cell r="F678">
            <v>23</v>
          </cell>
          <cell r="G678">
            <v>23</v>
          </cell>
          <cell r="H678">
            <v>22</v>
          </cell>
          <cell r="I678">
            <v>22</v>
          </cell>
          <cell r="K678">
            <v>22</v>
          </cell>
          <cell r="L678">
            <v>24</v>
          </cell>
          <cell r="M678">
            <v>20</v>
          </cell>
          <cell r="N678">
            <v>22</v>
          </cell>
          <cell r="P678">
            <v>1194</v>
          </cell>
        </row>
        <row r="679">
          <cell r="A679">
            <v>21</v>
          </cell>
          <cell r="B679">
            <v>46.5</v>
          </cell>
          <cell r="C679">
            <v>50</v>
          </cell>
          <cell r="D679">
            <v>22</v>
          </cell>
          <cell r="F679">
            <v>23.5</v>
          </cell>
          <cell r="G679">
            <v>25</v>
          </cell>
          <cell r="H679">
            <v>23</v>
          </cell>
          <cell r="I679">
            <v>21</v>
          </cell>
          <cell r="K679">
            <v>24</v>
          </cell>
          <cell r="L679">
            <v>25</v>
          </cell>
          <cell r="M679">
            <v>22</v>
          </cell>
          <cell r="N679">
            <v>21</v>
          </cell>
          <cell r="P679">
            <v>1199</v>
          </cell>
        </row>
        <row r="680">
          <cell r="A680">
            <v>22</v>
          </cell>
          <cell r="B680">
            <v>50</v>
          </cell>
          <cell r="C680">
            <v>50</v>
          </cell>
          <cell r="D680">
            <v>21</v>
          </cell>
          <cell r="F680">
            <v>25</v>
          </cell>
          <cell r="G680">
            <v>24</v>
          </cell>
          <cell r="H680">
            <v>25</v>
          </cell>
          <cell r="I680">
            <v>22</v>
          </cell>
          <cell r="K680">
            <v>25</v>
          </cell>
          <cell r="L680">
            <v>25</v>
          </cell>
          <cell r="M680">
            <v>22</v>
          </cell>
          <cell r="N680">
            <v>25</v>
          </cell>
          <cell r="P680">
            <v>1200</v>
          </cell>
        </row>
        <row r="681">
          <cell r="A681">
            <v>25</v>
          </cell>
          <cell r="B681">
            <v>46</v>
          </cell>
          <cell r="C681">
            <v>50</v>
          </cell>
          <cell r="D681">
            <v>21</v>
          </cell>
          <cell r="F681">
            <v>25</v>
          </cell>
          <cell r="G681">
            <v>22</v>
          </cell>
          <cell r="H681">
            <v>24</v>
          </cell>
          <cell r="I681">
            <v>22</v>
          </cell>
          <cell r="K681">
            <v>22</v>
          </cell>
          <cell r="L681">
            <v>25</v>
          </cell>
          <cell r="M681">
            <v>23</v>
          </cell>
          <cell r="N681">
            <v>22</v>
          </cell>
          <cell r="P681">
            <v>1202</v>
          </cell>
        </row>
        <row r="682">
          <cell r="A682">
            <v>18</v>
          </cell>
          <cell r="B682">
            <v>34.5</v>
          </cell>
          <cell r="C682">
            <v>36</v>
          </cell>
          <cell r="D682">
            <v>20</v>
          </cell>
          <cell r="F682">
            <v>22</v>
          </cell>
          <cell r="G682">
            <v>20</v>
          </cell>
          <cell r="H682">
            <v>22</v>
          </cell>
          <cell r="I682">
            <v>21</v>
          </cell>
          <cell r="K682">
            <v>20</v>
          </cell>
          <cell r="L682">
            <v>22</v>
          </cell>
          <cell r="M682">
            <v>16</v>
          </cell>
          <cell r="N682">
            <v>21</v>
          </cell>
          <cell r="P682">
            <v>1204</v>
          </cell>
        </row>
        <row r="683">
          <cell r="A683">
            <v>22</v>
          </cell>
          <cell r="B683">
            <v>45</v>
          </cell>
          <cell r="C683">
            <v>50</v>
          </cell>
          <cell r="D683">
            <v>23</v>
          </cell>
          <cell r="F683">
            <v>22</v>
          </cell>
          <cell r="G683">
            <v>21</v>
          </cell>
          <cell r="H683">
            <v>22</v>
          </cell>
          <cell r="I683">
            <v>22</v>
          </cell>
          <cell r="K683">
            <v>22</v>
          </cell>
          <cell r="L683">
            <v>23</v>
          </cell>
          <cell r="M683">
            <v>23</v>
          </cell>
          <cell r="N683">
            <v>24</v>
          </cell>
          <cell r="P683">
            <v>1205</v>
          </cell>
        </row>
        <row r="684">
          <cell r="A684">
            <v>24</v>
          </cell>
          <cell r="B684">
            <v>45.5</v>
          </cell>
          <cell r="C684">
            <v>44</v>
          </cell>
          <cell r="D684">
            <v>23</v>
          </cell>
          <cell r="F684">
            <v>24</v>
          </cell>
          <cell r="G684">
            <v>21</v>
          </cell>
          <cell r="H684">
            <v>24</v>
          </cell>
          <cell r="I684">
            <v>22</v>
          </cell>
          <cell r="K684">
            <v>23</v>
          </cell>
          <cell r="L684">
            <v>25</v>
          </cell>
          <cell r="M684">
            <v>21</v>
          </cell>
          <cell r="N684">
            <v>25</v>
          </cell>
          <cell r="P684">
            <v>1206</v>
          </cell>
        </row>
        <row r="685">
          <cell r="A685">
            <v>22</v>
          </cell>
          <cell r="B685">
            <v>47</v>
          </cell>
          <cell r="C685">
            <v>48</v>
          </cell>
          <cell r="D685">
            <v>22</v>
          </cell>
          <cell r="F685">
            <v>25</v>
          </cell>
          <cell r="G685">
            <v>22</v>
          </cell>
          <cell r="H685">
            <v>24</v>
          </cell>
          <cell r="I685">
            <v>20</v>
          </cell>
          <cell r="K685">
            <v>24</v>
          </cell>
          <cell r="L685">
            <v>23</v>
          </cell>
          <cell r="M685">
            <v>20</v>
          </cell>
          <cell r="N685">
            <v>22</v>
          </cell>
          <cell r="P685">
            <v>1208</v>
          </cell>
        </row>
        <row r="686">
          <cell r="A686">
            <v>25</v>
          </cell>
          <cell r="B686">
            <v>46.5</v>
          </cell>
          <cell r="C686">
            <v>49</v>
          </cell>
          <cell r="D686">
            <v>22</v>
          </cell>
          <cell r="F686">
            <v>25</v>
          </cell>
          <cell r="G686">
            <v>23</v>
          </cell>
          <cell r="H686">
            <v>24</v>
          </cell>
          <cell r="I686">
            <v>22</v>
          </cell>
          <cell r="K686">
            <v>23</v>
          </cell>
          <cell r="L686">
            <v>25</v>
          </cell>
          <cell r="M686">
            <v>24</v>
          </cell>
          <cell r="N686">
            <v>24</v>
          </cell>
          <cell r="P686">
            <v>1209</v>
          </cell>
        </row>
        <row r="687">
          <cell r="A687">
            <v>23</v>
          </cell>
          <cell r="B687">
            <v>47</v>
          </cell>
          <cell r="C687">
            <v>50</v>
          </cell>
          <cell r="D687">
            <v>20</v>
          </cell>
          <cell r="F687">
            <v>25</v>
          </cell>
          <cell r="G687">
            <v>22</v>
          </cell>
          <cell r="H687">
            <v>24</v>
          </cell>
          <cell r="I687">
            <v>22</v>
          </cell>
          <cell r="K687">
            <v>24</v>
          </cell>
          <cell r="L687">
            <v>24</v>
          </cell>
          <cell r="M687">
            <v>24</v>
          </cell>
          <cell r="N687">
            <v>23</v>
          </cell>
          <cell r="P687">
            <v>1210</v>
          </cell>
        </row>
        <row r="688">
          <cell r="A688">
            <v>23</v>
          </cell>
          <cell r="B688">
            <v>48</v>
          </cell>
          <cell r="C688">
            <v>50</v>
          </cell>
          <cell r="D688">
            <v>23</v>
          </cell>
          <cell r="F688">
            <v>23</v>
          </cell>
          <cell r="G688">
            <v>22</v>
          </cell>
          <cell r="H688">
            <v>24</v>
          </cell>
          <cell r="I688">
            <v>23</v>
          </cell>
          <cell r="K688">
            <v>23</v>
          </cell>
          <cell r="L688">
            <v>24</v>
          </cell>
          <cell r="M688">
            <v>22</v>
          </cell>
          <cell r="N688">
            <v>24</v>
          </cell>
          <cell r="P688">
            <v>1211</v>
          </cell>
        </row>
        <row r="689">
          <cell r="A689">
            <v>22</v>
          </cell>
          <cell r="B689">
            <v>39</v>
          </cell>
          <cell r="C689">
            <v>41</v>
          </cell>
          <cell r="D689">
            <v>16</v>
          </cell>
          <cell r="F689">
            <v>21</v>
          </cell>
          <cell r="G689">
            <v>17</v>
          </cell>
          <cell r="H689">
            <v>17</v>
          </cell>
          <cell r="I689">
            <v>15</v>
          </cell>
          <cell r="K689">
            <v>19</v>
          </cell>
          <cell r="L689">
            <v>21</v>
          </cell>
          <cell r="M689">
            <v>16</v>
          </cell>
          <cell r="N689">
            <v>18</v>
          </cell>
          <cell r="P689">
            <v>1212</v>
          </cell>
        </row>
        <row r="690">
          <cell r="A690">
            <v>22</v>
          </cell>
          <cell r="B690">
            <v>42</v>
          </cell>
          <cell r="C690">
            <v>48</v>
          </cell>
          <cell r="D690">
            <v>22</v>
          </cell>
          <cell r="F690">
            <v>25</v>
          </cell>
          <cell r="G690">
            <v>22</v>
          </cell>
          <cell r="H690">
            <v>24</v>
          </cell>
          <cell r="I690">
            <v>20</v>
          </cell>
          <cell r="K690">
            <v>24</v>
          </cell>
          <cell r="L690">
            <v>25</v>
          </cell>
          <cell r="M690">
            <v>23</v>
          </cell>
          <cell r="N690">
            <v>22</v>
          </cell>
          <cell r="P690">
            <v>1214</v>
          </cell>
        </row>
        <row r="691">
          <cell r="A691">
            <v>24</v>
          </cell>
          <cell r="B691">
            <v>46.5</v>
          </cell>
          <cell r="C691">
            <v>50</v>
          </cell>
          <cell r="D691">
            <v>23</v>
          </cell>
          <cell r="F691">
            <v>24</v>
          </cell>
          <cell r="G691">
            <v>21</v>
          </cell>
          <cell r="H691">
            <v>25</v>
          </cell>
          <cell r="I691">
            <v>19</v>
          </cell>
          <cell r="K691">
            <v>24</v>
          </cell>
          <cell r="L691">
            <v>23</v>
          </cell>
          <cell r="M691">
            <v>22</v>
          </cell>
          <cell r="N691">
            <v>21</v>
          </cell>
          <cell r="P691">
            <v>1215</v>
          </cell>
        </row>
        <row r="692">
          <cell r="A692">
            <v>21</v>
          </cell>
          <cell r="B692">
            <v>46.5</v>
          </cell>
          <cell r="C692">
            <v>48</v>
          </cell>
          <cell r="D692">
            <v>21</v>
          </cell>
          <cell r="F692">
            <v>24</v>
          </cell>
          <cell r="G692">
            <v>20</v>
          </cell>
          <cell r="H692">
            <v>24</v>
          </cell>
          <cell r="I692">
            <v>22</v>
          </cell>
          <cell r="K692">
            <v>20</v>
          </cell>
          <cell r="L692">
            <v>23</v>
          </cell>
          <cell r="M692">
            <v>20</v>
          </cell>
          <cell r="N692">
            <v>23</v>
          </cell>
          <cell r="P692">
            <v>1226</v>
          </cell>
        </row>
        <row r="693">
          <cell r="A693">
            <v>23</v>
          </cell>
          <cell r="B693">
            <v>44.5</v>
          </cell>
          <cell r="C693">
            <v>47</v>
          </cell>
          <cell r="D693">
            <v>22</v>
          </cell>
          <cell r="F693">
            <v>23</v>
          </cell>
          <cell r="G693">
            <v>21</v>
          </cell>
          <cell r="H693">
            <v>22</v>
          </cell>
          <cell r="I693">
            <v>22</v>
          </cell>
          <cell r="K693">
            <v>17</v>
          </cell>
          <cell r="L693">
            <v>23</v>
          </cell>
          <cell r="M693">
            <v>22</v>
          </cell>
          <cell r="N693">
            <v>25</v>
          </cell>
          <cell r="P693">
            <v>1227</v>
          </cell>
        </row>
        <row r="694">
          <cell r="A694">
            <v>24</v>
          </cell>
          <cell r="B694">
            <v>43</v>
          </cell>
          <cell r="C694">
            <v>45</v>
          </cell>
          <cell r="D694">
            <v>21</v>
          </cell>
          <cell r="F694">
            <v>25</v>
          </cell>
          <cell r="G694">
            <v>18</v>
          </cell>
          <cell r="H694">
            <v>24</v>
          </cell>
          <cell r="I694">
            <v>20</v>
          </cell>
          <cell r="K694">
            <v>21</v>
          </cell>
          <cell r="L694">
            <v>24</v>
          </cell>
          <cell r="M694">
            <v>22</v>
          </cell>
          <cell r="N694">
            <v>23</v>
          </cell>
          <cell r="P694">
            <v>1229</v>
          </cell>
        </row>
        <row r="695">
          <cell r="A695">
            <v>24</v>
          </cell>
          <cell r="B695">
            <v>49.5</v>
          </cell>
          <cell r="C695">
            <v>50</v>
          </cell>
          <cell r="D695">
            <v>24</v>
          </cell>
          <cell r="F695">
            <v>25</v>
          </cell>
          <cell r="G695">
            <v>25</v>
          </cell>
          <cell r="H695">
            <v>25</v>
          </cell>
          <cell r="I695">
            <v>21</v>
          </cell>
          <cell r="K695">
            <v>24</v>
          </cell>
          <cell r="L695">
            <v>25</v>
          </cell>
          <cell r="M695">
            <v>23</v>
          </cell>
          <cell r="N695">
            <v>24</v>
          </cell>
          <cell r="P695">
            <v>1230</v>
          </cell>
        </row>
        <row r="696">
          <cell r="A696">
            <v>21</v>
          </cell>
          <cell r="B696">
            <v>42.5</v>
          </cell>
          <cell r="C696">
            <v>48</v>
          </cell>
          <cell r="D696">
            <v>19</v>
          </cell>
          <cell r="F696">
            <v>24</v>
          </cell>
          <cell r="G696">
            <v>23</v>
          </cell>
          <cell r="H696">
            <v>22</v>
          </cell>
          <cell r="I696">
            <v>21</v>
          </cell>
          <cell r="K696">
            <v>23</v>
          </cell>
          <cell r="L696">
            <v>24</v>
          </cell>
          <cell r="M696">
            <v>23</v>
          </cell>
          <cell r="N696">
            <v>21</v>
          </cell>
          <cell r="P696">
            <v>1231</v>
          </cell>
        </row>
        <row r="697">
          <cell r="A697">
            <v>22</v>
          </cell>
          <cell r="B697">
            <v>48.5</v>
          </cell>
          <cell r="C697">
            <v>50</v>
          </cell>
          <cell r="D697">
            <v>21</v>
          </cell>
          <cell r="F697">
            <v>25</v>
          </cell>
          <cell r="G697">
            <v>24</v>
          </cell>
          <cell r="H697">
            <v>24</v>
          </cell>
          <cell r="I697">
            <v>22</v>
          </cell>
          <cell r="K697">
            <v>23</v>
          </cell>
          <cell r="L697">
            <v>24</v>
          </cell>
          <cell r="M697">
            <v>23</v>
          </cell>
          <cell r="N697">
            <v>24</v>
          </cell>
          <cell r="P697">
            <v>1232</v>
          </cell>
        </row>
        <row r="698">
          <cell r="A698">
            <v>24</v>
          </cell>
          <cell r="B698">
            <v>39</v>
          </cell>
          <cell r="C698">
            <v>38</v>
          </cell>
          <cell r="D698">
            <v>20</v>
          </cell>
          <cell r="F698">
            <v>23</v>
          </cell>
          <cell r="G698">
            <v>23</v>
          </cell>
          <cell r="H698">
            <v>21</v>
          </cell>
          <cell r="I698">
            <v>19</v>
          </cell>
          <cell r="K698">
            <v>22</v>
          </cell>
          <cell r="L698">
            <v>25</v>
          </cell>
          <cell r="M698">
            <v>18</v>
          </cell>
          <cell r="N698">
            <v>22</v>
          </cell>
          <cell r="P698">
            <v>1234</v>
          </cell>
        </row>
        <row r="699">
          <cell r="A699">
            <v>23</v>
          </cell>
          <cell r="B699">
            <v>48</v>
          </cell>
          <cell r="C699">
            <v>50</v>
          </cell>
          <cell r="D699">
            <v>22</v>
          </cell>
          <cell r="F699">
            <v>25</v>
          </cell>
          <cell r="G699">
            <v>22</v>
          </cell>
          <cell r="H699">
            <v>24</v>
          </cell>
          <cell r="I699">
            <v>22</v>
          </cell>
          <cell r="K699">
            <v>24</v>
          </cell>
          <cell r="L699">
            <v>24</v>
          </cell>
          <cell r="M699">
            <v>23</v>
          </cell>
          <cell r="N699">
            <v>21</v>
          </cell>
          <cell r="P699">
            <v>1235</v>
          </cell>
        </row>
        <row r="700">
          <cell r="A700">
            <v>22</v>
          </cell>
          <cell r="B700">
            <v>47.5</v>
          </cell>
          <cell r="C700">
            <v>49</v>
          </cell>
          <cell r="D700">
            <v>19</v>
          </cell>
          <cell r="F700">
            <v>25</v>
          </cell>
          <cell r="G700">
            <v>25</v>
          </cell>
          <cell r="H700">
            <v>25</v>
          </cell>
          <cell r="I700">
            <v>20</v>
          </cell>
          <cell r="K700">
            <v>23</v>
          </cell>
          <cell r="L700">
            <v>24</v>
          </cell>
          <cell r="M700">
            <v>21</v>
          </cell>
          <cell r="N700">
            <v>21</v>
          </cell>
          <cell r="P700">
            <v>1236</v>
          </cell>
        </row>
        <row r="701">
          <cell r="A701">
            <v>24</v>
          </cell>
          <cell r="B701">
            <v>45.5</v>
          </cell>
          <cell r="C701">
            <v>50</v>
          </cell>
          <cell r="D701">
            <v>22</v>
          </cell>
          <cell r="F701">
            <v>25</v>
          </cell>
          <cell r="G701">
            <v>24</v>
          </cell>
          <cell r="H701">
            <v>24</v>
          </cell>
          <cell r="I701">
            <v>23</v>
          </cell>
          <cell r="K701">
            <v>24</v>
          </cell>
          <cell r="L701">
            <v>24</v>
          </cell>
          <cell r="M701">
            <v>21</v>
          </cell>
          <cell r="N701">
            <v>25</v>
          </cell>
          <cell r="P701">
            <v>1237</v>
          </cell>
        </row>
        <row r="702">
          <cell r="A702">
            <v>25</v>
          </cell>
          <cell r="B702">
            <v>47.5</v>
          </cell>
          <cell r="C702">
            <v>50</v>
          </cell>
          <cell r="D702">
            <v>21</v>
          </cell>
          <cell r="F702">
            <v>25</v>
          </cell>
          <cell r="G702">
            <v>22</v>
          </cell>
          <cell r="H702">
            <v>24</v>
          </cell>
          <cell r="I702">
            <v>21</v>
          </cell>
          <cell r="K702">
            <v>24</v>
          </cell>
          <cell r="L702">
            <v>25</v>
          </cell>
          <cell r="M702">
            <v>23</v>
          </cell>
          <cell r="N702">
            <v>25</v>
          </cell>
          <cell r="P702">
            <v>1239</v>
          </cell>
        </row>
        <row r="703">
          <cell r="A703">
            <v>16</v>
          </cell>
          <cell r="B703">
            <v>43.5</v>
          </cell>
          <cell r="C703">
            <v>43</v>
          </cell>
          <cell r="D703">
            <v>21</v>
          </cell>
          <cell r="F703">
            <v>23</v>
          </cell>
          <cell r="G703">
            <v>22</v>
          </cell>
          <cell r="H703">
            <v>21</v>
          </cell>
          <cell r="I703">
            <v>17</v>
          </cell>
          <cell r="K703">
            <v>15</v>
          </cell>
          <cell r="L703">
            <v>25</v>
          </cell>
          <cell r="M703">
            <v>18</v>
          </cell>
          <cell r="N703">
            <v>25</v>
          </cell>
          <cell r="P703">
            <v>1240</v>
          </cell>
        </row>
        <row r="704">
          <cell r="A704">
            <v>21</v>
          </cell>
          <cell r="B704">
            <v>43.5</v>
          </cell>
          <cell r="C704">
            <v>46</v>
          </cell>
          <cell r="D704">
            <v>19</v>
          </cell>
          <cell r="F704">
            <v>23</v>
          </cell>
          <cell r="G704">
            <v>20</v>
          </cell>
          <cell r="H704">
            <v>21</v>
          </cell>
          <cell r="I704">
            <v>21</v>
          </cell>
          <cell r="K704">
            <v>21</v>
          </cell>
          <cell r="L704">
            <v>24</v>
          </cell>
          <cell r="M704">
            <v>20</v>
          </cell>
          <cell r="N704">
            <v>21</v>
          </cell>
          <cell r="P704">
            <v>1241</v>
          </cell>
        </row>
        <row r="705">
          <cell r="A705">
            <v>20</v>
          </cell>
          <cell r="B705">
            <v>36.5</v>
          </cell>
          <cell r="C705">
            <v>38</v>
          </cell>
          <cell r="D705">
            <v>19</v>
          </cell>
          <cell r="F705">
            <v>25</v>
          </cell>
          <cell r="G705">
            <v>21</v>
          </cell>
          <cell r="H705">
            <v>23</v>
          </cell>
          <cell r="I705">
            <v>21</v>
          </cell>
          <cell r="K705">
            <v>22</v>
          </cell>
          <cell r="L705">
            <v>22</v>
          </cell>
          <cell r="M705">
            <v>23</v>
          </cell>
          <cell r="N705">
            <v>22</v>
          </cell>
          <cell r="P705">
            <v>1251</v>
          </cell>
        </row>
        <row r="706">
          <cell r="A706">
            <v>20</v>
          </cell>
          <cell r="B706">
            <v>39.5</v>
          </cell>
          <cell r="C706">
            <v>36</v>
          </cell>
          <cell r="D706">
            <v>22</v>
          </cell>
          <cell r="F706">
            <v>24</v>
          </cell>
          <cell r="G706">
            <v>12</v>
          </cell>
          <cell r="H706">
            <v>21</v>
          </cell>
          <cell r="I706">
            <v>15</v>
          </cell>
          <cell r="K706">
            <v>21</v>
          </cell>
          <cell r="L706">
            <v>21</v>
          </cell>
          <cell r="M706">
            <v>16</v>
          </cell>
          <cell r="N706">
            <v>19</v>
          </cell>
          <cell r="P706">
            <v>1252</v>
          </cell>
        </row>
        <row r="707">
          <cell r="A707">
            <v>22</v>
          </cell>
          <cell r="B707">
            <v>42.5</v>
          </cell>
          <cell r="C707">
            <v>33</v>
          </cell>
          <cell r="D707">
            <v>23</v>
          </cell>
          <cell r="F707">
            <v>23</v>
          </cell>
          <cell r="G707">
            <v>23</v>
          </cell>
          <cell r="H707">
            <v>22</v>
          </cell>
          <cell r="I707">
            <v>21</v>
          </cell>
          <cell r="K707">
            <v>24</v>
          </cell>
          <cell r="L707">
            <v>23</v>
          </cell>
          <cell r="M707">
            <v>20</v>
          </cell>
          <cell r="N707">
            <v>21</v>
          </cell>
          <cell r="P707">
            <v>1258</v>
          </cell>
        </row>
        <row r="708">
          <cell r="A708">
            <v>20</v>
          </cell>
          <cell r="B708">
            <v>36.5</v>
          </cell>
          <cell r="C708">
            <v>43</v>
          </cell>
          <cell r="D708">
            <v>22</v>
          </cell>
          <cell r="F708">
            <v>22</v>
          </cell>
          <cell r="G708">
            <v>23</v>
          </cell>
          <cell r="H708">
            <v>20</v>
          </cell>
          <cell r="I708">
            <v>21</v>
          </cell>
          <cell r="K708">
            <v>19</v>
          </cell>
          <cell r="L708">
            <v>23</v>
          </cell>
          <cell r="M708">
            <v>19</v>
          </cell>
          <cell r="N708">
            <v>22</v>
          </cell>
          <cell r="P708">
            <v>1262</v>
          </cell>
        </row>
        <row r="709">
          <cell r="A709">
            <v>23</v>
          </cell>
          <cell r="B709">
            <v>49</v>
          </cell>
          <cell r="C709">
            <v>50</v>
          </cell>
          <cell r="D709">
            <v>24</v>
          </cell>
          <cell r="F709">
            <v>25</v>
          </cell>
          <cell r="G709">
            <v>23.5</v>
          </cell>
          <cell r="H709">
            <v>25</v>
          </cell>
          <cell r="I709">
            <v>22</v>
          </cell>
          <cell r="K709">
            <v>23</v>
          </cell>
          <cell r="L709">
            <v>24</v>
          </cell>
          <cell r="M709">
            <v>21</v>
          </cell>
          <cell r="N709">
            <v>24</v>
          </cell>
          <cell r="P709">
            <v>1263</v>
          </cell>
        </row>
        <row r="710">
          <cell r="A710">
            <v>22</v>
          </cell>
          <cell r="B710">
            <v>47</v>
          </cell>
          <cell r="C710">
            <v>50</v>
          </cell>
          <cell r="D710">
            <v>21</v>
          </cell>
          <cell r="F710">
            <v>24</v>
          </cell>
          <cell r="G710">
            <v>22</v>
          </cell>
          <cell r="H710">
            <v>25</v>
          </cell>
          <cell r="I710">
            <v>19</v>
          </cell>
          <cell r="K710">
            <v>22</v>
          </cell>
          <cell r="L710">
            <v>24</v>
          </cell>
          <cell r="M710">
            <v>23</v>
          </cell>
          <cell r="N710">
            <v>24</v>
          </cell>
          <cell r="P710">
            <v>1267</v>
          </cell>
        </row>
        <row r="711">
          <cell r="A711">
            <v>22</v>
          </cell>
          <cell r="B711">
            <v>10</v>
          </cell>
          <cell r="C711">
            <v>48</v>
          </cell>
          <cell r="D711">
            <v>19</v>
          </cell>
          <cell r="F711">
            <v>24</v>
          </cell>
          <cell r="G711">
            <v>24</v>
          </cell>
          <cell r="H711">
            <v>25</v>
          </cell>
          <cell r="I711">
            <v>19</v>
          </cell>
          <cell r="K711">
            <v>22</v>
          </cell>
          <cell r="L711">
            <v>22</v>
          </cell>
          <cell r="M711">
            <v>22</v>
          </cell>
          <cell r="N711">
            <v>25</v>
          </cell>
          <cell r="P711">
            <v>1269</v>
          </cell>
        </row>
        <row r="712">
          <cell r="A712">
            <v>0</v>
          </cell>
          <cell r="B712">
            <v>0</v>
          </cell>
          <cell r="C712">
            <v>32</v>
          </cell>
          <cell r="D712">
            <v>21</v>
          </cell>
          <cell r="F712" t="str">
            <v>غ</v>
          </cell>
          <cell r="G712" t="str">
            <v>غ</v>
          </cell>
          <cell r="H712">
            <v>21</v>
          </cell>
          <cell r="I712">
            <v>21</v>
          </cell>
          <cell r="K712" t="str">
            <v>غ</v>
          </cell>
          <cell r="L712" t="str">
            <v>غ</v>
          </cell>
          <cell r="M712">
            <v>22</v>
          </cell>
          <cell r="N712">
            <v>21</v>
          </cell>
          <cell r="P712">
            <v>1270</v>
          </cell>
        </row>
        <row r="713">
          <cell r="A713">
            <v>20</v>
          </cell>
          <cell r="B713">
            <v>45</v>
          </cell>
          <cell r="C713">
            <v>50</v>
          </cell>
          <cell r="D713">
            <v>23</v>
          </cell>
          <cell r="F713">
            <v>24</v>
          </cell>
          <cell r="G713">
            <v>23</v>
          </cell>
          <cell r="H713">
            <v>22</v>
          </cell>
          <cell r="I713">
            <v>18</v>
          </cell>
          <cell r="K713">
            <v>21</v>
          </cell>
          <cell r="L713">
            <v>25</v>
          </cell>
          <cell r="M713">
            <v>22</v>
          </cell>
          <cell r="N713">
            <v>20</v>
          </cell>
          <cell r="P713">
            <v>1272</v>
          </cell>
        </row>
        <row r="714">
          <cell r="A714">
            <v>23</v>
          </cell>
          <cell r="B714">
            <v>42.5</v>
          </cell>
          <cell r="C714">
            <v>48</v>
          </cell>
          <cell r="D714">
            <v>21</v>
          </cell>
          <cell r="F714">
            <v>24</v>
          </cell>
          <cell r="G714">
            <v>23</v>
          </cell>
          <cell r="H714">
            <v>22</v>
          </cell>
          <cell r="I714">
            <v>22</v>
          </cell>
          <cell r="K714">
            <v>21</v>
          </cell>
          <cell r="L714">
            <v>24.5</v>
          </cell>
          <cell r="M714">
            <v>22</v>
          </cell>
          <cell r="N714">
            <v>24</v>
          </cell>
          <cell r="P714">
            <v>1279</v>
          </cell>
        </row>
        <row r="715">
          <cell r="A715">
            <v>22</v>
          </cell>
          <cell r="B715">
            <v>46.5</v>
          </cell>
          <cell r="C715">
            <v>50</v>
          </cell>
          <cell r="D715">
            <v>21</v>
          </cell>
          <cell r="F715">
            <v>25</v>
          </cell>
          <cell r="G715">
            <v>24</v>
          </cell>
          <cell r="H715">
            <v>24</v>
          </cell>
          <cell r="I715">
            <v>23</v>
          </cell>
          <cell r="K715">
            <v>23</v>
          </cell>
          <cell r="L715">
            <v>24</v>
          </cell>
          <cell r="M715">
            <v>21</v>
          </cell>
          <cell r="N715">
            <v>23</v>
          </cell>
          <cell r="P715">
            <v>1280</v>
          </cell>
        </row>
        <row r="716">
          <cell r="A716">
            <v>25</v>
          </cell>
          <cell r="B716">
            <v>48.5</v>
          </cell>
          <cell r="C716">
            <v>49</v>
          </cell>
          <cell r="D716">
            <v>22</v>
          </cell>
          <cell r="F716">
            <v>25</v>
          </cell>
          <cell r="G716">
            <v>21</v>
          </cell>
          <cell r="H716">
            <v>22</v>
          </cell>
          <cell r="I716">
            <v>21</v>
          </cell>
          <cell r="K716">
            <v>20</v>
          </cell>
          <cell r="L716">
            <v>22</v>
          </cell>
          <cell r="M716">
            <v>23</v>
          </cell>
          <cell r="N716">
            <v>22</v>
          </cell>
          <cell r="P716">
            <v>1281</v>
          </cell>
        </row>
        <row r="717">
          <cell r="A717">
            <v>23</v>
          </cell>
          <cell r="B717">
            <v>46.5</v>
          </cell>
          <cell r="C717">
            <v>50</v>
          </cell>
          <cell r="D717">
            <v>22</v>
          </cell>
          <cell r="F717">
            <v>24</v>
          </cell>
          <cell r="G717">
            <v>22</v>
          </cell>
          <cell r="H717">
            <v>23</v>
          </cell>
          <cell r="I717">
            <v>21</v>
          </cell>
          <cell r="K717">
            <v>22</v>
          </cell>
          <cell r="L717">
            <v>24</v>
          </cell>
          <cell r="M717">
            <v>20</v>
          </cell>
          <cell r="N717">
            <v>25</v>
          </cell>
          <cell r="P717">
            <v>1282</v>
          </cell>
        </row>
        <row r="718">
          <cell r="A718">
            <v>24</v>
          </cell>
          <cell r="B718">
            <v>49.5</v>
          </cell>
          <cell r="C718">
            <v>50</v>
          </cell>
          <cell r="D718">
            <v>25</v>
          </cell>
          <cell r="F718">
            <v>25</v>
          </cell>
          <cell r="G718">
            <v>21</v>
          </cell>
          <cell r="H718">
            <v>25</v>
          </cell>
          <cell r="I718">
            <v>23</v>
          </cell>
          <cell r="K718">
            <v>24</v>
          </cell>
          <cell r="L718">
            <v>24</v>
          </cell>
          <cell r="M718">
            <v>23</v>
          </cell>
          <cell r="N718">
            <v>22</v>
          </cell>
          <cell r="P718">
            <v>1283</v>
          </cell>
        </row>
        <row r="719">
          <cell r="A719">
            <v>24</v>
          </cell>
          <cell r="B719">
            <v>45</v>
          </cell>
          <cell r="C719">
            <v>50</v>
          </cell>
          <cell r="D719">
            <v>25</v>
          </cell>
          <cell r="F719">
            <v>24</v>
          </cell>
          <cell r="G719">
            <v>23</v>
          </cell>
          <cell r="H719">
            <v>23</v>
          </cell>
          <cell r="I719">
            <v>22</v>
          </cell>
          <cell r="K719">
            <v>22</v>
          </cell>
          <cell r="L719">
            <v>23</v>
          </cell>
          <cell r="M719">
            <v>18</v>
          </cell>
          <cell r="N719">
            <v>17</v>
          </cell>
          <cell r="P719">
            <v>1285</v>
          </cell>
        </row>
        <row r="720">
          <cell r="A720">
            <v>21</v>
          </cell>
          <cell r="B720">
            <v>31.5</v>
          </cell>
          <cell r="C720">
            <v>20</v>
          </cell>
          <cell r="D720">
            <v>22</v>
          </cell>
          <cell r="F720">
            <v>22</v>
          </cell>
          <cell r="G720">
            <v>23</v>
          </cell>
          <cell r="H720">
            <v>23</v>
          </cell>
          <cell r="I720">
            <v>19</v>
          </cell>
          <cell r="K720">
            <v>24</v>
          </cell>
          <cell r="L720">
            <v>19</v>
          </cell>
          <cell r="M720">
            <v>17</v>
          </cell>
          <cell r="N720">
            <v>17</v>
          </cell>
          <cell r="P720">
            <v>1286</v>
          </cell>
        </row>
        <row r="721">
          <cell r="A721">
            <v>22</v>
          </cell>
          <cell r="B721">
            <v>40</v>
          </cell>
          <cell r="C721">
            <v>41</v>
          </cell>
          <cell r="D721">
            <v>20</v>
          </cell>
          <cell r="F721">
            <v>23</v>
          </cell>
          <cell r="G721">
            <v>24</v>
          </cell>
          <cell r="H721">
            <v>23</v>
          </cell>
          <cell r="I721">
            <v>6</v>
          </cell>
          <cell r="K721">
            <v>22</v>
          </cell>
          <cell r="L721">
            <v>21</v>
          </cell>
          <cell r="M721">
            <v>21</v>
          </cell>
          <cell r="N721">
            <v>19</v>
          </cell>
          <cell r="P721">
            <v>1288</v>
          </cell>
        </row>
        <row r="722">
          <cell r="A722">
            <v>24</v>
          </cell>
          <cell r="B722">
            <v>47.5</v>
          </cell>
          <cell r="C722">
            <v>50</v>
          </cell>
          <cell r="D722">
            <v>23</v>
          </cell>
          <cell r="F722">
            <v>24</v>
          </cell>
          <cell r="G722">
            <v>20</v>
          </cell>
          <cell r="H722">
            <v>24</v>
          </cell>
          <cell r="I722">
            <v>21</v>
          </cell>
          <cell r="K722">
            <v>20</v>
          </cell>
          <cell r="L722">
            <v>22</v>
          </cell>
          <cell r="M722">
            <v>22</v>
          </cell>
          <cell r="N722">
            <v>24</v>
          </cell>
          <cell r="P722">
            <v>1290</v>
          </cell>
        </row>
        <row r="723">
          <cell r="A723">
            <v>20</v>
          </cell>
          <cell r="B723">
            <v>44.5</v>
          </cell>
          <cell r="C723">
            <v>48</v>
          </cell>
          <cell r="D723">
            <v>21</v>
          </cell>
          <cell r="F723">
            <v>24</v>
          </cell>
          <cell r="G723">
            <v>22</v>
          </cell>
          <cell r="H723">
            <v>23</v>
          </cell>
          <cell r="I723">
            <v>19</v>
          </cell>
          <cell r="K723">
            <v>21</v>
          </cell>
          <cell r="L723">
            <v>24</v>
          </cell>
          <cell r="M723">
            <v>22</v>
          </cell>
          <cell r="N723">
            <v>24</v>
          </cell>
          <cell r="P723">
            <v>1291</v>
          </cell>
        </row>
        <row r="724">
          <cell r="A724">
            <v>23</v>
          </cell>
          <cell r="B724">
            <v>44.5</v>
          </cell>
          <cell r="C724">
            <v>49</v>
          </cell>
          <cell r="D724">
            <v>22</v>
          </cell>
          <cell r="F724">
            <v>25</v>
          </cell>
          <cell r="G724">
            <v>24</v>
          </cell>
          <cell r="H724">
            <v>22</v>
          </cell>
          <cell r="I724">
            <v>21</v>
          </cell>
          <cell r="K724">
            <v>24</v>
          </cell>
          <cell r="L724">
            <v>23</v>
          </cell>
          <cell r="M724">
            <v>22</v>
          </cell>
          <cell r="N724">
            <v>22</v>
          </cell>
          <cell r="P724">
            <v>1292</v>
          </cell>
        </row>
        <row r="725">
          <cell r="A725">
            <v>24</v>
          </cell>
          <cell r="B725">
            <v>47</v>
          </cell>
          <cell r="C725">
            <v>50</v>
          </cell>
          <cell r="D725">
            <v>22</v>
          </cell>
          <cell r="F725">
            <v>23</v>
          </cell>
          <cell r="G725">
            <v>23</v>
          </cell>
          <cell r="H725">
            <v>24</v>
          </cell>
          <cell r="I725">
            <v>20</v>
          </cell>
          <cell r="K725">
            <v>24</v>
          </cell>
          <cell r="L725">
            <v>23.5</v>
          </cell>
          <cell r="M725">
            <v>23</v>
          </cell>
          <cell r="N725">
            <v>24</v>
          </cell>
          <cell r="P725">
            <v>1293</v>
          </cell>
        </row>
        <row r="726">
          <cell r="A726">
            <v>24</v>
          </cell>
          <cell r="B726">
            <v>48</v>
          </cell>
          <cell r="C726">
            <v>50</v>
          </cell>
          <cell r="D726">
            <v>21</v>
          </cell>
          <cell r="F726">
            <v>24</v>
          </cell>
          <cell r="G726">
            <v>21</v>
          </cell>
          <cell r="H726">
            <v>23</v>
          </cell>
          <cell r="I726">
            <v>21</v>
          </cell>
          <cell r="K726">
            <v>23</v>
          </cell>
          <cell r="L726">
            <v>24</v>
          </cell>
          <cell r="M726">
            <v>22</v>
          </cell>
          <cell r="N726">
            <v>22</v>
          </cell>
          <cell r="P726">
            <v>1295</v>
          </cell>
        </row>
        <row r="727">
          <cell r="A727">
            <v>24</v>
          </cell>
          <cell r="B727">
            <v>47</v>
          </cell>
          <cell r="C727">
            <v>50</v>
          </cell>
          <cell r="D727">
            <v>21</v>
          </cell>
          <cell r="F727">
            <v>24</v>
          </cell>
          <cell r="G727">
            <v>24</v>
          </cell>
          <cell r="H727">
            <v>23</v>
          </cell>
          <cell r="I727">
            <v>22</v>
          </cell>
          <cell r="K727">
            <v>23</v>
          </cell>
          <cell r="L727">
            <v>22</v>
          </cell>
          <cell r="M727">
            <v>24</v>
          </cell>
          <cell r="N727">
            <v>24</v>
          </cell>
          <cell r="P727">
            <v>1299</v>
          </cell>
        </row>
        <row r="728">
          <cell r="A728">
            <v>21</v>
          </cell>
          <cell r="B728">
            <v>46</v>
          </cell>
          <cell r="C728">
            <v>49</v>
          </cell>
          <cell r="D728">
            <v>24</v>
          </cell>
          <cell r="F728">
            <v>24</v>
          </cell>
          <cell r="G728">
            <v>23</v>
          </cell>
          <cell r="H728">
            <v>23</v>
          </cell>
          <cell r="I728">
            <v>20</v>
          </cell>
          <cell r="K728">
            <v>21</v>
          </cell>
          <cell r="L728">
            <v>24</v>
          </cell>
          <cell r="M728">
            <v>23</v>
          </cell>
          <cell r="N728">
            <v>25</v>
          </cell>
          <cell r="P728">
            <v>1300</v>
          </cell>
        </row>
        <row r="729">
          <cell r="A729">
            <v>24</v>
          </cell>
          <cell r="B729">
            <v>39.5</v>
          </cell>
          <cell r="C729">
            <v>48</v>
          </cell>
          <cell r="D729">
            <v>23</v>
          </cell>
          <cell r="F729">
            <v>24</v>
          </cell>
          <cell r="G729">
            <v>24</v>
          </cell>
          <cell r="H729">
            <v>22</v>
          </cell>
          <cell r="I729">
            <v>24</v>
          </cell>
          <cell r="K729">
            <v>23</v>
          </cell>
          <cell r="L729">
            <v>25</v>
          </cell>
          <cell r="M729">
            <v>22</v>
          </cell>
          <cell r="N729">
            <v>23</v>
          </cell>
          <cell r="P729">
            <v>1301</v>
          </cell>
        </row>
        <row r="730">
          <cell r="A730">
            <v>24</v>
          </cell>
          <cell r="B730">
            <v>48</v>
          </cell>
          <cell r="C730">
            <v>50</v>
          </cell>
          <cell r="D730">
            <v>21</v>
          </cell>
          <cell r="F730">
            <v>25</v>
          </cell>
          <cell r="G730">
            <v>22</v>
          </cell>
          <cell r="H730">
            <v>24</v>
          </cell>
          <cell r="I730">
            <v>24</v>
          </cell>
          <cell r="K730">
            <v>22</v>
          </cell>
          <cell r="L730">
            <v>24</v>
          </cell>
          <cell r="M730">
            <v>22</v>
          </cell>
          <cell r="N730">
            <v>21</v>
          </cell>
          <cell r="P730">
            <v>1302</v>
          </cell>
        </row>
        <row r="731">
          <cell r="A731">
            <v>23</v>
          </cell>
          <cell r="B731">
            <v>47.5</v>
          </cell>
          <cell r="C731">
            <v>50</v>
          </cell>
          <cell r="D731">
            <v>22</v>
          </cell>
          <cell r="F731">
            <v>25</v>
          </cell>
          <cell r="G731">
            <v>23</v>
          </cell>
          <cell r="H731">
            <v>22</v>
          </cell>
          <cell r="I731">
            <v>21</v>
          </cell>
          <cell r="K731">
            <v>24</v>
          </cell>
          <cell r="L731">
            <v>24</v>
          </cell>
          <cell r="M731">
            <v>23</v>
          </cell>
          <cell r="N731">
            <v>25</v>
          </cell>
          <cell r="P731">
            <v>1303</v>
          </cell>
        </row>
        <row r="732">
          <cell r="A732">
            <v>24</v>
          </cell>
          <cell r="B732">
            <v>47.5</v>
          </cell>
          <cell r="C732">
            <v>50</v>
          </cell>
          <cell r="D732">
            <v>23</v>
          </cell>
          <cell r="F732">
            <v>25</v>
          </cell>
          <cell r="G732">
            <v>23</v>
          </cell>
          <cell r="H732">
            <v>23</v>
          </cell>
          <cell r="I732">
            <v>22</v>
          </cell>
          <cell r="K732">
            <v>24</v>
          </cell>
          <cell r="L732">
            <v>24.5</v>
          </cell>
          <cell r="M732">
            <v>23</v>
          </cell>
          <cell r="N732">
            <v>22</v>
          </cell>
          <cell r="P732">
            <v>1304</v>
          </cell>
        </row>
        <row r="733">
          <cell r="A733">
            <v>23</v>
          </cell>
          <cell r="B733">
            <v>43</v>
          </cell>
          <cell r="C733">
            <v>49</v>
          </cell>
          <cell r="D733">
            <v>22</v>
          </cell>
          <cell r="F733">
            <v>24</v>
          </cell>
          <cell r="G733">
            <v>22</v>
          </cell>
          <cell r="H733">
            <v>23</v>
          </cell>
          <cell r="I733">
            <v>23</v>
          </cell>
          <cell r="K733">
            <v>25</v>
          </cell>
          <cell r="L733">
            <v>24</v>
          </cell>
          <cell r="M733">
            <v>22</v>
          </cell>
          <cell r="N733">
            <v>24</v>
          </cell>
          <cell r="P733">
            <v>1312</v>
          </cell>
        </row>
        <row r="734">
          <cell r="A734">
            <v>25</v>
          </cell>
          <cell r="B734">
            <v>49.5</v>
          </cell>
          <cell r="C734">
            <v>49</v>
          </cell>
          <cell r="D734">
            <v>21</v>
          </cell>
          <cell r="F734">
            <v>25</v>
          </cell>
          <cell r="G734">
            <v>22</v>
          </cell>
          <cell r="H734">
            <v>25</v>
          </cell>
          <cell r="I734">
            <v>23</v>
          </cell>
          <cell r="K734">
            <v>20</v>
          </cell>
          <cell r="L734">
            <v>23</v>
          </cell>
          <cell r="M734">
            <v>23</v>
          </cell>
          <cell r="N734">
            <v>22</v>
          </cell>
          <cell r="P734">
            <v>1313</v>
          </cell>
        </row>
        <row r="735">
          <cell r="A735">
            <v>25</v>
          </cell>
          <cell r="B735">
            <v>49</v>
          </cell>
          <cell r="C735">
            <v>50</v>
          </cell>
          <cell r="D735">
            <v>23</v>
          </cell>
          <cell r="F735">
            <v>24</v>
          </cell>
          <cell r="G735">
            <v>25</v>
          </cell>
          <cell r="H735">
            <v>22</v>
          </cell>
          <cell r="I735">
            <v>22</v>
          </cell>
          <cell r="K735">
            <v>23</v>
          </cell>
          <cell r="L735">
            <v>25</v>
          </cell>
          <cell r="M735">
            <v>22</v>
          </cell>
          <cell r="N735">
            <v>24</v>
          </cell>
          <cell r="P735">
            <v>1315</v>
          </cell>
        </row>
        <row r="736">
          <cell r="A736">
            <v>24</v>
          </cell>
          <cell r="B736">
            <v>46</v>
          </cell>
          <cell r="C736">
            <v>50</v>
          </cell>
          <cell r="D736">
            <v>23</v>
          </cell>
          <cell r="F736">
            <v>25</v>
          </cell>
          <cell r="G736">
            <v>23</v>
          </cell>
          <cell r="H736">
            <v>25</v>
          </cell>
          <cell r="I736">
            <v>22</v>
          </cell>
          <cell r="K736">
            <v>24</v>
          </cell>
          <cell r="L736">
            <v>25</v>
          </cell>
          <cell r="M736">
            <v>22</v>
          </cell>
          <cell r="N736">
            <v>24</v>
          </cell>
          <cell r="P736">
            <v>1317</v>
          </cell>
        </row>
        <row r="737">
          <cell r="A737">
            <v>23</v>
          </cell>
          <cell r="B737">
            <v>46</v>
          </cell>
          <cell r="C737">
            <v>48</v>
          </cell>
          <cell r="D737">
            <v>21</v>
          </cell>
          <cell r="F737">
            <v>24</v>
          </cell>
          <cell r="G737">
            <v>24</v>
          </cell>
          <cell r="H737">
            <v>21</v>
          </cell>
          <cell r="I737">
            <v>24</v>
          </cell>
          <cell r="K737">
            <v>22</v>
          </cell>
          <cell r="L737">
            <v>23</v>
          </cell>
          <cell r="M737">
            <v>18</v>
          </cell>
          <cell r="N737">
            <v>25</v>
          </cell>
          <cell r="P737">
            <v>1322</v>
          </cell>
        </row>
        <row r="738">
          <cell r="A738">
            <v>19</v>
          </cell>
          <cell r="B738">
            <v>43</v>
          </cell>
          <cell r="C738">
            <v>44</v>
          </cell>
          <cell r="D738">
            <v>20</v>
          </cell>
          <cell r="F738">
            <v>24</v>
          </cell>
          <cell r="G738">
            <v>22</v>
          </cell>
          <cell r="H738">
            <v>22</v>
          </cell>
          <cell r="I738">
            <v>22</v>
          </cell>
          <cell r="K738">
            <v>21</v>
          </cell>
          <cell r="L738">
            <v>22</v>
          </cell>
          <cell r="M738">
            <v>15</v>
          </cell>
          <cell r="N738">
            <v>24</v>
          </cell>
          <cell r="P738">
            <v>1323</v>
          </cell>
        </row>
        <row r="739">
          <cell r="A739">
            <v>23</v>
          </cell>
          <cell r="B739">
            <v>49</v>
          </cell>
          <cell r="C739">
            <v>49</v>
          </cell>
          <cell r="D739">
            <v>22</v>
          </cell>
          <cell r="F739">
            <v>25</v>
          </cell>
          <cell r="G739">
            <v>22</v>
          </cell>
          <cell r="H739">
            <v>24</v>
          </cell>
          <cell r="I739">
            <v>22</v>
          </cell>
          <cell r="K739">
            <v>23</v>
          </cell>
          <cell r="L739">
            <v>23.5</v>
          </cell>
          <cell r="M739">
            <v>23</v>
          </cell>
          <cell r="N739">
            <v>22</v>
          </cell>
          <cell r="P739">
            <v>1326</v>
          </cell>
        </row>
        <row r="740">
          <cell r="A740">
            <v>23</v>
          </cell>
          <cell r="B740">
            <v>40.5</v>
          </cell>
          <cell r="C740">
            <v>45</v>
          </cell>
          <cell r="D740">
            <v>19</v>
          </cell>
          <cell r="F740">
            <v>25</v>
          </cell>
          <cell r="G740">
            <v>23</v>
          </cell>
          <cell r="H740">
            <v>19</v>
          </cell>
          <cell r="I740">
            <v>13</v>
          </cell>
          <cell r="K740">
            <v>23</v>
          </cell>
          <cell r="L740">
            <v>21.5</v>
          </cell>
          <cell r="M740">
            <v>22</v>
          </cell>
          <cell r="N740">
            <v>18</v>
          </cell>
          <cell r="P740">
            <v>1327</v>
          </cell>
        </row>
        <row r="741">
          <cell r="A741">
            <v>23</v>
          </cell>
          <cell r="B741">
            <v>45.5</v>
          </cell>
          <cell r="C741">
            <v>50</v>
          </cell>
          <cell r="D741">
            <v>23</v>
          </cell>
          <cell r="F741">
            <v>25</v>
          </cell>
          <cell r="G741">
            <v>24</v>
          </cell>
          <cell r="H741">
            <v>25</v>
          </cell>
          <cell r="I741">
            <v>19</v>
          </cell>
          <cell r="K741">
            <v>24</v>
          </cell>
          <cell r="L741">
            <v>25</v>
          </cell>
          <cell r="M741">
            <v>22</v>
          </cell>
          <cell r="N741">
            <v>23</v>
          </cell>
          <cell r="P741">
            <v>1328</v>
          </cell>
        </row>
        <row r="742">
          <cell r="A742">
            <v>25</v>
          </cell>
          <cell r="B742">
            <v>45.5</v>
          </cell>
          <cell r="C742">
            <v>48</v>
          </cell>
          <cell r="D742">
            <v>22</v>
          </cell>
          <cell r="F742">
            <v>25</v>
          </cell>
          <cell r="G742">
            <v>23</v>
          </cell>
          <cell r="H742">
            <v>23</v>
          </cell>
          <cell r="I742">
            <v>20</v>
          </cell>
          <cell r="K742">
            <v>24</v>
          </cell>
          <cell r="L742">
            <v>25</v>
          </cell>
          <cell r="M742">
            <v>23</v>
          </cell>
          <cell r="N742">
            <v>24</v>
          </cell>
          <cell r="P742">
            <v>1330</v>
          </cell>
        </row>
        <row r="743">
          <cell r="A743">
            <v>23</v>
          </cell>
          <cell r="B743">
            <v>41</v>
          </cell>
          <cell r="C743">
            <v>41</v>
          </cell>
          <cell r="D743">
            <v>13</v>
          </cell>
          <cell r="F743">
            <v>25</v>
          </cell>
          <cell r="G743">
            <v>21</v>
          </cell>
          <cell r="H743">
            <v>21</v>
          </cell>
          <cell r="I743">
            <v>13</v>
          </cell>
          <cell r="K743">
            <v>21</v>
          </cell>
          <cell r="L743">
            <v>22.5</v>
          </cell>
          <cell r="M743">
            <v>14</v>
          </cell>
          <cell r="N743">
            <v>16</v>
          </cell>
          <cell r="P743">
            <v>1331</v>
          </cell>
        </row>
        <row r="744">
          <cell r="A744">
            <v>24</v>
          </cell>
          <cell r="B744">
            <v>46</v>
          </cell>
          <cell r="C744">
            <v>48</v>
          </cell>
          <cell r="D744">
            <v>22</v>
          </cell>
          <cell r="F744">
            <v>21</v>
          </cell>
          <cell r="G744">
            <v>21</v>
          </cell>
          <cell r="H744">
            <v>25</v>
          </cell>
          <cell r="I744">
            <v>21</v>
          </cell>
          <cell r="K744">
            <v>22</v>
          </cell>
          <cell r="L744">
            <v>25</v>
          </cell>
          <cell r="M744">
            <v>22</v>
          </cell>
          <cell r="N744">
            <v>21</v>
          </cell>
          <cell r="P744">
            <v>1332</v>
          </cell>
        </row>
        <row r="745">
          <cell r="A745">
            <v>25</v>
          </cell>
          <cell r="B745">
            <v>49</v>
          </cell>
          <cell r="C745">
            <v>49</v>
          </cell>
          <cell r="D745">
            <v>22</v>
          </cell>
          <cell r="F745">
            <v>25</v>
          </cell>
          <cell r="G745">
            <v>22</v>
          </cell>
          <cell r="H745">
            <v>24</v>
          </cell>
          <cell r="I745">
            <v>21</v>
          </cell>
          <cell r="K745">
            <v>25</v>
          </cell>
          <cell r="L745">
            <v>25</v>
          </cell>
          <cell r="M745">
            <v>23</v>
          </cell>
          <cell r="N745">
            <v>23</v>
          </cell>
          <cell r="P745">
            <v>1336</v>
          </cell>
        </row>
        <row r="746">
          <cell r="A746">
            <v>20</v>
          </cell>
          <cell r="B746">
            <v>40</v>
          </cell>
          <cell r="C746">
            <v>50</v>
          </cell>
          <cell r="D746">
            <v>22</v>
          </cell>
          <cell r="F746">
            <v>21</v>
          </cell>
          <cell r="G746">
            <v>19.5</v>
          </cell>
          <cell r="H746">
            <v>20</v>
          </cell>
          <cell r="I746">
            <v>20</v>
          </cell>
          <cell r="K746">
            <v>16</v>
          </cell>
          <cell r="L746">
            <v>21</v>
          </cell>
          <cell r="M746">
            <v>16</v>
          </cell>
          <cell r="N746">
            <v>18</v>
          </cell>
          <cell r="P746">
            <v>1337</v>
          </cell>
        </row>
        <row r="747">
          <cell r="A747">
            <v>25</v>
          </cell>
          <cell r="B747">
            <v>47</v>
          </cell>
          <cell r="C747">
            <v>49</v>
          </cell>
          <cell r="D747">
            <v>22</v>
          </cell>
          <cell r="F747">
            <v>25</v>
          </cell>
          <cell r="G747">
            <v>24</v>
          </cell>
          <cell r="H747">
            <v>23</v>
          </cell>
          <cell r="I747">
            <v>22</v>
          </cell>
          <cell r="K747">
            <v>24</v>
          </cell>
          <cell r="L747">
            <v>23</v>
          </cell>
          <cell r="M747">
            <v>22</v>
          </cell>
          <cell r="N747">
            <v>23</v>
          </cell>
          <cell r="P747">
            <v>1339</v>
          </cell>
        </row>
        <row r="748">
          <cell r="A748">
            <v>23</v>
          </cell>
          <cell r="B748">
            <v>41</v>
          </cell>
          <cell r="C748">
            <v>43</v>
          </cell>
          <cell r="D748">
            <v>18</v>
          </cell>
          <cell r="F748">
            <v>24</v>
          </cell>
          <cell r="G748">
            <v>21</v>
          </cell>
          <cell r="H748">
            <v>18</v>
          </cell>
          <cell r="I748">
            <v>17</v>
          </cell>
          <cell r="K748">
            <v>19</v>
          </cell>
          <cell r="L748">
            <v>21.5</v>
          </cell>
          <cell r="M748">
            <v>15</v>
          </cell>
          <cell r="N748">
            <v>13</v>
          </cell>
          <cell r="P748">
            <v>1340</v>
          </cell>
        </row>
        <row r="749">
          <cell r="A749">
            <v>23</v>
          </cell>
          <cell r="B749">
            <v>44.5</v>
          </cell>
          <cell r="C749">
            <v>50</v>
          </cell>
          <cell r="D749">
            <v>22</v>
          </cell>
          <cell r="F749">
            <v>21</v>
          </cell>
          <cell r="G749">
            <v>21</v>
          </cell>
          <cell r="H749">
            <v>22</v>
          </cell>
          <cell r="I749">
            <v>14</v>
          </cell>
          <cell r="K749">
            <v>19</v>
          </cell>
          <cell r="L749">
            <v>24</v>
          </cell>
          <cell r="M749">
            <v>19</v>
          </cell>
          <cell r="N749">
            <v>17</v>
          </cell>
          <cell r="P749">
            <v>1341</v>
          </cell>
        </row>
        <row r="750">
          <cell r="A750">
            <v>24</v>
          </cell>
          <cell r="B750">
            <v>44.5</v>
          </cell>
          <cell r="C750">
            <v>48</v>
          </cell>
          <cell r="D750">
            <v>22</v>
          </cell>
          <cell r="F750">
            <v>23</v>
          </cell>
          <cell r="G750">
            <v>21</v>
          </cell>
          <cell r="H750">
            <v>25</v>
          </cell>
          <cell r="I750">
            <v>20</v>
          </cell>
          <cell r="K750">
            <v>20</v>
          </cell>
          <cell r="L750">
            <v>24</v>
          </cell>
          <cell r="M750">
            <v>19</v>
          </cell>
          <cell r="N750">
            <v>22</v>
          </cell>
          <cell r="P750">
            <v>1342</v>
          </cell>
        </row>
        <row r="751">
          <cell r="A751">
            <v>23</v>
          </cell>
          <cell r="B751">
            <v>44</v>
          </cell>
          <cell r="C751">
            <v>48</v>
          </cell>
          <cell r="D751">
            <v>23</v>
          </cell>
          <cell r="F751">
            <v>25</v>
          </cell>
          <cell r="G751">
            <v>23</v>
          </cell>
          <cell r="H751">
            <v>23</v>
          </cell>
          <cell r="I751">
            <v>21</v>
          </cell>
          <cell r="K751">
            <v>22</v>
          </cell>
          <cell r="L751">
            <v>24</v>
          </cell>
          <cell r="M751">
            <v>23</v>
          </cell>
          <cell r="N751">
            <v>24</v>
          </cell>
          <cell r="P751">
            <v>1345</v>
          </cell>
        </row>
        <row r="752">
          <cell r="A752">
            <v>24</v>
          </cell>
          <cell r="B752">
            <v>45</v>
          </cell>
          <cell r="C752">
            <v>47</v>
          </cell>
          <cell r="D752">
            <v>17</v>
          </cell>
          <cell r="F752">
            <v>25</v>
          </cell>
          <cell r="G752">
            <v>22</v>
          </cell>
          <cell r="H752">
            <v>24</v>
          </cell>
          <cell r="I752">
            <v>19</v>
          </cell>
          <cell r="K752">
            <v>21</v>
          </cell>
          <cell r="L752">
            <v>23</v>
          </cell>
          <cell r="M752">
            <v>20</v>
          </cell>
          <cell r="N752">
            <v>25</v>
          </cell>
          <cell r="P752">
            <v>1346</v>
          </cell>
        </row>
        <row r="753">
          <cell r="A753">
            <v>24</v>
          </cell>
          <cell r="B753">
            <v>48</v>
          </cell>
          <cell r="C753">
            <v>50</v>
          </cell>
          <cell r="D753">
            <v>23</v>
          </cell>
          <cell r="F753">
            <v>25</v>
          </cell>
          <cell r="G753">
            <v>24</v>
          </cell>
          <cell r="H753">
            <v>25</v>
          </cell>
          <cell r="I753">
            <v>21</v>
          </cell>
          <cell r="K753">
            <v>20</v>
          </cell>
          <cell r="L753">
            <v>22</v>
          </cell>
          <cell r="M753">
            <v>21</v>
          </cell>
          <cell r="N753">
            <v>25</v>
          </cell>
          <cell r="P753">
            <v>1347</v>
          </cell>
        </row>
        <row r="754">
          <cell r="A754">
            <v>22</v>
          </cell>
          <cell r="B754">
            <v>49.5</v>
          </cell>
          <cell r="C754">
            <v>49</v>
          </cell>
          <cell r="D754">
            <v>16</v>
          </cell>
          <cell r="F754">
            <v>25</v>
          </cell>
          <cell r="G754">
            <v>23</v>
          </cell>
          <cell r="H754">
            <v>24</v>
          </cell>
          <cell r="I754">
            <v>20</v>
          </cell>
          <cell r="K754">
            <v>23</v>
          </cell>
          <cell r="L754">
            <v>25</v>
          </cell>
          <cell r="M754">
            <v>20</v>
          </cell>
          <cell r="N754">
            <v>17</v>
          </cell>
          <cell r="P754">
            <v>1349</v>
          </cell>
        </row>
        <row r="755">
          <cell r="A755">
            <v>23</v>
          </cell>
          <cell r="B755">
            <v>44.5</v>
          </cell>
          <cell r="C755">
            <v>44</v>
          </cell>
          <cell r="D755">
            <v>22</v>
          </cell>
          <cell r="F755">
            <v>24</v>
          </cell>
          <cell r="G755">
            <v>22</v>
          </cell>
          <cell r="H755">
            <v>23</v>
          </cell>
          <cell r="I755">
            <v>21</v>
          </cell>
          <cell r="K755">
            <v>23</v>
          </cell>
          <cell r="L755">
            <v>22.5</v>
          </cell>
          <cell r="M755">
            <v>20</v>
          </cell>
          <cell r="N755">
            <v>23</v>
          </cell>
          <cell r="P755">
            <v>1351</v>
          </cell>
        </row>
        <row r="756">
          <cell r="A756">
            <v>20</v>
          </cell>
          <cell r="B756">
            <v>27.5</v>
          </cell>
          <cell r="C756">
            <v>49</v>
          </cell>
          <cell r="D756">
            <v>13</v>
          </cell>
          <cell r="F756">
            <v>25</v>
          </cell>
          <cell r="G756">
            <v>16</v>
          </cell>
          <cell r="H756">
            <v>9</v>
          </cell>
          <cell r="I756">
            <v>10</v>
          </cell>
          <cell r="K756">
            <v>13</v>
          </cell>
          <cell r="L756">
            <v>16.5</v>
          </cell>
          <cell r="M756">
            <v>9</v>
          </cell>
          <cell r="N756">
            <v>4</v>
          </cell>
          <cell r="P756">
            <v>1353</v>
          </cell>
        </row>
        <row r="757">
          <cell r="A757">
            <v>18</v>
          </cell>
          <cell r="B757">
            <v>39.5</v>
          </cell>
          <cell r="C757">
            <v>48</v>
          </cell>
          <cell r="D757">
            <v>21</v>
          </cell>
          <cell r="F757">
            <v>21</v>
          </cell>
          <cell r="G757">
            <v>23</v>
          </cell>
          <cell r="H757">
            <v>22</v>
          </cell>
          <cell r="I757">
            <v>21</v>
          </cell>
          <cell r="K757">
            <v>18</v>
          </cell>
          <cell r="L757">
            <v>22</v>
          </cell>
          <cell r="M757">
            <v>19</v>
          </cell>
          <cell r="N757">
            <v>25</v>
          </cell>
          <cell r="P757">
            <v>1354</v>
          </cell>
        </row>
        <row r="758">
          <cell r="A758">
            <v>25</v>
          </cell>
          <cell r="B758">
            <v>41.5</v>
          </cell>
          <cell r="C758">
            <v>39</v>
          </cell>
          <cell r="D758">
            <v>20</v>
          </cell>
          <cell r="F758">
            <v>22</v>
          </cell>
          <cell r="G758">
            <v>22</v>
          </cell>
          <cell r="H758">
            <v>23</v>
          </cell>
          <cell r="I758">
            <v>19</v>
          </cell>
          <cell r="K758">
            <v>19</v>
          </cell>
          <cell r="L758">
            <v>24</v>
          </cell>
          <cell r="M758">
            <v>20</v>
          </cell>
          <cell r="N758">
            <v>21</v>
          </cell>
          <cell r="P758">
            <v>1356</v>
          </cell>
        </row>
        <row r="759">
          <cell r="A759">
            <v>23.5</v>
          </cell>
          <cell r="B759">
            <v>47.5</v>
          </cell>
          <cell r="C759">
            <v>48</v>
          </cell>
          <cell r="D759">
            <v>22</v>
          </cell>
          <cell r="F759">
            <v>24</v>
          </cell>
          <cell r="G759">
            <v>23</v>
          </cell>
          <cell r="H759">
            <v>24</v>
          </cell>
          <cell r="I759">
            <v>21</v>
          </cell>
          <cell r="K759">
            <v>23</v>
          </cell>
          <cell r="L759">
            <v>24</v>
          </cell>
          <cell r="M759">
            <v>22</v>
          </cell>
          <cell r="N759">
            <v>25</v>
          </cell>
          <cell r="P759">
            <v>1358</v>
          </cell>
        </row>
        <row r="760">
          <cell r="A760">
            <v>21</v>
          </cell>
          <cell r="B760">
            <v>46</v>
          </cell>
          <cell r="C760">
            <v>49</v>
          </cell>
          <cell r="D760">
            <v>23</v>
          </cell>
          <cell r="F760">
            <v>23.5</v>
          </cell>
          <cell r="G760">
            <v>24</v>
          </cell>
          <cell r="H760">
            <v>23</v>
          </cell>
          <cell r="I760">
            <v>22</v>
          </cell>
          <cell r="K760">
            <v>21</v>
          </cell>
          <cell r="L760">
            <v>24</v>
          </cell>
          <cell r="M760">
            <v>23</v>
          </cell>
          <cell r="N760">
            <v>24</v>
          </cell>
          <cell r="P760">
            <v>1359</v>
          </cell>
        </row>
        <row r="761">
          <cell r="A761">
            <v>22</v>
          </cell>
          <cell r="B761">
            <v>36</v>
          </cell>
          <cell r="C761">
            <v>24</v>
          </cell>
          <cell r="D761">
            <v>18</v>
          </cell>
          <cell r="F761">
            <v>22.5</v>
          </cell>
          <cell r="G761">
            <v>18</v>
          </cell>
          <cell r="H761">
            <v>13</v>
          </cell>
          <cell r="I761">
            <v>14</v>
          </cell>
          <cell r="K761">
            <v>18</v>
          </cell>
          <cell r="L761">
            <v>19</v>
          </cell>
          <cell r="M761">
            <v>15</v>
          </cell>
          <cell r="N761">
            <v>13</v>
          </cell>
          <cell r="P761">
            <v>1360</v>
          </cell>
        </row>
        <row r="762">
          <cell r="A762">
            <v>20</v>
          </cell>
          <cell r="B762">
            <v>46</v>
          </cell>
          <cell r="C762">
            <v>44</v>
          </cell>
          <cell r="D762">
            <v>20</v>
          </cell>
          <cell r="F762">
            <v>24</v>
          </cell>
          <cell r="G762">
            <v>24</v>
          </cell>
          <cell r="H762">
            <v>24</v>
          </cell>
          <cell r="I762">
            <v>15</v>
          </cell>
          <cell r="K762">
            <v>21</v>
          </cell>
          <cell r="L762">
            <v>22</v>
          </cell>
          <cell r="M762">
            <v>20</v>
          </cell>
          <cell r="N762">
            <v>21</v>
          </cell>
          <cell r="P762">
            <v>1362</v>
          </cell>
        </row>
        <row r="763">
          <cell r="A763">
            <v>19.5</v>
          </cell>
          <cell r="B763">
            <v>32.5</v>
          </cell>
          <cell r="C763">
            <v>25</v>
          </cell>
          <cell r="D763">
            <v>17</v>
          </cell>
          <cell r="F763">
            <v>20.5</v>
          </cell>
          <cell r="G763">
            <v>22</v>
          </cell>
          <cell r="H763">
            <v>23</v>
          </cell>
          <cell r="I763">
            <v>19</v>
          </cell>
          <cell r="K763">
            <v>21</v>
          </cell>
          <cell r="L763">
            <v>23.5</v>
          </cell>
          <cell r="M763">
            <v>13</v>
          </cell>
          <cell r="N763">
            <v>23</v>
          </cell>
          <cell r="P763">
            <v>1363</v>
          </cell>
        </row>
        <row r="764">
          <cell r="A764">
            <v>25</v>
          </cell>
          <cell r="B764">
            <v>43.5</v>
          </cell>
          <cell r="C764">
            <v>49</v>
          </cell>
          <cell r="D764">
            <v>18</v>
          </cell>
          <cell r="F764">
            <v>24</v>
          </cell>
          <cell r="G764">
            <v>22</v>
          </cell>
          <cell r="H764">
            <v>23</v>
          </cell>
          <cell r="I764">
            <v>20</v>
          </cell>
          <cell r="K764">
            <v>23</v>
          </cell>
          <cell r="L764">
            <v>24</v>
          </cell>
          <cell r="M764">
            <v>20</v>
          </cell>
          <cell r="N764">
            <v>22</v>
          </cell>
          <cell r="P764">
            <v>1364</v>
          </cell>
        </row>
        <row r="765">
          <cell r="A765">
            <v>24</v>
          </cell>
          <cell r="B765">
            <v>45</v>
          </cell>
          <cell r="C765">
            <v>50</v>
          </cell>
          <cell r="D765">
            <v>21</v>
          </cell>
          <cell r="F765">
            <v>25</v>
          </cell>
          <cell r="G765">
            <v>20</v>
          </cell>
          <cell r="H765">
            <v>24</v>
          </cell>
          <cell r="I765">
            <v>19</v>
          </cell>
          <cell r="K765">
            <v>21</v>
          </cell>
          <cell r="L765">
            <v>25</v>
          </cell>
          <cell r="M765">
            <v>22</v>
          </cell>
          <cell r="N765">
            <v>23</v>
          </cell>
          <cell r="P765">
            <v>1366</v>
          </cell>
        </row>
        <row r="766">
          <cell r="A766">
            <v>23</v>
          </cell>
          <cell r="B766">
            <v>47</v>
          </cell>
          <cell r="C766">
            <v>49</v>
          </cell>
          <cell r="D766">
            <v>20</v>
          </cell>
          <cell r="F766">
            <v>23.5</v>
          </cell>
          <cell r="G766">
            <v>23</v>
          </cell>
          <cell r="H766">
            <v>24</v>
          </cell>
          <cell r="I766">
            <v>22</v>
          </cell>
          <cell r="K766">
            <v>22</v>
          </cell>
          <cell r="L766">
            <v>22.5</v>
          </cell>
          <cell r="M766">
            <v>20</v>
          </cell>
          <cell r="N766">
            <v>25</v>
          </cell>
          <cell r="P766">
            <v>1367</v>
          </cell>
        </row>
        <row r="767">
          <cell r="A767">
            <v>23</v>
          </cell>
          <cell r="B767">
            <v>47.5</v>
          </cell>
          <cell r="C767">
            <v>50</v>
          </cell>
          <cell r="D767">
            <v>21</v>
          </cell>
          <cell r="F767">
            <v>25</v>
          </cell>
          <cell r="G767">
            <v>21</v>
          </cell>
          <cell r="H767">
            <v>23</v>
          </cell>
          <cell r="I767">
            <v>23</v>
          </cell>
          <cell r="K767">
            <v>21</v>
          </cell>
          <cell r="L767">
            <v>24</v>
          </cell>
          <cell r="M767">
            <v>23</v>
          </cell>
          <cell r="N767">
            <v>23</v>
          </cell>
          <cell r="P767">
            <v>1368</v>
          </cell>
        </row>
        <row r="768">
          <cell r="A768">
            <v>24.5</v>
          </cell>
          <cell r="B768">
            <v>48</v>
          </cell>
          <cell r="C768">
            <v>48</v>
          </cell>
          <cell r="D768">
            <v>17</v>
          </cell>
          <cell r="F768">
            <v>24</v>
          </cell>
          <cell r="G768">
            <v>22</v>
          </cell>
          <cell r="H768">
            <v>24</v>
          </cell>
          <cell r="I768">
            <v>19</v>
          </cell>
          <cell r="K768">
            <v>23</v>
          </cell>
          <cell r="L768">
            <v>24</v>
          </cell>
          <cell r="M768">
            <v>22</v>
          </cell>
          <cell r="N768">
            <v>13</v>
          </cell>
          <cell r="P768">
            <v>1370</v>
          </cell>
        </row>
        <row r="769">
          <cell r="A769">
            <v>20</v>
          </cell>
          <cell r="B769">
            <v>34.5</v>
          </cell>
          <cell r="C769">
            <v>37</v>
          </cell>
          <cell r="D769">
            <v>19</v>
          </cell>
          <cell r="F769">
            <v>18.5</v>
          </cell>
          <cell r="G769">
            <v>19</v>
          </cell>
          <cell r="H769">
            <v>14</v>
          </cell>
          <cell r="I769">
            <v>15</v>
          </cell>
          <cell r="K769">
            <v>20</v>
          </cell>
          <cell r="L769">
            <v>22</v>
          </cell>
          <cell r="M769">
            <v>18</v>
          </cell>
          <cell r="N769">
            <v>20</v>
          </cell>
          <cell r="P769">
            <v>1371</v>
          </cell>
        </row>
        <row r="770">
          <cell r="A770">
            <v>22</v>
          </cell>
          <cell r="B770">
            <v>46</v>
          </cell>
          <cell r="C770">
            <v>45</v>
          </cell>
          <cell r="D770">
            <v>17</v>
          </cell>
          <cell r="F770">
            <v>24</v>
          </cell>
          <cell r="G770">
            <v>22</v>
          </cell>
          <cell r="H770">
            <v>13</v>
          </cell>
          <cell r="I770">
            <v>15</v>
          </cell>
          <cell r="K770">
            <v>23</v>
          </cell>
          <cell r="L770">
            <v>23.5</v>
          </cell>
          <cell r="M770">
            <v>14</v>
          </cell>
          <cell r="N770">
            <v>13</v>
          </cell>
          <cell r="P770">
            <v>1372</v>
          </cell>
        </row>
        <row r="771">
          <cell r="A771">
            <v>21.5</v>
          </cell>
          <cell r="B771">
            <v>42.5</v>
          </cell>
          <cell r="C771">
            <v>41</v>
          </cell>
          <cell r="D771">
            <v>18</v>
          </cell>
          <cell r="F771">
            <v>23.5</v>
          </cell>
          <cell r="G771">
            <v>22</v>
          </cell>
          <cell r="H771">
            <v>24</v>
          </cell>
          <cell r="I771">
            <v>18</v>
          </cell>
          <cell r="K771">
            <v>18</v>
          </cell>
          <cell r="L771">
            <v>22</v>
          </cell>
          <cell r="M771">
            <v>19</v>
          </cell>
          <cell r="N771">
            <v>21</v>
          </cell>
          <cell r="P771">
            <v>1374</v>
          </cell>
        </row>
        <row r="772">
          <cell r="A772">
            <v>19</v>
          </cell>
          <cell r="B772">
            <v>26.5</v>
          </cell>
          <cell r="C772">
            <v>8</v>
          </cell>
          <cell r="D772">
            <v>0</v>
          </cell>
          <cell r="F772">
            <v>23.5</v>
          </cell>
          <cell r="G772">
            <v>21.5</v>
          </cell>
          <cell r="H772">
            <v>16</v>
          </cell>
          <cell r="I772">
            <v>13</v>
          </cell>
          <cell r="K772">
            <v>22</v>
          </cell>
          <cell r="L772">
            <v>20.5</v>
          </cell>
          <cell r="M772">
            <v>9</v>
          </cell>
          <cell r="P772">
            <v>1375</v>
          </cell>
        </row>
        <row r="773">
          <cell r="A773">
            <v>21</v>
          </cell>
          <cell r="B773">
            <v>36</v>
          </cell>
          <cell r="C773">
            <v>39</v>
          </cell>
          <cell r="D773">
            <v>22</v>
          </cell>
          <cell r="F773">
            <v>22</v>
          </cell>
          <cell r="G773">
            <v>20</v>
          </cell>
          <cell r="H773">
            <v>22</v>
          </cell>
          <cell r="I773">
            <v>22</v>
          </cell>
          <cell r="K773">
            <v>16</v>
          </cell>
          <cell r="L773">
            <v>22</v>
          </cell>
          <cell r="M773">
            <v>20</v>
          </cell>
          <cell r="N773">
            <v>24</v>
          </cell>
          <cell r="P773">
            <v>1378</v>
          </cell>
        </row>
        <row r="774">
          <cell r="A774" t="str">
            <v>غ</v>
          </cell>
          <cell r="B774" t="str">
            <v>#VALUE!</v>
          </cell>
          <cell r="C774" t="str">
            <v>غ</v>
          </cell>
          <cell r="D774" t="str">
            <v>غ</v>
          </cell>
          <cell r="F774" t="str">
            <v>غ</v>
          </cell>
          <cell r="G774" t="str">
            <v>غ</v>
          </cell>
          <cell r="H774" t="str">
            <v>غ</v>
          </cell>
          <cell r="K774" t="str">
            <v>غ</v>
          </cell>
          <cell r="L774" t="str">
            <v>غ</v>
          </cell>
          <cell r="M774" t="str">
            <v>محمد رجب محمد محمود الحضري   (شطب ملف)</v>
          </cell>
          <cell r="P774">
            <v>1379</v>
          </cell>
        </row>
        <row r="775">
          <cell r="A775">
            <v>17</v>
          </cell>
          <cell r="B775">
            <v>45</v>
          </cell>
          <cell r="C775">
            <v>49</v>
          </cell>
          <cell r="D775">
            <v>20</v>
          </cell>
          <cell r="F775">
            <v>21</v>
          </cell>
          <cell r="G775">
            <v>23</v>
          </cell>
          <cell r="H775">
            <v>20</v>
          </cell>
          <cell r="I775">
            <v>22</v>
          </cell>
          <cell r="K775">
            <v>17</v>
          </cell>
          <cell r="L775">
            <v>23</v>
          </cell>
          <cell r="M775">
            <v>20</v>
          </cell>
          <cell r="N775">
            <v>22</v>
          </cell>
          <cell r="P775">
            <v>1381</v>
          </cell>
        </row>
        <row r="776">
          <cell r="A776">
            <v>19</v>
          </cell>
          <cell r="B776">
            <v>37.5</v>
          </cell>
          <cell r="C776">
            <v>43</v>
          </cell>
          <cell r="D776">
            <v>17.5</v>
          </cell>
          <cell r="F776">
            <v>23</v>
          </cell>
          <cell r="G776">
            <v>21</v>
          </cell>
          <cell r="H776">
            <v>23</v>
          </cell>
          <cell r="I776">
            <v>19</v>
          </cell>
          <cell r="K776">
            <v>16</v>
          </cell>
          <cell r="L776">
            <v>21</v>
          </cell>
          <cell r="M776">
            <v>21</v>
          </cell>
          <cell r="N776">
            <v>18</v>
          </cell>
          <cell r="P776">
            <v>1383</v>
          </cell>
        </row>
        <row r="777">
          <cell r="A777">
            <v>24</v>
          </cell>
          <cell r="B777">
            <v>42.5</v>
          </cell>
          <cell r="C777">
            <v>39</v>
          </cell>
          <cell r="D777">
            <v>20</v>
          </cell>
          <cell r="F777">
            <v>21</v>
          </cell>
          <cell r="G777">
            <v>22</v>
          </cell>
          <cell r="H777">
            <v>19</v>
          </cell>
          <cell r="I777">
            <v>19</v>
          </cell>
          <cell r="K777">
            <v>20</v>
          </cell>
          <cell r="L777">
            <v>23.5</v>
          </cell>
          <cell r="M777">
            <v>20</v>
          </cell>
          <cell r="N777">
            <v>25</v>
          </cell>
          <cell r="P777">
            <v>1385</v>
          </cell>
        </row>
        <row r="778">
          <cell r="A778">
            <v>18</v>
          </cell>
          <cell r="B778">
            <v>36</v>
          </cell>
          <cell r="C778">
            <v>40</v>
          </cell>
          <cell r="D778">
            <v>18</v>
          </cell>
          <cell r="F778">
            <v>20.5</v>
          </cell>
          <cell r="G778">
            <v>12.5</v>
          </cell>
          <cell r="H778">
            <v>22</v>
          </cell>
          <cell r="I778">
            <v>11</v>
          </cell>
          <cell r="K778">
            <v>12</v>
          </cell>
          <cell r="L778">
            <v>17.5</v>
          </cell>
          <cell r="M778">
            <v>16</v>
          </cell>
          <cell r="N778">
            <v>18</v>
          </cell>
          <cell r="P778">
            <v>1386</v>
          </cell>
        </row>
        <row r="779">
          <cell r="A779">
            <v>24</v>
          </cell>
          <cell r="B779">
            <v>30.5</v>
          </cell>
          <cell r="C779">
            <v>41</v>
          </cell>
          <cell r="D779">
            <v>16</v>
          </cell>
          <cell r="F779">
            <v>25</v>
          </cell>
          <cell r="G779">
            <v>20</v>
          </cell>
          <cell r="H779">
            <v>22</v>
          </cell>
          <cell r="I779">
            <v>18</v>
          </cell>
          <cell r="K779">
            <v>21</v>
          </cell>
          <cell r="L779">
            <v>17.5</v>
          </cell>
          <cell r="M779">
            <v>15</v>
          </cell>
          <cell r="N779">
            <v>15</v>
          </cell>
          <cell r="P779">
            <v>1387</v>
          </cell>
        </row>
        <row r="780">
          <cell r="A780">
            <v>24</v>
          </cell>
          <cell r="B780">
            <v>46</v>
          </cell>
          <cell r="C780">
            <v>50</v>
          </cell>
          <cell r="D780">
            <v>21</v>
          </cell>
          <cell r="F780">
            <v>22</v>
          </cell>
          <cell r="G780">
            <v>24</v>
          </cell>
          <cell r="H780">
            <v>23</v>
          </cell>
          <cell r="I780">
            <v>20</v>
          </cell>
          <cell r="K780">
            <v>22</v>
          </cell>
          <cell r="L780">
            <v>24</v>
          </cell>
          <cell r="M780">
            <v>21</v>
          </cell>
          <cell r="N780">
            <v>24</v>
          </cell>
          <cell r="P780">
            <v>1389</v>
          </cell>
        </row>
        <row r="781">
          <cell r="A781">
            <v>19</v>
          </cell>
          <cell r="B781">
            <v>35.5</v>
          </cell>
          <cell r="C781">
            <v>41</v>
          </cell>
          <cell r="D781">
            <v>18</v>
          </cell>
          <cell r="F781">
            <v>19.5</v>
          </cell>
          <cell r="G781">
            <v>20</v>
          </cell>
          <cell r="H781">
            <v>17</v>
          </cell>
          <cell r="I781">
            <v>14</v>
          </cell>
          <cell r="K781">
            <v>17</v>
          </cell>
          <cell r="L781">
            <v>19</v>
          </cell>
          <cell r="M781">
            <v>11</v>
          </cell>
          <cell r="N781">
            <v>15</v>
          </cell>
          <cell r="P781">
            <v>1390</v>
          </cell>
        </row>
        <row r="782">
          <cell r="A782">
            <v>23</v>
          </cell>
          <cell r="B782">
            <v>44</v>
          </cell>
          <cell r="C782">
            <v>47</v>
          </cell>
          <cell r="D782">
            <v>21</v>
          </cell>
          <cell r="F782">
            <v>25</v>
          </cell>
          <cell r="G782">
            <v>23</v>
          </cell>
          <cell r="H782">
            <v>24</v>
          </cell>
          <cell r="I782">
            <v>20</v>
          </cell>
          <cell r="K782">
            <v>21</v>
          </cell>
          <cell r="L782">
            <v>25</v>
          </cell>
          <cell r="M782">
            <v>21</v>
          </cell>
          <cell r="N782">
            <v>24</v>
          </cell>
          <cell r="P782">
            <v>1392</v>
          </cell>
        </row>
        <row r="783">
          <cell r="A783">
            <v>23</v>
          </cell>
          <cell r="B783">
            <v>38.5</v>
          </cell>
          <cell r="C783">
            <v>40</v>
          </cell>
          <cell r="D783">
            <v>20</v>
          </cell>
          <cell r="F783">
            <v>23</v>
          </cell>
          <cell r="G783">
            <v>23</v>
          </cell>
          <cell r="H783">
            <v>21</v>
          </cell>
          <cell r="I783">
            <v>15</v>
          </cell>
          <cell r="K783">
            <v>21</v>
          </cell>
          <cell r="L783">
            <v>20</v>
          </cell>
          <cell r="M783">
            <v>23</v>
          </cell>
          <cell r="N783">
            <v>24</v>
          </cell>
          <cell r="P783">
            <v>1394</v>
          </cell>
        </row>
        <row r="784">
          <cell r="A784">
            <v>25</v>
          </cell>
          <cell r="B784">
            <v>49</v>
          </cell>
          <cell r="C784">
            <v>47</v>
          </cell>
          <cell r="D784">
            <v>22</v>
          </cell>
          <cell r="F784">
            <v>24</v>
          </cell>
          <cell r="G784">
            <v>21</v>
          </cell>
          <cell r="H784">
            <v>25</v>
          </cell>
          <cell r="I784">
            <v>21</v>
          </cell>
          <cell r="K784">
            <v>24</v>
          </cell>
          <cell r="L784">
            <v>25</v>
          </cell>
          <cell r="M784">
            <v>22</v>
          </cell>
          <cell r="N784">
            <v>24</v>
          </cell>
          <cell r="P784">
            <v>1396</v>
          </cell>
        </row>
        <row r="785">
          <cell r="A785">
            <v>24</v>
          </cell>
          <cell r="B785">
            <v>48.5</v>
          </cell>
          <cell r="C785">
            <v>49</v>
          </cell>
          <cell r="D785">
            <v>21</v>
          </cell>
          <cell r="F785">
            <v>24</v>
          </cell>
          <cell r="G785">
            <v>24</v>
          </cell>
          <cell r="H785">
            <v>24</v>
          </cell>
          <cell r="I785">
            <v>16</v>
          </cell>
          <cell r="K785">
            <v>22</v>
          </cell>
          <cell r="L785">
            <v>24</v>
          </cell>
          <cell r="M785">
            <v>23</v>
          </cell>
          <cell r="N785">
            <v>22</v>
          </cell>
          <cell r="P785">
            <v>1397</v>
          </cell>
        </row>
        <row r="786">
          <cell r="A786">
            <v>10</v>
          </cell>
          <cell r="B786">
            <v>46.5</v>
          </cell>
          <cell r="C786">
            <v>47</v>
          </cell>
          <cell r="D786">
            <v>19</v>
          </cell>
          <cell r="F786">
            <v>8</v>
          </cell>
          <cell r="G786">
            <v>21</v>
          </cell>
          <cell r="H786">
            <v>22</v>
          </cell>
          <cell r="I786">
            <v>20</v>
          </cell>
          <cell r="K786" t="str">
            <v>غ</v>
          </cell>
          <cell r="L786">
            <v>25</v>
          </cell>
          <cell r="M786">
            <v>22</v>
          </cell>
          <cell r="N786">
            <v>21</v>
          </cell>
          <cell r="P786">
            <v>1398</v>
          </cell>
        </row>
        <row r="787">
          <cell r="A787">
            <v>24</v>
          </cell>
          <cell r="B787">
            <v>47</v>
          </cell>
          <cell r="C787">
            <v>35</v>
          </cell>
          <cell r="D787">
            <v>24</v>
          </cell>
          <cell r="F787">
            <v>21</v>
          </cell>
          <cell r="G787">
            <v>23</v>
          </cell>
          <cell r="H787">
            <v>23</v>
          </cell>
          <cell r="I787">
            <v>22</v>
          </cell>
          <cell r="K787">
            <v>20</v>
          </cell>
          <cell r="L787">
            <v>24</v>
          </cell>
          <cell r="M787">
            <v>20</v>
          </cell>
          <cell r="N787">
            <v>24</v>
          </cell>
          <cell r="P787">
            <v>1400</v>
          </cell>
        </row>
        <row r="788">
          <cell r="A788">
            <v>24</v>
          </cell>
          <cell r="B788">
            <v>44</v>
          </cell>
          <cell r="C788">
            <v>46</v>
          </cell>
          <cell r="D788">
            <v>24</v>
          </cell>
          <cell r="F788">
            <v>24</v>
          </cell>
          <cell r="G788">
            <v>23</v>
          </cell>
          <cell r="H788">
            <v>24</v>
          </cell>
          <cell r="I788">
            <v>21</v>
          </cell>
          <cell r="K788">
            <v>23</v>
          </cell>
          <cell r="L788">
            <v>25</v>
          </cell>
          <cell r="M788">
            <v>19</v>
          </cell>
          <cell r="N788">
            <v>18</v>
          </cell>
          <cell r="P788">
            <v>1403</v>
          </cell>
        </row>
        <row r="789">
          <cell r="A789">
            <v>10</v>
          </cell>
          <cell r="B789">
            <v>46.5</v>
          </cell>
          <cell r="C789">
            <v>49</v>
          </cell>
          <cell r="D789">
            <v>21</v>
          </cell>
          <cell r="F789">
            <v>24</v>
          </cell>
          <cell r="G789">
            <v>24</v>
          </cell>
          <cell r="H789">
            <v>23</v>
          </cell>
          <cell r="I789">
            <v>23</v>
          </cell>
          <cell r="K789">
            <v>21</v>
          </cell>
          <cell r="L789">
            <v>25</v>
          </cell>
          <cell r="M789">
            <v>21</v>
          </cell>
          <cell r="N789">
            <v>25</v>
          </cell>
          <cell r="P789">
            <v>1404</v>
          </cell>
        </row>
        <row r="790">
          <cell r="A790">
            <v>24</v>
          </cell>
          <cell r="B790">
            <v>46</v>
          </cell>
          <cell r="C790">
            <v>50</v>
          </cell>
          <cell r="D790">
            <v>21</v>
          </cell>
          <cell r="F790">
            <v>25</v>
          </cell>
          <cell r="G790">
            <v>23</v>
          </cell>
          <cell r="H790">
            <v>25</v>
          </cell>
          <cell r="I790">
            <v>22</v>
          </cell>
          <cell r="K790">
            <v>20</v>
          </cell>
          <cell r="L790">
            <v>23.5</v>
          </cell>
          <cell r="M790">
            <v>20</v>
          </cell>
          <cell r="N790">
            <v>23</v>
          </cell>
          <cell r="P790">
            <v>1405</v>
          </cell>
        </row>
        <row r="791">
          <cell r="A791">
            <v>24</v>
          </cell>
          <cell r="B791">
            <v>43</v>
          </cell>
          <cell r="C791">
            <v>46</v>
          </cell>
          <cell r="D791">
            <v>17</v>
          </cell>
          <cell r="F791">
            <v>21</v>
          </cell>
          <cell r="G791">
            <v>21.5</v>
          </cell>
          <cell r="H791">
            <v>20</v>
          </cell>
          <cell r="I791">
            <v>19</v>
          </cell>
          <cell r="K791">
            <v>23</v>
          </cell>
          <cell r="L791">
            <v>23.5</v>
          </cell>
          <cell r="M791">
            <v>11</v>
          </cell>
          <cell r="N791">
            <v>18</v>
          </cell>
          <cell r="P791">
            <v>1406</v>
          </cell>
        </row>
        <row r="792">
          <cell r="A792">
            <v>22</v>
          </cell>
          <cell r="B792">
            <v>47</v>
          </cell>
          <cell r="C792">
            <v>50</v>
          </cell>
          <cell r="D792">
            <v>20</v>
          </cell>
          <cell r="F792">
            <v>24</v>
          </cell>
          <cell r="G792">
            <v>23</v>
          </cell>
          <cell r="H792">
            <v>24</v>
          </cell>
          <cell r="I792">
            <v>22</v>
          </cell>
          <cell r="K792">
            <v>23</v>
          </cell>
          <cell r="L792">
            <v>25</v>
          </cell>
          <cell r="M792">
            <v>21</v>
          </cell>
          <cell r="N792">
            <v>24</v>
          </cell>
          <cell r="P792">
            <v>1407</v>
          </cell>
        </row>
        <row r="793">
          <cell r="A793">
            <v>24</v>
          </cell>
          <cell r="B793">
            <v>44.5</v>
          </cell>
          <cell r="C793">
            <v>49</v>
          </cell>
          <cell r="D793">
            <v>21</v>
          </cell>
          <cell r="F793">
            <v>22</v>
          </cell>
          <cell r="G793">
            <v>22</v>
          </cell>
          <cell r="H793">
            <v>24</v>
          </cell>
          <cell r="I793">
            <v>22</v>
          </cell>
          <cell r="K793">
            <v>24</v>
          </cell>
          <cell r="L793">
            <v>24.5</v>
          </cell>
          <cell r="M793">
            <v>20</v>
          </cell>
          <cell r="N793">
            <v>24</v>
          </cell>
          <cell r="P793">
            <v>1409</v>
          </cell>
        </row>
        <row r="794">
          <cell r="A794">
            <v>23</v>
          </cell>
          <cell r="B794">
            <v>44</v>
          </cell>
          <cell r="C794">
            <v>49</v>
          </cell>
          <cell r="D794">
            <v>21</v>
          </cell>
          <cell r="F794">
            <v>24.5</v>
          </cell>
          <cell r="G794">
            <v>23</v>
          </cell>
          <cell r="H794">
            <v>23</v>
          </cell>
          <cell r="I794">
            <v>17</v>
          </cell>
          <cell r="K794">
            <v>22</v>
          </cell>
          <cell r="L794">
            <v>24</v>
          </cell>
          <cell r="M794">
            <v>19</v>
          </cell>
          <cell r="N794">
            <v>24</v>
          </cell>
          <cell r="P794">
            <v>1411</v>
          </cell>
        </row>
        <row r="795">
          <cell r="A795">
            <v>22</v>
          </cell>
          <cell r="B795">
            <v>49</v>
          </cell>
          <cell r="C795">
            <v>42</v>
          </cell>
          <cell r="D795">
            <v>20</v>
          </cell>
          <cell r="F795">
            <v>22</v>
          </cell>
          <cell r="G795">
            <v>22</v>
          </cell>
          <cell r="H795">
            <v>21</v>
          </cell>
          <cell r="I795">
            <v>19</v>
          </cell>
          <cell r="K795">
            <v>21</v>
          </cell>
          <cell r="L795">
            <v>21.5</v>
          </cell>
          <cell r="M795">
            <v>16</v>
          </cell>
          <cell r="N795">
            <v>25</v>
          </cell>
          <cell r="P795">
            <v>1412</v>
          </cell>
        </row>
        <row r="796">
          <cell r="A796">
            <v>21</v>
          </cell>
          <cell r="B796">
            <v>43</v>
          </cell>
          <cell r="C796">
            <v>46</v>
          </cell>
          <cell r="D796">
            <v>18</v>
          </cell>
          <cell r="F796">
            <v>17</v>
          </cell>
          <cell r="G796">
            <v>20.5</v>
          </cell>
          <cell r="H796">
            <v>15</v>
          </cell>
          <cell r="I796">
            <v>16</v>
          </cell>
          <cell r="K796">
            <v>23</v>
          </cell>
          <cell r="L796">
            <v>21.5</v>
          </cell>
          <cell r="M796">
            <v>20</v>
          </cell>
          <cell r="N796">
            <v>25</v>
          </cell>
          <cell r="P796" t="str">
            <v>م‎2679</v>
          </cell>
        </row>
        <row r="797">
          <cell r="A797">
            <v>21</v>
          </cell>
          <cell r="B797">
            <v>45</v>
          </cell>
          <cell r="C797">
            <v>44</v>
          </cell>
          <cell r="D797">
            <v>18</v>
          </cell>
          <cell r="F797">
            <v>24</v>
          </cell>
          <cell r="G797">
            <v>22</v>
          </cell>
          <cell r="H797">
            <v>21</v>
          </cell>
          <cell r="I797">
            <v>20</v>
          </cell>
          <cell r="K797">
            <v>23</v>
          </cell>
          <cell r="L797">
            <v>23.5</v>
          </cell>
          <cell r="M797">
            <v>24</v>
          </cell>
          <cell r="N797">
            <v>23</v>
          </cell>
          <cell r="P797">
            <v>1418</v>
          </cell>
        </row>
        <row r="798">
          <cell r="A798">
            <v>21</v>
          </cell>
          <cell r="B798">
            <v>43</v>
          </cell>
          <cell r="C798">
            <v>47</v>
          </cell>
          <cell r="D798">
            <v>16</v>
          </cell>
          <cell r="F798">
            <v>23.5</v>
          </cell>
          <cell r="G798">
            <v>20.5</v>
          </cell>
          <cell r="H798">
            <v>21</v>
          </cell>
          <cell r="I798">
            <v>16</v>
          </cell>
          <cell r="K798">
            <v>20</v>
          </cell>
          <cell r="L798">
            <v>20.5</v>
          </cell>
          <cell r="M798">
            <v>19</v>
          </cell>
          <cell r="N798">
            <v>13</v>
          </cell>
          <cell r="P798">
            <v>1420</v>
          </cell>
        </row>
        <row r="799">
          <cell r="A799">
            <v>21</v>
          </cell>
          <cell r="B799">
            <v>38.5</v>
          </cell>
          <cell r="C799">
            <v>40</v>
          </cell>
          <cell r="D799">
            <v>18.5</v>
          </cell>
          <cell r="F799">
            <v>23</v>
          </cell>
          <cell r="G799">
            <v>20.5</v>
          </cell>
          <cell r="H799">
            <v>6</v>
          </cell>
          <cell r="I799">
            <v>13</v>
          </cell>
          <cell r="K799">
            <v>22</v>
          </cell>
          <cell r="L799">
            <v>22.2</v>
          </cell>
          <cell r="M799">
            <v>10</v>
          </cell>
          <cell r="N799">
            <v>24</v>
          </cell>
          <cell r="P799">
            <v>1421</v>
          </cell>
        </row>
        <row r="800">
          <cell r="A800">
            <v>10</v>
          </cell>
          <cell r="B800">
            <v>49</v>
          </cell>
          <cell r="C800">
            <v>50</v>
          </cell>
          <cell r="D800">
            <v>21</v>
          </cell>
          <cell r="F800">
            <v>23</v>
          </cell>
          <cell r="G800">
            <v>22</v>
          </cell>
          <cell r="H800">
            <v>25</v>
          </cell>
          <cell r="I800">
            <v>21</v>
          </cell>
          <cell r="K800">
            <v>22</v>
          </cell>
          <cell r="L800">
            <v>23.5</v>
          </cell>
          <cell r="M800">
            <v>22</v>
          </cell>
          <cell r="N800">
            <v>25</v>
          </cell>
          <cell r="P800">
            <v>1423</v>
          </cell>
        </row>
        <row r="801">
          <cell r="A801">
            <v>21</v>
          </cell>
          <cell r="B801">
            <v>45.5</v>
          </cell>
          <cell r="C801">
            <v>48</v>
          </cell>
          <cell r="D801">
            <v>23</v>
          </cell>
          <cell r="F801">
            <v>24</v>
          </cell>
          <cell r="G801">
            <v>21</v>
          </cell>
          <cell r="H801">
            <v>24</v>
          </cell>
          <cell r="I801">
            <v>19</v>
          </cell>
          <cell r="K801">
            <v>17</v>
          </cell>
          <cell r="L801">
            <v>23</v>
          </cell>
          <cell r="M801">
            <v>24</v>
          </cell>
          <cell r="N801">
            <v>20</v>
          </cell>
          <cell r="P801">
            <v>1430</v>
          </cell>
        </row>
        <row r="802">
          <cell r="A802">
            <v>24</v>
          </cell>
          <cell r="B802">
            <v>48.5</v>
          </cell>
          <cell r="C802">
            <v>48</v>
          </cell>
          <cell r="D802">
            <v>22</v>
          </cell>
          <cell r="F802">
            <v>23</v>
          </cell>
          <cell r="G802">
            <v>23</v>
          </cell>
          <cell r="H802">
            <v>22</v>
          </cell>
          <cell r="I802">
            <v>21</v>
          </cell>
          <cell r="K802">
            <v>22</v>
          </cell>
          <cell r="L802">
            <v>23.5</v>
          </cell>
          <cell r="M802">
            <v>23</v>
          </cell>
          <cell r="N802">
            <v>23</v>
          </cell>
          <cell r="P802">
            <v>1436</v>
          </cell>
        </row>
        <row r="803">
          <cell r="A803">
            <v>23</v>
          </cell>
          <cell r="B803">
            <v>46.5</v>
          </cell>
          <cell r="C803">
            <v>44</v>
          </cell>
          <cell r="D803">
            <v>23</v>
          </cell>
          <cell r="F803">
            <v>23</v>
          </cell>
          <cell r="G803">
            <v>21</v>
          </cell>
          <cell r="H803">
            <v>22</v>
          </cell>
          <cell r="I803">
            <v>21</v>
          </cell>
          <cell r="K803">
            <v>24</v>
          </cell>
          <cell r="L803">
            <v>24</v>
          </cell>
          <cell r="M803">
            <v>20</v>
          </cell>
          <cell r="N803">
            <v>24</v>
          </cell>
          <cell r="P803">
            <v>1439</v>
          </cell>
        </row>
        <row r="804">
          <cell r="A804">
            <v>22</v>
          </cell>
          <cell r="B804">
            <v>41.5</v>
          </cell>
          <cell r="C804">
            <v>37</v>
          </cell>
          <cell r="D804">
            <v>18</v>
          </cell>
          <cell r="F804">
            <v>23</v>
          </cell>
          <cell r="G804">
            <v>22</v>
          </cell>
          <cell r="H804">
            <v>22</v>
          </cell>
          <cell r="I804">
            <v>14</v>
          </cell>
          <cell r="K804">
            <v>23</v>
          </cell>
          <cell r="L804">
            <v>24</v>
          </cell>
          <cell r="M804">
            <v>12</v>
          </cell>
          <cell r="N804">
            <v>18</v>
          </cell>
          <cell r="P804">
            <v>1441</v>
          </cell>
        </row>
        <row r="805">
          <cell r="A805">
            <v>23</v>
          </cell>
          <cell r="B805">
            <v>48</v>
          </cell>
          <cell r="C805">
            <v>40</v>
          </cell>
          <cell r="D805">
            <v>21</v>
          </cell>
          <cell r="F805">
            <v>25</v>
          </cell>
          <cell r="G805">
            <v>23</v>
          </cell>
          <cell r="H805">
            <v>22</v>
          </cell>
          <cell r="I805">
            <v>17</v>
          </cell>
          <cell r="K805">
            <v>23</v>
          </cell>
          <cell r="L805">
            <v>23</v>
          </cell>
          <cell r="M805">
            <v>23</v>
          </cell>
          <cell r="N805">
            <v>21</v>
          </cell>
          <cell r="P805">
            <v>1444</v>
          </cell>
        </row>
        <row r="806">
          <cell r="A806">
            <v>21</v>
          </cell>
          <cell r="B806">
            <v>30</v>
          </cell>
          <cell r="C806">
            <v>39</v>
          </cell>
          <cell r="D806">
            <v>17</v>
          </cell>
          <cell r="F806">
            <v>24</v>
          </cell>
          <cell r="G806">
            <v>20</v>
          </cell>
          <cell r="H806">
            <v>19</v>
          </cell>
          <cell r="I806">
            <v>16</v>
          </cell>
          <cell r="K806">
            <v>19</v>
          </cell>
          <cell r="L806">
            <v>23</v>
          </cell>
          <cell r="M806">
            <v>12</v>
          </cell>
          <cell r="N806">
            <v>24</v>
          </cell>
          <cell r="P806">
            <v>1446</v>
          </cell>
        </row>
        <row r="807">
          <cell r="A807">
            <v>25</v>
          </cell>
          <cell r="B807">
            <v>43.5</v>
          </cell>
          <cell r="C807">
            <v>48</v>
          </cell>
          <cell r="D807">
            <v>21</v>
          </cell>
          <cell r="F807">
            <v>25</v>
          </cell>
          <cell r="G807">
            <v>21</v>
          </cell>
          <cell r="H807">
            <v>22</v>
          </cell>
          <cell r="I807">
            <v>17</v>
          </cell>
          <cell r="K807">
            <v>21</v>
          </cell>
          <cell r="L807">
            <v>23</v>
          </cell>
          <cell r="M807">
            <v>21</v>
          </cell>
          <cell r="N807">
            <v>23</v>
          </cell>
          <cell r="P807">
            <v>1449</v>
          </cell>
        </row>
        <row r="808">
          <cell r="A808">
            <v>25</v>
          </cell>
          <cell r="B808">
            <v>44.5</v>
          </cell>
          <cell r="C808">
            <v>48</v>
          </cell>
          <cell r="D808">
            <v>21</v>
          </cell>
          <cell r="F808">
            <v>23</v>
          </cell>
          <cell r="G808">
            <v>23</v>
          </cell>
          <cell r="H808">
            <v>24</v>
          </cell>
          <cell r="I808">
            <v>17</v>
          </cell>
          <cell r="K808">
            <v>20</v>
          </cell>
          <cell r="L808">
            <v>24</v>
          </cell>
          <cell r="M808">
            <v>19</v>
          </cell>
          <cell r="N808">
            <v>19</v>
          </cell>
          <cell r="P808">
            <v>1450</v>
          </cell>
        </row>
        <row r="809">
          <cell r="A809">
            <v>21</v>
          </cell>
          <cell r="B809">
            <v>34</v>
          </cell>
          <cell r="C809">
            <v>46</v>
          </cell>
          <cell r="D809">
            <v>21</v>
          </cell>
          <cell r="F809">
            <v>20</v>
          </cell>
          <cell r="G809">
            <v>21</v>
          </cell>
          <cell r="H809">
            <v>21</v>
          </cell>
          <cell r="I809">
            <v>18</v>
          </cell>
          <cell r="K809">
            <v>22</v>
          </cell>
          <cell r="L809">
            <v>22.5</v>
          </cell>
          <cell r="M809">
            <v>21</v>
          </cell>
          <cell r="N809">
            <v>18</v>
          </cell>
          <cell r="P809">
            <v>1451</v>
          </cell>
        </row>
        <row r="810">
          <cell r="A810">
            <v>23</v>
          </cell>
          <cell r="B810">
            <v>45</v>
          </cell>
          <cell r="C810">
            <v>47</v>
          </cell>
          <cell r="D810">
            <v>21</v>
          </cell>
          <cell r="F810">
            <v>24</v>
          </cell>
          <cell r="G810">
            <v>23</v>
          </cell>
          <cell r="H810">
            <v>21</v>
          </cell>
          <cell r="I810">
            <v>18</v>
          </cell>
          <cell r="K810">
            <v>21</v>
          </cell>
          <cell r="L810">
            <v>22.5</v>
          </cell>
          <cell r="M810">
            <v>20</v>
          </cell>
          <cell r="N810">
            <v>21</v>
          </cell>
          <cell r="P810">
            <v>1452</v>
          </cell>
        </row>
        <row r="811">
          <cell r="A811">
            <v>19</v>
          </cell>
          <cell r="B811">
            <v>32.5</v>
          </cell>
          <cell r="C811">
            <v>46</v>
          </cell>
          <cell r="D811">
            <v>16</v>
          </cell>
          <cell r="F811">
            <v>18</v>
          </cell>
          <cell r="G811">
            <v>16</v>
          </cell>
          <cell r="H811">
            <v>15</v>
          </cell>
          <cell r="I811">
            <v>13</v>
          </cell>
          <cell r="K811">
            <v>12</v>
          </cell>
          <cell r="L811">
            <v>19</v>
          </cell>
          <cell r="M811">
            <v>14</v>
          </cell>
          <cell r="N811">
            <v>15</v>
          </cell>
          <cell r="P811">
            <v>1453</v>
          </cell>
        </row>
        <row r="812">
          <cell r="A812">
            <v>22</v>
          </cell>
          <cell r="B812">
            <v>45.5</v>
          </cell>
          <cell r="C812">
            <v>47</v>
          </cell>
          <cell r="D812">
            <v>22</v>
          </cell>
          <cell r="F812">
            <v>22</v>
          </cell>
          <cell r="G812">
            <v>23</v>
          </cell>
          <cell r="H812">
            <v>24</v>
          </cell>
          <cell r="I812">
            <v>20</v>
          </cell>
          <cell r="K812">
            <v>24</v>
          </cell>
          <cell r="L812">
            <v>24</v>
          </cell>
          <cell r="M812">
            <v>22</v>
          </cell>
          <cell r="N812">
            <v>20</v>
          </cell>
          <cell r="P812">
            <v>1455</v>
          </cell>
        </row>
        <row r="813">
          <cell r="A813">
            <v>20</v>
          </cell>
          <cell r="B813">
            <v>42.5</v>
          </cell>
          <cell r="C813">
            <v>47</v>
          </cell>
          <cell r="D813">
            <v>22</v>
          </cell>
          <cell r="F813">
            <v>22</v>
          </cell>
          <cell r="G813">
            <v>21</v>
          </cell>
          <cell r="H813">
            <v>24</v>
          </cell>
          <cell r="I813">
            <v>22</v>
          </cell>
          <cell r="K813">
            <v>17</v>
          </cell>
          <cell r="L813">
            <v>22</v>
          </cell>
          <cell r="M813">
            <v>22</v>
          </cell>
          <cell r="N813">
            <v>23</v>
          </cell>
          <cell r="P813">
            <v>1456</v>
          </cell>
        </row>
        <row r="814">
          <cell r="A814">
            <v>24</v>
          </cell>
          <cell r="B814">
            <v>49.5</v>
          </cell>
          <cell r="C814">
            <v>50</v>
          </cell>
          <cell r="D814">
            <v>21</v>
          </cell>
          <cell r="F814">
            <v>25</v>
          </cell>
          <cell r="G814">
            <v>21</v>
          </cell>
          <cell r="H814">
            <v>24</v>
          </cell>
          <cell r="I814">
            <v>19</v>
          </cell>
          <cell r="K814">
            <v>21</v>
          </cell>
          <cell r="L814">
            <v>22</v>
          </cell>
          <cell r="M814">
            <v>21</v>
          </cell>
          <cell r="N814">
            <v>20</v>
          </cell>
          <cell r="P814">
            <v>1462</v>
          </cell>
        </row>
        <row r="815">
          <cell r="A815">
            <v>25</v>
          </cell>
          <cell r="B815">
            <v>45</v>
          </cell>
          <cell r="C815">
            <v>50</v>
          </cell>
          <cell r="D815">
            <v>22</v>
          </cell>
          <cell r="F815">
            <v>24</v>
          </cell>
          <cell r="G815">
            <v>22</v>
          </cell>
          <cell r="H815">
            <v>24</v>
          </cell>
          <cell r="I815">
            <v>18</v>
          </cell>
          <cell r="K815">
            <v>23</v>
          </cell>
          <cell r="L815">
            <v>22</v>
          </cell>
          <cell r="M815">
            <v>22</v>
          </cell>
          <cell r="N815">
            <v>24</v>
          </cell>
          <cell r="P815">
            <v>1463</v>
          </cell>
        </row>
        <row r="816">
          <cell r="A816">
            <v>23</v>
          </cell>
          <cell r="B816">
            <v>35</v>
          </cell>
          <cell r="C816">
            <v>30</v>
          </cell>
          <cell r="D816">
            <v>21</v>
          </cell>
          <cell r="F816">
            <v>24</v>
          </cell>
          <cell r="G816">
            <v>22</v>
          </cell>
          <cell r="H816">
            <v>19</v>
          </cell>
          <cell r="I816">
            <v>16</v>
          </cell>
          <cell r="K816">
            <v>24</v>
          </cell>
          <cell r="L816">
            <v>23</v>
          </cell>
          <cell r="M816">
            <v>20</v>
          </cell>
          <cell r="N816">
            <v>20</v>
          </cell>
          <cell r="P816">
            <v>1464</v>
          </cell>
        </row>
        <row r="817">
          <cell r="A817">
            <v>25</v>
          </cell>
          <cell r="B817">
            <v>47.5</v>
          </cell>
          <cell r="C817">
            <v>49</v>
          </cell>
          <cell r="D817">
            <v>23</v>
          </cell>
          <cell r="F817">
            <v>25</v>
          </cell>
          <cell r="G817">
            <v>23</v>
          </cell>
          <cell r="H817">
            <v>22</v>
          </cell>
          <cell r="I817">
            <v>24</v>
          </cell>
          <cell r="K817">
            <v>23</v>
          </cell>
          <cell r="L817">
            <v>24</v>
          </cell>
          <cell r="M817">
            <v>23</v>
          </cell>
          <cell r="N817">
            <v>24</v>
          </cell>
          <cell r="P817">
            <v>1465</v>
          </cell>
        </row>
        <row r="818">
          <cell r="A818">
            <v>22</v>
          </cell>
          <cell r="B818">
            <v>36.5</v>
          </cell>
          <cell r="C818">
            <v>47</v>
          </cell>
          <cell r="D818">
            <v>20</v>
          </cell>
          <cell r="F818">
            <v>24</v>
          </cell>
          <cell r="G818">
            <v>21</v>
          </cell>
          <cell r="H818">
            <v>20</v>
          </cell>
          <cell r="I818">
            <v>22</v>
          </cell>
          <cell r="K818">
            <v>19</v>
          </cell>
          <cell r="L818">
            <v>24</v>
          </cell>
          <cell r="M818">
            <v>17</v>
          </cell>
          <cell r="N818">
            <v>24</v>
          </cell>
          <cell r="P818">
            <v>1467</v>
          </cell>
        </row>
        <row r="819">
          <cell r="A819">
            <v>24</v>
          </cell>
          <cell r="B819">
            <v>50</v>
          </cell>
          <cell r="C819">
            <v>50</v>
          </cell>
          <cell r="D819">
            <v>23</v>
          </cell>
          <cell r="F819">
            <v>25</v>
          </cell>
          <cell r="G819">
            <v>22</v>
          </cell>
          <cell r="H819">
            <v>25</v>
          </cell>
          <cell r="I819">
            <v>24</v>
          </cell>
          <cell r="K819">
            <v>24</v>
          </cell>
          <cell r="L819">
            <v>25</v>
          </cell>
          <cell r="M819">
            <v>23</v>
          </cell>
          <cell r="N819">
            <v>25</v>
          </cell>
          <cell r="P819">
            <v>1470</v>
          </cell>
        </row>
        <row r="820">
          <cell r="A820">
            <v>21</v>
          </cell>
          <cell r="B820">
            <v>46.5</v>
          </cell>
          <cell r="C820">
            <v>46</v>
          </cell>
          <cell r="D820">
            <v>23</v>
          </cell>
          <cell r="F820">
            <v>25</v>
          </cell>
          <cell r="G820">
            <v>22</v>
          </cell>
          <cell r="H820">
            <v>24</v>
          </cell>
          <cell r="I820">
            <v>18</v>
          </cell>
          <cell r="K820">
            <v>24</v>
          </cell>
          <cell r="L820">
            <v>25</v>
          </cell>
          <cell r="M820">
            <v>23</v>
          </cell>
          <cell r="N820">
            <v>24</v>
          </cell>
          <cell r="P820">
            <v>1478</v>
          </cell>
        </row>
        <row r="821">
          <cell r="A821">
            <v>17</v>
          </cell>
          <cell r="B821">
            <v>49</v>
          </cell>
          <cell r="C821">
            <v>48</v>
          </cell>
          <cell r="D821">
            <v>17</v>
          </cell>
          <cell r="F821">
            <v>23</v>
          </cell>
          <cell r="G821">
            <v>22</v>
          </cell>
          <cell r="H821">
            <v>10</v>
          </cell>
          <cell r="I821">
            <v>15</v>
          </cell>
          <cell r="K821">
            <v>20</v>
          </cell>
          <cell r="L821">
            <v>24</v>
          </cell>
          <cell r="M821">
            <v>21</v>
          </cell>
          <cell r="N821">
            <v>12</v>
          </cell>
          <cell r="P821">
            <v>1479</v>
          </cell>
        </row>
        <row r="822">
          <cell r="A822">
            <v>25</v>
          </cell>
          <cell r="B822">
            <v>47</v>
          </cell>
          <cell r="C822">
            <v>49</v>
          </cell>
          <cell r="D822">
            <v>23</v>
          </cell>
          <cell r="F822">
            <v>24</v>
          </cell>
          <cell r="G822">
            <v>22</v>
          </cell>
          <cell r="H822">
            <v>24</v>
          </cell>
          <cell r="I822">
            <v>22</v>
          </cell>
          <cell r="K822">
            <v>25</v>
          </cell>
          <cell r="L822">
            <v>25</v>
          </cell>
          <cell r="M822">
            <v>20</v>
          </cell>
          <cell r="N822">
            <v>24</v>
          </cell>
          <cell r="P822">
            <v>1482</v>
          </cell>
        </row>
        <row r="823">
          <cell r="A823">
            <v>22</v>
          </cell>
          <cell r="B823">
            <v>46.5</v>
          </cell>
          <cell r="C823">
            <v>47</v>
          </cell>
          <cell r="D823">
            <v>20</v>
          </cell>
          <cell r="F823">
            <v>23</v>
          </cell>
          <cell r="G823">
            <v>21</v>
          </cell>
          <cell r="H823">
            <v>22</v>
          </cell>
          <cell r="I823">
            <v>22</v>
          </cell>
          <cell r="K823">
            <v>23</v>
          </cell>
          <cell r="L823">
            <v>23</v>
          </cell>
          <cell r="M823">
            <v>20</v>
          </cell>
          <cell r="N823">
            <v>21</v>
          </cell>
          <cell r="P823">
            <v>1483</v>
          </cell>
        </row>
        <row r="824">
          <cell r="A824">
            <v>24</v>
          </cell>
          <cell r="B824">
            <v>47.5</v>
          </cell>
          <cell r="C824">
            <v>49</v>
          </cell>
          <cell r="D824">
            <v>22</v>
          </cell>
          <cell r="F824">
            <v>25</v>
          </cell>
          <cell r="G824">
            <v>23</v>
          </cell>
          <cell r="H824">
            <v>25</v>
          </cell>
          <cell r="I824">
            <v>20</v>
          </cell>
          <cell r="K824">
            <v>22</v>
          </cell>
          <cell r="L824">
            <v>23</v>
          </cell>
          <cell r="M824">
            <v>22</v>
          </cell>
          <cell r="N824">
            <v>23</v>
          </cell>
          <cell r="P824">
            <v>1484</v>
          </cell>
        </row>
        <row r="825">
          <cell r="A825">
            <v>21</v>
          </cell>
          <cell r="B825">
            <v>40</v>
          </cell>
          <cell r="C825">
            <v>37</v>
          </cell>
          <cell r="D825">
            <v>18</v>
          </cell>
          <cell r="F825">
            <v>21</v>
          </cell>
          <cell r="G825">
            <v>20</v>
          </cell>
          <cell r="H825">
            <v>19</v>
          </cell>
          <cell r="I825">
            <v>17</v>
          </cell>
          <cell r="K825">
            <v>19</v>
          </cell>
          <cell r="L825">
            <v>24</v>
          </cell>
          <cell r="M825">
            <v>16</v>
          </cell>
          <cell r="N825">
            <v>20</v>
          </cell>
          <cell r="P825">
            <v>1486</v>
          </cell>
        </row>
        <row r="826">
          <cell r="A826">
            <v>12</v>
          </cell>
          <cell r="B826">
            <v>36</v>
          </cell>
          <cell r="C826">
            <v>45</v>
          </cell>
          <cell r="D826">
            <v>11</v>
          </cell>
          <cell r="F826">
            <v>21</v>
          </cell>
          <cell r="G826">
            <v>22</v>
          </cell>
          <cell r="H826">
            <v>23</v>
          </cell>
          <cell r="I826">
            <v>15</v>
          </cell>
          <cell r="K826">
            <v>19</v>
          </cell>
          <cell r="L826">
            <v>21</v>
          </cell>
          <cell r="M826">
            <v>16</v>
          </cell>
          <cell r="N826">
            <v>19</v>
          </cell>
          <cell r="P826">
            <v>1487</v>
          </cell>
        </row>
        <row r="827">
          <cell r="A827">
            <v>22</v>
          </cell>
          <cell r="B827">
            <v>43</v>
          </cell>
          <cell r="C827">
            <v>49</v>
          </cell>
          <cell r="D827">
            <v>20</v>
          </cell>
          <cell r="F827">
            <v>24</v>
          </cell>
          <cell r="G827">
            <v>23</v>
          </cell>
          <cell r="H827">
            <v>21</v>
          </cell>
          <cell r="I827">
            <v>20</v>
          </cell>
          <cell r="K827">
            <v>21</v>
          </cell>
          <cell r="L827">
            <v>23</v>
          </cell>
          <cell r="M827">
            <v>20</v>
          </cell>
          <cell r="N827">
            <v>19</v>
          </cell>
          <cell r="P827">
            <v>1488</v>
          </cell>
        </row>
        <row r="828">
          <cell r="A828">
            <v>23</v>
          </cell>
          <cell r="B828">
            <v>45.5</v>
          </cell>
          <cell r="C828">
            <v>49</v>
          </cell>
          <cell r="D828">
            <v>23</v>
          </cell>
          <cell r="F828">
            <v>21</v>
          </cell>
          <cell r="G828">
            <v>22</v>
          </cell>
          <cell r="H828">
            <v>21</v>
          </cell>
          <cell r="I828">
            <v>22</v>
          </cell>
          <cell r="K828">
            <v>22</v>
          </cell>
          <cell r="L828">
            <v>25</v>
          </cell>
          <cell r="M828">
            <v>21</v>
          </cell>
          <cell r="N828">
            <v>24</v>
          </cell>
          <cell r="P828">
            <v>1490</v>
          </cell>
        </row>
        <row r="829">
          <cell r="A829">
            <v>22</v>
          </cell>
          <cell r="B829">
            <v>47.5</v>
          </cell>
          <cell r="C829">
            <v>49</v>
          </cell>
          <cell r="D829">
            <v>20</v>
          </cell>
          <cell r="F829">
            <v>24</v>
          </cell>
          <cell r="G829">
            <v>22</v>
          </cell>
          <cell r="H829">
            <v>23</v>
          </cell>
          <cell r="I829">
            <v>21</v>
          </cell>
          <cell r="K829">
            <v>21</v>
          </cell>
          <cell r="L829">
            <v>23</v>
          </cell>
          <cell r="M829">
            <v>23</v>
          </cell>
          <cell r="N829">
            <v>23</v>
          </cell>
          <cell r="P829">
            <v>1492</v>
          </cell>
        </row>
        <row r="830">
          <cell r="A830">
            <v>21</v>
          </cell>
          <cell r="B830">
            <v>48.5</v>
          </cell>
          <cell r="C830">
            <v>49</v>
          </cell>
          <cell r="D830">
            <v>21</v>
          </cell>
          <cell r="F830">
            <v>24</v>
          </cell>
          <cell r="G830">
            <v>22</v>
          </cell>
          <cell r="H830">
            <v>21</v>
          </cell>
          <cell r="I830">
            <v>19</v>
          </cell>
          <cell r="K830">
            <v>19</v>
          </cell>
          <cell r="L830">
            <v>25</v>
          </cell>
          <cell r="M830">
            <v>14</v>
          </cell>
          <cell r="N830">
            <v>21</v>
          </cell>
          <cell r="P830">
            <v>1493</v>
          </cell>
        </row>
        <row r="831">
          <cell r="A831">
            <v>22</v>
          </cell>
          <cell r="B831">
            <v>42.5</v>
          </cell>
          <cell r="C831">
            <v>50</v>
          </cell>
          <cell r="D831">
            <v>22</v>
          </cell>
          <cell r="F831">
            <v>22</v>
          </cell>
          <cell r="G831">
            <v>22</v>
          </cell>
          <cell r="H831">
            <v>25</v>
          </cell>
          <cell r="I831">
            <v>22</v>
          </cell>
          <cell r="K831">
            <v>23</v>
          </cell>
          <cell r="L831">
            <v>25</v>
          </cell>
          <cell r="M831">
            <v>23</v>
          </cell>
          <cell r="N831">
            <v>20</v>
          </cell>
          <cell r="P831">
            <v>1494</v>
          </cell>
        </row>
        <row r="832">
          <cell r="A832">
            <v>25</v>
          </cell>
          <cell r="B832">
            <v>47.5</v>
          </cell>
          <cell r="C832">
            <v>50</v>
          </cell>
          <cell r="D832">
            <v>20</v>
          </cell>
          <cell r="F832">
            <v>23</v>
          </cell>
          <cell r="G832">
            <v>22</v>
          </cell>
          <cell r="H832">
            <v>25</v>
          </cell>
          <cell r="I832">
            <v>24</v>
          </cell>
          <cell r="K832">
            <v>21</v>
          </cell>
          <cell r="L832">
            <v>24</v>
          </cell>
          <cell r="M832">
            <v>22</v>
          </cell>
          <cell r="N832">
            <v>22</v>
          </cell>
          <cell r="P832">
            <v>1501</v>
          </cell>
        </row>
        <row r="833">
          <cell r="A833">
            <v>25</v>
          </cell>
          <cell r="B833">
            <v>47</v>
          </cell>
          <cell r="C833">
            <v>49</v>
          </cell>
          <cell r="D833">
            <v>21</v>
          </cell>
          <cell r="F833">
            <v>25</v>
          </cell>
          <cell r="G833">
            <v>23</v>
          </cell>
          <cell r="H833">
            <v>23</v>
          </cell>
          <cell r="I833">
            <v>19</v>
          </cell>
          <cell r="K833">
            <v>24</v>
          </cell>
          <cell r="L833">
            <v>23</v>
          </cell>
          <cell r="M833">
            <v>21</v>
          </cell>
          <cell r="N833">
            <v>24</v>
          </cell>
          <cell r="P833">
            <v>1502</v>
          </cell>
        </row>
        <row r="834">
          <cell r="A834">
            <v>24</v>
          </cell>
          <cell r="B834">
            <v>42</v>
          </cell>
          <cell r="C834">
            <v>39</v>
          </cell>
          <cell r="D834">
            <v>21</v>
          </cell>
          <cell r="F834">
            <v>25</v>
          </cell>
          <cell r="G834">
            <v>24</v>
          </cell>
          <cell r="H834">
            <v>20</v>
          </cell>
          <cell r="I834">
            <v>21</v>
          </cell>
          <cell r="K834">
            <v>20</v>
          </cell>
          <cell r="L834">
            <v>23</v>
          </cell>
          <cell r="M834">
            <v>21</v>
          </cell>
          <cell r="N834">
            <v>22</v>
          </cell>
          <cell r="P834">
            <v>1503</v>
          </cell>
        </row>
        <row r="835">
          <cell r="A835">
            <v>21</v>
          </cell>
          <cell r="B835">
            <v>36</v>
          </cell>
          <cell r="C835">
            <v>39</v>
          </cell>
          <cell r="D835">
            <v>14</v>
          </cell>
          <cell r="F835">
            <v>22</v>
          </cell>
          <cell r="G835">
            <v>20</v>
          </cell>
          <cell r="H835">
            <v>20</v>
          </cell>
          <cell r="I835">
            <v>15</v>
          </cell>
          <cell r="K835">
            <v>16</v>
          </cell>
          <cell r="L835">
            <v>22</v>
          </cell>
          <cell r="M835">
            <v>15</v>
          </cell>
          <cell r="N835">
            <v>20</v>
          </cell>
          <cell r="P835">
            <v>1505</v>
          </cell>
        </row>
        <row r="836">
          <cell r="A836">
            <v>19</v>
          </cell>
          <cell r="B836">
            <v>40</v>
          </cell>
          <cell r="C836">
            <v>44</v>
          </cell>
          <cell r="D836">
            <v>19</v>
          </cell>
          <cell r="F836">
            <v>20</v>
          </cell>
          <cell r="G836">
            <v>23</v>
          </cell>
          <cell r="H836">
            <v>21</v>
          </cell>
          <cell r="I836">
            <v>20</v>
          </cell>
          <cell r="K836">
            <v>17</v>
          </cell>
          <cell r="L836">
            <v>22</v>
          </cell>
          <cell r="M836">
            <v>17</v>
          </cell>
          <cell r="N836">
            <v>24</v>
          </cell>
          <cell r="P836">
            <v>1506</v>
          </cell>
        </row>
        <row r="837">
          <cell r="A837">
            <v>23</v>
          </cell>
          <cell r="B837">
            <v>47.5</v>
          </cell>
          <cell r="C837">
            <v>50</v>
          </cell>
          <cell r="D837">
            <v>23</v>
          </cell>
          <cell r="F837">
            <v>24</v>
          </cell>
          <cell r="G837">
            <v>24</v>
          </cell>
          <cell r="H837">
            <v>22</v>
          </cell>
          <cell r="I837">
            <v>21</v>
          </cell>
          <cell r="K837">
            <v>24</v>
          </cell>
          <cell r="L837">
            <v>24</v>
          </cell>
          <cell r="M837">
            <v>16</v>
          </cell>
          <cell r="N837">
            <v>19</v>
          </cell>
          <cell r="P837">
            <v>1508</v>
          </cell>
        </row>
        <row r="838">
          <cell r="A838">
            <v>22</v>
          </cell>
          <cell r="B838">
            <v>47</v>
          </cell>
          <cell r="C838">
            <v>49</v>
          </cell>
          <cell r="D838">
            <v>22</v>
          </cell>
          <cell r="F838">
            <v>25</v>
          </cell>
          <cell r="G838">
            <v>23</v>
          </cell>
          <cell r="H838">
            <v>24</v>
          </cell>
          <cell r="I838">
            <v>22</v>
          </cell>
          <cell r="K838">
            <v>17</v>
          </cell>
          <cell r="L838">
            <v>25</v>
          </cell>
          <cell r="M838">
            <v>20</v>
          </cell>
          <cell r="N838">
            <v>23</v>
          </cell>
          <cell r="P838">
            <v>1511</v>
          </cell>
        </row>
        <row r="839">
          <cell r="A839">
            <v>22</v>
          </cell>
          <cell r="B839">
            <v>40</v>
          </cell>
          <cell r="C839">
            <v>44</v>
          </cell>
          <cell r="D839">
            <v>20</v>
          </cell>
          <cell r="F839">
            <v>17</v>
          </cell>
          <cell r="G839">
            <v>24</v>
          </cell>
          <cell r="H839">
            <v>20</v>
          </cell>
          <cell r="I839">
            <v>19</v>
          </cell>
          <cell r="K839">
            <v>20</v>
          </cell>
          <cell r="L839">
            <v>25</v>
          </cell>
          <cell r="M839">
            <v>17</v>
          </cell>
          <cell r="N839">
            <v>21</v>
          </cell>
          <cell r="P839">
            <v>1513</v>
          </cell>
        </row>
        <row r="840">
          <cell r="A840">
            <v>25</v>
          </cell>
          <cell r="B840">
            <v>47.5</v>
          </cell>
          <cell r="C840">
            <v>50</v>
          </cell>
          <cell r="D840">
            <v>24</v>
          </cell>
          <cell r="F840">
            <v>25</v>
          </cell>
          <cell r="G840">
            <v>24</v>
          </cell>
          <cell r="H840">
            <v>24</v>
          </cell>
          <cell r="I840">
            <v>24</v>
          </cell>
          <cell r="K840">
            <v>24</v>
          </cell>
          <cell r="L840">
            <v>25</v>
          </cell>
          <cell r="M840">
            <v>23</v>
          </cell>
          <cell r="N840">
            <v>24</v>
          </cell>
          <cell r="P840">
            <v>1515</v>
          </cell>
        </row>
        <row r="841">
          <cell r="A841">
            <v>21</v>
          </cell>
          <cell r="B841">
            <v>46.5</v>
          </cell>
          <cell r="C841">
            <v>50</v>
          </cell>
          <cell r="D841">
            <v>19</v>
          </cell>
          <cell r="F841">
            <v>24.5</v>
          </cell>
          <cell r="G841">
            <v>23</v>
          </cell>
          <cell r="H841">
            <v>24</v>
          </cell>
          <cell r="I841">
            <v>18</v>
          </cell>
          <cell r="K841">
            <v>20</v>
          </cell>
          <cell r="L841">
            <v>25</v>
          </cell>
          <cell r="M841">
            <v>20</v>
          </cell>
          <cell r="N841">
            <v>25</v>
          </cell>
          <cell r="P841">
            <v>1517</v>
          </cell>
        </row>
        <row r="842">
          <cell r="A842">
            <v>18</v>
          </cell>
          <cell r="B842">
            <v>26</v>
          </cell>
          <cell r="C842">
            <v>28</v>
          </cell>
          <cell r="D842">
            <v>13</v>
          </cell>
          <cell r="F842">
            <v>24</v>
          </cell>
          <cell r="G842">
            <v>23</v>
          </cell>
          <cell r="H842">
            <v>12</v>
          </cell>
          <cell r="I842">
            <v>11</v>
          </cell>
          <cell r="K842">
            <v>17</v>
          </cell>
          <cell r="L842">
            <v>24</v>
          </cell>
          <cell r="M842">
            <v>8</v>
          </cell>
          <cell r="N842">
            <v>17</v>
          </cell>
          <cell r="P842">
            <v>1518</v>
          </cell>
        </row>
        <row r="843">
          <cell r="A843">
            <v>20</v>
          </cell>
          <cell r="B843">
            <v>41.5</v>
          </cell>
          <cell r="C843">
            <v>43</v>
          </cell>
          <cell r="D843">
            <v>21</v>
          </cell>
          <cell r="F843">
            <v>23</v>
          </cell>
          <cell r="G843">
            <v>24</v>
          </cell>
          <cell r="H843">
            <v>23</v>
          </cell>
          <cell r="I843">
            <v>19</v>
          </cell>
          <cell r="K843">
            <v>23</v>
          </cell>
          <cell r="L843">
            <v>25</v>
          </cell>
          <cell r="M843">
            <v>18</v>
          </cell>
          <cell r="N843">
            <v>20</v>
          </cell>
          <cell r="P843">
            <v>1520</v>
          </cell>
        </row>
        <row r="844">
          <cell r="A844">
            <v>24</v>
          </cell>
          <cell r="B844">
            <v>29.5</v>
          </cell>
          <cell r="C844">
            <v>36</v>
          </cell>
          <cell r="D844">
            <v>19</v>
          </cell>
          <cell r="F844">
            <v>24.5</v>
          </cell>
          <cell r="G844">
            <v>20.5</v>
          </cell>
          <cell r="H844">
            <v>17</v>
          </cell>
          <cell r="I844">
            <v>17</v>
          </cell>
          <cell r="K844">
            <v>23</v>
          </cell>
          <cell r="L844">
            <v>22</v>
          </cell>
          <cell r="M844">
            <v>22</v>
          </cell>
          <cell r="N844">
            <v>11</v>
          </cell>
          <cell r="P844">
            <v>1523</v>
          </cell>
        </row>
        <row r="845">
          <cell r="A845">
            <v>24</v>
          </cell>
          <cell r="B845">
            <v>48.5</v>
          </cell>
          <cell r="C845">
            <v>50</v>
          </cell>
          <cell r="D845">
            <v>23</v>
          </cell>
          <cell r="F845">
            <v>22</v>
          </cell>
          <cell r="G845">
            <v>23</v>
          </cell>
          <cell r="H845">
            <v>24</v>
          </cell>
          <cell r="I845">
            <v>23</v>
          </cell>
          <cell r="K845">
            <v>25</v>
          </cell>
          <cell r="L845">
            <v>25</v>
          </cell>
          <cell r="M845">
            <v>22</v>
          </cell>
          <cell r="N845">
            <v>25</v>
          </cell>
          <cell r="P845">
            <v>1524</v>
          </cell>
        </row>
        <row r="846">
          <cell r="A846">
            <v>24</v>
          </cell>
          <cell r="B846">
            <v>47.5</v>
          </cell>
          <cell r="C846">
            <v>49</v>
          </cell>
          <cell r="D846">
            <v>22</v>
          </cell>
          <cell r="F846">
            <v>24</v>
          </cell>
          <cell r="G846">
            <v>24</v>
          </cell>
          <cell r="H846">
            <v>25</v>
          </cell>
          <cell r="I846">
            <v>20</v>
          </cell>
          <cell r="K846">
            <v>23</v>
          </cell>
          <cell r="L846">
            <v>24</v>
          </cell>
          <cell r="M846">
            <v>18</v>
          </cell>
          <cell r="N846">
            <v>18</v>
          </cell>
          <cell r="P846">
            <v>1525</v>
          </cell>
        </row>
        <row r="847">
          <cell r="A847">
            <v>19</v>
          </cell>
          <cell r="B847">
            <v>46</v>
          </cell>
          <cell r="C847">
            <v>49</v>
          </cell>
          <cell r="D847">
            <v>16</v>
          </cell>
          <cell r="F847">
            <v>24</v>
          </cell>
          <cell r="G847">
            <v>21.5</v>
          </cell>
          <cell r="H847">
            <v>22</v>
          </cell>
          <cell r="I847">
            <v>16</v>
          </cell>
          <cell r="K847">
            <v>21</v>
          </cell>
          <cell r="L847">
            <v>25</v>
          </cell>
          <cell r="M847">
            <v>21</v>
          </cell>
          <cell r="N847">
            <v>20</v>
          </cell>
          <cell r="P847">
            <v>1526</v>
          </cell>
        </row>
        <row r="848">
          <cell r="A848">
            <v>24</v>
          </cell>
          <cell r="B848">
            <v>42.5</v>
          </cell>
          <cell r="C848">
            <v>44</v>
          </cell>
          <cell r="D848">
            <v>21</v>
          </cell>
          <cell r="F848">
            <v>24.5</v>
          </cell>
          <cell r="G848">
            <v>19.5</v>
          </cell>
          <cell r="H848">
            <v>23</v>
          </cell>
          <cell r="I848">
            <v>21</v>
          </cell>
          <cell r="K848">
            <v>23</v>
          </cell>
          <cell r="L848">
            <v>22</v>
          </cell>
          <cell r="M848">
            <v>18</v>
          </cell>
          <cell r="N848">
            <v>24</v>
          </cell>
          <cell r="P848">
            <v>1527</v>
          </cell>
        </row>
        <row r="849">
          <cell r="A849" t="str">
            <v>غ</v>
          </cell>
          <cell r="B849">
            <v>47</v>
          </cell>
          <cell r="C849">
            <v>39</v>
          </cell>
          <cell r="D849">
            <v>17</v>
          </cell>
          <cell r="F849">
            <v>18.5</v>
          </cell>
          <cell r="G849">
            <v>21</v>
          </cell>
          <cell r="H849">
            <v>21</v>
          </cell>
          <cell r="I849">
            <v>18</v>
          </cell>
          <cell r="K849">
            <v>22</v>
          </cell>
          <cell r="L849">
            <v>23</v>
          </cell>
          <cell r="M849">
            <v>17</v>
          </cell>
          <cell r="N849">
            <v>25</v>
          </cell>
          <cell r="P849">
            <v>1528</v>
          </cell>
        </row>
        <row r="850">
          <cell r="A850">
            <v>16</v>
          </cell>
          <cell r="B850">
            <v>29.5</v>
          </cell>
          <cell r="C850">
            <v>25</v>
          </cell>
          <cell r="D850">
            <v>11</v>
          </cell>
          <cell r="F850">
            <v>19</v>
          </cell>
          <cell r="G850">
            <v>21.5</v>
          </cell>
          <cell r="H850">
            <v>19</v>
          </cell>
          <cell r="K850">
            <v>16</v>
          </cell>
          <cell r="L850">
            <v>19</v>
          </cell>
          <cell r="M850">
            <v>16</v>
          </cell>
          <cell r="N850">
            <v>12</v>
          </cell>
          <cell r="P850">
            <v>1530</v>
          </cell>
        </row>
        <row r="851">
          <cell r="A851">
            <v>14</v>
          </cell>
          <cell r="B851">
            <v>35</v>
          </cell>
          <cell r="C851">
            <v>45</v>
          </cell>
          <cell r="D851">
            <v>18</v>
          </cell>
          <cell r="F851">
            <v>22</v>
          </cell>
          <cell r="G851">
            <v>22.5</v>
          </cell>
          <cell r="H851">
            <v>18</v>
          </cell>
          <cell r="I851">
            <v>21</v>
          </cell>
          <cell r="K851">
            <v>16</v>
          </cell>
          <cell r="L851">
            <v>22</v>
          </cell>
          <cell r="M851">
            <v>14</v>
          </cell>
          <cell r="N851">
            <v>16</v>
          </cell>
          <cell r="P851">
            <v>1532</v>
          </cell>
        </row>
        <row r="852">
          <cell r="A852">
            <v>22</v>
          </cell>
          <cell r="B852">
            <v>32</v>
          </cell>
          <cell r="C852">
            <v>45</v>
          </cell>
          <cell r="D852">
            <v>19</v>
          </cell>
          <cell r="F852">
            <v>24</v>
          </cell>
          <cell r="G852">
            <v>19</v>
          </cell>
          <cell r="H852">
            <v>17</v>
          </cell>
          <cell r="I852">
            <v>17</v>
          </cell>
          <cell r="K852">
            <v>17</v>
          </cell>
          <cell r="L852">
            <v>22</v>
          </cell>
          <cell r="M852">
            <v>9</v>
          </cell>
          <cell r="N852">
            <v>14</v>
          </cell>
          <cell r="P852">
            <v>1535</v>
          </cell>
        </row>
        <row r="853">
          <cell r="A853">
            <v>20</v>
          </cell>
          <cell r="B853">
            <v>40</v>
          </cell>
          <cell r="C853">
            <v>43</v>
          </cell>
          <cell r="D853">
            <v>20</v>
          </cell>
          <cell r="F853">
            <v>22</v>
          </cell>
          <cell r="G853">
            <v>21</v>
          </cell>
          <cell r="H853">
            <v>21</v>
          </cell>
          <cell r="I853">
            <v>18</v>
          </cell>
          <cell r="K853">
            <v>19</v>
          </cell>
          <cell r="L853">
            <v>24</v>
          </cell>
          <cell r="M853">
            <v>22</v>
          </cell>
          <cell r="N853">
            <v>23</v>
          </cell>
          <cell r="P853">
            <v>1538</v>
          </cell>
        </row>
        <row r="854">
          <cell r="A854">
            <v>19</v>
          </cell>
          <cell r="B854">
            <v>34.5</v>
          </cell>
          <cell r="C854">
            <v>34</v>
          </cell>
          <cell r="D854">
            <v>16</v>
          </cell>
          <cell r="F854">
            <v>22</v>
          </cell>
          <cell r="G854">
            <v>20</v>
          </cell>
          <cell r="H854">
            <v>16</v>
          </cell>
          <cell r="I854">
            <v>12</v>
          </cell>
          <cell r="K854">
            <v>21</v>
          </cell>
          <cell r="L854">
            <v>21</v>
          </cell>
          <cell r="M854">
            <v>15</v>
          </cell>
          <cell r="N854">
            <v>12</v>
          </cell>
          <cell r="P854">
            <v>1539</v>
          </cell>
        </row>
        <row r="855">
          <cell r="A855">
            <v>17.5</v>
          </cell>
          <cell r="B855">
            <v>42.5</v>
          </cell>
          <cell r="C855">
            <v>45</v>
          </cell>
          <cell r="D855">
            <v>19</v>
          </cell>
          <cell r="F855">
            <v>25</v>
          </cell>
          <cell r="G855">
            <v>22.5</v>
          </cell>
          <cell r="H855">
            <v>22</v>
          </cell>
          <cell r="I855">
            <v>17</v>
          </cell>
          <cell r="K855">
            <v>19</v>
          </cell>
          <cell r="L855">
            <v>24</v>
          </cell>
          <cell r="M855">
            <v>20</v>
          </cell>
          <cell r="N855">
            <v>22</v>
          </cell>
          <cell r="P855">
            <v>1540</v>
          </cell>
        </row>
        <row r="856">
          <cell r="A856">
            <v>22.5</v>
          </cell>
          <cell r="B856">
            <v>46</v>
          </cell>
          <cell r="C856">
            <v>47</v>
          </cell>
          <cell r="D856">
            <v>23</v>
          </cell>
          <cell r="F856">
            <v>24.5</v>
          </cell>
          <cell r="G856">
            <v>22.5</v>
          </cell>
          <cell r="H856">
            <v>23</v>
          </cell>
          <cell r="I856">
            <v>20</v>
          </cell>
          <cell r="K856">
            <v>23</v>
          </cell>
          <cell r="L856">
            <v>25</v>
          </cell>
          <cell r="M856">
            <v>22</v>
          </cell>
          <cell r="N856">
            <v>25</v>
          </cell>
          <cell r="P856">
            <v>1542</v>
          </cell>
        </row>
        <row r="857">
          <cell r="A857">
            <v>21</v>
          </cell>
          <cell r="B857">
            <v>48.5</v>
          </cell>
          <cell r="C857">
            <v>50</v>
          </cell>
          <cell r="D857">
            <v>22</v>
          </cell>
          <cell r="F857">
            <v>24</v>
          </cell>
          <cell r="G857">
            <v>22.5</v>
          </cell>
          <cell r="H857">
            <v>23</v>
          </cell>
          <cell r="I857">
            <v>21</v>
          </cell>
          <cell r="K857">
            <v>25</v>
          </cell>
          <cell r="L857">
            <v>25</v>
          </cell>
          <cell r="M857">
            <v>23</v>
          </cell>
          <cell r="N857">
            <v>21</v>
          </cell>
          <cell r="P857">
            <v>1546</v>
          </cell>
        </row>
        <row r="858">
          <cell r="A858">
            <v>22</v>
          </cell>
          <cell r="B858">
            <v>43</v>
          </cell>
          <cell r="C858">
            <v>47</v>
          </cell>
          <cell r="D858">
            <v>19</v>
          </cell>
          <cell r="F858">
            <v>24</v>
          </cell>
          <cell r="G858">
            <v>23</v>
          </cell>
          <cell r="H858">
            <v>22</v>
          </cell>
          <cell r="I858">
            <v>17</v>
          </cell>
          <cell r="K858">
            <v>17</v>
          </cell>
          <cell r="L858">
            <v>22</v>
          </cell>
          <cell r="M858">
            <v>20</v>
          </cell>
          <cell r="N858">
            <v>21</v>
          </cell>
          <cell r="P858">
            <v>1548</v>
          </cell>
        </row>
        <row r="859">
          <cell r="A859">
            <v>25</v>
          </cell>
          <cell r="B859">
            <v>48.5</v>
          </cell>
          <cell r="C859">
            <v>50</v>
          </cell>
          <cell r="D859">
            <v>21</v>
          </cell>
          <cell r="F859">
            <v>25</v>
          </cell>
          <cell r="G859">
            <v>21.5</v>
          </cell>
          <cell r="H859">
            <v>22</v>
          </cell>
          <cell r="I859">
            <v>11</v>
          </cell>
          <cell r="K859">
            <v>21</v>
          </cell>
          <cell r="L859">
            <v>25</v>
          </cell>
          <cell r="M859">
            <v>20</v>
          </cell>
          <cell r="N859">
            <v>22</v>
          </cell>
          <cell r="P859">
            <v>1550</v>
          </cell>
        </row>
        <row r="860">
          <cell r="A860">
            <v>23</v>
          </cell>
          <cell r="B860">
            <v>46</v>
          </cell>
          <cell r="C860">
            <v>41</v>
          </cell>
          <cell r="D860">
            <v>20</v>
          </cell>
          <cell r="F860">
            <v>21.5</v>
          </cell>
          <cell r="G860">
            <v>21.5</v>
          </cell>
          <cell r="H860">
            <v>18</v>
          </cell>
          <cell r="I860">
            <v>22</v>
          </cell>
          <cell r="K860">
            <v>23</v>
          </cell>
          <cell r="L860">
            <v>23</v>
          </cell>
          <cell r="M860">
            <v>17</v>
          </cell>
          <cell r="N860">
            <v>20</v>
          </cell>
          <cell r="P860">
            <v>1551</v>
          </cell>
        </row>
        <row r="861">
          <cell r="A861">
            <v>22</v>
          </cell>
          <cell r="B861">
            <v>40</v>
          </cell>
          <cell r="C861">
            <v>45</v>
          </cell>
          <cell r="D861">
            <v>18</v>
          </cell>
          <cell r="F861">
            <v>23</v>
          </cell>
          <cell r="G861">
            <v>21</v>
          </cell>
          <cell r="H861">
            <v>22</v>
          </cell>
          <cell r="I861">
            <v>20</v>
          </cell>
          <cell r="K861">
            <v>23</v>
          </cell>
          <cell r="L861">
            <v>23</v>
          </cell>
          <cell r="M861">
            <v>18</v>
          </cell>
          <cell r="N861">
            <v>24</v>
          </cell>
          <cell r="P861">
            <v>1552</v>
          </cell>
        </row>
        <row r="862">
          <cell r="A862">
            <v>22</v>
          </cell>
          <cell r="B862">
            <v>47.5</v>
          </cell>
          <cell r="C862">
            <v>49</v>
          </cell>
          <cell r="D862">
            <v>20</v>
          </cell>
          <cell r="F862">
            <v>23</v>
          </cell>
          <cell r="G862">
            <v>22</v>
          </cell>
          <cell r="H862">
            <v>20</v>
          </cell>
          <cell r="I862">
            <v>17</v>
          </cell>
          <cell r="K862">
            <v>22</v>
          </cell>
          <cell r="L862">
            <v>25</v>
          </cell>
          <cell r="M862">
            <v>20</v>
          </cell>
          <cell r="N862">
            <v>19</v>
          </cell>
          <cell r="P862">
            <v>1553</v>
          </cell>
        </row>
        <row r="863">
          <cell r="A863">
            <v>19</v>
          </cell>
          <cell r="B863">
            <v>38.5</v>
          </cell>
          <cell r="C863">
            <v>20</v>
          </cell>
          <cell r="D863">
            <v>18</v>
          </cell>
          <cell r="F863">
            <v>19</v>
          </cell>
          <cell r="G863">
            <v>20</v>
          </cell>
          <cell r="H863">
            <v>22</v>
          </cell>
          <cell r="I863">
            <v>16</v>
          </cell>
          <cell r="K863">
            <v>16</v>
          </cell>
          <cell r="L863">
            <v>18</v>
          </cell>
          <cell r="M863">
            <v>15</v>
          </cell>
          <cell r="N863">
            <v>19</v>
          </cell>
          <cell r="P863">
            <v>1555</v>
          </cell>
        </row>
        <row r="864">
          <cell r="A864">
            <v>24</v>
          </cell>
          <cell r="B864">
            <v>45</v>
          </cell>
          <cell r="C864">
            <v>49</v>
          </cell>
          <cell r="D864">
            <v>20</v>
          </cell>
          <cell r="F864">
            <v>23</v>
          </cell>
          <cell r="G864">
            <v>23</v>
          </cell>
          <cell r="H864">
            <v>25</v>
          </cell>
          <cell r="I864">
            <v>21</v>
          </cell>
          <cell r="K864">
            <v>23</v>
          </cell>
          <cell r="L864">
            <v>25</v>
          </cell>
          <cell r="M864">
            <v>22</v>
          </cell>
          <cell r="N864">
            <v>25</v>
          </cell>
          <cell r="P864">
            <v>1557</v>
          </cell>
        </row>
        <row r="865">
          <cell r="A865">
            <v>24</v>
          </cell>
          <cell r="B865">
            <v>49</v>
          </cell>
          <cell r="C865">
            <v>50</v>
          </cell>
          <cell r="D865">
            <v>21</v>
          </cell>
          <cell r="F865">
            <v>24.5</v>
          </cell>
          <cell r="G865">
            <v>21.5</v>
          </cell>
          <cell r="H865">
            <v>22</v>
          </cell>
          <cell r="I865">
            <v>22</v>
          </cell>
          <cell r="K865">
            <v>22</v>
          </cell>
          <cell r="L865">
            <v>25</v>
          </cell>
          <cell r="M865">
            <v>23</v>
          </cell>
          <cell r="N865">
            <v>23</v>
          </cell>
          <cell r="P865">
            <v>1559</v>
          </cell>
        </row>
        <row r="866">
          <cell r="A866">
            <v>25</v>
          </cell>
          <cell r="B866">
            <v>49</v>
          </cell>
          <cell r="C866">
            <v>50</v>
          </cell>
          <cell r="D866">
            <v>22</v>
          </cell>
          <cell r="F866">
            <v>25</v>
          </cell>
          <cell r="G866">
            <v>23</v>
          </cell>
          <cell r="H866">
            <v>25</v>
          </cell>
          <cell r="I866">
            <v>22</v>
          </cell>
          <cell r="K866">
            <v>22</v>
          </cell>
          <cell r="L866">
            <v>25</v>
          </cell>
          <cell r="M866">
            <v>23</v>
          </cell>
          <cell r="N866">
            <v>24</v>
          </cell>
          <cell r="P866">
            <v>1560</v>
          </cell>
        </row>
        <row r="867">
          <cell r="A867">
            <v>22</v>
          </cell>
          <cell r="B867">
            <v>45</v>
          </cell>
          <cell r="C867">
            <v>45</v>
          </cell>
          <cell r="D867">
            <v>20</v>
          </cell>
          <cell r="F867">
            <v>24</v>
          </cell>
          <cell r="G867">
            <v>21.5</v>
          </cell>
          <cell r="H867">
            <v>24</v>
          </cell>
          <cell r="I867">
            <v>20</v>
          </cell>
          <cell r="K867">
            <v>22</v>
          </cell>
          <cell r="L867">
            <v>24</v>
          </cell>
          <cell r="M867">
            <v>20</v>
          </cell>
          <cell r="N867">
            <v>20</v>
          </cell>
          <cell r="P867">
            <v>1561</v>
          </cell>
        </row>
        <row r="868">
          <cell r="A868">
            <v>23</v>
          </cell>
          <cell r="B868">
            <v>42.5</v>
          </cell>
          <cell r="C868">
            <v>49</v>
          </cell>
          <cell r="D868">
            <v>22</v>
          </cell>
          <cell r="F868">
            <v>24.5</v>
          </cell>
          <cell r="G868">
            <v>24</v>
          </cell>
          <cell r="H868">
            <v>23</v>
          </cell>
          <cell r="I868">
            <v>22</v>
          </cell>
          <cell r="K868">
            <v>25</v>
          </cell>
          <cell r="L868">
            <v>24</v>
          </cell>
          <cell r="M868">
            <v>21</v>
          </cell>
          <cell r="N868">
            <v>17</v>
          </cell>
          <cell r="P868">
            <v>1562</v>
          </cell>
        </row>
        <row r="869">
          <cell r="A869">
            <v>24</v>
          </cell>
          <cell r="B869">
            <v>46</v>
          </cell>
          <cell r="C869">
            <v>49</v>
          </cell>
          <cell r="D869">
            <v>21</v>
          </cell>
          <cell r="F869">
            <v>24.5</v>
          </cell>
          <cell r="G869">
            <v>21.5</v>
          </cell>
          <cell r="H869">
            <v>23</v>
          </cell>
          <cell r="I869">
            <v>21</v>
          </cell>
          <cell r="K869">
            <v>23</v>
          </cell>
          <cell r="L869">
            <v>24</v>
          </cell>
          <cell r="M869">
            <v>21</v>
          </cell>
          <cell r="N869">
            <v>19</v>
          </cell>
          <cell r="P869">
            <v>1563</v>
          </cell>
        </row>
        <row r="870">
          <cell r="A870">
            <v>21</v>
          </cell>
          <cell r="B870">
            <v>36.5</v>
          </cell>
          <cell r="C870">
            <v>35</v>
          </cell>
          <cell r="D870">
            <v>17</v>
          </cell>
          <cell r="F870">
            <v>25</v>
          </cell>
          <cell r="G870">
            <v>19</v>
          </cell>
          <cell r="H870">
            <v>22</v>
          </cell>
          <cell r="I870">
            <v>17</v>
          </cell>
          <cell r="K870">
            <v>20</v>
          </cell>
          <cell r="L870">
            <v>23</v>
          </cell>
          <cell r="M870">
            <v>18</v>
          </cell>
          <cell r="N870">
            <v>18</v>
          </cell>
          <cell r="P870">
            <v>1566</v>
          </cell>
        </row>
        <row r="871">
          <cell r="A871">
            <v>21</v>
          </cell>
          <cell r="B871">
            <v>47</v>
          </cell>
          <cell r="C871">
            <v>48</v>
          </cell>
          <cell r="D871">
            <v>16</v>
          </cell>
          <cell r="F871">
            <v>23.5</v>
          </cell>
          <cell r="G871">
            <v>21</v>
          </cell>
          <cell r="H871">
            <v>23</v>
          </cell>
          <cell r="I871">
            <v>20</v>
          </cell>
          <cell r="K871">
            <v>23</v>
          </cell>
          <cell r="L871">
            <v>24</v>
          </cell>
          <cell r="M871">
            <v>19</v>
          </cell>
          <cell r="N871">
            <v>24</v>
          </cell>
          <cell r="P871">
            <v>1568</v>
          </cell>
        </row>
        <row r="872">
          <cell r="A872">
            <v>24</v>
          </cell>
          <cell r="B872">
            <v>42</v>
          </cell>
          <cell r="C872">
            <v>44</v>
          </cell>
          <cell r="D872">
            <v>20</v>
          </cell>
          <cell r="F872">
            <v>23.5</v>
          </cell>
          <cell r="G872">
            <v>22.5</v>
          </cell>
          <cell r="H872">
            <v>22</v>
          </cell>
          <cell r="I872">
            <v>21</v>
          </cell>
          <cell r="K872">
            <v>20</v>
          </cell>
          <cell r="L872">
            <v>23</v>
          </cell>
          <cell r="M872">
            <v>22</v>
          </cell>
          <cell r="N872">
            <v>17</v>
          </cell>
          <cell r="P872">
            <v>1570</v>
          </cell>
        </row>
        <row r="873">
          <cell r="A873">
            <v>22</v>
          </cell>
          <cell r="B873">
            <v>46.5</v>
          </cell>
          <cell r="C873">
            <v>44</v>
          </cell>
          <cell r="D873">
            <v>19</v>
          </cell>
          <cell r="F873">
            <v>22.5</v>
          </cell>
          <cell r="G873">
            <v>22.5</v>
          </cell>
          <cell r="H873">
            <v>22</v>
          </cell>
          <cell r="I873">
            <v>16</v>
          </cell>
          <cell r="K873">
            <v>22</v>
          </cell>
          <cell r="L873">
            <v>25</v>
          </cell>
          <cell r="M873">
            <v>18</v>
          </cell>
          <cell r="N873">
            <v>25</v>
          </cell>
          <cell r="P873">
            <v>1572</v>
          </cell>
        </row>
        <row r="874">
          <cell r="A874">
            <v>20</v>
          </cell>
          <cell r="B874">
            <v>28.5</v>
          </cell>
          <cell r="C874">
            <v>36</v>
          </cell>
          <cell r="D874">
            <v>14</v>
          </cell>
          <cell r="F874">
            <v>23</v>
          </cell>
          <cell r="G874">
            <v>20</v>
          </cell>
          <cell r="H874">
            <v>17</v>
          </cell>
          <cell r="I874">
            <v>16</v>
          </cell>
          <cell r="K874">
            <v>22</v>
          </cell>
          <cell r="L874">
            <v>22</v>
          </cell>
          <cell r="M874">
            <v>21</v>
          </cell>
          <cell r="N874">
            <v>15</v>
          </cell>
          <cell r="P874">
            <v>1573</v>
          </cell>
        </row>
        <row r="875">
          <cell r="A875">
            <v>21</v>
          </cell>
          <cell r="B875">
            <v>42.5</v>
          </cell>
          <cell r="C875">
            <v>43</v>
          </cell>
          <cell r="D875">
            <v>19</v>
          </cell>
          <cell r="F875">
            <v>22.5</v>
          </cell>
          <cell r="G875">
            <v>20.5</v>
          </cell>
          <cell r="H875">
            <v>21</v>
          </cell>
          <cell r="I875">
            <v>16</v>
          </cell>
          <cell r="K875">
            <v>23</v>
          </cell>
          <cell r="L875">
            <v>22</v>
          </cell>
          <cell r="M875">
            <v>22</v>
          </cell>
          <cell r="N875">
            <v>17</v>
          </cell>
          <cell r="P875">
            <v>1574</v>
          </cell>
        </row>
        <row r="876">
          <cell r="A876">
            <v>23</v>
          </cell>
          <cell r="B876">
            <v>45.5</v>
          </cell>
          <cell r="C876">
            <v>50</v>
          </cell>
          <cell r="D876">
            <v>23</v>
          </cell>
          <cell r="F876">
            <v>24</v>
          </cell>
          <cell r="G876">
            <v>24</v>
          </cell>
          <cell r="H876">
            <v>22</v>
          </cell>
          <cell r="I876">
            <v>20</v>
          </cell>
          <cell r="K876">
            <v>21</v>
          </cell>
          <cell r="L876">
            <v>25</v>
          </cell>
          <cell r="M876">
            <v>21</v>
          </cell>
          <cell r="N876">
            <v>25</v>
          </cell>
          <cell r="P876">
            <v>1575</v>
          </cell>
        </row>
        <row r="877">
          <cell r="A877">
            <v>19</v>
          </cell>
          <cell r="B877">
            <v>29</v>
          </cell>
          <cell r="C877">
            <v>30</v>
          </cell>
          <cell r="D877">
            <v>13</v>
          </cell>
          <cell r="F877">
            <v>24</v>
          </cell>
          <cell r="G877">
            <v>19</v>
          </cell>
          <cell r="H877">
            <v>12</v>
          </cell>
          <cell r="I877">
            <v>14</v>
          </cell>
          <cell r="K877">
            <v>16</v>
          </cell>
          <cell r="L877">
            <v>23</v>
          </cell>
          <cell r="M877">
            <v>18</v>
          </cell>
          <cell r="N877">
            <v>11</v>
          </cell>
          <cell r="P877">
            <v>1576</v>
          </cell>
        </row>
        <row r="878">
          <cell r="A878">
            <v>24</v>
          </cell>
          <cell r="B878">
            <v>47.5</v>
          </cell>
          <cell r="C878">
            <v>50</v>
          </cell>
          <cell r="D878">
            <v>22</v>
          </cell>
          <cell r="F878">
            <v>23</v>
          </cell>
          <cell r="G878">
            <v>22.5</v>
          </cell>
          <cell r="H878">
            <v>24</v>
          </cell>
          <cell r="I878">
            <v>23</v>
          </cell>
          <cell r="K878">
            <v>22</v>
          </cell>
          <cell r="L878">
            <v>25</v>
          </cell>
          <cell r="M878">
            <v>24</v>
          </cell>
          <cell r="N878">
            <v>22</v>
          </cell>
          <cell r="P878">
            <v>1577</v>
          </cell>
        </row>
        <row r="879">
          <cell r="A879">
            <v>24</v>
          </cell>
          <cell r="B879">
            <v>46.5</v>
          </cell>
          <cell r="C879">
            <v>49</v>
          </cell>
          <cell r="D879">
            <v>23</v>
          </cell>
          <cell r="F879">
            <v>25</v>
          </cell>
          <cell r="G879">
            <v>22</v>
          </cell>
          <cell r="H879">
            <v>25</v>
          </cell>
          <cell r="I879">
            <v>22</v>
          </cell>
          <cell r="K879">
            <v>23</v>
          </cell>
          <cell r="L879">
            <v>24</v>
          </cell>
          <cell r="M879">
            <v>24</v>
          </cell>
          <cell r="N879">
            <v>23</v>
          </cell>
          <cell r="P879">
            <v>1578</v>
          </cell>
        </row>
        <row r="880">
          <cell r="A880">
            <v>25</v>
          </cell>
          <cell r="B880">
            <v>47.5</v>
          </cell>
          <cell r="C880">
            <v>50</v>
          </cell>
          <cell r="D880">
            <v>24</v>
          </cell>
          <cell r="F880">
            <v>24</v>
          </cell>
          <cell r="G880">
            <v>25</v>
          </cell>
          <cell r="H880">
            <v>24</v>
          </cell>
          <cell r="I880">
            <v>21</v>
          </cell>
          <cell r="K880">
            <v>23</v>
          </cell>
          <cell r="L880">
            <v>25</v>
          </cell>
          <cell r="M880">
            <v>23</v>
          </cell>
          <cell r="N880">
            <v>23</v>
          </cell>
          <cell r="P880">
            <v>1579</v>
          </cell>
        </row>
        <row r="881">
          <cell r="A881">
            <v>25</v>
          </cell>
          <cell r="B881">
            <v>48.5</v>
          </cell>
          <cell r="C881">
            <v>50</v>
          </cell>
          <cell r="D881">
            <v>23</v>
          </cell>
          <cell r="F881">
            <v>24</v>
          </cell>
          <cell r="G881">
            <v>24</v>
          </cell>
          <cell r="H881">
            <v>25</v>
          </cell>
          <cell r="I881">
            <v>23</v>
          </cell>
          <cell r="K881">
            <v>25</v>
          </cell>
          <cell r="L881">
            <v>25</v>
          </cell>
          <cell r="M881">
            <v>24</v>
          </cell>
          <cell r="N881">
            <v>25</v>
          </cell>
          <cell r="P881">
            <v>1580</v>
          </cell>
        </row>
        <row r="882">
          <cell r="A882">
            <v>25</v>
          </cell>
          <cell r="B882">
            <v>47.5</v>
          </cell>
          <cell r="C882">
            <v>50</v>
          </cell>
          <cell r="D882">
            <v>24</v>
          </cell>
          <cell r="F882">
            <v>25</v>
          </cell>
          <cell r="G882">
            <v>24</v>
          </cell>
          <cell r="H882">
            <v>25</v>
          </cell>
          <cell r="I882">
            <v>21</v>
          </cell>
          <cell r="K882">
            <v>25</v>
          </cell>
          <cell r="L882">
            <v>24</v>
          </cell>
          <cell r="M882">
            <v>24</v>
          </cell>
          <cell r="N882">
            <v>25</v>
          </cell>
          <cell r="P882">
            <v>1581</v>
          </cell>
        </row>
        <row r="883">
          <cell r="A883">
            <v>25</v>
          </cell>
          <cell r="B883">
            <v>47</v>
          </cell>
          <cell r="C883">
            <v>49</v>
          </cell>
          <cell r="D883">
            <v>21</v>
          </cell>
          <cell r="F883">
            <v>25</v>
          </cell>
          <cell r="G883">
            <v>22</v>
          </cell>
          <cell r="H883">
            <v>25</v>
          </cell>
          <cell r="I883">
            <v>20</v>
          </cell>
          <cell r="K883">
            <v>23</v>
          </cell>
          <cell r="L883">
            <v>25</v>
          </cell>
          <cell r="M883">
            <v>23</v>
          </cell>
          <cell r="N883">
            <v>25</v>
          </cell>
          <cell r="P883">
            <v>1582</v>
          </cell>
        </row>
        <row r="884">
          <cell r="A884">
            <v>22</v>
          </cell>
          <cell r="B884">
            <v>49</v>
          </cell>
          <cell r="C884">
            <v>50</v>
          </cell>
          <cell r="D884">
            <v>23</v>
          </cell>
          <cell r="F884">
            <v>25</v>
          </cell>
          <cell r="G884">
            <v>21.5</v>
          </cell>
          <cell r="H884">
            <v>22</v>
          </cell>
          <cell r="I884">
            <v>20</v>
          </cell>
          <cell r="K884">
            <v>24</v>
          </cell>
          <cell r="L884">
            <v>25</v>
          </cell>
          <cell r="M884">
            <v>23</v>
          </cell>
          <cell r="N884">
            <v>24</v>
          </cell>
          <cell r="P884">
            <v>1583</v>
          </cell>
        </row>
        <row r="885">
          <cell r="A885">
            <v>21</v>
          </cell>
          <cell r="B885">
            <v>42</v>
          </cell>
          <cell r="C885">
            <v>49</v>
          </cell>
          <cell r="D885">
            <v>21</v>
          </cell>
          <cell r="F885">
            <v>24</v>
          </cell>
          <cell r="G885">
            <v>24</v>
          </cell>
          <cell r="H885">
            <v>24</v>
          </cell>
          <cell r="I885">
            <v>19</v>
          </cell>
          <cell r="K885">
            <v>21</v>
          </cell>
          <cell r="L885">
            <v>24</v>
          </cell>
          <cell r="M885">
            <v>21</v>
          </cell>
          <cell r="N885">
            <v>24</v>
          </cell>
          <cell r="P885">
            <v>1584</v>
          </cell>
        </row>
        <row r="886">
          <cell r="A886">
            <v>22</v>
          </cell>
          <cell r="B886">
            <v>46.5</v>
          </cell>
          <cell r="C886">
            <v>49</v>
          </cell>
          <cell r="D886">
            <v>23</v>
          </cell>
          <cell r="F886">
            <v>22</v>
          </cell>
          <cell r="G886">
            <v>21</v>
          </cell>
          <cell r="H886">
            <v>20</v>
          </cell>
          <cell r="I886">
            <v>18</v>
          </cell>
          <cell r="K886">
            <v>21</v>
          </cell>
          <cell r="L886">
            <v>23</v>
          </cell>
          <cell r="M886">
            <v>20</v>
          </cell>
          <cell r="N886">
            <v>22</v>
          </cell>
          <cell r="P886">
            <v>1585</v>
          </cell>
        </row>
        <row r="887">
          <cell r="A887">
            <v>25</v>
          </cell>
          <cell r="B887">
            <v>47.5</v>
          </cell>
          <cell r="C887">
            <v>50</v>
          </cell>
          <cell r="D887">
            <v>22</v>
          </cell>
          <cell r="F887">
            <v>24</v>
          </cell>
          <cell r="G887">
            <v>24</v>
          </cell>
          <cell r="H887">
            <v>25</v>
          </cell>
          <cell r="I887">
            <v>23</v>
          </cell>
          <cell r="K887">
            <v>23</v>
          </cell>
          <cell r="L887">
            <v>25</v>
          </cell>
          <cell r="M887">
            <v>23</v>
          </cell>
          <cell r="N887">
            <v>24</v>
          </cell>
          <cell r="P887">
            <v>1586</v>
          </cell>
        </row>
        <row r="888">
          <cell r="A888">
            <v>23</v>
          </cell>
          <cell r="B888">
            <v>47.5</v>
          </cell>
          <cell r="C888">
            <v>50</v>
          </cell>
          <cell r="D888">
            <v>19</v>
          </cell>
          <cell r="F888">
            <v>23</v>
          </cell>
          <cell r="G888">
            <v>20</v>
          </cell>
          <cell r="H888">
            <v>24</v>
          </cell>
          <cell r="I888">
            <v>20</v>
          </cell>
          <cell r="K888">
            <v>20</v>
          </cell>
          <cell r="L888">
            <v>25</v>
          </cell>
          <cell r="M888">
            <v>23</v>
          </cell>
          <cell r="N888">
            <v>25</v>
          </cell>
          <cell r="P888">
            <v>1587</v>
          </cell>
        </row>
        <row r="889">
          <cell r="A889">
            <v>23</v>
          </cell>
          <cell r="B889">
            <v>47.5</v>
          </cell>
          <cell r="C889">
            <v>50</v>
          </cell>
          <cell r="D889">
            <v>21</v>
          </cell>
          <cell r="F889">
            <v>25</v>
          </cell>
          <cell r="G889">
            <v>22.5</v>
          </cell>
          <cell r="H889">
            <v>24</v>
          </cell>
          <cell r="I889">
            <v>19</v>
          </cell>
          <cell r="K889">
            <v>23</v>
          </cell>
          <cell r="L889">
            <v>24</v>
          </cell>
          <cell r="M889">
            <v>21</v>
          </cell>
          <cell r="N889">
            <v>21</v>
          </cell>
          <cell r="P889">
            <v>1588</v>
          </cell>
        </row>
        <row r="890">
          <cell r="A890">
            <v>20</v>
          </cell>
          <cell r="B890">
            <v>38.5</v>
          </cell>
          <cell r="C890">
            <v>46</v>
          </cell>
          <cell r="D890">
            <v>16</v>
          </cell>
          <cell r="F890">
            <v>24</v>
          </cell>
          <cell r="G890">
            <v>24</v>
          </cell>
          <cell r="H890">
            <v>25</v>
          </cell>
          <cell r="I890">
            <v>18</v>
          </cell>
          <cell r="K890">
            <v>22</v>
          </cell>
          <cell r="L890">
            <v>24</v>
          </cell>
          <cell r="M890">
            <v>21</v>
          </cell>
          <cell r="N890">
            <v>23</v>
          </cell>
          <cell r="P890">
            <v>1589</v>
          </cell>
        </row>
        <row r="891">
          <cell r="A891">
            <v>21</v>
          </cell>
          <cell r="B891">
            <v>47</v>
          </cell>
          <cell r="C891">
            <v>49</v>
          </cell>
          <cell r="D891">
            <v>20</v>
          </cell>
          <cell r="F891">
            <v>24</v>
          </cell>
          <cell r="G891">
            <v>23</v>
          </cell>
          <cell r="H891">
            <v>24</v>
          </cell>
          <cell r="I891">
            <v>23</v>
          </cell>
          <cell r="K891">
            <v>25</v>
          </cell>
          <cell r="L891">
            <v>24</v>
          </cell>
          <cell r="M891">
            <v>21</v>
          </cell>
          <cell r="N891">
            <v>23</v>
          </cell>
          <cell r="P891">
            <v>1590</v>
          </cell>
        </row>
        <row r="892">
          <cell r="A892">
            <v>22</v>
          </cell>
          <cell r="B892">
            <v>45.5</v>
          </cell>
          <cell r="C892">
            <v>48</v>
          </cell>
          <cell r="D892">
            <v>21</v>
          </cell>
          <cell r="F892">
            <v>24</v>
          </cell>
          <cell r="G892">
            <v>22.5</v>
          </cell>
          <cell r="H892">
            <v>25</v>
          </cell>
          <cell r="I892">
            <v>24</v>
          </cell>
          <cell r="K892">
            <v>23</v>
          </cell>
          <cell r="L892">
            <v>25</v>
          </cell>
          <cell r="M892">
            <v>24</v>
          </cell>
          <cell r="N892">
            <v>23</v>
          </cell>
          <cell r="P892">
            <v>1591</v>
          </cell>
        </row>
        <row r="893">
          <cell r="A893">
            <v>24</v>
          </cell>
          <cell r="B893">
            <v>46.5</v>
          </cell>
          <cell r="C893">
            <v>49</v>
          </cell>
          <cell r="D893">
            <v>21</v>
          </cell>
          <cell r="F893">
            <v>25</v>
          </cell>
          <cell r="G893">
            <v>22</v>
          </cell>
          <cell r="H893">
            <v>25</v>
          </cell>
          <cell r="I893">
            <v>20</v>
          </cell>
          <cell r="K893">
            <v>24</v>
          </cell>
          <cell r="L893">
            <v>25</v>
          </cell>
          <cell r="M893">
            <v>20</v>
          </cell>
          <cell r="N893">
            <v>25</v>
          </cell>
          <cell r="P893">
            <v>1593</v>
          </cell>
        </row>
        <row r="894">
          <cell r="A894">
            <v>19</v>
          </cell>
          <cell r="B894">
            <v>39</v>
          </cell>
          <cell r="C894">
            <v>42</v>
          </cell>
          <cell r="D894">
            <v>18</v>
          </cell>
          <cell r="F894">
            <v>20</v>
          </cell>
          <cell r="G894">
            <v>16</v>
          </cell>
          <cell r="H894">
            <v>21</v>
          </cell>
          <cell r="I894">
            <v>18</v>
          </cell>
          <cell r="K894">
            <v>22</v>
          </cell>
          <cell r="L894">
            <v>24</v>
          </cell>
          <cell r="M894">
            <v>21</v>
          </cell>
          <cell r="N894">
            <v>23</v>
          </cell>
          <cell r="P894">
            <v>1594</v>
          </cell>
        </row>
        <row r="895">
          <cell r="A895">
            <v>21</v>
          </cell>
          <cell r="B895">
            <v>36.5</v>
          </cell>
          <cell r="C895">
            <v>38</v>
          </cell>
          <cell r="D895">
            <v>17</v>
          </cell>
          <cell r="F895">
            <v>23</v>
          </cell>
          <cell r="G895">
            <v>23</v>
          </cell>
          <cell r="H895">
            <v>21</v>
          </cell>
          <cell r="I895">
            <v>16</v>
          </cell>
          <cell r="K895">
            <v>20</v>
          </cell>
          <cell r="L895">
            <v>24</v>
          </cell>
          <cell r="M895">
            <v>18</v>
          </cell>
          <cell r="N895">
            <v>18</v>
          </cell>
          <cell r="P895">
            <v>1595</v>
          </cell>
        </row>
        <row r="896">
          <cell r="A896">
            <v>24</v>
          </cell>
          <cell r="B896">
            <v>49.5</v>
          </cell>
          <cell r="C896">
            <v>50</v>
          </cell>
          <cell r="D896">
            <v>23</v>
          </cell>
          <cell r="F896">
            <v>25</v>
          </cell>
          <cell r="G896">
            <v>22</v>
          </cell>
          <cell r="H896">
            <v>25</v>
          </cell>
          <cell r="I896">
            <v>22</v>
          </cell>
          <cell r="K896">
            <v>25</v>
          </cell>
          <cell r="L896">
            <v>25</v>
          </cell>
          <cell r="M896">
            <v>23</v>
          </cell>
          <cell r="N896">
            <v>25</v>
          </cell>
          <cell r="P896">
            <v>1596</v>
          </cell>
        </row>
        <row r="897">
          <cell r="A897">
            <v>22</v>
          </cell>
          <cell r="B897">
            <v>49.5</v>
          </cell>
          <cell r="C897">
            <v>48</v>
          </cell>
          <cell r="D897">
            <v>22</v>
          </cell>
          <cell r="F897">
            <v>22</v>
          </cell>
          <cell r="G897">
            <v>22</v>
          </cell>
          <cell r="H897">
            <v>25</v>
          </cell>
          <cell r="I897">
            <v>23</v>
          </cell>
          <cell r="K897">
            <v>23</v>
          </cell>
          <cell r="L897">
            <v>23</v>
          </cell>
          <cell r="M897">
            <v>23</v>
          </cell>
          <cell r="N897">
            <v>25</v>
          </cell>
          <cell r="P897">
            <v>1598</v>
          </cell>
        </row>
        <row r="898">
          <cell r="A898">
            <v>25</v>
          </cell>
          <cell r="B898">
            <v>47</v>
          </cell>
          <cell r="C898">
            <v>50</v>
          </cell>
          <cell r="D898">
            <v>22</v>
          </cell>
          <cell r="F898">
            <v>25</v>
          </cell>
          <cell r="G898">
            <v>24</v>
          </cell>
          <cell r="H898">
            <v>25</v>
          </cell>
          <cell r="I898">
            <v>23</v>
          </cell>
          <cell r="K898">
            <v>25</v>
          </cell>
          <cell r="L898">
            <v>25</v>
          </cell>
          <cell r="M898">
            <v>24</v>
          </cell>
          <cell r="N898">
            <v>23</v>
          </cell>
          <cell r="P898">
            <v>1599</v>
          </cell>
        </row>
        <row r="899">
          <cell r="A899">
            <v>23</v>
          </cell>
          <cell r="B899">
            <v>46</v>
          </cell>
          <cell r="C899">
            <v>50</v>
          </cell>
          <cell r="D899">
            <v>22</v>
          </cell>
          <cell r="F899">
            <v>23</v>
          </cell>
          <cell r="G899">
            <v>21.5</v>
          </cell>
          <cell r="H899">
            <v>24</v>
          </cell>
          <cell r="I899">
            <v>20</v>
          </cell>
          <cell r="K899">
            <v>24</v>
          </cell>
          <cell r="L899">
            <v>23</v>
          </cell>
          <cell r="M899">
            <v>21</v>
          </cell>
          <cell r="N899">
            <v>23</v>
          </cell>
          <cell r="P899">
            <v>1600</v>
          </cell>
        </row>
        <row r="900">
          <cell r="A900">
            <v>23</v>
          </cell>
          <cell r="B900">
            <v>45</v>
          </cell>
          <cell r="C900">
            <v>48</v>
          </cell>
          <cell r="D900">
            <v>21</v>
          </cell>
          <cell r="F900">
            <v>24</v>
          </cell>
          <cell r="G900">
            <v>22.5</v>
          </cell>
          <cell r="H900">
            <v>24</v>
          </cell>
          <cell r="I900">
            <v>23</v>
          </cell>
          <cell r="K900">
            <v>23</v>
          </cell>
          <cell r="L900">
            <v>24</v>
          </cell>
          <cell r="M900">
            <v>23</v>
          </cell>
          <cell r="N900">
            <v>22</v>
          </cell>
          <cell r="P900">
            <v>1601</v>
          </cell>
        </row>
        <row r="901">
          <cell r="A901">
            <v>23</v>
          </cell>
          <cell r="B901">
            <v>47.5</v>
          </cell>
          <cell r="C901">
            <v>50</v>
          </cell>
          <cell r="D901">
            <v>23</v>
          </cell>
          <cell r="F901">
            <v>24</v>
          </cell>
          <cell r="G901">
            <v>25</v>
          </cell>
          <cell r="H901">
            <v>25</v>
          </cell>
          <cell r="I901">
            <v>21</v>
          </cell>
          <cell r="K901">
            <v>24</v>
          </cell>
          <cell r="L901">
            <v>25</v>
          </cell>
          <cell r="M901">
            <v>21</v>
          </cell>
          <cell r="N901">
            <v>24</v>
          </cell>
          <cell r="P901">
            <v>1602</v>
          </cell>
        </row>
        <row r="902">
          <cell r="A902">
            <v>19</v>
          </cell>
          <cell r="B902">
            <v>46</v>
          </cell>
          <cell r="C902">
            <v>45</v>
          </cell>
          <cell r="D902">
            <v>16</v>
          </cell>
          <cell r="F902">
            <v>23</v>
          </cell>
          <cell r="G902">
            <v>23</v>
          </cell>
          <cell r="H902">
            <v>21</v>
          </cell>
          <cell r="I902">
            <v>16</v>
          </cell>
          <cell r="K902">
            <v>23</v>
          </cell>
          <cell r="L902">
            <v>24</v>
          </cell>
          <cell r="M902">
            <v>18</v>
          </cell>
          <cell r="N902">
            <v>20</v>
          </cell>
          <cell r="P902">
            <v>1603</v>
          </cell>
        </row>
        <row r="903">
          <cell r="A903">
            <v>24</v>
          </cell>
          <cell r="B903">
            <v>49.5</v>
          </cell>
          <cell r="C903">
            <v>50</v>
          </cell>
          <cell r="D903">
            <v>22</v>
          </cell>
          <cell r="F903">
            <v>25</v>
          </cell>
          <cell r="G903">
            <v>24</v>
          </cell>
          <cell r="H903">
            <v>25</v>
          </cell>
          <cell r="I903">
            <v>21</v>
          </cell>
          <cell r="K903">
            <v>23</v>
          </cell>
          <cell r="L903">
            <v>25</v>
          </cell>
          <cell r="M903">
            <v>23</v>
          </cell>
          <cell r="N903">
            <v>24</v>
          </cell>
          <cell r="P903">
            <v>1604</v>
          </cell>
        </row>
        <row r="904">
          <cell r="A904">
            <v>23</v>
          </cell>
          <cell r="B904">
            <v>49</v>
          </cell>
          <cell r="C904">
            <v>50</v>
          </cell>
          <cell r="D904">
            <v>20</v>
          </cell>
          <cell r="F904">
            <v>23</v>
          </cell>
          <cell r="G904">
            <v>23</v>
          </cell>
          <cell r="H904">
            <v>23</v>
          </cell>
          <cell r="I904">
            <v>22</v>
          </cell>
          <cell r="K904">
            <v>23</v>
          </cell>
          <cell r="L904">
            <v>25</v>
          </cell>
          <cell r="M904">
            <v>23</v>
          </cell>
          <cell r="N904">
            <v>25</v>
          </cell>
          <cell r="P904">
            <v>1606</v>
          </cell>
        </row>
        <row r="905">
          <cell r="A905">
            <v>21</v>
          </cell>
          <cell r="B905">
            <v>35.5</v>
          </cell>
          <cell r="C905">
            <v>27</v>
          </cell>
          <cell r="D905">
            <v>20</v>
          </cell>
          <cell r="F905">
            <v>19</v>
          </cell>
          <cell r="G905">
            <v>22</v>
          </cell>
          <cell r="H905">
            <v>21</v>
          </cell>
          <cell r="I905">
            <v>23</v>
          </cell>
          <cell r="K905">
            <v>22</v>
          </cell>
          <cell r="L905">
            <v>23</v>
          </cell>
          <cell r="M905">
            <v>18</v>
          </cell>
          <cell r="N905">
            <v>24</v>
          </cell>
          <cell r="P905">
            <v>1607</v>
          </cell>
        </row>
        <row r="906">
          <cell r="A906">
            <v>24</v>
          </cell>
          <cell r="B906">
            <v>48.5</v>
          </cell>
          <cell r="C906">
            <v>49</v>
          </cell>
          <cell r="D906">
            <v>23</v>
          </cell>
          <cell r="F906">
            <v>24</v>
          </cell>
          <cell r="G906">
            <v>23</v>
          </cell>
          <cell r="H906">
            <v>25</v>
          </cell>
          <cell r="I906">
            <v>22</v>
          </cell>
          <cell r="K906">
            <v>23</v>
          </cell>
          <cell r="L906">
            <v>24</v>
          </cell>
          <cell r="M906">
            <v>22</v>
          </cell>
          <cell r="N906">
            <v>24</v>
          </cell>
          <cell r="P906">
            <v>1611</v>
          </cell>
        </row>
        <row r="907">
          <cell r="A907">
            <v>24</v>
          </cell>
          <cell r="B907">
            <v>47</v>
          </cell>
          <cell r="C907">
            <v>47</v>
          </cell>
          <cell r="D907">
            <v>22</v>
          </cell>
          <cell r="F907">
            <v>24</v>
          </cell>
          <cell r="G907">
            <v>23</v>
          </cell>
          <cell r="H907">
            <v>22</v>
          </cell>
          <cell r="I907">
            <v>23</v>
          </cell>
          <cell r="K907">
            <v>21</v>
          </cell>
          <cell r="L907">
            <v>23</v>
          </cell>
          <cell r="M907">
            <v>23</v>
          </cell>
          <cell r="N907">
            <v>23</v>
          </cell>
          <cell r="P907">
            <v>1612</v>
          </cell>
        </row>
        <row r="908">
          <cell r="A908">
            <v>24</v>
          </cell>
          <cell r="B908">
            <v>40</v>
          </cell>
          <cell r="C908">
            <v>49</v>
          </cell>
          <cell r="D908">
            <v>24</v>
          </cell>
          <cell r="F908">
            <v>25</v>
          </cell>
          <cell r="G908">
            <v>23</v>
          </cell>
          <cell r="H908">
            <v>23</v>
          </cell>
          <cell r="I908">
            <v>20</v>
          </cell>
          <cell r="K908">
            <v>20</v>
          </cell>
          <cell r="L908">
            <v>21</v>
          </cell>
          <cell r="M908">
            <v>23</v>
          </cell>
          <cell r="N908">
            <v>24</v>
          </cell>
          <cell r="P908">
            <v>1613</v>
          </cell>
        </row>
        <row r="909">
          <cell r="A909">
            <v>10</v>
          </cell>
          <cell r="B909">
            <v>38.5</v>
          </cell>
          <cell r="C909">
            <v>47</v>
          </cell>
          <cell r="D909">
            <v>15</v>
          </cell>
          <cell r="F909">
            <v>18</v>
          </cell>
          <cell r="G909">
            <v>23.5</v>
          </cell>
          <cell r="H909">
            <v>21</v>
          </cell>
          <cell r="I909">
            <v>20</v>
          </cell>
          <cell r="K909">
            <v>22</v>
          </cell>
          <cell r="L909">
            <v>25</v>
          </cell>
          <cell r="M909">
            <v>17</v>
          </cell>
          <cell r="N909">
            <v>23</v>
          </cell>
          <cell r="P909">
            <v>1614</v>
          </cell>
        </row>
        <row r="910">
          <cell r="A910">
            <v>22</v>
          </cell>
          <cell r="B910">
            <v>39.5</v>
          </cell>
          <cell r="C910">
            <v>49</v>
          </cell>
          <cell r="D910">
            <v>17</v>
          </cell>
          <cell r="F910">
            <v>24</v>
          </cell>
          <cell r="G910">
            <v>23</v>
          </cell>
          <cell r="H910">
            <v>24</v>
          </cell>
          <cell r="I910">
            <v>16</v>
          </cell>
          <cell r="K910">
            <v>21</v>
          </cell>
          <cell r="L910">
            <v>24</v>
          </cell>
          <cell r="M910">
            <v>21</v>
          </cell>
          <cell r="N910">
            <v>16</v>
          </cell>
          <cell r="P910">
            <v>1616</v>
          </cell>
        </row>
        <row r="911">
          <cell r="A911">
            <v>24</v>
          </cell>
          <cell r="B911">
            <v>48</v>
          </cell>
          <cell r="C911">
            <v>50</v>
          </cell>
          <cell r="D911">
            <v>23</v>
          </cell>
          <cell r="F911">
            <v>23</v>
          </cell>
          <cell r="G911">
            <v>21</v>
          </cell>
          <cell r="H911">
            <v>24</v>
          </cell>
          <cell r="I911">
            <v>22</v>
          </cell>
          <cell r="K911">
            <v>19</v>
          </cell>
          <cell r="L911">
            <v>25</v>
          </cell>
          <cell r="M911">
            <v>22</v>
          </cell>
          <cell r="N911">
            <v>24</v>
          </cell>
          <cell r="P911">
            <v>1617</v>
          </cell>
        </row>
        <row r="912">
          <cell r="A912">
            <v>24</v>
          </cell>
          <cell r="B912">
            <v>49.5</v>
          </cell>
          <cell r="C912">
            <v>50</v>
          </cell>
          <cell r="D912">
            <v>24</v>
          </cell>
          <cell r="F912">
            <v>25</v>
          </cell>
          <cell r="G912">
            <v>24</v>
          </cell>
          <cell r="H912">
            <v>25</v>
          </cell>
          <cell r="I912">
            <v>23</v>
          </cell>
          <cell r="K912">
            <v>25</v>
          </cell>
          <cell r="L912">
            <v>25</v>
          </cell>
          <cell r="M912">
            <v>23</v>
          </cell>
          <cell r="N912">
            <v>24</v>
          </cell>
          <cell r="P912">
            <v>1619</v>
          </cell>
        </row>
        <row r="913">
          <cell r="A913">
            <v>23</v>
          </cell>
          <cell r="B913">
            <v>45.5</v>
          </cell>
          <cell r="C913">
            <v>49</v>
          </cell>
          <cell r="D913">
            <v>21</v>
          </cell>
          <cell r="F913">
            <v>24</v>
          </cell>
          <cell r="G913">
            <v>22.5</v>
          </cell>
          <cell r="H913">
            <v>24</v>
          </cell>
          <cell r="I913">
            <v>17</v>
          </cell>
          <cell r="K913">
            <v>21</v>
          </cell>
          <cell r="L913">
            <v>23</v>
          </cell>
          <cell r="M913">
            <v>17</v>
          </cell>
          <cell r="N913">
            <v>21</v>
          </cell>
          <cell r="P913">
            <v>1633</v>
          </cell>
        </row>
        <row r="914">
          <cell r="A914">
            <v>22</v>
          </cell>
          <cell r="B914">
            <v>45.5</v>
          </cell>
          <cell r="C914">
            <v>41</v>
          </cell>
          <cell r="D914">
            <v>21</v>
          </cell>
          <cell r="F914">
            <v>24</v>
          </cell>
          <cell r="G914">
            <v>22.5</v>
          </cell>
          <cell r="H914">
            <v>21</v>
          </cell>
          <cell r="I914">
            <v>23</v>
          </cell>
          <cell r="K914">
            <v>21</v>
          </cell>
          <cell r="L914">
            <v>25</v>
          </cell>
          <cell r="M914">
            <v>19</v>
          </cell>
          <cell r="N914">
            <v>25</v>
          </cell>
          <cell r="P914">
            <v>1634</v>
          </cell>
        </row>
        <row r="915">
          <cell r="A915">
            <v>21</v>
          </cell>
          <cell r="B915">
            <v>46</v>
          </cell>
          <cell r="C915">
            <v>49</v>
          </cell>
          <cell r="D915">
            <v>24</v>
          </cell>
          <cell r="F915">
            <v>25</v>
          </cell>
          <cell r="G915">
            <v>22</v>
          </cell>
          <cell r="H915">
            <v>25</v>
          </cell>
          <cell r="I915">
            <v>22</v>
          </cell>
          <cell r="K915">
            <v>25</v>
          </cell>
          <cell r="L915">
            <v>24</v>
          </cell>
          <cell r="M915">
            <v>23</v>
          </cell>
          <cell r="N915">
            <v>22</v>
          </cell>
          <cell r="P915">
            <v>1635</v>
          </cell>
        </row>
        <row r="916">
          <cell r="A916">
            <v>17</v>
          </cell>
          <cell r="B916">
            <v>26.5</v>
          </cell>
          <cell r="C916">
            <v>31</v>
          </cell>
          <cell r="D916">
            <v>12</v>
          </cell>
          <cell r="F916">
            <v>25</v>
          </cell>
          <cell r="G916">
            <v>21</v>
          </cell>
          <cell r="H916">
            <v>19</v>
          </cell>
          <cell r="I916">
            <v>10</v>
          </cell>
          <cell r="K916">
            <v>20</v>
          </cell>
          <cell r="L916">
            <v>21</v>
          </cell>
          <cell r="M916">
            <v>10</v>
          </cell>
          <cell r="N916">
            <v>10</v>
          </cell>
          <cell r="P916">
            <v>1636</v>
          </cell>
        </row>
        <row r="917">
          <cell r="A917">
            <v>23</v>
          </cell>
          <cell r="B917">
            <v>43</v>
          </cell>
          <cell r="C917">
            <v>48</v>
          </cell>
          <cell r="D917">
            <v>23</v>
          </cell>
          <cell r="F917">
            <v>24</v>
          </cell>
          <cell r="G917">
            <v>25</v>
          </cell>
          <cell r="H917">
            <v>24</v>
          </cell>
          <cell r="I917">
            <v>23</v>
          </cell>
          <cell r="K917">
            <v>22</v>
          </cell>
          <cell r="L917">
            <v>24</v>
          </cell>
          <cell r="M917">
            <v>21</v>
          </cell>
          <cell r="N917">
            <v>25</v>
          </cell>
          <cell r="P917">
            <v>1637</v>
          </cell>
        </row>
        <row r="918">
          <cell r="A918">
            <v>21</v>
          </cell>
          <cell r="B918">
            <v>31</v>
          </cell>
          <cell r="C918">
            <v>36</v>
          </cell>
          <cell r="D918">
            <v>14</v>
          </cell>
          <cell r="F918">
            <v>25</v>
          </cell>
          <cell r="G918">
            <v>18.5</v>
          </cell>
          <cell r="H918">
            <v>21</v>
          </cell>
          <cell r="I918">
            <v>15</v>
          </cell>
          <cell r="K918">
            <v>21</v>
          </cell>
          <cell r="L918">
            <v>21</v>
          </cell>
          <cell r="M918">
            <v>15</v>
          </cell>
          <cell r="N918">
            <v>18</v>
          </cell>
          <cell r="P918">
            <v>1638</v>
          </cell>
        </row>
        <row r="919">
          <cell r="A919">
            <v>20</v>
          </cell>
          <cell r="B919">
            <v>34.5</v>
          </cell>
          <cell r="C919">
            <v>46</v>
          </cell>
          <cell r="D919">
            <v>13</v>
          </cell>
          <cell r="F919">
            <v>22</v>
          </cell>
          <cell r="G919">
            <v>23</v>
          </cell>
          <cell r="H919">
            <v>22</v>
          </cell>
          <cell r="I919">
            <v>17</v>
          </cell>
          <cell r="K919">
            <v>19</v>
          </cell>
          <cell r="L919">
            <v>23</v>
          </cell>
          <cell r="M919">
            <v>22</v>
          </cell>
          <cell r="N919">
            <v>9</v>
          </cell>
          <cell r="P919">
            <v>1639</v>
          </cell>
        </row>
        <row r="920">
          <cell r="A920">
            <v>23</v>
          </cell>
          <cell r="B920">
            <v>43.5</v>
          </cell>
          <cell r="C920">
            <v>37</v>
          </cell>
          <cell r="D920">
            <v>21</v>
          </cell>
          <cell r="F920">
            <v>24</v>
          </cell>
          <cell r="G920">
            <v>21</v>
          </cell>
          <cell r="H920">
            <v>24</v>
          </cell>
          <cell r="I920">
            <v>19</v>
          </cell>
          <cell r="K920">
            <v>19</v>
          </cell>
          <cell r="L920">
            <v>19</v>
          </cell>
          <cell r="M920">
            <v>20</v>
          </cell>
          <cell r="N920">
            <v>23</v>
          </cell>
          <cell r="P920">
            <v>1640</v>
          </cell>
        </row>
        <row r="921">
          <cell r="A921">
            <v>23</v>
          </cell>
          <cell r="B921">
            <v>47</v>
          </cell>
          <cell r="C921">
            <v>50</v>
          </cell>
          <cell r="D921">
            <v>19</v>
          </cell>
          <cell r="F921">
            <v>24</v>
          </cell>
          <cell r="G921">
            <v>23</v>
          </cell>
          <cell r="H921">
            <v>23</v>
          </cell>
          <cell r="I921">
            <v>19</v>
          </cell>
          <cell r="K921">
            <v>21</v>
          </cell>
          <cell r="L921">
            <v>25</v>
          </cell>
          <cell r="M921">
            <v>22</v>
          </cell>
          <cell r="N921">
            <v>23</v>
          </cell>
          <cell r="P921">
            <v>1645</v>
          </cell>
        </row>
        <row r="922">
          <cell r="A922">
            <v>25</v>
          </cell>
          <cell r="B922">
            <v>43.5</v>
          </cell>
          <cell r="C922">
            <v>46</v>
          </cell>
          <cell r="D922">
            <v>24</v>
          </cell>
          <cell r="F922">
            <v>25</v>
          </cell>
          <cell r="G922">
            <v>23</v>
          </cell>
          <cell r="H922">
            <v>24</v>
          </cell>
          <cell r="I922">
            <v>22</v>
          </cell>
          <cell r="K922" t="str">
            <v>غ</v>
          </cell>
          <cell r="L922">
            <v>25</v>
          </cell>
          <cell r="M922">
            <v>22</v>
          </cell>
          <cell r="N922">
            <v>24</v>
          </cell>
          <cell r="P922">
            <v>1648</v>
          </cell>
        </row>
        <row r="923">
          <cell r="A923">
            <v>22</v>
          </cell>
          <cell r="B923">
            <v>46</v>
          </cell>
          <cell r="C923">
            <v>48</v>
          </cell>
          <cell r="D923">
            <v>22</v>
          </cell>
          <cell r="F923">
            <v>24</v>
          </cell>
          <cell r="G923">
            <v>23</v>
          </cell>
          <cell r="H923">
            <v>24</v>
          </cell>
          <cell r="I923">
            <v>21</v>
          </cell>
          <cell r="K923">
            <v>25</v>
          </cell>
          <cell r="L923">
            <v>24</v>
          </cell>
          <cell r="M923">
            <v>22</v>
          </cell>
          <cell r="N923">
            <v>24</v>
          </cell>
          <cell r="P923">
            <v>1655</v>
          </cell>
        </row>
        <row r="924">
          <cell r="A924">
            <v>22</v>
          </cell>
          <cell r="B924">
            <v>44.5</v>
          </cell>
          <cell r="C924">
            <v>46</v>
          </cell>
          <cell r="D924">
            <v>15</v>
          </cell>
          <cell r="F924">
            <v>23</v>
          </cell>
          <cell r="G924">
            <v>25</v>
          </cell>
          <cell r="H924">
            <v>22</v>
          </cell>
          <cell r="I924">
            <v>20</v>
          </cell>
          <cell r="K924">
            <v>23</v>
          </cell>
          <cell r="L924">
            <v>24</v>
          </cell>
          <cell r="M924">
            <v>21</v>
          </cell>
          <cell r="N924">
            <v>24</v>
          </cell>
          <cell r="P924">
            <v>1656</v>
          </cell>
        </row>
        <row r="925">
          <cell r="A925">
            <v>23</v>
          </cell>
          <cell r="B925">
            <v>47.5</v>
          </cell>
          <cell r="C925">
            <v>47</v>
          </cell>
          <cell r="D925">
            <v>21</v>
          </cell>
          <cell r="F925">
            <v>24</v>
          </cell>
          <cell r="G925">
            <v>22</v>
          </cell>
          <cell r="H925">
            <v>24</v>
          </cell>
          <cell r="I925">
            <v>21</v>
          </cell>
          <cell r="K925">
            <v>22</v>
          </cell>
          <cell r="L925">
            <v>24</v>
          </cell>
          <cell r="M925">
            <v>21</v>
          </cell>
          <cell r="N925">
            <v>23</v>
          </cell>
          <cell r="P925">
            <v>1657</v>
          </cell>
        </row>
        <row r="926">
          <cell r="A926">
            <v>24</v>
          </cell>
          <cell r="B926">
            <v>47</v>
          </cell>
          <cell r="C926">
            <v>50</v>
          </cell>
          <cell r="D926">
            <v>22</v>
          </cell>
          <cell r="F926">
            <v>25</v>
          </cell>
          <cell r="G926">
            <v>22</v>
          </cell>
          <cell r="H926">
            <v>24</v>
          </cell>
          <cell r="I926">
            <v>20</v>
          </cell>
          <cell r="K926">
            <v>20</v>
          </cell>
          <cell r="L926">
            <v>25</v>
          </cell>
          <cell r="M926">
            <v>21</v>
          </cell>
          <cell r="N926">
            <v>23</v>
          </cell>
          <cell r="P926">
            <v>1658</v>
          </cell>
        </row>
        <row r="927">
          <cell r="A927">
            <v>23</v>
          </cell>
          <cell r="B927">
            <v>46</v>
          </cell>
          <cell r="C927">
            <v>50</v>
          </cell>
          <cell r="D927">
            <v>23</v>
          </cell>
          <cell r="F927">
            <v>25</v>
          </cell>
          <cell r="G927">
            <v>24</v>
          </cell>
          <cell r="H927">
            <v>24</v>
          </cell>
          <cell r="I927">
            <v>22</v>
          </cell>
          <cell r="K927">
            <v>23</v>
          </cell>
          <cell r="L927">
            <v>25</v>
          </cell>
          <cell r="M927">
            <v>23</v>
          </cell>
          <cell r="N927">
            <v>24</v>
          </cell>
          <cell r="P927">
            <v>1661</v>
          </cell>
        </row>
        <row r="928">
          <cell r="A928">
            <v>24</v>
          </cell>
          <cell r="B928">
            <v>44</v>
          </cell>
          <cell r="C928">
            <v>46</v>
          </cell>
          <cell r="D928">
            <v>20</v>
          </cell>
          <cell r="F928">
            <v>24</v>
          </cell>
          <cell r="G928">
            <v>24</v>
          </cell>
          <cell r="H928">
            <v>21</v>
          </cell>
          <cell r="I928">
            <v>11</v>
          </cell>
          <cell r="K928">
            <v>17</v>
          </cell>
          <cell r="L928">
            <v>24</v>
          </cell>
          <cell r="M928">
            <v>17</v>
          </cell>
          <cell r="N928">
            <v>13</v>
          </cell>
          <cell r="P928">
            <v>1663</v>
          </cell>
        </row>
        <row r="929">
          <cell r="A929">
            <v>25</v>
          </cell>
          <cell r="B929">
            <v>43.5</v>
          </cell>
          <cell r="C929">
            <v>39</v>
          </cell>
          <cell r="D929">
            <v>18</v>
          </cell>
          <cell r="F929">
            <v>24</v>
          </cell>
          <cell r="G929">
            <v>21</v>
          </cell>
          <cell r="H929">
            <v>22</v>
          </cell>
          <cell r="I929">
            <v>15</v>
          </cell>
          <cell r="K929">
            <v>21</v>
          </cell>
          <cell r="L929">
            <v>24</v>
          </cell>
          <cell r="M929">
            <v>17</v>
          </cell>
          <cell r="N929">
            <v>17</v>
          </cell>
          <cell r="P929">
            <v>1664</v>
          </cell>
        </row>
        <row r="930">
          <cell r="A930">
            <v>24</v>
          </cell>
          <cell r="B930">
            <v>47.5</v>
          </cell>
          <cell r="C930">
            <v>50</v>
          </cell>
          <cell r="D930">
            <v>20</v>
          </cell>
          <cell r="F930">
            <v>25</v>
          </cell>
          <cell r="G930">
            <v>23</v>
          </cell>
          <cell r="H930">
            <v>24</v>
          </cell>
          <cell r="I930">
            <v>21</v>
          </cell>
          <cell r="K930">
            <v>23</v>
          </cell>
          <cell r="L930">
            <v>25</v>
          </cell>
          <cell r="M930">
            <v>23</v>
          </cell>
          <cell r="N930">
            <v>23</v>
          </cell>
          <cell r="P930">
            <v>1665</v>
          </cell>
        </row>
        <row r="931">
          <cell r="A931">
            <v>21</v>
          </cell>
          <cell r="B931">
            <v>37.5</v>
          </cell>
          <cell r="C931">
            <v>45</v>
          </cell>
          <cell r="D931">
            <v>23</v>
          </cell>
          <cell r="F931">
            <v>24</v>
          </cell>
          <cell r="G931">
            <v>23</v>
          </cell>
          <cell r="H931">
            <v>22</v>
          </cell>
          <cell r="I931">
            <v>20</v>
          </cell>
          <cell r="K931">
            <v>21</v>
          </cell>
          <cell r="L931">
            <v>24</v>
          </cell>
          <cell r="M931">
            <v>19</v>
          </cell>
          <cell r="N931">
            <v>24</v>
          </cell>
          <cell r="P931">
            <v>1666</v>
          </cell>
        </row>
        <row r="932">
          <cell r="A932">
            <v>22</v>
          </cell>
          <cell r="B932">
            <v>47</v>
          </cell>
          <cell r="C932">
            <v>50</v>
          </cell>
          <cell r="D932">
            <v>24</v>
          </cell>
          <cell r="F932">
            <v>25</v>
          </cell>
          <cell r="G932">
            <v>23</v>
          </cell>
          <cell r="H932">
            <v>24</v>
          </cell>
          <cell r="I932">
            <v>23</v>
          </cell>
          <cell r="K932">
            <v>23</v>
          </cell>
          <cell r="L932">
            <v>25</v>
          </cell>
          <cell r="M932">
            <v>22</v>
          </cell>
          <cell r="N932">
            <v>23</v>
          </cell>
          <cell r="P932">
            <v>1667</v>
          </cell>
        </row>
        <row r="933">
          <cell r="A933">
            <v>24</v>
          </cell>
          <cell r="B933">
            <v>48</v>
          </cell>
          <cell r="C933">
            <v>50</v>
          </cell>
          <cell r="D933">
            <v>24</v>
          </cell>
          <cell r="F933">
            <v>25</v>
          </cell>
          <cell r="G933">
            <v>22</v>
          </cell>
          <cell r="H933">
            <v>24</v>
          </cell>
          <cell r="I933">
            <v>22</v>
          </cell>
          <cell r="K933">
            <v>20</v>
          </cell>
          <cell r="L933">
            <v>25</v>
          </cell>
          <cell r="M933">
            <v>21</v>
          </cell>
          <cell r="N933">
            <v>25</v>
          </cell>
          <cell r="P933">
            <v>1668</v>
          </cell>
        </row>
        <row r="934">
          <cell r="A934">
            <v>23</v>
          </cell>
          <cell r="B934">
            <v>41</v>
          </cell>
          <cell r="C934">
            <v>45</v>
          </cell>
          <cell r="D934">
            <v>18</v>
          </cell>
          <cell r="F934">
            <v>23</v>
          </cell>
          <cell r="G934">
            <v>22</v>
          </cell>
          <cell r="H934">
            <v>24</v>
          </cell>
          <cell r="I934">
            <v>15</v>
          </cell>
          <cell r="K934">
            <v>24</v>
          </cell>
          <cell r="L934">
            <v>25</v>
          </cell>
          <cell r="M934">
            <v>16</v>
          </cell>
          <cell r="N934">
            <v>19</v>
          </cell>
          <cell r="P934">
            <v>1669</v>
          </cell>
        </row>
        <row r="935">
          <cell r="A935">
            <v>23</v>
          </cell>
          <cell r="B935">
            <v>45.5</v>
          </cell>
          <cell r="C935">
            <v>50</v>
          </cell>
          <cell r="D935">
            <v>21</v>
          </cell>
          <cell r="F935">
            <v>25</v>
          </cell>
          <cell r="G935">
            <v>22</v>
          </cell>
          <cell r="H935">
            <v>24</v>
          </cell>
          <cell r="I935">
            <v>20</v>
          </cell>
          <cell r="K935">
            <v>20</v>
          </cell>
          <cell r="L935">
            <v>25</v>
          </cell>
          <cell r="M935">
            <v>24</v>
          </cell>
          <cell r="N935">
            <v>22</v>
          </cell>
          <cell r="P935">
            <v>1670</v>
          </cell>
        </row>
        <row r="936">
          <cell r="A936">
            <v>20</v>
          </cell>
          <cell r="B936">
            <v>27</v>
          </cell>
          <cell r="C936">
            <v>39</v>
          </cell>
          <cell r="D936">
            <v>18</v>
          </cell>
          <cell r="F936">
            <v>25</v>
          </cell>
          <cell r="G936">
            <v>22</v>
          </cell>
          <cell r="H936">
            <v>21</v>
          </cell>
          <cell r="I936">
            <v>12</v>
          </cell>
          <cell r="K936">
            <v>21</v>
          </cell>
          <cell r="L936">
            <v>24</v>
          </cell>
          <cell r="M936">
            <v>17</v>
          </cell>
          <cell r="N936">
            <v>16</v>
          </cell>
          <cell r="P936">
            <v>1671</v>
          </cell>
        </row>
        <row r="937">
          <cell r="A937">
            <v>20</v>
          </cell>
          <cell r="B937">
            <v>32</v>
          </cell>
          <cell r="C937">
            <v>39</v>
          </cell>
          <cell r="D937">
            <v>19</v>
          </cell>
          <cell r="F937">
            <v>23</v>
          </cell>
          <cell r="G937">
            <v>23</v>
          </cell>
          <cell r="H937">
            <v>20</v>
          </cell>
          <cell r="I937">
            <v>20</v>
          </cell>
          <cell r="K937">
            <v>22</v>
          </cell>
          <cell r="L937">
            <v>24</v>
          </cell>
          <cell r="M937">
            <v>18</v>
          </cell>
          <cell r="N937">
            <v>22</v>
          </cell>
          <cell r="P937">
            <v>1672</v>
          </cell>
        </row>
        <row r="938">
          <cell r="A938">
            <v>24</v>
          </cell>
          <cell r="B938">
            <v>47.5</v>
          </cell>
          <cell r="C938">
            <v>50</v>
          </cell>
          <cell r="D938">
            <v>22</v>
          </cell>
          <cell r="F938">
            <v>25</v>
          </cell>
          <cell r="G938">
            <v>23</v>
          </cell>
          <cell r="H938">
            <v>25</v>
          </cell>
          <cell r="I938">
            <v>21</v>
          </cell>
          <cell r="K938">
            <v>24</v>
          </cell>
          <cell r="L938">
            <v>25</v>
          </cell>
          <cell r="M938">
            <v>24</v>
          </cell>
          <cell r="N938">
            <v>23</v>
          </cell>
          <cell r="P938">
            <v>1673</v>
          </cell>
        </row>
        <row r="939">
          <cell r="A939">
            <v>24</v>
          </cell>
          <cell r="B939">
            <v>45</v>
          </cell>
          <cell r="C939">
            <v>49</v>
          </cell>
          <cell r="D939">
            <v>23</v>
          </cell>
          <cell r="F939">
            <v>25</v>
          </cell>
          <cell r="G939">
            <v>21</v>
          </cell>
          <cell r="H939">
            <v>23</v>
          </cell>
          <cell r="I939">
            <v>21</v>
          </cell>
          <cell r="K939">
            <v>22</v>
          </cell>
          <cell r="L939">
            <v>25</v>
          </cell>
          <cell r="M939">
            <v>21</v>
          </cell>
          <cell r="N939">
            <v>23</v>
          </cell>
          <cell r="P939">
            <v>1674</v>
          </cell>
        </row>
        <row r="940">
          <cell r="A940">
            <v>24</v>
          </cell>
          <cell r="B940">
            <v>45</v>
          </cell>
          <cell r="C940">
            <v>50</v>
          </cell>
          <cell r="D940">
            <v>23</v>
          </cell>
          <cell r="F940">
            <v>24</v>
          </cell>
          <cell r="G940">
            <v>23</v>
          </cell>
          <cell r="H940">
            <v>20</v>
          </cell>
          <cell r="I940">
            <v>20</v>
          </cell>
          <cell r="K940">
            <v>24</v>
          </cell>
          <cell r="L940">
            <v>25</v>
          </cell>
          <cell r="M940">
            <v>24</v>
          </cell>
          <cell r="N940">
            <v>25</v>
          </cell>
          <cell r="P940">
            <v>1675</v>
          </cell>
        </row>
        <row r="941">
          <cell r="A941">
            <v>22</v>
          </cell>
          <cell r="B941">
            <v>43</v>
          </cell>
          <cell r="C941">
            <v>47</v>
          </cell>
          <cell r="D941">
            <v>20.5</v>
          </cell>
          <cell r="F941">
            <v>25</v>
          </cell>
          <cell r="G941">
            <v>23</v>
          </cell>
          <cell r="H941">
            <v>21</v>
          </cell>
          <cell r="I941">
            <v>22</v>
          </cell>
          <cell r="K941">
            <v>22</v>
          </cell>
          <cell r="L941">
            <v>25</v>
          </cell>
          <cell r="M941">
            <v>22</v>
          </cell>
          <cell r="N941">
            <v>25</v>
          </cell>
          <cell r="P941">
            <v>1676</v>
          </cell>
        </row>
        <row r="942">
          <cell r="A942">
            <v>25</v>
          </cell>
          <cell r="B942">
            <v>49.5</v>
          </cell>
          <cell r="C942">
            <v>50</v>
          </cell>
          <cell r="D942">
            <v>21.5</v>
          </cell>
          <cell r="F942">
            <v>25</v>
          </cell>
          <cell r="G942">
            <v>24</v>
          </cell>
          <cell r="H942">
            <v>25</v>
          </cell>
          <cell r="I942">
            <v>24</v>
          </cell>
          <cell r="K942">
            <v>24</v>
          </cell>
          <cell r="L942">
            <v>25</v>
          </cell>
          <cell r="M942">
            <v>23</v>
          </cell>
          <cell r="N942">
            <v>25</v>
          </cell>
          <cell r="P942">
            <v>1677</v>
          </cell>
        </row>
        <row r="943">
          <cell r="A943">
            <v>10</v>
          </cell>
          <cell r="B943">
            <v>14</v>
          </cell>
          <cell r="C943">
            <v>34</v>
          </cell>
          <cell r="D943">
            <v>13.5</v>
          </cell>
          <cell r="F943">
            <v>10</v>
          </cell>
          <cell r="G943">
            <v>11.5</v>
          </cell>
          <cell r="H943">
            <v>18</v>
          </cell>
          <cell r="I943">
            <v>11</v>
          </cell>
          <cell r="K943" t="str">
            <v>غ</v>
          </cell>
          <cell r="L943">
            <v>7</v>
          </cell>
          <cell r="M943">
            <v>12</v>
          </cell>
          <cell r="N943">
            <v>14</v>
          </cell>
          <cell r="P943">
            <v>1680</v>
          </cell>
        </row>
        <row r="944">
          <cell r="A944">
            <v>22</v>
          </cell>
          <cell r="B944">
            <v>45.5</v>
          </cell>
          <cell r="C944">
            <v>49</v>
          </cell>
          <cell r="D944">
            <v>21.5</v>
          </cell>
          <cell r="F944">
            <v>25</v>
          </cell>
          <cell r="G944">
            <v>24</v>
          </cell>
          <cell r="H944">
            <v>23</v>
          </cell>
          <cell r="I944">
            <v>23</v>
          </cell>
          <cell r="K944">
            <v>22</v>
          </cell>
          <cell r="L944">
            <v>25</v>
          </cell>
          <cell r="M944">
            <v>23</v>
          </cell>
          <cell r="N944">
            <v>24</v>
          </cell>
          <cell r="P944">
            <v>1683</v>
          </cell>
        </row>
        <row r="945">
          <cell r="A945">
            <v>21</v>
          </cell>
          <cell r="B945">
            <v>39.5</v>
          </cell>
          <cell r="C945">
            <v>37</v>
          </cell>
          <cell r="D945">
            <v>19.5</v>
          </cell>
          <cell r="F945">
            <v>24</v>
          </cell>
          <cell r="G945">
            <v>21</v>
          </cell>
          <cell r="H945">
            <v>23</v>
          </cell>
          <cell r="I945">
            <v>19</v>
          </cell>
          <cell r="K945">
            <v>15</v>
          </cell>
          <cell r="L945">
            <v>20</v>
          </cell>
          <cell r="M945">
            <v>17</v>
          </cell>
          <cell r="N945">
            <v>21</v>
          </cell>
          <cell r="P945">
            <v>1684</v>
          </cell>
        </row>
        <row r="946">
          <cell r="A946">
            <v>22</v>
          </cell>
          <cell r="B946">
            <v>40</v>
          </cell>
          <cell r="C946">
            <v>48</v>
          </cell>
          <cell r="D946">
            <v>22.5</v>
          </cell>
          <cell r="F946">
            <v>25</v>
          </cell>
          <cell r="G946">
            <v>23</v>
          </cell>
          <cell r="H946">
            <v>23</v>
          </cell>
          <cell r="I946">
            <v>16</v>
          </cell>
          <cell r="K946">
            <v>22</v>
          </cell>
          <cell r="L946">
            <v>25</v>
          </cell>
          <cell r="M946">
            <v>18</v>
          </cell>
          <cell r="N946">
            <v>19</v>
          </cell>
          <cell r="P946">
            <v>1688</v>
          </cell>
        </row>
        <row r="947">
          <cell r="A947">
            <v>21</v>
          </cell>
          <cell r="B947">
            <v>40</v>
          </cell>
          <cell r="C947">
            <v>49</v>
          </cell>
          <cell r="D947">
            <v>20.5</v>
          </cell>
          <cell r="F947">
            <v>24</v>
          </cell>
          <cell r="G947">
            <v>22</v>
          </cell>
          <cell r="H947">
            <v>22</v>
          </cell>
          <cell r="I947">
            <v>22</v>
          </cell>
          <cell r="K947">
            <v>23</v>
          </cell>
          <cell r="L947">
            <v>25</v>
          </cell>
          <cell r="M947">
            <v>24</v>
          </cell>
          <cell r="N947">
            <v>24</v>
          </cell>
          <cell r="P947">
            <v>1690</v>
          </cell>
        </row>
        <row r="948">
          <cell r="A948">
            <v>24</v>
          </cell>
          <cell r="B948">
            <v>47</v>
          </cell>
          <cell r="C948">
            <v>48</v>
          </cell>
          <cell r="D948">
            <v>21.5</v>
          </cell>
          <cell r="F948">
            <v>25</v>
          </cell>
          <cell r="G948">
            <v>24</v>
          </cell>
          <cell r="H948">
            <v>24</v>
          </cell>
          <cell r="I948">
            <v>21</v>
          </cell>
          <cell r="K948">
            <v>24</v>
          </cell>
          <cell r="L948">
            <v>25</v>
          </cell>
          <cell r="M948">
            <v>24</v>
          </cell>
          <cell r="N948">
            <v>24</v>
          </cell>
          <cell r="P948">
            <v>1695</v>
          </cell>
        </row>
        <row r="949">
          <cell r="A949">
            <v>23</v>
          </cell>
          <cell r="B949">
            <v>46.5</v>
          </cell>
          <cell r="C949">
            <v>50</v>
          </cell>
          <cell r="D949">
            <v>21.5</v>
          </cell>
          <cell r="F949">
            <v>25</v>
          </cell>
          <cell r="G949">
            <v>24</v>
          </cell>
          <cell r="H949">
            <v>25</v>
          </cell>
          <cell r="I949">
            <v>22</v>
          </cell>
          <cell r="K949">
            <v>25</v>
          </cell>
          <cell r="L949">
            <v>24</v>
          </cell>
          <cell r="M949">
            <v>24</v>
          </cell>
          <cell r="N949">
            <v>24</v>
          </cell>
          <cell r="P949">
            <v>1696</v>
          </cell>
        </row>
        <row r="950">
          <cell r="A950">
            <v>24</v>
          </cell>
          <cell r="B950">
            <v>47.5</v>
          </cell>
          <cell r="C950">
            <v>48</v>
          </cell>
          <cell r="D950">
            <v>21.5</v>
          </cell>
          <cell r="F950">
            <v>25</v>
          </cell>
          <cell r="G950">
            <v>25</v>
          </cell>
          <cell r="H950">
            <v>22</v>
          </cell>
          <cell r="I950">
            <v>21</v>
          </cell>
          <cell r="K950">
            <v>23</v>
          </cell>
          <cell r="L950">
            <v>24</v>
          </cell>
          <cell r="M950">
            <v>19</v>
          </cell>
          <cell r="N950">
            <v>23</v>
          </cell>
          <cell r="P950">
            <v>1702</v>
          </cell>
        </row>
        <row r="951">
          <cell r="A951">
            <v>25</v>
          </cell>
          <cell r="B951">
            <v>47.5</v>
          </cell>
          <cell r="C951">
            <v>50</v>
          </cell>
          <cell r="D951">
            <v>21.5</v>
          </cell>
          <cell r="F951">
            <v>25</v>
          </cell>
          <cell r="G951">
            <v>23</v>
          </cell>
          <cell r="H951">
            <v>22</v>
          </cell>
          <cell r="I951">
            <v>17</v>
          </cell>
          <cell r="K951">
            <v>20</v>
          </cell>
          <cell r="L951">
            <v>25</v>
          </cell>
          <cell r="M951">
            <v>19</v>
          </cell>
          <cell r="N951">
            <v>24</v>
          </cell>
          <cell r="P951">
            <v>1704</v>
          </cell>
        </row>
        <row r="952">
          <cell r="A952">
            <v>21</v>
          </cell>
          <cell r="B952">
            <v>32</v>
          </cell>
          <cell r="C952">
            <v>35</v>
          </cell>
          <cell r="D952">
            <v>18.5</v>
          </cell>
          <cell r="F952">
            <v>21</v>
          </cell>
          <cell r="G952">
            <v>21</v>
          </cell>
          <cell r="H952">
            <v>20</v>
          </cell>
          <cell r="I952">
            <v>13</v>
          </cell>
          <cell r="K952">
            <v>18</v>
          </cell>
          <cell r="L952">
            <v>20</v>
          </cell>
          <cell r="M952">
            <v>9</v>
          </cell>
          <cell r="N952">
            <v>13</v>
          </cell>
          <cell r="P952">
            <v>1707</v>
          </cell>
        </row>
        <row r="953">
          <cell r="A953">
            <v>18</v>
          </cell>
          <cell r="B953">
            <v>33.5</v>
          </cell>
          <cell r="C953">
            <v>38</v>
          </cell>
          <cell r="D953">
            <v>17.5</v>
          </cell>
          <cell r="F953">
            <v>23</v>
          </cell>
          <cell r="G953">
            <v>20</v>
          </cell>
          <cell r="H953">
            <v>20</v>
          </cell>
          <cell r="I953">
            <v>15</v>
          </cell>
          <cell r="K953">
            <v>18</v>
          </cell>
          <cell r="L953">
            <v>21</v>
          </cell>
          <cell r="M953">
            <v>16</v>
          </cell>
          <cell r="N953">
            <v>17</v>
          </cell>
          <cell r="P953">
            <v>1710</v>
          </cell>
        </row>
        <row r="954">
          <cell r="A954">
            <v>21</v>
          </cell>
          <cell r="B954">
            <v>40.5</v>
          </cell>
          <cell r="C954">
            <v>47</v>
          </cell>
          <cell r="D954">
            <v>20.5</v>
          </cell>
          <cell r="F954">
            <v>25</v>
          </cell>
          <cell r="G954">
            <v>22</v>
          </cell>
          <cell r="H954">
            <v>22</v>
          </cell>
          <cell r="I954">
            <v>20</v>
          </cell>
          <cell r="K954">
            <v>21</v>
          </cell>
          <cell r="L954">
            <v>23</v>
          </cell>
          <cell r="M954">
            <v>18</v>
          </cell>
          <cell r="N954">
            <v>25</v>
          </cell>
          <cell r="P954">
            <v>1711</v>
          </cell>
        </row>
        <row r="955">
          <cell r="A955">
            <v>24</v>
          </cell>
          <cell r="B955">
            <v>48</v>
          </cell>
          <cell r="C955">
            <v>50</v>
          </cell>
          <cell r="D955">
            <v>23.5</v>
          </cell>
          <cell r="F955">
            <v>25</v>
          </cell>
          <cell r="G955">
            <v>24</v>
          </cell>
          <cell r="H955">
            <v>23</v>
          </cell>
          <cell r="I955">
            <v>23</v>
          </cell>
          <cell r="K955">
            <v>24</v>
          </cell>
          <cell r="L955">
            <v>25</v>
          </cell>
          <cell r="M955">
            <v>23</v>
          </cell>
          <cell r="N955">
            <v>24</v>
          </cell>
          <cell r="P955">
            <v>1714</v>
          </cell>
        </row>
        <row r="956">
          <cell r="A956">
            <v>22</v>
          </cell>
          <cell r="B956">
            <v>48</v>
          </cell>
          <cell r="C956">
            <v>49</v>
          </cell>
          <cell r="D956">
            <v>20.5</v>
          </cell>
          <cell r="F956">
            <v>23</v>
          </cell>
          <cell r="G956">
            <v>22</v>
          </cell>
          <cell r="H956">
            <v>21</v>
          </cell>
          <cell r="I956">
            <v>13</v>
          </cell>
          <cell r="K956">
            <v>22</v>
          </cell>
          <cell r="L956">
            <v>24</v>
          </cell>
          <cell r="M956">
            <v>23</v>
          </cell>
          <cell r="N956">
            <v>22</v>
          </cell>
          <cell r="P956">
            <v>1715</v>
          </cell>
        </row>
        <row r="957">
          <cell r="A957">
            <v>22</v>
          </cell>
          <cell r="B957">
            <v>47</v>
          </cell>
          <cell r="C957">
            <v>50</v>
          </cell>
          <cell r="D957">
            <v>22</v>
          </cell>
          <cell r="F957">
            <v>25</v>
          </cell>
          <cell r="G957">
            <v>23</v>
          </cell>
          <cell r="H957">
            <v>24</v>
          </cell>
          <cell r="I957">
            <v>23</v>
          </cell>
          <cell r="K957">
            <v>24</v>
          </cell>
          <cell r="L957">
            <v>25</v>
          </cell>
          <cell r="M957">
            <v>22</v>
          </cell>
          <cell r="N957">
            <v>23</v>
          </cell>
          <cell r="P957" t="str">
            <v>م‎26</v>
          </cell>
        </row>
        <row r="958">
          <cell r="A958">
            <v>21</v>
          </cell>
          <cell r="B958">
            <v>39</v>
          </cell>
          <cell r="C958">
            <v>45</v>
          </cell>
          <cell r="D958">
            <v>15.5</v>
          </cell>
          <cell r="F958">
            <v>24</v>
          </cell>
          <cell r="G958">
            <v>23</v>
          </cell>
          <cell r="H958">
            <v>23</v>
          </cell>
          <cell r="I958">
            <v>21</v>
          </cell>
          <cell r="K958">
            <v>22</v>
          </cell>
          <cell r="L958">
            <v>24</v>
          </cell>
          <cell r="M958">
            <v>16</v>
          </cell>
          <cell r="N958">
            <v>21</v>
          </cell>
          <cell r="P958">
            <v>1717</v>
          </cell>
        </row>
        <row r="959">
          <cell r="A959">
            <v>24</v>
          </cell>
          <cell r="B959">
            <v>45</v>
          </cell>
          <cell r="C959">
            <v>49</v>
          </cell>
          <cell r="D959">
            <v>23.5</v>
          </cell>
          <cell r="F959">
            <v>25</v>
          </cell>
          <cell r="G959">
            <v>23</v>
          </cell>
          <cell r="H959">
            <v>23</v>
          </cell>
          <cell r="I959">
            <v>23</v>
          </cell>
          <cell r="K959">
            <v>24</v>
          </cell>
          <cell r="L959">
            <v>24</v>
          </cell>
          <cell r="M959">
            <v>22</v>
          </cell>
          <cell r="N959">
            <v>25</v>
          </cell>
          <cell r="P959">
            <v>1718</v>
          </cell>
        </row>
        <row r="960">
          <cell r="A960">
            <v>21</v>
          </cell>
          <cell r="B960">
            <v>39</v>
          </cell>
          <cell r="C960">
            <v>47</v>
          </cell>
          <cell r="D960">
            <v>19</v>
          </cell>
          <cell r="F960">
            <v>24</v>
          </cell>
          <cell r="G960">
            <v>19</v>
          </cell>
          <cell r="H960">
            <v>20</v>
          </cell>
          <cell r="I960">
            <v>19</v>
          </cell>
          <cell r="K960">
            <v>21</v>
          </cell>
          <cell r="L960">
            <v>23</v>
          </cell>
          <cell r="M960">
            <v>23</v>
          </cell>
          <cell r="N960">
            <v>20</v>
          </cell>
          <cell r="P960">
            <v>1721</v>
          </cell>
        </row>
        <row r="961">
          <cell r="A961">
            <v>22</v>
          </cell>
          <cell r="B961">
            <v>40.5</v>
          </cell>
          <cell r="C961">
            <v>50</v>
          </cell>
          <cell r="D961">
            <v>19</v>
          </cell>
          <cell r="F961">
            <v>25</v>
          </cell>
          <cell r="G961">
            <v>20</v>
          </cell>
          <cell r="H961">
            <v>22</v>
          </cell>
          <cell r="I961">
            <v>20</v>
          </cell>
          <cell r="K961">
            <v>22</v>
          </cell>
          <cell r="L961">
            <v>25</v>
          </cell>
          <cell r="M961">
            <v>19</v>
          </cell>
          <cell r="N961">
            <v>23</v>
          </cell>
          <cell r="P961">
            <v>1722</v>
          </cell>
        </row>
        <row r="962">
          <cell r="A962">
            <v>20</v>
          </cell>
          <cell r="B962">
            <v>42</v>
          </cell>
          <cell r="C962">
            <v>49</v>
          </cell>
          <cell r="D962">
            <v>18</v>
          </cell>
          <cell r="F962">
            <v>24</v>
          </cell>
          <cell r="G962">
            <v>21.5</v>
          </cell>
          <cell r="H962">
            <v>22</v>
          </cell>
          <cell r="I962">
            <v>18</v>
          </cell>
          <cell r="K962">
            <v>21</v>
          </cell>
          <cell r="L962">
            <v>24</v>
          </cell>
          <cell r="M962">
            <v>20</v>
          </cell>
          <cell r="N962">
            <v>21</v>
          </cell>
          <cell r="P962">
            <v>1723</v>
          </cell>
        </row>
        <row r="963">
          <cell r="A963">
            <v>19</v>
          </cell>
          <cell r="B963">
            <v>30.5</v>
          </cell>
          <cell r="C963">
            <v>36</v>
          </cell>
          <cell r="D963">
            <v>13</v>
          </cell>
          <cell r="F963">
            <v>22</v>
          </cell>
          <cell r="G963">
            <v>8</v>
          </cell>
          <cell r="H963">
            <v>18</v>
          </cell>
          <cell r="I963">
            <v>16</v>
          </cell>
          <cell r="K963">
            <v>15</v>
          </cell>
          <cell r="L963">
            <v>20</v>
          </cell>
          <cell r="M963">
            <v>19</v>
          </cell>
          <cell r="N963">
            <v>21</v>
          </cell>
          <cell r="P963">
            <v>1724</v>
          </cell>
        </row>
        <row r="964">
          <cell r="A964">
            <v>20</v>
          </cell>
          <cell r="B964">
            <v>33</v>
          </cell>
          <cell r="C964">
            <v>35</v>
          </cell>
          <cell r="D964">
            <v>10</v>
          </cell>
          <cell r="F964">
            <v>21</v>
          </cell>
          <cell r="G964">
            <v>21</v>
          </cell>
          <cell r="H964">
            <v>15</v>
          </cell>
          <cell r="I964">
            <v>15</v>
          </cell>
          <cell r="K964">
            <v>16</v>
          </cell>
          <cell r="L964">
            <v>19</v>
          </cell>
          <cell r="M964">
            <v>8</v>
          </cell>
          <cell r="N964">
            <v>9</v>
          </cell>
          <cell r="P964">
            <v>1728</v>
          </cell>
        </row>
        <row r="965">
          <cell r="A965">
            <v>20</v>
          </cell>
          <cell r="B965">
            <v>47.5</v>
          </cell>
          <cell r="C965">
            <v>49</v>
          </cell>
          <cell r="D965">
            <v>21</v>
          </cell>
          <cell r="F965">
            <v>23</v>
          </cell>
          <cell r="G965">
            <v>16</v>
          </cell>
          <cell r="H965">
            <v>24</v>
          </cell>
          <cell r="I965">
            <v>19</v>
          </cell>
          <cell r="K965">
            <v>21</v>
          </cell>
          <cell r="L965">
            <v>25</v>
          </cell>
          <cell r="M965">
            <v>23</v>
          </cell>
          <cell r="N965">
            <v>22</v>
          </cell>
          <cell r="P965">
            <v>1729</v>
          </cell>
        </row>
        <row r="966">
          <cell r="A966">
            <v>21</v>
          </cell>
          <cell r="B966">
            <v>29</v>
          </cell>
          <cell r="C966">
            <v>31</v>
          </cell>
          <cell r="D966">
            <v>21</v>
          </cell>
          <cell r="F966">
            <v>22</v>
          </cell>
          <cell r="G966">
            <v>19</v>
          </cell>
          <cell r="H966">
            <v>21</v>
          </cell>
          <cell r="I966">
            <v>18</v>
          </cell>
          <cell r="K966">
            <v>16</v>
          </cell>
          <cell r="L966">
            <v>21</v>
          </cell>
          <cell r="M966">
            <v>12</v>
          </cell>
          <cell r="N966">
            <v>25</v>
          </cell>
          <cell r="P966">
            <v>1730</v>
          </cell>
        </row>
        <row r="967">
          <cell r="A967">
            <v>19</v>
          </cell>
          <cell r="B967">
            <v>37</v>
          </cell>
          <cell r="C967">
            <v>49</v>
          </cell>
          <cell r="D967">
            <v>16</v>
          </cell>
          <cell r="F967">
            <v>24.5</v>
          </cell>
          <cell r="G967">
            <v>19</v>
          </cell>
          <cell r="H967">
            <v>24</v>
          </cell>
          <cell r="I967">
            <v>11</v>
          </cell>
          <cell r="K967">
            <v>22</v>
          </cell>
          <cell r="L967">
            <v>24</v>
          </cell>
          <cell r="M967">
            <v>22</v>
          </cell>
          <cell r="N967">
            <v>21</v>
          </cell>
          <cell r="P967">
            <v>1731</v>
          </cell>
        </row>
        <row r="968">
          <cell r="A968">
            <v>25</v>
          </cell>
          <cell r="B968">
            <v>49</v>
          </cell>
          <cell r="C968">
            <v>50</v>
          </cell>
          <cell r="D968">
            <v>21</v>
          </cell>
          <cell r="F968">
            <v>25</v>
          </cell>
          <cell r="G968">
            <v>23</v>
          </cell>
          <cell r="H968">
            <v>25</v>
          </cell>
          <cell r="I968">
            <v>24</v>
          </cell>
          <cell r="K968">
            <v>23</v>
          </cell>
          <cell r="L968">
            <v>25</v>
          </cell>
          <cell r="M968">
            <v>23</v>
          </cell>
          <cell r="N968">
            <v>25</v>
          </cell>
          <cell r="P968">
            <v>1732</v>
          </cell>
        </row>
        <row r="969">
          <cell r="A969">
            <v>24</v>
          </cell>
          <cell r="B969">
            <v>48.5</v>
          </cell>
          <cell r="C969">
            <v>50</v>
          </cell>
          <cell r="D969">
            <v>22</v>
          </cell>
          <cell r="F969">
            <v>25</v>
          </cell>
          <cell r="G969">
            <v>22</v>
          </cell>
          <cell r="H969">
            <v>25</v>
          </cell>
          <cell r="I969">
            <v>22</v>
          </cell>
          <cell r="K969">
            <v>23</v>
          </cell>
          <cell r="L969">
            <v>25</v>
          </cell>
          <cell r="M969">
            <v>23</v>
          </cell>
          <cell r="N969">
            <v>23</v>
          </cell>
          <cell r="P969">
            <v>1733</v>
          </cell>
        </row>
        <row r="970">
          <cell r="A970">
            <v>23</v>
          </cell>
          <cell r="B970">
            <v>45.5</v>
          </cell>
          <cell r="C970">
            <v>37</v>
          </cell>
          <cell r="D970">
            <v>23</v>
          </cell>
          <cell r="F970">
            <v>24</v>
          </cell>
          <cell r="G970">
            <v>21.5</v>
          </cell>
          <cell r="H970">
            <v>23</v>
          </cell>
          <cell r="I970">
            <v>20</v>
          </cell>
          <cell r="K970">
            <v>20</v>
          </cell>
          <cell r="L970">
            <v>25</v>
          </cell>
          <cell r="M970">
            <v>24</v>
          </cell>
          <cell r="N970">
            <v>22</v>
          </cell>
          <cell r="P970">
            <v>1734</v>
          </cell>
        </row>
        <row r="971">
          <cell r="A971">
            <v>22</v>
          </cell>
          <cell r="B971">
            <v>42.5</v>
          </cell>
          <cell r="C971">
            <v>47</v>
          </cell>
          <cell r="D971">
            <v>20</v>
          </cell>
          <cell r="F971">
            <v>21.5</v>
          </cell>
          <cell r="G971">
            <v>20.5</v>
          </cell>
          <cell r="H971">
            <v>21</v>
          </cell>
          <cell r="I971">
            <v>22</v>
          </cell>
          <cell r="K971">
            <v>19</v>
          </cell>
          <cell r="L971">
            <v>20</v>
          </cell>
          <cell r="M971">
            <v>20</v>
          </cell>
          <cell r="N971">
            <v>23</v>
          </cell>
          <cell r="P971">
            <v>1735</v>
          </cell>
        </row>
        <row r="972">
          <cell r="A972">
            <v>24</v>
          </cell>
          <cell r="B972">
            <v>47</v>
          </cell>
          <cell r="C972">
            <v>50</v>
          </cell>
          <cell r="D972">
            <v>24</v>
          </cell>
          <cell r="F972">
            <v>24</v>
          </cell>
          <cell r="G972">
            <v>21</v>
          </cell>
          <cell r="H972">
            <v>24</v>
          </cell>
          <cell r="I972">
            <v>15</v>
          </cell>
          <cell r="K972">
            <v>21</v>
          </cell>
          <cell r="L972">
            <v>24</v>
          </cell>
          <cell r="M972">
            <v>18</v>
          </cell>
          <cell r="N972">
            <v>18</v>
          </cell>
          <cell r="P972">
            <v>1736</v>
          </cell>
        </row>
        <row r="973">
          <cell r="A973">
            <v>25</v>
          </cell>
          <cell r="B973">
            <v>48.5</v>
          </cell>
          <cell r="C973">
            <v>50</v>
          </cell>
          <cell r="D973">
            <v>19</v>
          </cell>
          <cell r="F973">
            <v>24.5</v>
          </cell>
          <cell r="G973">
            <v>22</v>
          </cell>
          <cell r="H973">
            <v>23</v>
          </cell>
          <cell r="I973">
            <v>22</v>
          </cell>
          <cell r="K973">
            <v>22</v>
          </cell>
          <cell r="L973">
            <v>25</v>
          </cell>
          <cell r="M973">
            <v>22</v>
          </cell>
          <cell r="N973">
            <v>22</v>
          </cell>
          <cell r="P973">
            <v>1737</v>
          </cell>
        </row>
        <row r="974">
          <cell r="A974">
            <v>22</v>
          </cell>
          <cell r="B974">
            <v>46</v>
          </cell>
          <cell r="C974">
            <v>47</v>
          </cell>
          <cell r="D974">
            <v>19</v>
          </cell>
          <cell r="F974">
            <v>25</v>
          </cell>
          <cell r="G974">
            <v>20.5</v>
          </cell>
          <cell r="H974">
            <v>21</v>
          </cell>
          <cell r="I974">
            <v>16</v>
          </cell>
          <cell r="K974">
            <v>24</v>
          </cell>
          <cell r="L974">
            <v>24</v>
          </cell>
          <cell r="M974">
            <v>19</v>
          </cell>
          <cell r="N974">
            <v>16</v>
          </cell>
          <cell r="P974">
            <v>1739</v>
          </cell>
        </row>
        <row r="975">
          <cell r="A975">
            <v>22</v>
          </cell>
          <cell r="B975">
            <v>41.5</v>
          </cell>
          <cell r="C975">
            <v>38</v>
          </cell>
          <cell r="D975">
            <v>20</v>
          </cell>
          <cell r="F975">
            <v>25</v>
          </cell>
          <cell r="G975">
            <v>22</v>
          </cell>
          <cell r="H975">
            <v>17</v>
          </cell>
          <cell r="I975">
            <v>16</v>
          </cell>
          <cell r="K975">
            <v>23</v>
          </cell>
          <cell r="L975">
            <v>22</v>
          </cell>
          <cell r="M975">
            <v>12</v>
          </cell>
          <cell r="N975">
            <v>20</v>
          </cell>
          <cell r="P975">
            <v>1740</v>
          </cell>
        </row>
        <row r="976">
          <cell r="A976">
            <v>25</v>
          </cell>
          <cell r="B976">
            <v>48.5</v>
          </cell>
          <cell r="C976">
            <v>50</v>
          </cell>
          <cell r="D976">
            <v>24</v>
          </cell>
          <cell r="F976">
            <v>25</v>
          </cell>
          <cell r="G976">
            <v>23</v>
          </cell>
          <cell r="H976">
            <v>25</v>
          </cell>
          <cell r="I976">
            <v>20</v>
          </cell>
          <cell r="K976">
            <v>24</v>
          </cell>
          <cell r="L976">
            <v>25</v>
          </cell>
          <cell r="M976">
            <v>23</v>
          </cell>
          <cell r="N976">
            <v>25</v>
          </cell>
          <cell r="P976">
            <v>1741</v>
          </cell>
        </row>
        <row r="977">
          <cell r="A977">
            <v>24</v>
          </cell>
          <cell r="B977">
            <v>45</v>
          </cell>
          <cell r="C977">
            <v>48</v>
          </cell>
          <cell r="D977">
            <v>21</v>
          </cell>
          <cell r="F977">
            <v>19</v>
          </cell>
          <cell r="G977">
            <v>22</v>
          </cell>
          <cell r="H977">
            <v>24</v>
          </cell>
          <cell r="I977">
            <v>22</v>
          </cell>
          <cell r="K977">
            <v>23</v>
          </cell>
          <cell r="L977">
            <v>25</v>
          </cell>
          <cell r="M977">
            <v>23</v>
          </cell>
          <cell r="N977">
            <v>25</v>
          </cell>
          <cell r="P977">
            <v>1742</v>
          </cell>
        </row>
        <row r="978">
          <cell r="A978">
            <v>24</v>
          </cell>
          <cell r="B978">
            <v>47.5</v>
          </cell>
          <cell r="C978">
            <v>50</v>
          </cell>
          <cell r="D978">
            <v>23</v>
          </cell>
          <cell r="F978">
            <v>25</v>
          </cell>
          <cell r="G978">
            <v>23</v>
          </cell>
          <cell r="H978">
            <v>25</v>
          </cell>
          <cell r="I978">
            <v>20</v>
          </cell>
          <cell r="K978">
            <v>23</v>
          </cell>
          <cell r="L978">
            <v>24</v>
          </cell>
          <cell r="M978">
            <v>21</v>
          </cell>
          <cell r="N978">
            <v>21</v>
          </cell>
          <cell r="P978">
            <v>1743</v>
          </cell>
        </row>
        <row r="979">
          <cell r="A979">
            <v>21.5</v>
          </cell>
          <cell r="B979">
            <v>48</v>
          </cell>
          <cell r="C979">
            <v>50</v>
          </cell>
          <cell r="D979">
            <v>22</v>
          </cell>
          <cell r="F979">
            <v>25</v>
          </cell>
          <cell r="G979">
            <v>23</v>
          </cell>
          <cell r="H979">
            <v>24</v>
          </cell>
          <cell r="I979">
            <v>21</v>
          </cell>
          <cell r="K979">
            <v>24</v>
          </cell>
          <cell r="L979">
            <v>25</v>
          </cell>
          <cell r="M979">
            <v>24</v>
          </cell>
          <cell r="N979">
            <v>22</v>
          </cell>
          <cell r="P979">
            <v>1745</v>
          </cell>
        </row>
        <row r="980">
          <cell r="A980">
            <v>23.5</v>
          </cell>
          <cell r="B980">
            <v>46</v>
          </cell>
          <cell r="C980">
            <v>49</v>
          </cell>
          <cell r="D980">
            <v>24</v>
          </cell>
          <cell r="F980">
            <v>25</v>
          </cell>
          <cell r="G980">
            <v>22</v>
          </cell>
          <cell r="H980">
            <v>22</v>
          </cell>
          <cell r="I980">
            <v>19</v>
          </cell>
          <cell r="K980">
            <v>23</v>
          </cell>
          <cell r="L980">
            <v>24</v>
          </cell>
          <cell r="M980">
            <v>19</v>
          </cell>
          <cell r="N980">
            <v>15</v>
          </cell>
          <cell r="P980">
            <v>1748</v>
          </cell>
        </row>
        <row r="981">
          <cell r="A981">
            <v>21</v>
          </cell>
          <cell r="B981">
            <v>45</v>
          </cell>
          <cell r="C981">
            <v>48</v>
          </cell>
          <cell r="D981">
            <v>21</v>
          </cell>
          <cell r="F981">
            <v>24.5</v>
          </cell>
          <cell r="G981">
            <v>18</v>
          </cell>
          <cell r="H981">
            <v>23</v>
          </cell>
          <cell r="I981">
            <v>19</v>
          </cell>
          <cell r="K981">
            <v>20</v>
          </cell>
          <cell r="L981">
            <v>25</v>
          </cell>
          <cell r="M981">
            <v>21</v>
          </cell>
          <cell r="N981">
            <v>23</v>
          </cell>
          <cell r="P981">
            <v>1749</v>
          </cell>
        </row>
        <row r="982">
          <cell r="A982">
            <v>19</v>
          </cell>
          <cell r="B982">
            <v>32</v>
          </cell>
          <cell r="C982">
            <v>42</v>
          </cell>
          <cell r="D982">
            <v>20</v>
          </cell>
          <cell r="F982">
            <v>22.5</v>
          </cell>
          <cell r="G982">
            <v>21</v>
          </cell>
          <cell r="H982">
            <v>15</v>
          </cell>
          <cell r="I982">
            <v>19</v>
          </cell>
          <cell r="K982">
            <v>19</v>
          </cell>
          <cell r="L982">
            <v>21</v>
          </cell>
          <cell r="M982">
            <v>16</v>
          </cell>
          <cell r="N982">
            <v>14</v>
          </cell>
          <cell r="P982">
            <v>1752</v>
          </cell>
        </row>
        <row r="983">
          <cell r="A983">
            <v>22</v>
          </cell>
          <cell r="B983">
            <v>42.5</v>
          </cell>
          <cell r="C983">
            <v>50</v>
          </cell>
          <cell r="D983">
            <v>22</v>
          </cell>
          <cell r="F983">
            <v>25</v>
          </cell>
          <cell r="G983">
            <v>21</v>
          </cell>
          <cell r="H983">
            <v>23</v>
          </cell>
          <cell r="I983">
            <v>18</v>
          </cell>
          <cell r="K983">
            <v>23</v>
          </cell>
          <cell r="L983">
            <v>24</v>
          </cell>
          <cell r="M983">
            <v>23</v>
          </cell>
          <cell r="N983">
            <v>24</v>
          </cell>
          <cell r="P983">
            <v>1755</v>
          </cell>
        </row>
        <row r="984">
          <cell r="A984">
            <v>24</v>
          </cell>
          <cell r="B984">
            <v>49</v>
          </cell>
          <cell r="C984">
            <v>50</v>
          </cell>
          <cell r="D984">
            <v>23</v>
          </cell>
          <cell r="F984">
            <v>25</v>
          </cell>
          <cell r="G984">
            <v>23</v>
          </cell>
          <cell r="H984">
            <v>24</v>
          </cell>
          <cell r="I984">
            <v>22</v>
          </cell>
          <cell r="K984">
            <v>23</v>
          </cell>
          <cell r="L984">
            <v>25</v>
          </cell>
          <cell r="M984">
            <v>23</v>
          </cell>
          <cell r="N984">
            <v>25</v>
          </cell>
          <cell r="P984">
            <v>1756</v>
          </cell>
        </row>
        <row r="985">
          <cell r="A985">
            <v>21.5</v>
          </cell>
          <cell r="B985">
            <v>45</v>
          </cell>
          <cell r="C985">
            <v>49</v>
          </cell>
          <cell r="D985">
            <v>21</v>
          </cell>
          <cell r="F985">
            <v>24</v>
          </cell>
          <cell r="G985">
            <v>21</v>
          </cell>
          <cell r="H985">
            <v>24</v>
          </cell>
          <cell r="I985">
            <v>17</v>
          </cell>
          <cell r="K985">
            <v>23</v>
          </cell>
          <cell r="L985">
            <v>23</v>
          </cell>
          <cell r="M985">
            <v>22</v>
          </cell>
          <cell r="N985">
            <v>20</v>
          </cell>
          <cell r="P985">
            <v>1757</v>
          </cell>
        </row>
        <row r="986">
          <cell r="A986">
            <v>22.5</v>
          </cell>
          <cell r="B986">
            <v>46</v>
          </cell>
          <cell r="C986">
            <v>50</v>
          </cell>
          <cell r="D986">
            <v>23</v>
          </cell>
          <cell r="F986">
            <v>25</v>
          </cell>
          <cell r="G986">
            <v>23</v>
          </cell>
          <cell r="H986">
            <v>24</v>
          </cell>
          <cell r="I986">
            <v>17</v>
          </cell>
          <cell r="K986">
            <v>24</v>
          </cell>
          <cell r="L986">
            <v>25</v>
          </cell>
          <cell r="M986">
            <v>22</v>
          </cell>
          <cell r="N986">
            <v>22</v>
          </cell>
          <cell r="P986">
            <v>1758</v>
          </cell>
        </row>
        <row r="987">
          <cell r="A987">
            <v>11</v>
          </cell>
          <cell r="B987">
            <v>26</v>
          </cell>
          <cell r="C987">
            <v>33</v>
          </cell>
          <cell r="D987">
            <v>15</v>
          </cell>
          <cell r="F987">
            <v>22</v>
          </cell>
          <cell r="G987">
            <v>19</v>
          </cell>
          <cell r="H987">
            <v>11</v>
          </cell>
          <cell r="I987">
            <v>14</v>
          </cell>
          <cell r="K987">
            <v>17</v>
          </cell>
          <cell r="L987">
            <v>22</v>
          </cell>
          <cell r="M987">
            <v>12</v>
          </cell>
          <cell r="N987">
            <v>18</v>
          </cell>
          <cell r="P987">
            <v>1759</v>
          </cell>
        </row>
        <row r="988">
          <cell r="A988">
            <v>23</v>
          </cell>
          <cell r="B988">
            <v>40.5</v>
          </cell>
          <cell r="C988">
            <v>32</v>
          </cell>
          <cell r="D988">
            <v>22</v>
          </cell>
          <cell r="F988">
            <v>22</v>
          </cell>
          <cell r="G988">
            <v>22</v>
          </cell>
          <cell r="H988">
            <v>23</v>
          </cell>
          <cell r="I988">
            <v>20</v>
          </cell>
          <cell r="K988">
            <v>24</v>
          </cell>
          <cell r="L988">
            <v>25</v>
          </cell>
          <cell r="M988">
            <v>19</v>
          </cell>
          <cell r="N988">
            <v>15</v>
          </cell>
          <cell r="P988">
            <v>1760</v>
          </cell>
        </row>
        <row r="989">
          <cell r="A989">
            <v>23</v>
          </cell>
          <cell r="B989">
            <v>37</v>
          </cell>
          <cell r="C989">
            <v>27</v>
          </cell>
          <cell r="D989">
            <v>19</v>
          </cell>
          <cell r="F989">
            <v>25</v>
          </cell>
          <cell r="G989">
            <v>22</v>
          </cell>
          <cell r="H989">
            <v>19</v>
          </cell>
          <cell r="I989">
            <v>19</v>
          </cell>
          <cell r="K989">
            <v>22</v>
          </cell>
          <cell r="L989">
            <v>24</v>
          </cell>
          <cell r="M989">
            <v>16</v>
          </cell>
          <cell r="N989">
            <v>22</v>
          </cell>
          <cell r="P989">
            <v>1761</v>
          </cell>
        </row>
        <row r="990">
          <cell r="A990">
            <v>22</v>
          </cell>
          <cell r="B990">
            <v>40</v>
          </cell>
          <cell r="C990">
            <v>38</v>
          </cell>
          <cell r="D990">
            <v>20</v>
          </cell>
          <cell r="F990">
            <v>23</v>
          </cell>
          <cell r="G990">
            <v>20.5</v>
          </cell>
          <cell r="H990">
            <v>23</v>
          </cell>
          <cell r="I990">
            <v>20</v>
          </cell>
          <cell r="K990">
            <v>24</v>
          </cell>
          <cell r="L990">
            <v>25</v>
          </cell>
          <cell r="M990">
            <v>21</v>
          </cell>
          <cell r="N990">
            <v>23</v>
          </cell>
          <cell r="P990">
            <v>1764</v>
          </cell>
        </row>
        <row r="991">
          <cell r="A991">
            <v>23</v>
          </cell>
          <cell r="B991">
            <v>47</v>
          </cell>
          <cell r="C991">
            <v>50</v>
          </cell>
          <cell r="D991">
            <v>22</v>
          </cell>
          <cell r="F991">
            <v>24.5</v>
          </cell>
          <cell r="G991">
            <v>22</v>
          </cell>
          <cell r="H991">
            <v>22</v>
          </cell>
          <cell r="I991">
            <v>21</v>
          </cell>
          <cell r="K991">
            <v>23</v>
          </cell>
          <cell r="L991">
            <v>24</v>
          </cell>
          <cell r="M991">
            <v>21</v>
          </cell>
          <cell r="N991">
            <v>24</v>
          </cell>
          <cell r="P991">
            <v>1765</v>
          </cell>
        </row>
        <row r="992">
          <cell r="A992">
            <v>23</v>
          </cell>
          <cell r="B992">
            <v>48.5</v>
          </cell>
          <cell r="C992">
            <v>50</v>
          </cell>
          <cell r="D992">
            <v>22</v>
          </cell>
          <cell r="F992">
            <v>25</v>
          </cell>
          <cell r="G992">
            <v>23</v>
          </cell>
          <cell r="H992">
            <v>25</v>
          </cell>
          <cell r="I992">
            <v>23</v>
          </cell>
          <cell r="K992">
            <v>24</v>
          </cell>
          <cell r="L992">
            <v>25</v>
          </cell>
          <cell r="M992">
            <v>23</v>
          </cell>
          <cell r="N992">
            <v>25</v>
          </cell>
          <cell r="P992">
            <v>1766</v>
          </cell>
        </row>
        <row r="993">
          <cell r="A993">
            <v>21</v>
          </cell>
          <cell r="B993">
            <v>46.5</v>
          </cell>
          <cell r="C993">
            <v>50</v>
          </cell>
          <cell r="D993">
            <v>23</v>
          </cell>
          <cell r="F993">
            <v>24.5</v>
          </cell>
          <cell r="G993">
            <v>24</v>
          </cell>
          <cell r="H993">
            <v>25</v>
          </cell>
          <cell r="I993">
            <v>23</v>
          </cell>
          <cell r="K993">
            <v>24</v>
          </cell>
          <cell r="L993">
            <v>25</v>
          </cell>
          <cell r="M993">
            <v>24</v>
          </cell>
          <cell r="N993">
            <v>25</v>
          </cell>
          <cell r="P993">
            <v>1767</v>
          </cell>
        </row>
        <row r="994">
          <cell r="A994">
            <v>23</v>
          </cell>
          <cell r="B994">
            <v>48</v>
          </cell>
          <cell r="C994">
            <v>50</v>
          </cell>
          <cell r="D994">
            <v>24</v>
          </cell>
          <cell r="F994">
            <v>24</v>
          </cell>
          <cell r="G994">
            <v>21</v>
          </cell>
          <cell r="H994">
            <v>23</v>
          </cell>
          <cell r="I994">
            <v>22</v>
          </cell>
          <cell r="K994">
            <v>20</v>
          </cell>
          <cell r="L994">
            <v>23</v>
          </cell>
          <cell r="M994">
            <v>23</v>
          </cell>
          <cell r="N994">
            <v>24</v>
          </cell>
          <cell r="P994">
            <v>1768</v>
          </cell>
        </row>
        <row r="995">
          <cell r="A995">
            <v>22</v>
          </cell>
          <cell r="B995">
            <v>46</v>
          </cell>
          <cell r="C995">
            <v>47</v>
          </cell>
          <cell r="D995">
            <v>17</v>
          </cell>
          <cell r="F995">
            <v>25</v>
          </cell>
          <cell r="G995">
            <v>20</v>
          </cell>
          <cell r="H995">
            <v>21</v>
          </cell>
          <cell r="I995">
            <v>21</v>
          </cell>
          <cell r="K995">
            <v>24</v>
          </cell>
          <cell r="L995">
            <v>23</v>
          </cell>
          <cell r="M995">
            <v>19</v>
          </cell>
          <cell r="N995">
            <v>22</v>
          </cell>
          <cell r="P995">
            <v>1769</v>
          </cell>
        </row>
        <row r="996">
          <cell r="A996">
            <v>22</v>
          </cell>
          <cell r="B996">
            <v>43.5</v>
          </cell>
          <cell r="C996">
            <v>49</v>
          </cell>
          <cell r="D996">
            <v>22</v>
          </cell>
          <cell r="F996">
            <v>23</v>
          </cell>
          <cell r="G996">
            <v>22</v>
          </cell>
          <cell r="H996">
            <v>24</v>
          </cell>
          <cell r="I996">
            <v>21</v>
          </cell>
          <cell r="K996">
            <v>24</v>
          </cell>
          <cell r="L996">
            <v>25</v>
          </cell>
          <cell r="M996">
            <v>22</v>
          </cell>
          <cell r="N996">
            <v>23</v>
          </cell>
          <cell r="P996">
            <v>1770</v>
          </cell>
        </row>
        <row r="997">
          <cell r="A997">
            <v>24</v>
          </cell>
          <cell r="B997">
            <v>35</v>
          </cell>
          <cell r="C997">
            <v>47</v>
          </cell>
          <cell r="D997">
            <v>21</v>
          </cell>
          <cell r="F997">
            <v>19.5</v>
          </cell>
          <cell r="G997">
            <v>22.5</v>
          </cell>
          <cell r="H997">
            <v>25</v>
          </cell>
          <cell r="I997">
            <v>20</v>
          </cell>
          <cell r="K997">
            <v>23</v>
          </cell>
          <cell r="L997">
            <v>24</v>
          </cell>
          <cell r="M997">
            <v>20</v>
          </cell>
          <cell r="N997">
            <v>19</v>
          </cell>
          <cell r="P997">
            <v>1771</v>
          </cell>
        </row>
        <row r="998">
          <cell r="A998">
            <v>24</v>
          </cell>
          <cell r="B998">
            <v>47.5</v>
          </cell>
          <cell r="C998">
            <v>50</v>
          </cell>
          <cell r="D998">
            <v>22</v>
          </cell>
          <cell r="F998">
            <v>24.5</v>
          </cell>
          <cell r="G998">
            <v>23</v>
          </cell>
          <cell r="H998">
            <v>24</v>
          </cell>
          <cell r="I998">
            <v>21</v>
          </cell>
          <cell r="K998">
            <v>24</v>
          </cell>
          <cell r="L998">
            <v>25</v>
          </cell>
          <cell r="M998">
            <v>22</v>
          </cell>
          <cell r="N998">
            <v>25</v>
          </cell>
          <cell r="P998">
            <v>1776</v>
          </cell>
        </row>
        <row r="999">
          <cell r="A999" t="str">
            <v>غ</v>
          </cell>
          <cell r="B999">
            <v>0</v>
          </cell>
          <cell r="C999">
            <v>47</v>
          </cell>
          <cell r="D999">
            <v>23</v>
          </cell>
          <cell r="F999" t="str">
            <v>غ</v>
          </cell>
          <cell r="G999" t="str">
            <v>غ</v>
          </cell>
          <cell r="H999">
            <v>23</v>
          </cell>
          <cell r="I999">
            <v>23</v>
          </cell>
          <cell r="K999" t="str">
            <v>غ</v>
          </cell>
          <cell r="L999" t="str">
            <v>غ</v>
          </cell>
          <cell r="M999">
            <v>24</v>
          </cell>
          <cell r="N999">
            <v>24</v>
          </cell>
          <cell r="P999">
            <v>1777</v>
          </cell>
        </row>
        <row r="1000">
          <cell r="A1000">
            <v>25</v>
          </cell>
          <cell r="B1000">
            <v>48</v>
          </cell>
          <cell r="C1000">
            <v>50</v>
          </cell>
          <cell r="D1000">
            <v>19</v>
          </cell>
          <cell r="F1000">
            <v>23</v>
          </cell>
          <cell r="G1000">
            <v>23</v>
          </cell>
          <cell r="H1000">
            <v>23</v>
          </cell>
          <cell r="I1000">
            <v>20</v>
          </cell>
          <cell r="K1000">
            <v>24</v>
          </cell>
          <cell r="L1000">
            <v>25</v>
          </cell>
          <cell r="M1000">
            <v>22</v>
          </cell>
          <cell r="N1000">
            <v>22</v>
          </cell>
          <cell r="P1000">
            <v>1778</v>
          </cell>
        </row>
        <row r="1001">
          <cell r="A1001">
            <v>23</v>
          </cell>
          <cell r="B1001">
            <v>46.5</v>
          </cell>
          <cell r="C1001">
            <v>50</v>
          </cell>
          <cell r="D1001">
            <v>22</v>
          </cell>
          <cell r="F1001">
            <v>25</v>
          </cell>
          <cell r="G1001">
            <v>22</v>
          </cell>
          <cell r="H1001">
            <v>23</v>
          </cell>
          <cell r="I1001">
            <v>20</v>
          </cell>
          <cell r="K1001">
            <v>20</v>
          </cell>
          <cell r="L1001">
            <v>24</v>
          </cell>
          <cell r="M1001">
            <v>24</v>
          </cell>
          <cell r="N1001">
            <v>24</v>
          </cell>
          <cell r="P1001">
            <v>1780</v>
          </cell>
        </row>
        <row r="1002">
          <cell r="A1002">
            <v>23</v>
          </cell>
          <cell r="B1002">
            <v>44.5</v>
          </cell>
          <cell r="C1002">
            <v>47</v>
          </cell>
          <cell r="D1002">
            <v>21</v>
          </cell>
          <cell r="F1002">
            <v>24</v>
          </cell>
          <cell r="G1002">
            <v>23</v>
          </cell>
          <cell r="H1002">
            <v>24</v>
          </cell>
          <cell r="I1002">
            <v>22</v>
          </cell>
          <cell r="K1002">
            <v>23</v>
          </cell>
          <cell r="L1002">
            <v>25</v>
          </cell>
          <cell r="M1002">
            <v>20</v>
          </cell>
          <cell r="N1002">
            <v>24</v>
          </cell>
          <cell r="P1002">
            <v>1782</v>
          </cell>
        </row>
        <row r="1003">
          <cell r="A1003">
            <v>24</v>
          </cell>
          <cell r="B1003">
            <v>45.5</v>
          </cell>
          <cell r="C1003">
            <v>49</v>
          </cell>
          <cell r="D1003">
            <v>20</v>
          </cell>
          <cell r="F1003">
            <v>23</v>
          </cell>
          <cell r="G1003">
            <v>23</v>
          </cell>
          <cell r="H1003">
            <v>24</v>
          </cell>
          <cell r="I1003">
            <v>22</v>
          </cell>
          <cell r="K1003">
            <v>22</v>
          </cell>
          <cell r="L1003">
            <v>24</v>
          </cell>
          <cell r="M1003">
            <v>21</v>
          </cell>
          <cell r="N1003">
            <v>22</v>
          </cell>
          <cell r="P1003">
            <v>1783</v>
          </cell>
        </row>
        <row r="1004">
          <cell r="A1004">
            <v>23</v>
          </cell>
          <cell r="B1004">
            <v>47</v>
          </cell>
          <cell r="C1004">
            <v>44</v>
          </cell>
          <cell r="D1004">
            <v>22</v>
          </cell>
          <cell r="F1004">
            <v>24</v>
          </cell>
          <cell r="G1004">
            <v>25</v>
          </cell>
          <cell r="H1004">
            <v>24</v>
          </cell>
          <cell r="I1004">
            <v>22</v>
          </cell>
          <cell r="K1004">
            <v>21</v>
          </cell>
          <cell r="L1004">
            <v>25</v>
          </cell>
          <cell r="M1004">
            <v>22</v>
          </cell>
          <cell r="N1004">
            <v>24</v>
          </cell>
          <cell r="P1004">
            <v>1784</v>
          </cell>
        </row>
        <row r="1005">
          <cell r="A1005">
            <v>25</v>
          </cell>
          <cell r="B1005">
            <v>43</v>
          </cell>
          <cell r="C1005">
            <v>46</v>
          </cell>
          <cell r="D1005">
            <v>23</v>
          </cell>
          <cell r="F1005">
            <v>23</v>
          </cell>
          <cell r="G1005">
            <v>23</v>
          </cell>
          <cell r="H1005">
            <v>22</v>
          </cell>
          <cell r="I1005">
            <v>22</v>
          </cell>
          <cell r="K1005">
            <v>20</v>
          </cell>
          <cell r="L1005">
            <v>22</v>
          </cell>
          <cell r="M1005">
            <v>23</v>
          </cell>
          <cell r="N1005">
            <v>19</v>
          </cell>
          <cell r="P1005">
            <v>1785</v>
          </cell>
        </row>
        <row r="1006">
          <cell r="A1006">
            <v>23</v>
          </cell>
          <cell r="B1006">
            <v>44.5</v>
          </cell>
          <cell r="C1006">
            <v>44</v>
          </cell>
          <cell r="D1006">
            <v>20</v>
          </cell>
          <cell r="F1006">
            <v>23.5</v>
          </cell>
          <cell r="G1006">
            <v>22</v>
          </cell>
          <cell r="H1006">
            <v>20</v>
          </cell>
          <cell r="I1006">
            <v>16</v>
          </cell>
          <cell r="K1006">
            <v>15</v>
          </cell>
          <cell r="L1006">
            <v>25</v>
          </cell>
          <cell r="M1006">
            <v>16</v>
          </cell>
          <cell r="N1006">
            <v>18</v>
          </cell>
          <cell r="P1006">
            <v>1786</v>
          </cell>
        </row>
        <row r="1007">
          <cell r="A1007">
            <v>22</v>
          </cell>
          <cell r="B1007">
            <v>45</v>
          </cell>
          <cell r="C1007">
            <v>47</v>
          </cell>
          <cell r="D1007">
            <v>22</v>
          </cell>
          <cell r="F1007">
            <v>25</v>
          </cell>
          <cell r="G1007">
            <v>24</v>
          </cell>
          <cell r="H1007">
            <v>23</v>
          </cell>
          <cell r="I1007">
            <v>20</v>
          </cell>
          <cell r="K1007">
            <v>19</v>
          </cell>
          <cell r="L1007">
            <v>25</v>
          </cell>
          <cell r="M1007">
            <v>16</v>
          </cell>
          <cell r="N1007">
            <v>21</v>
          </cell>
          <cell r="P1007">
            <v>1788</v>
          </cell>
        </row>
        <row r="1008">
          <cell r="A1008">
            <v>23</v>
          </cell>
          <cell r="B1008">
            <v>49</v>
          </cell>
          <cell r="C1008">
            <v>49</v>
          </cell>
          <cell r="D1008">
            <v>23</v>
          </cell>
          <cell r="F1008">
            <v>22</v>
          </cell>
          <cell r="G1008">
            <v>21</v>
          </cell>
          <cell r="H1008">
            <v>24</v>
          </cell>
          <cell r="I1008">
            <v>20</v>
          </cell>
          <cell r="K1008">
            <v>22</v>
          </cell>
          <cell r="L1008">
            <v>24</v>
          </cell>
          <cell r="M1008">
            <v>23</v>
          </cell>
          <cell r="N1008">
            <v>23</v>
          </cell>
          <cell r="P1008">
            <v>1789</v>
          </cell>
        </row>
        <row r="1009">
          <cell r="A1009">
            <v>24</v>
          </cell>
          <cell r="B1009">
            <v>48.5</v>
          </cell>
          <cell r="C1009">
            <v>50</v>
          </cell>
          <cell r="D1009">
            <v>19</v>
          </cell>
          <cell r="F1009">
            <v>24</v>
          </cell>
          <cell r="G1009">
            <v>23</v>
          </cell>
          <cell r="H1009">
            <v>24</v>
          </cell>
          <cell r="I1009">
            <v>19</v>
          </cell>
          <cell r="K1009">
            <v>22</v>
          </cell>
          <cell r="L1009">
            <v>23</v>
          </cell>
          <cell r="M1009">
            <v>23</v>
          </cell>
          <cell r="N1009">
            <v>24</v>
          </cell>
          <cell r="P1009">
            <v>1790</v>
          </cell>
        </row>
        <row r="1010">
          <cell r="A1010">
            <v>23</v>
          </cell>
          <cell r="B1010">
            <v>43</v>
          </cell>
          <cell r="C1010">
            <v>48</v>
          </cell>
          <cell r="D1010">
            <v>20</v>
          </cell>
          <cell r="F1010">
            <v>23</v>
          </cell>
          <cell r="G1010">
            <v>21</v>
          </cell>
          <cell r="H1010">
            <v>23</v>
          </cell>
          <cell r="I1010">
            <v>13</v>
          </cell>
          <cell r="K1010">
            <v>20</v>
          </cell>
          <cell r="L1010">
            <v>24</v>
          </cell>
          <cell r="M1010">
            <v>20</v>
          </cell>
          <cell r="N1010">
            <v>16</v>
          </cell>
          <cell r="P1010">
            <v>1791</v>
          </cell>
        </row>
        <row r="1011">
          <cell r="A1011">
            <v>21</v>
          </cell>
          <cell r="B1011">
            <v>41.5</v>
          </cell>
          <cell r="C1011">
            <v>45</v>
          </cell>
          <cell r="D1011">
            <v>21</v>
          </cell>
          <cell r="F1011">
            <v>24</v>
          </cell>
          <cell r="G1011">
            <v>23</v>
          </cell>
          <cell r="H1011">
            <v>23</v>
          </cell>
          <cell r="I1011">
            <v>21</v>
          </cell>
          <cell r="K1011">
            <v>19</v>
          </cell>
          <cell r="L1011">
            <v>22</v>
          </cell>
          <cell r="M1011">
            <v>16</v>
          </cell>
          <cell r="N1011">
            <v>19</v>
          </cell>
          <cell r="P1011">
            <v>1792</v>
          </cell>
        </row>
        <row r="1012">
          <cell r="A1012">
            <v>24</v>
          </cell>
          <cell r="B1012">
            <v>49.5</v>
          </cell>
          <cell r="C1012">
            <v>50</v>
          </cell>
          <cell r="D1012">
            <v>21</v>
          </cell>
          <cell r="F1012">
            <v>25</v>
          </cell>
          <cell r="G1012">
            <v>21</v>
          </cell>
          <cell r="H1012">
            <v>24</v>
          </cell>
          <cell r="I1012">
            <v>21</v>
          </cell>
          <cell r="K1012">
            <v>24</v>
          </cell>
          <cell r="L1012">
            <v>25</v>
          </cell>
          <cell r="M1012">
            <v>22</v>
          </cell>
          <cell r="N1012">
            <v>21</v>
          </cell>
          <cell r="P1012">
            <v>1793</v>
          </cell>
        </row>
        <row r="1013">
          <cell r="A1013">
            <v>22</v>
          </cell>
          <cell r="B1013">
            <v>24.5</v>
          </cell>
          <cell r="C1013">
            <v>35</v>
          </cell>
          <cell r="D1013">
            <v>20</v>
          </cell>
          <cell r="F1013">
            <v>24</v>
          </cell>
          <cell r="G1013">
            <v>22</v>
          </cell>
          <cell r="H1013">
            <v>17</v>
          </cell>
          <cell r="I1013">
            <v>18</v>
          </cell>
          <cell r="K1013">
            <v>22</v>
          </cell>
          <cell r="L1013">
            <v>22</v>
          </cell>
          <cell r="M1013">
            <v>16</v>
          </cell>
          <cell r="N1013">
            <v>23</v>
          </cell>
          <cell r="P1013">
            <v>1794</v>
          </cell>
        </row>
        <row r="1014">
          <cell r="A1014">
            <v>20</v>
          </cell>
          <cell r="B1014">
            <v>37.5</v>
          </cell>
          <cell r="C1014">
            <v>35</v>
          </cell>
          <cell r="D1014">
            <v>20</v>
          </cell>
          <cell r="F1014">
            <v>23.5</v>
          </cell>
          <cell r="G1014">
            <v>21</v>
          </cell>
          <cell r="H1014">
            <v>13</v>
          </cell>
          <cell r="I1014">
            <v>10</v>
          </cell>
          <cell r="K1014">
            <v>20</v>
          </cell>
          <cell r="L1014">
            <v>23</v>
          </cell>
          <cell r="M1014">
            <v>20</v>
          </cell>
          <cell r="N1014">
            <v>10</v>
          </cell>
          <cell r="P1014">
            <v>1795</v>
          </cell>
        </row>
        <row r="1015">
          <cell r="A1015">
            <v>24</v>
          </cell>
          <cell r="B1015">
            <v>48</v>
          </cell>
          <cell r="C1015">
            <v>48</v>
          </cell>
          <cell r="D1015">
            <v>19</v>
          </cell>
          <cell r="F1015">
            <v>25</v>
          </cell>
          <cell r="G1015">
            <v>23</v>
          </cell>
          <cell r="H1015">
            <v>25</v>
          </cell>
          <cell r="I1015">
            <v>23</v>
          </cell>
          <cell r="K1015">
            <v>24</v>
          </cell>
          <cell r="L1015">
            <v>25</v>
          </cell>
          <cell r="M1015">
            <v>23</v>
          </cell>
          <cell r="N1015">
            <v>25</v>
          </cell>
          <cell r="P1015">
            <v>1796</v>
          </cell>
        </row>
        <row r="1016">
          <cell r="A1016">
            <v>23</v>
          </cell>
          <cell r="B1016">
            <v>45.5</v>
          </cell>
          <cell r="C1016">
            <v>50</v>
          </cell>
          <cell r="D1016">
            <v>20</v>
          </cell>
          <cell r="F1016">
            <v>24</v>
          </cell>
          <cell r="G1016">
            <v>21</v>
          </cell>
          <cell r="H1016">
            <v>25</v>
          </cell>
          <cell r="I1016">
            <v>16</v>
          </cell>
          <cell r="K1016">
            <v>21</v>
          </cell>
          <cell r="L1016">
            <v>25</v>
          </cell>
          <cell r="M1016">
            <v>22</v>
          </cell>
          <cell r="N1016">
            <v>20</v>
          </cell>
          <cell r="P1016">
            <v>1797</v>
          </cell>
        </row>
        <row r="1017">
          <cell r="A1017">
            <v>23</v>
          </cell>
          <cell r="B1017">
            <v>48</v>
          </cell>
          <cell r="C1017">
            <v>49</v>
          </cell>
          <cell r="D1017">
            <v>22</v>
          </cell>
          <cell r="F1017">
            <v>24</v>
          </cell>
          <cell r="G1017">
            <v>22</v>
          </cell>
          <cell r="H1017">
            <v>25</v>
          </cell>
          <cell r="I1017">
            <v>23</v>
          </cell>
          <cell r="K1017">
            <v>24</v>
          </cell>
          <cell r="L1017">
            <v>25</v>
          </cell>
          <cell r="M1017">
            <v>24</v>
          </cell>
          <cell r="N1017">
            <v>25</v>
          </cell>
          <cell r="P1017">
            <v>1798</v>
          </cell>
        </row>
        <row r="1018">
          <cell r="A1018">
            <v>22</v>
          </cell>
          <cell r="B1018">
            <v>48.5</v>
          </cell>
          <cell r="C1018">
            <v>50</v>
          </cell>
          <cell r="D1018">
            <v>21</v>
          </cell>
          <cell r="F1018">
            <v>25</v>
          </cell>
          <cell r="G1018">
            <v>24</v>
          </cell>
          <cell r="H1018">
            <v>25</v>
          </cell>
          <cell r="I1018">
            <v>20</v>
          </cell>
          <cell r="K1018">
            <v>22</v>
          </cell>
          <cell r="L1018">
            <v>25</v>
          </cell>
          <cell r="M1018">
            <v>22</v>
          </cell>
          <cell r="N1018">
            <v>24</v>
          </cell>
          <cell r="P1018">
            <v>1799</v>
          </cell>
        </row>
        <row r="1019">
          <cell r="A1019">
            <v>25</v>
          </cell>
          <cell r="B1019">
            <v>46.5</v>
          </cell>
          <cell r="C1019">
            <v>50</v>
          </cell>
          <cell r="D1019">
            <v>24</v>
          </cell>
          <cell r="F1019">
            <v>24</v>
          </cell>
          <cell r="G1019">
            <v>23</v>
          </cell>
          <cell r="H1019">
            <v>24</v>
          </cell>
          <cell r="I1019">
            <v>23</v>
          </cell>
          <cell r="K1019">
            <v>23</v>
          </cell>
          <cell r="L1019">
            <v>25</v>
          </cell>
          <cell r="M1019">
            <v>24</v>
          </cell>
          <cell r="N1019">
            <v>25</v>
          </cell>
          <cell r="P1019">
            <v>1801</v>
          </cell>
        </row>
        <row r="1020">
          <cell r="A1020">
            <v>21</v>
          </cell>
          <cell r="B1020">
            <v>40.5</v>
          </cell>
          <cell r="C1020">
            <v>40</v>
          </cell>
          <cell r="D1020">
            <v>19</v>
          </cell>
          <cell r="F1020">
            <v>23</v>
          </cell>
          <cell r="G1020">
            <v>22</v>
          </cell>
          <cell r="H1020">
            <v>22</v>
          </cell>
          <cell r="I1020">
            <v>13</v>
          </cell>
          <cell r="K1020">
            <v>22</v>
          </cell>
          <cell r="L1020">
            <v>25</v>
          </cell>
          <cell r="M1020">
            <v>17</v>
          </cell>
          <cell r="N1020">
            <v>17</v>
          </cell>
          <cell r="P1020">
            <v>1803</v>
          </cell>
        </row>
        <row r="1021">
          <cell r="A1021">
            <v>22</v>
          </cell>
          <cell r="B1021">
            <v>46.5</v>
          </cell>
          <cell r="C1021">
            <v>47</v>
          </cell>
          <cell r="D1021">
            <v>19</v>
          </cell>
          <cell r="F1021">
            <v>24</v>
          </cell>
          <cell r="G1021">
            <v>22</v>
          </cell>
          <cell r="H1021">
            <v>23</v>
          </cell>
          <cell r="I1021">
            <v>20</v>
          </cell>
          <cell r="K1021">
            <v>24</v>
          </cell>
          <cell r="L1021">
            <v>24</v>
          </cell>
          <cell r="M1021">
            <v>22</v>
          </cell>
          <cell r="N1021">
            <v>21</v>
          </cell>
          <cell r="P1021">
            <v>1804</v>
          </cell>
        </row>
        <row r="1022">
          <cell r="A1022">
            <v>25</v>
          </cell>
          <cell r="B1022">
            <v>49.5</v>
          </cell>
          <cell r="C1022">
            <v>50</v>
          </cell>
          <cell r="D1022">
            <v>22</v>
          </cell>
          <cell r="F1022">
            <v>24</v>
          </cell>
          <cell r="G1022">
            <v>23</v>
          </cell>
          <cell r="H1022">
            <v>25</v>
          </cell>
          <cell r="I1022">
            <v>22</v>
          </cell>
          <cell r="K1022">
            <v>25</v>
          </cell>
          <cell r="L1022">
            <v>25</v>
          </cell>
          <cell r="M1022">
            <v>21</v>
          </cell>
          <cell r="N1022">
            <v>25</v>
          </cell>
          <cell r="P1022">
            <v>1805</v>
          </cell>
        </row>
        <row r="1023">
          <cell r="A1023">
            <v>24</v>
          </cell>
          <cell r="B1023">
            <v>47</v>
          </cell>
          <cell r="C1023">
            <v>49</v>
          </cell>
          <cell r="D1023">
            <v>23</v>
          </cell>
          <cell r="F1023">
            <v>25</v>
          </cell>
          <cell r="G1023">
            <v>22</v>
          </cell>
          <cell r="H1023">
            <v>24</v>
          </cell>
          <cell r="I1023">
            <v>23</v>
          </cell>
          <cell r="K1023">
            <v>23</v>
          </cell>
          <cell r="L1023">
            <v>25</v>
          </cell>
          <cell r="M1023">
            <v>23</v>
          </cell>
          <cell r="N1023">
            <v>22</v>
          </cell>
          <cell r="P1023">
            <v>1806</v>
          </cell>
        </row>
        <row r="1024">
          <cell r="A1024">
            <v>23</v>
          </cell>
          <cell r="B1024">
            <v>45.5</v>
          </cell>
          <cell r="C1024">
            <v>49</v>
          </cell>
          <cell r="D1024">
            <v>22</v>
          </cell>
          <cell r="F1024">
            <v>23</v>
          </cell>
          <cell r="G1024">
            <v>22</v>
          </cell>
          <cell r="H1024">
            <v>25</v>
          </cell>
          <cell r="I1024">
            <v>23</v>
          </cell>
          <cell r="K1024">
            <v>23</v>
          </cell>
          <cell r="L1024">
            <v>24</v>
          </cell>
          <cell r="M1024">
            <v>23</v>
          </cell>
          <cell r="N1024">
            <v>25</v>
          </cell>
          <cell r="P1024">
            <v>1808</v>
          </cell>
        </row>
        <row r="1025">
          <cell r="A1025">
            <v>21</v>
          </cell>
          <cell r="B1025">
            <v>41</v>
          </cell>
          <cell r="C1025">
            <v>44</v>
          </cell>
          <cell r="D1025">
            <v>21</v>
          </cell>
          <cell r="F1025">
            <v>23</v>
          </cell>
          <cell r="G1025">
            <v>22</v>
          </cell>
          <cell r="H1025">
            <v>24</v>
          </cell>
          <cell r="I1025">
            <v>21</v>
          </cell>
          <cell r="K1025">
            <v>21</v>
          </cell>
          <cell r="L1025">
            <v>24</v>
          </cell>
          <cell r="M1025">
            <v>21</v>
          </cell>
          <cell r="N1025">
            <v>21</v>
          </cell>
          <cell r="P1025">
            <v>1809</v>
          </cell>
        </row>
        <row r="1026">
          <cell r="A1026">
            <v>23</v>
          </cell>
          <cell r="B1026">
            <v>46.5</v>
          </cell>
          <cell r="C1026">
            <v>50</v>
          </cell>
          <cell r="D1026">
            <v>21</v>
          </cell>
          <cell r="F1026">
            <v>23</v>
          </cell>
          <cell r="G1026">
            <v>21</v>
          </cell>
          <cell r="H1026">
            <v>24</v>
          </cell>
          <cell r="I1026">
            <v>21</v>
          </cell>
          <cell r="K1026">
            <v>23</v>
          </cell>
          <cell r="L1026">
            <v>25</v>
          </cell>
          <cell r="M1026">
            <v>22</v>
          </cell>
          <cell r="N1026">
            <v>24</v>
          </cell>
          <cell r="P1026">
            <v>1816</v>
          </cell>
        </row>
        <row r="1027">
          <cell r="A1027">
            <v>22</v>
          </cell>
          <cell r="B1027">
            <v>46</v>
          </cell>
          <cell r="C1027">
            <v>50</v>
          </cell>
          <cell r="D1027">
            <v>23</v>
          </cell>
          <cell r="F1027">
            <v>24</v>
          </cell>
          <cell r="G1027">
            <v>23</v>
          </cell>
          <cell r="H1027">
            <v>25</v>
          </cell>
          <cell r="I1027">
            <v>20</v>
          </cell>
          <cell r="K1027">
            <v>24</v>
          </cell>
          <cell r="L1027">
            <v>25</v>
          </cell>
          <cell r="M1027">
            <v>23</v>
          </cell>
          <cell r="N1027">
            <v>24</v>
          </cell>
          <cell r="P1027">
            <v>1817</v>
          </cell>
        </row>
        <row r="1028">
          <cell r="A1028">
            <v>22</v>
          </cell>
          <cell r="B1028">
            <v>46</v>
          </cell>
          <cell r="C1028">
            <v>46</v>
          </cell>
          <cell r="D1028">
            <v>21</v>
          </cell>
          <cell r="F1028">
            <v>25</v>
          </cell>
          <cell r="G1028">
            <v>21</v>
          </cell>
          <cell r="H1028">
            <v>25</v>
          </cell>
          <cell r="I1028">
            <v>18</v>
          </cell>
          <cell r="K1028">
            <v>24</v>
          </cell>
          <cell r="L1028">
            <v>24</v>
          </cell>
          <cell r="M1028">
            <v>21</v>
          </cell>
          <cell r="N1028">
            <v>21</v>
          </cell>
          <cell r="P1028">
            <v>1818</v>
          </cell>
        </row>
        <row r="1029">
          <cell r="A1029">
            <v>23</v>
          </cell>
          <cell r="B1029">
            <v>47</v>
          </cell>
          <cell r="C1029">
            <v>49</v>
          </cell>
          <cell r="D1029">
            <v>23</v>
          </cell>
          <cell r="F1029">
            <v>24</v>
          </cell>
          <cell r="G1029">
            <v>24</v>
          </cell>
          <cell r="H1029">
            <v>25</v>
          </cell>
          <cell r="I1029">
            <v>23</v>
          </cell>
          <cell r="K1029">
            <v>23</v>
          </cell>
          <cell r="L1029">
            <v>25</v>
          </cell>
          <cell r="M1029">
            <v>21</v>
          </cell>
          <cell r="N1029">
            <v>21</v>
          </cell>
          <cell r="P1029">
            <v>1824</v>
          </cell>
        </row>
        <row r="1030">
          <cell r="A1030">
            <v>21.5</v>
          </cell>
          <cell r="B1030">
            <v>46</v>
          </cell>
          <cell r="C1030">
            <v>49</v>
          </cell>
          <cell r="D1030">
            <v>22</v>
          </cell>
          <cell r="F1030">
            <v>24.5</v>
          </cell>
          <cell r="G1030">
            <v>23</v>
          </cell>
          <cell r="H1030">
            <v>23</v>
          </cell>
          <cell r="I1030">
            <v>22</v>
          </cell>
          <cell r="K1030">
            <v>25</v>
          </cell>
          <cell r="L1030">
            <v>25</v>
          </cell>
          <cell r="M1030">
            <v>22</v>
          </cell>
          <cell r="N1030">
            <v>24</v>
          </cell>
          <cell r="P1030">
            <v>1830</v>
          </cell>
        </row>
        <row r="1031">
          <cell r="A1031">
            <v>23.5</v>
          </cell>
          <cell r="B1031">
            <v>49</v>
          </cell>
          <cell r="C1031">
            <v>50</v>
          </cell>
          <cell r="D1031">
            <v>23</v>
          </cell>
          <cell r="F1031">
            <v>25</v>
          </cell>
          <cell r="G1031">
            <v>23</v>
          </cell>
          <cell r="H1031">
            <v>24</v>
          </cell>
          <cell r="I1031">
            <v>23</v>
          </cell>
          <cell r="K1031">
            <v>24</v>
          </cell>
          <cell r="L1031">
            <v>25</v>
          </cell>
          <cell r="M1031">
            <v>24</v>
          </cell>
          <cell r="N1031">
            <v>25</v>
          </cell>
          <cell r="P1031">
            <v>1831</v>
          </cell>
        </row>
        <row r="1032">
          <cell r="A1032">
            <v>22</v>
          </cell>
          <cell r="B1032">
            <v>49</v>
          </cell>
          <cell r="C1032">
            <v>50</v>
          </cell>
          <cell r="D1032">
            <v>23</v>
          </cell>
          <cell r="F1032">
            <v>24</v>
          </cell>
          <cell r="G1032">
            <v>23</v>
          </cell>
          <cell r="H1032">
            <v>25</v>
          </cell>
          <cell r="I1032">
            <v>23</v>
          </cell>
          <cell r="K1032">
            <v>25</v>
          </cell>
          <cell r="L1032">
            <v>25</v>
          </cell>
          <cell r="M1032">
            <v>23</v>
          </cell>
          <cell r="N1032">
            <v>25</v>
          </cell>
          <cell r="P1032">
            <v>1832</v>
          </cell>
        </row>
        <row r="1033">
          <cell r="A1033">
            <v>20</v>
          </cell>
          <cell r="B1033">
            <v>42.5</v>
          </cell>
          <cell r="C1033">
            <v>43</v>
          </cell>
          <cell r="D1033">
            <v>20</v>
          </cell>
          <cell r="F1033">
            <v>23</v>
          </cell>
          <cell r="G1033">
            <v>20</v>
          </cell>
          <cell r="H1033">
            <v>20</v>
          </cell>
          <cell r="I1033">
            <v>14</v>
          </cell>
          <cell r="K1033">
            <v>20</v>
          </cell>
          <cell r="L1033">
            <v>24</v>
          </cell>
          <cell r="M1033">
            <v>19</v>
          </cell>
          <cell r="N1033">
            <v>16</v>
          </cell>
          <cell r="P1033">
            <v>1833</v>
          </cell>
        </row>
        <row r="1034">
          <cell r="A1034">
            <v>20</v>
          </cell>
          <cell r="B1034">
            <v>44</v>
          </cell>
          <cell r="C1034">
            <v>47</v>
          </cell>
          <cell r="D1034">
            <v>19</v>
          </cell>
          <cell r="F1034">
            <v>24.5</v>
          </cell>
          <cell r="G1034">
            <v>20</v>
          </cell>
          <cell r="H1034">
            <v>20</v>
          </cell>
          <cell r="I1034">
            <v>22</v>
          </cell>
          <cell r="K1034">
            <v>19</v>
          </cell>
          <cell r="L1034">
            <v>23</v>
          </cell>
          <cell r="M1034">
            <v>23</v>
          </cell>
          <cell r="N1034">
            <v>21</v>
          </cell>
          <cell r="P1034">
            <v>1835</v>
          </cell>
        </row>
        <row r="1035">
          <cell r="A1035">
            <v>23.5</v>
          </cell>
          <cell r="B1035">
            <v>46.5</v>
          </cell>
          <cell r="C1035">
            <v>47</v>
          </cell>
          <cell r="D1035">
            <v>22</v>
          </cell>
          <cell r="F1035">
            <v>23</v>
          </cell>
          <cell r="G1035">
            <v>22</v>
          </cell>
          <cell r="H1035">
            <v>24</v>
          </cell>
          <cell r="I1035">
            <v>20</v>
          </cell>
          <cell r="K1035">
            <v>22</v>
          </cell>
          <cell r="L1035">
            <v>24</v>
          </cell>
          <cell r="M1035">
            <v>18</v>
          </cell>
          <cell r="N1035">
            <v>18</v>
          </cell>
          <cell r="P1035">
            <v>1836</v>
          </cell>
        </row>
        <row r="1036">
          <cell r="A1036">
            <v>23.5</v>
          </cell>
          <cell r="B1036">
            <v>48.5</v>
          </cell>
          <cell r="C1036">
            <v>49</v>
          </cell>
          <cell r="D1036">
            <v>21</v>
          </cell>
          <cell r="F1036">
            <v>24.5</v>
          </cell>
          <cell r="G1036">
            <v>20</v>
          </cell>
          <cell r="H1036">
            <v>22</v>
          </cell>
          <cell r="I1036">
            <v>21</v>
          </cell>
          <cell r="K1036">
            <v>23</v>
          </cell>
          <cell r="L1036">
            <v>23</v>
          </cell>
          <cell r="M1036">
            <v>23</v>
          </cell>
          <cell r="N1036">
            <v>21</v>
          </cell>
          <cell r="P1036">
            <v>1840</v>
          </cell>
        </row>
        <row r="1037">
          <cell r="A1037">
            <v>22.5</v>
          </cell>
          <cell r="B1037">
            <v>39.5</v>
          </cell>
          <cell r="C1037">
            <v>43</v>
          </cell>
          <cell r="D1037">
            <v>20</v>
          </cell>
          <cell r="F1037">
            <v>24</v>
          </cell>
          <cell r="G1037">
            <v>23</v>
          </cell>
          <cell r="H1037">
            <v>23</v>
          </cell>
          <cell r="I1037">
            <v>20</v>
          </cell>
          <cell r="K1037">
            <v>21</v>
          </cell>
          <cell r="L1037">
            <v>25</v>
          </cell>
          <cell r="M1037">
            <v>22</v>
          </cell>
          <cell r="N1037">
            <v>23</v>
          </cell>
          <cell r="P1037">
            <v>1843</v>
          </cell>
        </row>
        <row r="1038">
          <cell r="A1038">
            <v>24</v>
          </cell>
          <cell r="B1038">
            <v>43.5</v>
          </cell>
          <cell r="C1038">
            <v>46</v>
          </cell>
          <cell r="D1038">
            <v>22</v>
          </cell>
          <cell r="F1038">
            <v>23.5</v>
          </cell>
          <cell r="G1038">
            <v>22</v>
          </cell>
          <cell r="H1038">
            <v>22</v>
          </cell>
          <cell r="I1038">
            <v>20</v>
          </cell>
          <cell r="K1038">
            <v>20</v>
          </cell>
          <cell r="L1038">
            <v>24</v>
          </cell>
          <cell r="M1038">
            <v>20</v>
          </cell>
          <cell r="N1038">
            <v>24</v>
          </cell>
          <cell r="P1038">
            <v>1844</v>
          </cell>
        </row>
        <row r="1039">
          <cell r="A1039">
            <v>23</v>
          </cell>
          <cell r="B1039">
            <v>49.5</v>
          </cell>
          <cell r="C1039">
            <v>48</v>
          </cell>
          <cell r="D1039">
            <v>21</v>
          </cell>
          <cell r="F1039">
            <v>24</v>
          </cell>
          <cell r="G1039">
            <v>20</v>
          </cell>
          <cell r="H1039">
            <v>24</v>
          </cell>
          <cell r="I1039">
            <v>18</v>
          </cell>
          <cell r="K1039">
            <v>21</v>
          </cell>
          <cell r="L1039">
            <v>25</v>
          </cell>
          <cell r="M1039">
            <v>19</v>
          </cell>
          <cell r="N1039">
            <v>25</v>
          </cell>
          <cell r="P1039">
            <v>1845</v>
          </cell>
        </row>
        <row r="1040">
          <cell r="A1040">
            <v>22</v>
          </cell>
          <cell r="B1040">
            <v>39</v>
          </cell>
          <cell r="C1040">
            <v>46</v>
          </cell>
          <cell r="D1040">
            <v>18</v>
          </cell>
          <cell r="F1040">
            <v>22</v>
          </cell>
          <cell r="G1040">
            <v>22</v>
          </cell>
          <cell r="H1040">
            <v>20</v>
          </cell>
          <cell r="I1040">
            <v>20</v>
          </cell>
          <cell r="K1040">
            <v>19</v>
          </cell>
          <cell r="L1040">
            <v>22</v>
          </cell>
          <cell r="M1040">
            <v>15</v>
          </cell>
          <cell r="N1040">
            <v>19</v>
          </cell>
          <cell r="P1040">
            <v>1847</v>
          </cell>
        </row>
        <row r="1041">
          <cell r="A1041">
            <v>23</v>
          </cell>
          <cell r="B1041">
            <v>34</v>
          </cell>
          <cell r="C1041">
            <v>50</v>
          </cell>
          <cell r="D1041">
            <v>22</v>
          </cell>
          <cell r="F1041">
            <v>22</v>
          </cell>
          <cell r="G1041">
            <v>19</v>
          </cell>
          <cell r="H1041">
            <v>21</v>
          </cell>
          <cell r="I1041">
            <v>20</v>
          </cell>
          <cell r="K1041" t="str">
            <v>غ</v>
          </cell>
          <cell r="L1041">
            <v>21</v>
          </cell>
          <cell r="M1041">
            <v>21</v>
          </cell>
          <cell r="N1041">
            <v>24</v>
          </cell>
          <cell r="P1041">
            <v>1852</v>
          </cell>
        </row>
        <row r="1042">
          <cell r="A1042">
            <v>23</v>
          </cell>
          <cell r="B1042">
            <v>45</v>
          </cell>
          <cell r="C1042">
            <v>47</v>
          </cell>
          <cell r="D1042">
            <v>22</v>
          </cell>
          <cell r="F1042">
            <v>24.5</v>
          </cell>
          <cell r="G1042">
            <v>22</v>
          </cell>
          <cell r="H1042">
            <v>23</v>
          </cell>
          <cell r="I1042">
            <v>21</v>
          </cell>
          <cell r="K1042">
            <v>23</v>
          </cell>
          <cell r="L1042">
            <v>24</v>
          </cell>
          <cell r="M1042">
            <v>23</v>
          </cell>
          <cell r="N1042">
            <v>25</v>
          </cell>
          <cell r="P1042">
            <v>1853</v>
          </cell>
        </row>
        <row r="1043">
          <cell r="A1043">
            <v>22</v>
          </cell>
          <cell r="B1043">
            <v>49</v>
          </cell>
          <cell r="C1043">
            <v>49</v>
          </cell>
          <cell r="D1043">
            <v>21</v>
          </cell>
          <cell r="F1043">
            <v>25</v>
          </cell>
          <cell r="G1043">
            <v>22</v>
          </cell>
          <cell r="H1043">
            <v>24</v>
          </cell>
          <cell r="I1043">
            <v>20</v>
          </cell>
          <cell r="K1043">
            <v>21</v>
          </cell>
          <cell r="L1043">
            <v>25</v>
          </cell>
          <cell r="M1043">
            <v>23</v>
          </cell>
          <cell r="N1043">
            <v>25</v>
          </cell>
          <cell r="P1043">
            <v>1855</v>
          </cell>
        </row>
        <row r="1044">
          <cell r="A1044">
            <v>24</v>
          </cell>
          <cell r="B1044">
            <v>49</v>
          </cell>
          <cell r="C1044">
            <v>49</v>
          </cell>
          <cell r="D1044">
            <v>23</v>
          </cell>
          <cell r="F1044">
            <v>25</v>
          </cell>
          <cell r="G1044">
            <v>23</v>
          </cell>
          <cell r="H1044">
            <v>25</v>
          </cell>
          <cell r="I1044">
            <v>24</v>
          </cell>
          <cell r="K1044">
            <v>24</v>
          </cell>
          <cell r="L1044">
            <v>25</v>
          </cell>
          <cell r="M1044">
            <v>23</v>
          </cell>
          <cell r="N1044">
            <v>22</v>
          </cell>
          <cell r="P1044">
            <v>1856</v>
          </cell>
        </row>
        <row r="1045">
          <cell r="A1045">
            <v>22</v>
          </cell>
          <cell r="B1045">
            <v>40</v>
          </cell>
          <cell r="C1045">
            <v>44</v>
          </cell>
          <cell r="D1045">
            <v>17</v>
          </cell>
          <cell r="F1045">
            <v>21</v>
          </cell>
          <cell r="G1045">
            <v>23</v>
          </cell>
          <cell r="H1045">
            <v>25</v>
          </cell>
          <cell r="I1045">
            <v>17</v>
          </cell>
          <cell r="K1045">
            <v>17</v>
          </cell>
          <cell r="L1045">
            <v>24</v>
          </cell>
          <cell r="M1045">
            <v>18</v>
          </cell>
          <cell r="N1045">
            <v>23</v>
          </cell>
          <cell r="P1045">
            <v>1857</v>
          </cell>
        </row>
        <row r="1046">
          <cell r="A1046">
            <v>20</v>
          </cell>
          <cell r="B1046">
            <v>44</v>
          </cell>
          <cell r="C1046">
            <v>48</v>
          </cell>
          <cell r="D1046">
            <v>21</v>
          </cell>
          <cell r="F1046">
            <v>25</v>
          </cell>
          <cell r="G1046">
            <v>23</v>
          </cell>
          <cell r="H1046">
            <v>23</v>
          </cell>
          <cell r="I1046">
            <v>19</v>
          </cell>
          <cell r="K1046">
            <v>17</v>
          </cell>
          <cell r="L1046">
            <v>25</v>
          </cell>
          <cell r="M1046">
            <v>18</v>
          </cell>
          <cell r="N1046">
            <v>23</v>
          </cell>
          <cell r="P1046">
            <v>1858</v>
          </cell>
        </row>
        <row r="1047">
          <cell r="A1047">
            <v>22</v>
          </cell>
          <cell r="B1047">
            <v>40.5</v>
          </cell>
          <cell r="C1047">
            <v>47</v>
          </cell>
          <cell r="D1047">
            <v>19</v>
          </cell>
          <cell r="F1047">
            <v>23</v>
          </cell>
          <cell r="G1047">
            <v>22</v>
          </cell>
          <cell r="H1047">
            <v>21</v>
          </cell>
          <cell r="I1047">
            <v>14</v>
          </cell>
          <cell r="K1047">
            <v>18</v>
          </cell>
          <cell r="L1047">
            <v>17</v>
          </cell>
          <cell r="M1047">
            <v>20</v>
          </cell>
          <cell r="N1047">
            <v>21</v>
          </cell>
          <cell r="P1047">
            <v>1860</v>
          </cell>
        </row>
        <row r="1048">
          <cell r="A1048">
            <v>24</v>
          </cell>
          <cell r="B1048">
            <v>45.5</v>
          </cell>
          <cell r="C1048">
            <v>49</v>
          </cell>
          <cell r="D1048">
            <v>22</v>
          </cell>
          <cell r="F1048">
            <v>25</v>
          </cell>
          <cell r="G1048">
            <v>23</v>
          </cell>
          <cell r="H1048">
            <v>24</v>
          </cell>
          <cell r="I1048">
            <v>21</v>
          </cell>
          <cell r="K1048">
            <v>23</v>
          </cell>
          <cell r="L1048">
            <v>22</v>
          </cell>
          <cell r="M1048">
            <v>22</v>
          </cell>
          <cell r="N1048">
            <v>20</v>
          </cell>
          <cell r="P1048">
            <v>1861</v>
          </cell>
        </row>
        <row r="1049">
          <cell r="A1049">
            <v>24</v>
          </cell>
          <cell r="B1049">
            <v>49</v>
          </cell>
          <cell r="C1049">
            <v>50</v>
          </cell>
          <cell r="D1049">
            <v>22</v>
          </cell>
          <cell r="F1049">
            <v>24</v>
          </cell>
          <cell r="G1049">
            <v>23</v>
          </cell>
          <cell r="H1049">
            <v>25</v>
          </cell>
          <cell r="I1049">
            <v>21</v>
          </cell>
          <cell r="K1049">
            <v>24</v>
          </cell>
          <cell r="L1049">
            <v>25</v>
          </cell>
          <cell r="M1049">
            <v>23</v>
          </cell>
          <cell r="N1049">
            <v>25</v>
          </cell>
          <cell r="P1049">
            <v>1862</v>
          </cell>
        </row>
        <row r="1050">
          <cell r="A1050">
            <v>23</v>
          </cell>
          <cell r="B1050">
            <v>33</v>
          </cell>
          <cell r="C1050">
            <v>38</v>
          </cell>
          <cell r="D1050">
            <v>18</v>
          </cell>
          <cell r="F1050">
            <v>23</v>
          </cell>
          <cell r="G1050">
            <v>21</v>
          </cell>
          <cell r="H1050">
            <v>20</v>
          </cell>
          <cell r="I1050">
            <v>12</v>
          </cell>
          <cell r="K1050">
            <v>19</v>
          </cell>
          <cell r="L1050">
            <v>22</v>
          </cell>
          <cell r="M1050">
            <v>16</v>
          </cell>
          <cell r="N1050">
            <v>25</v>
          </cell>
          <cell r="P1050">
            <v>1863</v>
          </cell>
        </row>
        <row r="1051">
          <cell r="A1051">
            <v>24</v>
          </cell>
          <cell r="B1051">
            <v>44.5</v>
          </cell>
          <cell r="C1051">
            <v>48</v>
          </cell>
          <cell r="D1051">
            <v>22</v>
          </cell>
          <cell r="F1051">
            <v>25</v>
          </cell>
          <cell r="G1051">
            <v>24</v>
          </cell>
          <cell r="H1051">
            <v>24</v>
          </cell>
          <cell r="I1051">
            <v>17</v>
          </cell>
          <cell r="K1051">
            <v>23</v>
          </cell>
          <cell r="L1051">
            <v>25</v>
          </cell>
          <cell r="M1051">
            <v>22</v>
          </cell>
          <cell r="N1051">
            <v>22</v>
          </cell>
          <cell r="P1051">
            <v>1865</v>
          </cell>
        </row>
        <row r="1052">
          <cell r="A1052">
            <v>24</v>
          </cell>
          <cell r="B1052">
            <v>46.5</v>
          </cell>
          <cell r="C1052">
            <v>49</v>
          </cell>
          <cell r="D1052">
            <v>21</v>
          </cell>
          <cell r="F1052">
            <v>25</v>
          </cell>
          <cell r="G1052">
            <v>24</v>
          </cell>
          <cell r="H1052">
            <v>25</v>
          </cell>
          <cell r="I1052">
            <v>22</v>
          </cell>
          <cell r="K1052">
            <v>23</v>
          </cell>
          <cell r="L1052">
            <v>24</v>
          </cell>
          <cell r="M1052">
            <v>23</v>
          </cell>
          <cell r="N1052">
            <v>23</v>
          </cell>
          <cell r="P1052">
            <v>1866</v>
          </cell>
        </row>
        <row r="1053">
          <cell r="A1053">
            <v>23</v>
          </cell>
          <cell r="B1053">
            <v>43</v>
          </cell>
          <cell r="C1053">
            <v>47</v>
          </cell>
          <cell r="D1053">
            <v>20</v>
          </cell>
          <cell r="F1053">
            <v>25</v>
          </cell>
          <cell r="G1053">
            <v>23</v>
          </cell>
          <cell r="H1053">
            <v>21</v>
          </cell>
          <cell r="I1053">
            <v>19</v>
          </cell>
          <cell r="K1053">
            <v>22</v>
          </cell>
          <cell r="L1053">
            <v>25</v>
          </cell>
          <cell r="M1053">
            <v>17</v>
          </cell>
          <cell r="N1053">
            <v>20</v>
          </cell>
          <cell r="P1053">
            <v>1867</v>
          </cell>
        </row>
        <row r="1054">
          <cell r="A1054">
            <v>23</v>
          </cell>
          <cell r="B1054">
            <v>43.5</v>
          </cell>
          <cell r="C1054">
            <v>42</v>
          </cell>
          <cell r="D1054">
            <v>22</v>
          </cell>
          <cell r="F1054">
            <v>24</v>
          </cell>
          <cell r="G1054">
            <v>22</v>
          </cell>
          <cell r="H1054">
            <v>19</v>
          </cell>
          <cell r="I1054">
            <v>18</v>
          </cell>
          <cell r="K1054">
            <v>19</v>
          </cell>
          <cell r="L1054">
            <v>24</v>
          </cell>
          <cell r="M1054">
            <v>16</v>
          </cell>
          <cell r="N1054">
            <v>19</v>
          </cell>
          <cell r="P1054">
            <v>1869</v>
          </cell>
        </row>
        <row r="1055">
          <cell r="A1055">
            <v>24</v>
          </cell>
          <cell r="B1055">
            <v>46.5</v>
          </cell>
          <cell r="C1055">
            <v>50</v>
          </cell>
          <cell r="D1055">
            <v>23</v>
          </cell>
          <cell r="F1055">
            <v>24.5</v>
          </cell>
          <cell r="G1055">
            <v>23</v>
          </cell>
          <cell r="H1055">
            <v>25</v>
          </cell>
          <cell r="I1055">
            <v>21</v>
          </cell>
          <cell r="K1055">
            <v>24</v>
          </cell>
          <cell r="L1055">
            <v>25</v>
          </cell>
          <cell r="M1055">
            <v>23</v>
          </cell>
          <cell r="N1055">
            <v>24</v>
          </cell>
          <cell r="P1055">
            <v>1870</v>
          </cell>
        </row>
        <row r="1056">
          <cell r="A1056">
            <v>21</v>
          </cell>
          <cell r="B1056">
            <v>37</v>
          </cell>
          <cell r="C1056">
            <v>46</v>
          </cell>
          <cell r="D1056">
            <v>21</v>
          </cell>
          <cell r="F1056">
            <v>23.5</v>
          </cell>
          <cell r="G1056">
            <v>21</v>
          </cell>
          <cell r="H1056">
            <v>22</v>
          </cell>
          <cell r="I1056">
            <v>18</v>
          </cell>
          <cell r="K1056">
            <v>22</v>
          </cell>
          <cell r="L1056">
            <v>25</v>
          </cell>
          <cell r="M1056">
            <v>21</v>
          </cell>
          <cell r="N1056">
            <v>24</v>
          </cell>
          <cell r="P1056">
            <v>1871</v>
          </cell>
        </row>
        <row r="1057">
          <cell r="A1057">
            <v>20</v>
          </cell>
          <cell r="B1057">
            <v>48.5</v>
          </cell>
          <cell r="C1057">
            <v>49</v>
          </cell>
          <cell r="D1057">
            <v>23</v>
          </cell>
          <cell r="F1057">
            <v>23</v>
          </cell>
          <cell r="G1057">
            <v>22</v>
          </cell>
          <cell r="H1057">
            <v>21</v>
          </cell>
          <cell r="I1057">
            <v>23</v>
          </cell>
          <cell r="K1057">
            <v>20</v>
          </cell>
          <cell r="L1057">
            <v>24</v>
          </cell>
          <cell r="M1057">
            <v>21</v>
          </cell>
          <cell r="N1057">
            <v>25</v>
          </cell>
          <cell r="P1057">
            <v>1872</v>
          </cell>
        </row>
        <row r="1058">
          <cell r="A1058">
            <v>22</v>
          </cell>
          <cell r="B1058">
            <v>41.5</v>
          </cell>
          <cell r="C1058">
            <v>42</v>
          </cell>
          <cell r="D1058">
            <v>20</v>
          </cell>
          <cell r="F1058">
            <v>24.5</v>
          </cell>
          <cell r="G1058">
            <v>25</v>
          </cell>
          <cell r="H1058">
            <v>23</v>
          </cell>
          <cell r="I1058">
            <v>21</v>
          </cell>
          <cell r="K1058">
            <v>23</v>
          </cell>
          <cell r="L1058">
            <v>24</v>
          </cell>
          <cell r="M1058">
            <v>21</v>
          </cell>
          <cell r="N1058">
            <v>14</v>
          </cell>
          <cell r="P1058">
            <v>1873</v>
          </cell>
        </row>
        <row r="1059">
          <cell r="A1059">
            <v>22</v>
          </cell>
          <cell r="B1059">
            <v>40.5</v>
          </cell>
          <cell r="C1059">
            <v>50</v>
          </cell>
          <cell r="D1059">
            <v>22</v>
          </cell>
          <cell r="F1059">
            <v>24</v>
          </cell>
          <cell r="G1059">
            <v>20</v>
          </cell>
          <cell r="H1059">
            <v>24</v>
          </cell>
          <cell r="I1059">
            <v>22</v>
          </cell>
          <cell r="K1059">
            <v>22</v>
          </cell>
          <cell r="L1059">
            <v>25</v>
          </cell>
          <cell r="M1059">
            <v>23</v>
          </cell>
          <cell r="N1059">
            <v>25</v>
          </cell>
          <cell r="P1059">
            <v>1878</v>
          </cell>
        </row>
        <row r="1060">
          <cell r="A1060">
            <v>24</v>
          </cell>
          <cell r="B1060">
            <v>48</v>
          </cell>
          <cell r="C1060">
            <v>50</v>
          </cell>
          <cell r="D1060">
            <v>23</v>
          </cell>
          <cell r="F1060">
            <v>25</v>
          </cell>
          <cell r="G1060">
            <v>23</v>
          </cell>
          <cell r="H1060">
            <v>25</v>
          </cell>
          <cell r="I1060">
            <v>23</v>
          </cell>
          <cell r="K1060">
            <v>25</v>
          </cell>
          <cell r="L1060">
            <v>25</v>
          </cell>
          <cell r="M1060">
            <v>23</v>
          </cell>
          <cell r="N1060">
            <v>25</v>
          </cell>
          <cell r="P1060">
            <v>1890</v>
          </cell>
        </row>
        <row r="1061">
          <cell r="A1061">
            <v>22</v>
          </cell>
          <cell r="B1061">
            <v>32.5</v>
          </cell>
          <cell r="C1061">
            <v>36</v>
          </cell>
          <cell r="D1061">
            <v>11</v>
          </cell>
          <cell r="F1061">
            <v>24</v>
          </cell>
          <cell r="G1061">
            <v>23</v>
          </cell>
          <cell r="H1061">
            <v>11</v>
          </cell>
          <cell r="I1061">
            <v>15</v>
          </cell>
          <cell r="K1061">
            <v>20</v>
          </cell>
          <cell r="L1061">
            <v>22</v>
          </cell>
          <cell r="M1061">
            <v>9</v>
          </cell>
          <cell r="N1061">
            <v>22</v>
          </cell>
          <cell r="P1061">
            <v>1891</v>
          </cell>
        </row>
        <row r="1062">
          <cell r="A1062">
            <v>24</v>
          </cell>
          <cell r="B1062">
            <v>49.5</v>
          </cell>
          <cell r="C1062">
            <v>50</v>
          </cell>
          <cell r="D1062">
            <v>22</v>
          </cell>
          <cell r="F1062">
            <v>23.5</v>
          </cell>
          <cell r="G1062">
            <v>23</v>
          </cell>
          <cell r="H1062">
            <v>25</v>
          </cell>
          <cell r="I1062">
            <v>19</v>
          </cell>
          <cell r="K1062">
            <v>25</v>
          </cell>
          <cell r="L1062">
            <v>23</v>
          </cell>
          <cell r="M1062">
            <v>23</v>
          </cell>
          <cell r="N1062">
            <v>24</v>
          </cell>
          <cell r="P1062">
            <v>1892</v>
          </cell>
        </row>
        <row r="1063">
          <cell r="A1063">
            <v>21</v>
          </cell>
          <cell r="B1063">
            <v>42</v>
          </cell>
          <cell r="C1063">
            <v>45</v>
          </cell>
          <cell r="D1063">
            <v>19</v>
          </cell>
          <cell r="F1063">
            <v>23</v>
          </cell>
          <cell r="G1063">
            <v>20</v>
          </cell>
          <cell r="H1063">
            <v>22</v>
          </cell>
          <cell r="I1063">
            <v>18</v>
          </cell>
          <cell r="K1063">
            <v>20</v>
          </cell>
          <cell r="L1063">
            <v>25</v>
          </cell>
          <cell r="M1063">
            <v>19</v>
          </cell>
          <cell r="N1063">
            <v>23</v>
          </cell>
          <cell r="P1063">
            <v>1893</v>
          </cell>
        </row>
        <row r="1064">
          <cell r="A1064">
            <v>23</v>
          </cell>
          <cell r="B1064">
            <v>48</v>
          </cell>
          <cell r="C1064">
            <v>49</v>
          </cell>
          <cell r="D1064">
            <v>22</v>
          </cell>
          <cell r="F1064">
            <v>25</v>
          </cell>
          <cell r="G1064">
            <v>24</v>
          </cell>
          <cell r="H1064">
            <v>25</v>
          </cell>
          <cell r="I1064">
            <v>23</v>
          </cell>
          <cell r="K1064">
            <v>23</v>
          </cell>
          <cell r="L1064">
            <v>24</v>
          </cell>
          <cell r="M1064">
            <v>21</v>
          </cell>
          <cell r="N1064">
            <v>25</v>
          </cell>
          <cell r="P1064">
            <v>1894</v>
          </cell>
        </row>
        <row r="1065">
          <cell r="A1065">
            <v>24</v>
          </cell>
          <cell r="B1065">
            <v>46.5</v>
          </cell>
          <cell r="C1065">
            <v>49</v>
          </cell>
          <cell r="D1065">
            <v>22</v>
          </cell>
          <cell r="F1065">
            <v>25</v>
          </cell>
          <cell r="G1065">
            <v>23</v>
          </cell>
          <cell r="H1065">
            <v>24</v>
          </cell>
          <cell r="I1065">
            <v>20</v>
          </cell>
          <cell r="K1065" t="str">
            <v>غ</v>
          </cell>
          <cell r="L1065">
            <v>25</v>
          </cell>
          <cell r="M1065">
            <v>21</v>
          </cell>
          <cell r="N1065">
            <v>23</v>
          </cell>
          <cell r="P1065">
            <v>1895</v>
          </cell>
        </row>
        <row r="1066">
          <cell r="A1066">
            <v>23</v>
          </cell>
          <cell r="B1066">
            <v>34</v>
          </cell>
          <cell r="C1066">
            <v>47</v>
          </cell>
          <cell r="D1066">
            <v>21</v>
          </cell>
          <cell r="F1066">
            <v>25</v>
          </cell>
          <cell r="G1066">
            <v>21</v>
          </cell>
          <cell r="H1066">
            <v>20</v>
          </cell>
          <cell r="I1066">
            <v>14</v>
          </cell>
          <cell r="K1066" t="str">
            <v>غ</v>
          </cell>
          <cell r="L1066">
            <v>21</v>
          </cell>
          <cell r="M1066">
            <v>15</v>
          </cell>
          <cell r="N1066">
            <v>24</v>
          </cell>
          <cell r="P1066">
            <v>1896</v>
          </cell>
        </row>
        <row r="1067">
          <cell r="A1067">
            <v>22</v>
          </cell>
          <cell r="B1067">
            <v>44</v>
          </cell>
          <cell r="C1067">
            <v>36</v>
          </cell>
          <cell r="D1067">
            <v>21</v>
          </cell>
          <cell r="F1067">
            <v>14.5</v>
          </cell>
          <cell r="G1067">
            <v>23</v>
          </cell>
          <cell r="H1067">
            <v>23</v>
          </cell>
          <cell r="I1067">
            <v>19</v>
          </cell>
          <cell r="K1067" t="str">
            <v>غ</v>
          </cell>
          <cell r="L1067">
            <v>23</v>
          </cell>
          <cell r="M1067">
            <v>16</v>
          </cell>
          <cell r="N1067">
            <v>24</v>
          </cell>
          <cell r="P1067">
            <v>1897</v>
          </cell>
        </row>
        <row r="1068">
          <cell r="A1068">
            <v>10</v>
          </cell>
          <cell r="B1068">
            <v>42.5</v>
          </cell>
          <cell r="C1068">
            <v>46</v>
          </cell>
          <cell r="D1068">
            <v>19</v>
          </cell>
          <cell r="F1068">
            <v>24</v>
          </cell>
          <cell r="G1068">
            <v>19</v>
          </cell>
          <cell r="H1068">
            <v>22</v>
          </cell>
          <cell r="I1068">
            <v>18</v>
          </cell>
          <cell r="K1068">
            <v>20</v>
          </cell>
          <cell r="L1068">
            <v>23</v>
          </cell>
          <cell r="M1068">
            <v>17</v>
          </cell>
          <cell r="N1068">
            <v>21</v>
          </cell>
          <cell r="P1068">
            <v>1900</v>
          </cell>
        </row>
        <row r="1069">
          <cell r="A1069">
            <v>24</v>
          </cell>
          <cell r="B1069">
            <v>48.5</v>
          </cell>
          <cell r="C1069">
            <v>50</v>
          </cell>
          <cell r="D1069">
            <v>24</v>
          </cell>
          <cell r="F1069">
            <v>25</v>
          </cell>
          <cell r="G1069">
            <v>23</v>
          </cell>
          <cell r="H1069">
            <v>24</v>
          </cell>
          <cell r="I1069">
            <v>22</v>
          </cell>
          <cell r="K1069">
            <v>23</v>
          </cell>
          <cell r="L1069">
            <v>25</v>
          </cell>
          <cell r="M1069">
            <v>23</v>
          </cell>
          <cell r="N1069">
            <v>25</v>
          </cell>
          <cell r="P1069">
            <v>1901</v>
          </cell>
        </row>
        <row r="1070">
          <cell r="A1070">
            <v>18</v>
          </cell>
          <cell r="B1070">
            <v>43</v>
          </cell>
          <cell r="C1070">
            <v>48</v>
          </cell>
          <cell r="D1070">
            <v>24</v>
          </cell>
          <cell r="F1070">
            <v>25</v>
          </cell>
          <cell r="G1070">
            <v>23</v>
          </cell>
          <cell r="H1070">
            <v>23</v>
          </cell>
          <cell r="I1070">
            <v>13</v>
          </cell>
          <cell r="K1070">
            <v>22</v>
          </cell>
          <cell r="L1070">
            <v>25</v>
          </cell>
          <cell r="M1070">
            <v>14</v>
          </cell>
          <cell r="N1070">
            <v>22</v>
          </cell>
          <cell r="P1070">
            <v>1902</v>
          </cell>
        </row>
        <row r="1071">
          <cell r="A1071">
            <v>20</v>
          </cell>
          <cell r="B1071">
            <v>40.5</v>
          </cell>
          <cell r="C1071">
            <v>40</v>
          </cell>
          <cell r="D1071">
            <v>21</v>
          </cell>
          <cell r="F1071">
            <v>24</v>
          </cell>
          <cell r="G1071">
            <v>21</v>
          </cell>
          <cell r="H1071">
            <v>15</v>
          </cell>
          <cell r="I1071">
            <v>18</v>
          </cell>
          <cell r="K1071">
            <v>17</v>
          </cell>
          <cell r="L1071">
            <v>22</v>
          </cell>
          <cell r="M1071">
            <v>23</v>
          </cell>
          <cell r="N1071">
            <v>16</v>
          </cell>
          <cell r="P1071">
            <v>1903</v>
          </cell>
        </row>
        <row r="1072">
          <cell r="A1072">
            <v>24</v>
          </cell>
          <cell r="B1072">
            <v>49.5</v>
          </cell>
          <cell r="C1072">
            <v>50</v>
          </cell>
          <cell r="D1072">
            <v>23</v>
          </cell>
          <cell r="F1072">
            <v>25</v>
          </cell>
          <cell r="G1072">
            <v>23</v>
          </cell>
          <cell r="H1072">
            <v>23</v>
          </cell>
          <cell r="I1072">
            <v>21</v>
          </cell>
          <cell r="K1072">
            <v>24</v>
          </cell>
          <cell r="L1072">
            <v>25</v>
          </cell>
          <cell r="M1072">
            <v>22</v>
          </cell>
          <cell r="N1072">
            <v>22</v>
          </cell>
          <cell r="P1072">
            <v>1904</v>
          </cell>
        </row>
        <row r="1073">
          <cell r="A1073">
            <v>24</v>
          </cell>
          <cell r="B1073">
            <v>46</v>
          </cell>
          <cell r="C1073">
            <v>47</v>
          </cell>
          <cell r="D1073">
            <v>23</v>
          </cell>
          <cell r="F1073">
            <v>24</v>
          </cell>
          <cell r="G1073">
            <v>22</v>
          </cell>
          <cell r="H1073">
            <v>24</v>
          </cell>
          <cell r="I1073">
            <v>15</v>
          </cell>
          <cell r="K1073">
            <v>22</v>
          </cell>
          <cell r="L1073">
            <v>25</v>
          </cell>
          <cell r="M1073">
            <v>22</v>
          </cell>
          <cell r="N1073">
            <v>22</v>
          </cell>
          <cell r="P1073">
            <v>1905</v>
          </cell>
        </row>
        <row r="1074">
          <cell r="A1074">
            <v>24</v>
          </cell>
          <cell r="B1074">
            <v>41</v>
          </cell>
          <cell r="C1074">
            <v>30</v>
          </cell>
          <cell r="D1074">
            <v>19</v>
          </cell>
          <cell r="F1074">
            <v>24</v>
          </cell>
          <cell r="G1074">
            <v>21</v>
          </cell>
          <cell r="H1074">
            <v>18</v>
          </cell>
          <cell r="I1074">
            <v>19</v>
          </cell>
          <cell r="K1074">
            <v>19</v>
          </cell>
          <cell r="L1074">
            <v>24</v>
          </cell>
          <cell r="M1074">
            <v>19</v>
          </cell>
          <cell r="N1074">
            <v>16</v>
          </cell>
          <cell r="P1074">
            <v>1906</v>
          </cell>
        </row>
        <row r="1075">
          <cell r="A1075">
            <v>25</v>
          </cell>
          <cell r="B1075">
            <v>47.5</v>
          </cell>
          <cell r="C1075">
            <v>46</v>
          </cell>
          <cell r="D1075">
            <v>22</v>
          </cell>
          <cell r="F1075">
            <v>25</v>
          </cell>
          <cell r="G1075">
            <v>22</v>
          </cell>
          <cell r="H1075">
            <v>21</v>
          </cell>
          <cell r="I1075">
            <v>18</v>
          </cell>
          <cell r="K1075">
            <v>24</v>
          </cell>
          <cell r="L1075">
            <v>25</v>
          </cell>
          <cell r="M1075">
            <v>22</v>
          </cell>
          <cell r="N1075">
            <v>23</v>
          </cell>
          <cell r="P1075">
            <v>1907</v>
          </cell>
        </row>
        <row r="1076">
          <cell r="A1076">
            <v>22</v>
          </cell>
          <cell r="B1076">
            <v>44.5</v>
          </cell>
          <cell r="C1076">
            <v>48</v>
          </cell>
          <cell r="D1076">
            <v>24</v>
          </cell>
          <cell r="F1076">
            <v>24</v>
          </cell>
          <cell r="G1076">
            <v>24</v>
          </cell>
          <cell r="H1076">
            <v>25</v>
          </cell>
          <cell r="I1076">
            <v>22</v>
          </cell>
          <cell r="K1076">
            <v>22</v>
          </cell>
          <cell r="L1076">
            <v>24</v>
          </cell>
          <cell r="M1076">
            <v>21</v>
          </cell>
          <cell r="N1076">
            <v>21</v>
          </cell>
          <cell r="P1076">
            <v>1908</v>
          </cell>
        </row>
        <row r="1077">
          <cell r="A1077">
            <v>23</v>
          </cell>
          <cell r="B1077">
            <v>48.5</v>
          </cell>
          <cell r="C1077">
            <v>50</v>
          </cell>
          <cell r="D1077">
            <v>22</v>
          </cell>
          <cell r="F1077">
            <v>24.5</v>
          </cell>
          <cell r="G1077">
            <v>22</v>
          </cell>
          <cell r="H1077">
            <v>24</v>
          </cell>
          <cell r="I1077">
            <v>21</v>
          </cell>
          <cell r="K1077">
            <v>25</v>
          </cell>
          <cell r="L1077">
            <v>24</v>
          </cell>
          <cell r="M1077">
            <v>23</v>
          </cell>
          <cell r="N1077">
            <v>25</v>
          </cell>
          <cell r="P1077">
            <v>1910</v>
          </cell>
        </row>
        <row r="1078">
          <cell r="A1078">
            <v>24</v>
          </cell>
          <cell r="B1078">
            <v>49</v>
          </cell>
          <cell r="C1078">
            <v>50</v>
          </cell>
          <cell r="D1078">
            <v>24</v>
          </cell>
          <cell r="F1078">
            <v>25</v>
          </cell>
          <cell r="G1078">
            <v>23</v>
          </cell>
          <cell r="H1078">
            <v>25</v>
          </cell>
          <cell r="I1078">
            <v>22</v>
          </cell>
          <cell r="K1078">
            <v>24</v>
          </cell>
          <cell r="L1078">
            <v>24</v>
          </cell>
          <cell r="M1078">
            <v>23</v>
          </cell>
          <cell r="N1078">
            <v>25</v>
          </cell>
          <cell r="P1078">
            <v>1911</v>
          </cell>
        </row>
        <row r="1079">
          <cell r="A1079">
            <v>21</v>
          </cell>
          <cell r="B1079">
            <v>34.5</v>
          </cell>
          <cell r="C1079">
            <v>36</v>
          </cell>
          <cell r="D1079">
            <v>19</v>
          </cell>
          <cell r="F1079">
            <v>23</v>
          </cell>
          <cell r="G1079">
            <v>23</v>
          </cell>
          <cell r="H1079">
            <v>18</v>
          </cell>
          <cell r="I1079">
            <v>19</v>
          </cell>
          <cell r="K1079">
            <v>15</v>
          </cell>
          <cell r="L1079">
            <v>22</v>
          </cell>
          <cell r="M1079">
            <v>18</v>
          </cell>
          <cell r="N1079">
            <v>24</v>
          </cell>
          <cell r="P1079">
            <v>1912</v>
          </cell>
        </row>
        <row r="1080">
          <cell r="A1080">
            <v>23</v>
          </cell>
          <cell r="B1080">
            <v>48</v>
          </cell>
          <cell r="C1080">
            <v>50</v>
          </cell>
          <cell r="D1080">
            <v>22</v>
          </cell>
          <cell r="F1080">
            <v>24</v>
          </cell>
          <cell r="G1080">
            <v>23</v>
          </cell>
          <cell r="H1080">
            <v>25</v>
          </cell>
          <cell r="I1080">
            <v>24</v>
          </cell>
          <cell r="K1080">
            <v>23</v>
          </cell>
          <cell r="L1080">
            <v>25</v>
          </cell>
          <cell r="M1080">
            <v>23</v>
          </cell>
          <cell r="N1080">
            <v>24</v>
          </cell>
          <cell r="P1080">
            <v>1916</v>
          </cell>
        </row>
        <row r="1081">
          <cell r="A1081">
            <v>22</v>
          </cell>
          <cell r="B1081">
            <v>45.5</v>
          </cell>
          <cell r="C1081">
            <v>50</v>
          </cell>
          <cell r="D1081">
            <v>18</v>
          </cell>
          <cell r="F1081">
            <v>25</v>
          </cell>
          <cell r="G1081">
            <v>23</v>
          </cell>
          <cell r="H1081">
            <v>22</v>
          </cell>
          <cell r="I1081">
            <v>16</v>
          </cell>
          <cell r="K1081">
            <v>20</v>
          </cell>
          <cell r="L1081">
            <v>23</v>
          </cell>
          <cell r="M1081">
            <v>21</v>
          </cell>
          <cell r="N1081">
            <v>22</v>
          </cell>
          <cell r="P1081">
            <v>1917</v>
          </cell>
        </row>
        <row r="1082">
          <cell r="A1082">
            <v>23</v>
          </cell>
          <cell r="B1082">
            <v>45.5</v>
          </cell>
          <cell r="C1082">
            <v>50</v>
          </cell>
          <cell r="D1082">
            <v>19</v>
          </cell>
          <cell r="F1082">
            <v>25</v>
          </cell>
          <cell r="G1082">
            <v>22</v>
          </cell>
          <cell r="H1082">
            <v>20</v>
          </cell>
          <cell r="I1082">
            <v>23</v>
          </cell>
          <cell r="K1082">
            <v>22</v>
          </cell>
          <cell r="L1082">
            <v>25</v>
          </cell>
          <cell r="M1082">
            <v>21</v>
          </cell>
          <cell r="N1082">
            <v>25</v>
          </cell>
          <cell r="P1082">
            <v>1919</v>
          </cell>
        </row>
        <row r="1083">
          <cell r="A1083">
            <v>25</v>
          </cell>
          <cell r="B1083">
            <v>49</v>
          </cell>
          <cell r="C1083">
            <v>50</v>
          </cell>
          <cell r="D1083">
            <v>23</v>
          </cell>
          <cell r="F1083">
            <v>25</v>
          </cell>
          <cell r="G1083">
            <v>22</v>
          </cell>
          <cell r="H1083">
            <v>23</v>
          </cell>
          <cell r="I1083">
            <v>21</v>
          </cell>
          <cell r="K1083">
            <v>21</v>
          </cell>
          <cell r="L1083">
            <v>24</v>
          </cell>
          <cell r="M1083">
            <v>22</v>
          </cell>
          <cell r="N1083">
            <v>25</v>
          </cell>
          <cell r="P1083">
            <v>1920</v>
          </cell>
        </row>
        <row r="1084">
          <cell r="A1084">
            <v>23</v>
          </cell>
          <cell r="B1084">
            <v>47.5</v>
          </cell>
          <cell r="C1084">
            <v>35</v>
          </cell>
          <cell r="D1084">
            <v>24</v>
          </cell>
          <cell r="F1084">
            <v>24</v>
          </cell>
          <cell r="G1084">
            <v>23</v>
          </cell>
          <cell r="H1084">
            <v>24</v>
          </cell>
          <cell r="I1084">
            <v>21</v>
          </cell>
          <cell r="K1084">
            <v>21</v>
          </cell>
          <cell r="L1084">
            <v>24</v>
          </cell>
          <cell r="M1084">
            <v>20</v>
          </cell>
          <cell r="N1084">
            <v>24</v>
          </cell>
          <cell r="P1084">
            <v>1922</v>
          </cell>
        </row>
        <row r="1085">
          <cell r="A1085">
            <v>24</v>
          </cell>
          <cell r="B1085">
            <v>49.5</v>
          </cell>
          <cell r="C1085">
            <v>50</v>
          </cell>
          <cell r="D1085">
            <v>24</v>
          </cell>
          <cell r="F1085">
            <v>25</v>
          </cell>
          <cell r="G1085">
            <v>23</v>
          </cell>
          <cell r="H1085">
            <v>24</v>
          </cell>
          <cell r="I1085">
            <v>23</v>
          </cell>
          <cell r="K1085">
            <v>25</v>
          </cell>
          <cell r="L1085">
            <v>25</v>
          </cell>
          <cell r="M1085">
            <v>23</v>
          </cell>
          <cell r="N1085">
            <v>25</v>
          </cell>
          <cell r="P1085">
            <v>1923</v>
          </cell>
        </row>
        <row r="1086">
          <cell r="A1086">
            <v>25</v>
          </cell>
          <cell r="B1086">
            <v>49.5</v>
          </cell>
          <cell r="C1086">
            <v>50</v>
          </cell>
          <cell r="D1086">
            <v>22</v>
          </cell>
          <cell r="F1086">
            <v>25</v>
          </cell>
          <cell r="G1086">
            <v>24</v>
          </cell>
          <cell r="H1086">
            <v>24</v>
          </cell>
          <cell r="I1086">
            <v>23</v>
          </cell>
          <cell r="K1086">
            <v>22</v>
          </cell>
          <cell r="L1086">
            <v>25</v>
          </cell>
          <cell r="M1086">
            <v>22</v>
          </cell>
          <cell r="N1086">
            <v>21</v>
          </cell>
          <cell r="P1086">
            <v>1927</v>
          </cell>
        </row>
        <row r="1087">
          <cell r="A1087">
            <v>24</v>
          </cell>
          <cell r="B1087">
            <v>48.5</v>
          </cell>
          <cell r="C1087">
            <v>46</v>
          </cell>
          <cell r="D1087">
            <v>16</v>
          </cell>
          <cell r="F1087">
            <v>25</v>
          </cell>
          <cell r="G1087">
            <v>23</v>
          </cell>
          <cell r="H1087">
            <v>24</v>
          </cell>
          <cell r="I1087">
            <v>16</v>
          </cell>
          <cell r="K1087">
            <v>25</v>
          </cell>
          <cell r="L1087">
            <v>25</v>
          </cell>
          <cell r="M1087">
            <v>24</v>
          </cell>
          <cell r="N1087">
            <v>23</v>
          </cell>
          <cell r="P1087">
            <v>2065</v>
          </cell>
        </row>
        <row r="1088">
          <cell r="A1088">
            <v>21</v>
          </cell>
          <cell r="B1088">
            <v>45.5</v>
          </cell>
          <cell r="C1088">
            <v>71.34</v>
          </cell>
          <cell r="D1088" t="str">
            <v>step1+1</v>
          </cell>
          <cell r="F1088">
            <v>24</v>
          </cell>
          <cell r="G1088">
            <v>23</v>
          </cell>
          <cell r="H1088">
            <v>24</v>
          </cell>
          <cell r="K1088">
            <v>24</v>
          </cell>
          <cell r="L1088">
            <v>24</v>
          </cell>
          <cell r="M1088">
            <v>48.75</v>
          </cell>
          <cell r="N1088" t="str">
            <v>step1+2</v>
          </cell>
          <cell r="P1088">
            <v>2073</v>
          </cell>
        </row>
        <row r="1089">
          <cell r="A1089">
            <v>21</v>
          </cell>
          <cell r="B1089">
            <v>45</v>
          </cell>
          <cell r="C1089">
            <v>69.89</v>
          </cell>
          <cell r="D1089" t="str">
            <v>step1+1</v>
          </cell>
          <cell r="F1089">
            <v>25</v>
          </cell>
          <cell r="G1089">
            <v>22</v>
          </cell>
          <cell r="H1089">
            <v>23</v>
          </cell>
          <cell r="K1089">
            <v>24</v>
          </cell>
          <cell r="L1089">
            <v>25</v>
          </cell>
          <cell r="M1089">
            <v>47.112499999999997</v>
          </cell>
          <cell r="N1089" t="str">
            <v>step1+2</v>
          </cell>
          <cell r="P1089">
            <v>2074</v>
          </cell>
        </row>
        <row r="1090">
          <cell r="A1090">
            <v>21</v>
          </cell>
          <cell r="B1090">
            <v>45</v>
          </cell>
          <cell r="C1090">
            <v>70.73</v>
          </cell>
          <cell r="D1090" t="str">
            <v>step1+1</v>
          </cell>
          <cell r="F1090">
            <v>25</v>
          </cell>
          <cell r="G1090">
            <v>23</v>
          </cell>
          <cell r="H1090">
            <v>21</v>
          </cell>
          <cell r="K1090">
            <v>22</v>
          </cell>
          <cell r="L1090">
            <v>24</v>
          </cell>
          <cell r="M1090">
            <v>48.4375</v>
          </cell>
          <cell r="N1090" t="str">
            <v>step1+2</v>
          </cell>
          <cell r="P1090">
            <v>2075</v>
          </cell>
        </row>
        <row r="1091">
          <cell r="A1091">
            <v>18</v>
          </cell>
          <cell r="B1091">
            <v>35</v>
          </cell>
          <cell r="C1091">
            <v>64.69</v>
          </cell>
          <cell r="D1091" t="str">
            <v>step1+1</v>
          </cell>
          <cell r="F1091">
            <v>24</v>
          </cell>
          <cell r="G1091">
            <v>23</v>
          </cell>
          <cell r="H1091">
            <v>18</v>
          </cell>
          <cell r="K1091">
            <v>17</v>
          </cell>
          <cell r="L1091">
            <v>21</v>
          </cell>
          <cell r="M1091">
            <v>42.5</v>
          </cell>
          <cell r="N1091" t="str">
            <v>step1+2</v>
          </cell>
          <cell r="P1091">
            <v>2076</v>
          </cell>
        </row>
        <row r="1092">
          <cell r="A1092">
            <v>0</v>
          </cell>
          <cell r="B1092">
            <v>36.5</v>
          </cell>
          <cell r="C1092">
            <v>72.09</v>
          </cell>
          <cell r="D1092" t="str">
            <v>step1+1</v>
          </cell>
          <cell r="F1092">
            <v>15</v>
          </cell>
          <cell r="G1092">
            <v>23</v>
          </cell>
          <cell r="H1092">
            <v>20</v>
          </cell>
          <cell r="K1092" t="str">
            <v>غ</v>
          </cell>
          <cell r="L1092">
            <v>21</v>
          </cell>
          <cell r="M1092">
            <v>46.875</v>
          </cell>
          <cell r="N1092" t="str">
            <v>step1+2</v>
          </cell>
          <cell r="P1092">
            <v>2077</v>
          </cell>
        </row>
        <row r="1093">
          <cell r="A1093">
            <v>21</v>
          </cell>
          <cell r="B1093">
            <v>42</v>
          </cell>
          <cell r="C1093">
            <v>71.63</v>
          </cell>
          <cell r="D1093" t="str">
            <v>step1+1</v>
          </cell>
          <cell r="F1093">
            <v>25</v>
          </cell>
          <cell r="G1093">
            <v>22</v>
          </cell>
          <cell r="H1093">
            <v>22</v>
          </cell>
          <cell r="K1093">
            <v>20</v>
          </cell>
          <cell r="L1093">
            <v>24</v>
          </cell>
          <cell r="M1093">
            <v>48.75</v>
          </cell>
          <cell r="N1093" t="str">
            <v>step1+2</v>
          </cell>
          <cell r="P1093">
            <v>2078</v>
          </cell>
        </row>
        <row r="1094">
          <cell r="A1094">
            <v>21</v>
          </cell>
          <cell r="B1094">
            <v>47.5</v>
          </cell>
          <cell r="C1094">
            <v>71.63</v>
          </cell>
          <cell r="D1094" t="str">
            <v>step1+1</v>
          </cell>
          <cell r="F1094">
            <v>25</v>
          </cell>
          <cell r="G1094">
            <v>21</v>
          </cell>
          <cell r="H1094">
            <v>23</v>
          </cell>
          <cell r="K1094">
            <v>22</v>
          </cell>
          <cell r="L1094">
            <v>25</v>
          </cell>
          <cell r="M1094">
            <v>47.5</v>
          </cell>
          <cell r="N1094" t="str">
            <v>step1+2</v>
          </cell>
          <cell r="P1094">
            <v>2080</v>
          </cell>
        </row>
        <row r="1095">
          <cell r="A1095">
            <v>21</v>
          </cell>
          <cell r="B1095">
            <v>39.5</v>
          </cell>
          <cell r="C1095">
            <v>69.89</v>
          </cell>
          <cell r="D1095" t="str">
            <v>step1+1</v>
          </cell>
          <cell r="F1095">
            <v>24</v>
          </cell>
          <cell r="G1095">
            <v>24</v>
          </cell>
          <cell r="H1095">
            <v>21</v>
          </cell>
          <cell r="K1095">
            <v>21</v>
          </cell>
          <cell r="L1095">
            <v>25</v>
          </cell>
          <cell r="M1095">
            <v>46.662500000000001</v>
          </cell>
          <cell r="N1095" t="str">
            <v>step1+2</v>
          </cell>
          <cell r="P1095">
            <v>2081</v>
          </cell>
        </row>
        <row r="1096">
          <cell r="A1096">
            <v>20</v>
          </cell>
          <cell r="B1096">
            <v>46</v>
          </cell>
          <cell r="C1096">
            <v>71.63</v>
          </cell>
          <cell r="D1096" t="str">
            <v>step1+1</v>
          </cell>
          <cell r="F1096">
            <v>25</v>
          </cell>
          <cell r="G1096">
            <v>24</v>
          </cell>
          <cell r="H1096">
            <v>24</v>
          </cell>
          <cell r="K1096" t="str">
            <v>غ</v>
          </cell>
          <cell r="L1096">
            <v>24</v>
          </cell>
          <cell r="M1096">
            <v>49.375</v>
          </cell>
          <cell r="N1096" t="str">
            <v>step1+2</v>
          </cell>
          <cell r="P1096">
            <v>2082</v>
          </cell>
        </row>
        <row r="1097">
          <cell r="A1097">
            <v>21</v>
          </cell>
          <cell r="B1097">
            <v>42.5</v>
          </cell>
          <cell r="C1097">
            <v>71.3</v>
          </cell>
          <cell r="D1097" t="str">
            <v>step1+1</v>
          </cell>
          <cell r="F1097">
            <v>22</v>
          </cell>
          <cell r="G1097">
            <v>21</v>
          </cell>
          <cell r="H1097">
            <v>18</v>
          </cell>
          <cell r="K1097">
            <v>21</v>
          </cell>
          <cell r="L1097">
            <v>23</v>
          </cell>
          <cell r="M1097">
            <v>48.4375</v>
          </cell>
          <cell r="N1097" t="str">
            <v>step1+2</v>
          </cell>
          <cell r="P1097">
            <v>2083</v>
          </cell>
        </row>
        <row r="1098">
          <cell r="A1098">
            <v>19</v>
          </cell>
          <cell r="B1098">
            <v>45</v>
          </cell>
          <cell r="C1098">
            <v>70.73</v>
          </cell>
          <cell r="D1098" t="str">
            <v>step1+1</v>
          </cell>
          <cell r="F1098">
            <v>24</v>
          </cell>
          <cell r="G1098">
            <v>23</v>
          </cell>
          <cell r="H1098">
            <v>19</v>
          </cell>
          <cell r="K1098">
            <v>20</v>
          </cell>
          <cell r="L1098">
            <v>25</v>
          </cell>
          <cell r="M1098">
            <v>48.125</v>
          </cell>
          <cell r="N1098" t="str">
            <v>step1+2</v>
          </cell>
          <cell r="P1098">
            <v>2084</v>
          </cell>
        </row>
        <row r="1099">
          <cell r="A1099">
            <v>20</v>
          </cell>
          <cell r="B1099">
            <v>37.5</v>
          </cell>
          <cell r="C1099">
            <v>68.86</v>
          </cell>
          <cell r="D1099" t="str">
            <v>step1+1</v>
          </cell>
          <cell r="F1099">
            <v>23</v>
          </cell>
          <cell r="G1099">
            <v>20</v>
          </cell>
          <cell r="H1099">
            <v>22</v>
          </cell>
          <cell r="K1099">
            <v>21</v>
          </cell>
          <cell r="L1099">
            <v>25</v>
          </cell>
          <cell r="M1099">
            <v>46.662500000000001</v>
          </cell>
          <cell r="N1099" t="str">
            <v>step1+2</v>
          </cell>
          <cell r="P1099">
            <v>2085</v>
          </cell>
        </row>
        <row r="1100">
          <cell r="A1100">
            <v>22</v>
          </cell>
          <cell r="B1100">
            <v>36.5</v>
          </cell>
          <cell r="C1100">
            <v>69.23</v>
          </cell>
          <cell r="D1100" t="str">
            <v>step1+1</v>
          </cell>
          <cell r="F1100">
            <v>24</v>
          </cell>
          <cell r="G1100">
            <v>24</v>
          </cell>
          <cell r="H1100">
            <v>22</v>
          </cell>
          <cell r="K1100">
            <v>21</v>
          </cell>
          <cell r="L1100">
            <v>25</v>
          </cell>
          <cell r="M1100">
            <v>45.9375</v>
          </cell>
          <cell r="N1100" t="str">
            <v>step1+2</v>
          </cell>
          <cell r="P1100">
            <v>2087</v>
          </cell>
        </row>
        <row r="1101">
          <cell r="A1101">
            <v>21</v>
          </cell>
          <cell r="B1101">
            <v>41</v>
          </cell>
          <cell r="C1101">
            <v>68.48</v>
          </cell>
          <cell r="D1101" t="str">
            <v>step1+1</v>
          </cell>
          <cell r="F1101">
            <v>25</v>
          </cell>
          <cell r="G1101">
            <v>21</v>
          </cell>
          <cell r="H1101">
            <v>22</v>
          </cell>
          <cell r="K1101">
            <v>21</v>
          </cell>
          <cell r="L1101">
            <v>24</v>
          </cell>
          <cell r="M1101">
            <v>46.037500000000001</v>
          </cell>
          <cell r="N1101" t="str">
            <v>step1+2</v>
          </cell>
          <cell r="P1101">
            <v>2088</v>
          </cell>
        </row>
        <row r="1102">
          <cell r="A1102">
            <v>23</v>
          </cell>
          <cell r="B1102">
            <v>45</v>
          </cell>
          <cell r="C1102">
            <v>69.8</v>
          </cell>
          <cell r="D1102" t="str">
            <v>step1+1</v>
          </cell>
          <cell r="F1102">
            <v>25</v>
          </cell>
          <cell r="G1102">
            <v>25</v>
          </cell>
          <cell r="H1102">
            <v>23</v>
          </cell>
          <cell r="K1102">
            <v>17</v>
          </cell>
          <cell r="L1102">
            <v>25</v>
          </cell>
          <cell r="M1102">
            <v>48.75</v>
          </cell>
          <cell r="N1102" t="str">
            <v>step1+2</v>
          </cell>
          <cell r="P1102">
            <v>2089</v>
          </cell>
        </row>
        <row r="1103">
          <cell r="A1103">
            <v>21</v>
          </cell>
          <cell r="B1103">
            <v>40.5</v>
          </cell>
          <cell r="C1103">
            <v>70.78</v>
          </cell>
          <cell r="D1103" t="str">
            <v>step1+1</v>
          </cell>
          <cell r="F1103">
            <v>19</v>
          </cell>
          <cell r="G1103">
            <v>23</v>
          </cell>
          <cell r="H1103">
            <v>22</v>
          </cell>
          <cell r="K1103">
            <v>18</v>
          </cell>
          <cell r="L1103">
            <v>24</v>
          </cell>
          <cell r="M1103">
            <v>46.875</v>
          </cell>
          <cell r="N1103" t="str">
            <v>step1+2</v>
          </cell>
          <cell r="P1103">
            <v>2090</v>
          </cell>
        </row>
        <row r="1104">
          <cell r="A1104">
            <v>21</v>
          </cell>
          <cell r="B1104">
            <v>46</v>
          </cell>
          <cell r="C1104">
            <v>70.69</v>
          </cell>
          <cell r="D1104" t="str">
            <v>step1+1</v>
          </cell>
          <cell r="F1104">
            <v>25</v>
          </cell>
          <cell r="G1104">
            <v>21.5</v>
          </cell>
          <cell r="H1104">
            <v>22</v>
          </cell>
          <cell r="K1104">
            <v>20</v>
          </cell>
          <cell r="L1104">
            <v>23</v>
          </cell>
          <cell r="M1104">
            <v>48.4375</v>
          </cell>
          <cell r="N1104" t="str">
            <v>step1+2</v>
          </cell>
          <cell r="P1104">
            <v>2091</v>
          </cell>
        </row>
        <row r="1105">
          <cell r="A1105">
            <v>19</v>
          </cell>
          <cell r="B1105">
            <v>43.5</v>
          </cell>
          <cell r="C1105">
            <v>69.66</v>
          </cell>
          <cell r="D1105" t="str">
            <v>step1+1</v>
          </cell>
          <cell r="F1105">
            <v>24</v>
          </cell>
          <cell r="G1105">
            <v>21.5</v>
          </cell>
          <cell r="K1105">
            <v>20</v>
          </cell>
          <cell r="L1105">
            <v>24</v>
          </cell>
          <cell r="M1105">
            <v>46.5625</v>
          </cell>
          <cell r="N1105" t="str">
            <v>step1+2</v>
          </cell>
          <cell r="P1105">
            <v>2092</v>
          </cell>
        </row>
        <row r="1106">
          <cell r="A1106">
            <v>19</v>
          </cell>
          <cell r="B1106">
            <v>38</v>
          </cell>
          <cell r="C1106">
            <v>69.09</v>
          </cell>
          <cell r="D1106" t="str">
            <v>step1+1</v>
          </cell>
          <cell r="F1106">
            <v>23</v>
          </cell>
          <cell r="G1106">
            <v>23</v>
          </cell>
          <cell r="K1106">
            <v>18</v>
          </cell>
          <cell r="L1106">
            <v>23</v>
          </cell>
          <cell r="M1106">
            <v>43.75</v>
          </cell>
          <cell r="N1106" t="str">
            <v>step1+2</v>
          </cell>
          <cell r="P1106">
            <v>2093</v>
          </cell>
        </row>
        <row r="1107">
          <cell r="A1107">
            <v>22</v>
          </cell>
          <cell r="B1107">
            <v>44</v>
          </cell>
          <cell r="C1107">
            <v>71.34</v>
          </cell>
          <cell r="D1107" t="str">
            <v>step1+1</v>
          </cell>
          <cell r="F1107">
            <v>25</v>
          </cell>
          <cell r="G1107">
            <v>20.5</v>
          </cell>
          <cell r="H1107">
            <v>21</v>
          </cell>
          <cell r="K1107">
            <v>22</v>
          </cell>
          <cell r="L1107">
            <v>25</v>
          </cell>
          <cell r="M1107">
            <v>47.5</v>
          </cell>
          <cell r="N1107" t="str">
            <v>step1+2</v>
          </cell>
          <cell r="P1107">
            <v>2094</v>
          </cell>
        </row>
        <row r="1108">
          <cell r="A1108">
            <v>22</v>
          </cell>
          <cell r="B1108">
            <v>48</v>
          </cell>
          <cell r="C1108">
            <v>71.67</v>
          </cell>
          <cell r="D1108" t="str">
            <v>step1+1</v>
          </cell>
          <cell r="F1108">
            <v>25</v>
          </cell>
          <cell r="G1108">
            <v>19.5</v>
          </cell>
          <cell r="H1108">
            <v>23</v>
          </cell>
          <cell r="K1108">
            <v>21</v>
          </cell>
          <cell r="L1108">
            <v>24</v>
          </cell>
          <cell r="M1108">
            <v>48.65</v>
          </cell>
          <cell r="N1108" t="str">
            <v>step1+2</v>
          </cell>
          <cell r="P1108">
            <v>2095</v>
          </cell>
        </row>
        <row r="1109">
          <cell r="A1109">
            <v>22</v>
          </cell>
          <cell r="B1109">
            <v>29</v>
          </cell>
          <cell r="C1109">
            <v>60.28</v>
          </cell>
          <cell r="D1109" t="str">
            <v>step1+1</v>
          </cell>
          <cell r="F1109">
            <v>21.5</v>
          </cell>
          <cell r="G1109">
            <v>20.5</v>
          </cell>
          <cell r="K1109">
            <v>17</v>
          </cell>
          <cell r="L1109">
            <v>21</v>
          </cell>
          <cell r="M1109">
            <v>40.212499999999999</v>
          </cell>
          <cell r="N1109" t="str">
            <v>step1+2</v>
          </cell>
          <cell r="P1109">
            <v>2096</v>
          </cell>
        </row>
        <row r="1110">
          <cell r="A1110">
            <v>18</v>
          </cell>
          <cell r="B1110">
            <v>32</v>
          </cell>
          <cell r="C1110">
            <v>69.33</v>
          </cell>
          <cell r="D1110" t="str">
            <v>step1+1</v>
          </cell>
          <cell r="F1110">
            <v>23</v>
          </cell>
          <cell r="G1110">
            <v>21</v>
          </cell>
          <cell r="H1110">
            <v>20</v>
          </cell>
          <cell r="K1110">
            <v>17</v>
          </cell>
          <cell r="L1110">
            <v>23</v>
          </cell>
          <cell r="M1110">
            <v>45.212499999999999</v>
          </cell>
          <cell r="N1110" t="str">
            <v>step1+2</v>
          </cell>
          <cell r="P1110">
            <v>2097</v>
          </cell>
        </row>
        <row r="1111">
          <cell r="A1111">
            <v>20</v>
          </cell>
          <cell r="B1111">
            <v>41.5</v>
          </cell>
          <cell r="C1111">
            <v>70.36</v>
          </cell>
          <cell r="D1111" t="str">
            <v>step1+1</v>
          </cell>
          <cell r="F1111">
            <v>22</v>
          </cell>
          <cell r="G1111">
            <v>20</v>
          </cell>
          <cell r="H1111">
            <v>18</v>
          </cell>
          <cell r="K1111">
            <v>16</v>
          </cell>
          <cell r="L1111">
            <v>23</v>
          </cell>
          <cell r="M1111">
            <v>48.4375</v>
          </cell>
          <cell r="N1111" t="str">
            <v>step1+2</v>
          </cell>
          <cell r="P1111">
            <v>2098</v>
          </cell>
        </row>
        <row r="1112">
          <cell r="A1112">
            <v>19</v>
          </cell>
          <cell r="B1112">
            <v>44.5</v>
          </cell>
          <cell r="C1112">
            <v>71.2</v>
          </cell>
          <cell r="D1112" t="str">
            <v>step1+1</v>
          </cell>
          <cell r="F1112">
            <v>24</v>
          </cell>
          <cell r="G1112">
            <v>20</v>
          </cell>
          <cell r="H1112">
            <v>20</v>
          </cell>
          <cell r="K1112">
            <v>22</v>
          </cell>
          <cell r="L1112">
            <v>24</v>
          </cell>
          <cell r="M1112">
            <v>47.712499999999999</v>
          </cell>
          <cell r="N1112" t="str">
            <v>step1+2</v>
          </cell>
          <cell r="P1112">
            <v>2099</v>
          </cell>
        </row>
        <row r="1113">
          <cell r="A1113">
            <v>19</v>
          </cell>
          <cell r="B1113">
            <v>32.5</v>
          </cell>
          <cell r="C1113">
            <v>68.86</v>
          </cell>
          <cell r="D1113" t="str">
            <v>step1+1</v>
          </cell>
          <cell r="F1113">
            <v>24</v>
          </cell>
          <cell r="G1113">
            <v>22</v>
          </cell>
          <cell r="H1113">
            <v>20</v>
          </cell>
          <cell r="K1113">
            <v>16</v>
          </cell>
          <cell r="L1113">
            <v>23</v>
          </cell>
          <cell r="M1113">
            <v>44.6875</v>
          </cell>
          <cell r="N1113" t="str">
            <v>step1+2</v>
          </cell>
          <cell r="P1113">
            <v>2100</v>
          </cell>
        </row>
        <row r="1114">
          <cell r="A1114">
            <v>25</v>
          </cell>
          <cell r="B1114">
            <v>36.5</v>
          </cell>
          <cell r="C1114">
            <v>69.75</v>
          </cell>
          <cell r="D1114" t="str">
            <v>step1+1</v>
          </cell>
          <cell r="F1114">
            <v>24</v>
          </cell>
          <cell r="G1114">
            <v>22</v>
          </cell>
          <cell r="H1114">
            <v>22</v>
          </cell>
          <cell r="K1114">
            <v>17</v>
          </cell>
          <cell r="L1114">
            <v>23</v>
          </cell>
          <cell r="M1114">
            <v>43.125</v>
          </cell>
          <cell r="N1114" t="str">
            <v>step1+2</v>
          </cell>
          <cell r="P1114">
            <v>2101</v>
          </cell>
        </row>
        <row r="1115">
          <cell r="A1115">
            <v>23</v>
          </cell>
          <cell r="B1115">
            <v>48</v>
          </cell>
          <cell r="C1115">
            <v>71.72</v>
          </cell>
          <cell r="D1115" t="str">
            <v>step1+1</v>
          </cell>
          <cell r="F1115">
            <v>25</v>
          </cell>
          <cell r="G1115">
            <v>22</v>
          </cell>
          <cell r="H1115">
            <v>20</v>
          </cell>
          <cell r="K1115">
            <v>20</v>
          </cell>
          <cell r="L1115">
            <v>25</v>
          </cell>
          <cell r="M1115">
            <v>45.725000000000001</v>
          </cell>
          <cell r="N1115" t="str">
            <v>step1+2</v>
          </cell>
          <cell r="P1115">
            <v>2102</v>
          </cell>
        </row>
        <row r="1116">
          <cell r="A1116">
            <v>23</v>
          </cell>
          <cell r="B1116">
            <v>45.5</v>
          </cell>
          <cell r="C1116">
            <v>70.27</v>
          </cell>
          <cell r="D1116" t="str">
            <v>step1+1</v>
          </cell>
          <cell r="F1116">
            <v>25</v>
          </cell>
          <cell r="G1116">
            <v>24</v>
          </cell>
          <cell r="H1116">
            <v>20</v>
          </cell>
          <cell r="K1116">
            <v>22</v>
          </cell>
          <cell r="L1116">
            <v>25</v>
          </cell>
          <cell r="M1116">
            <v>48.4375</v>
          </cell>
          <cell r="N1116" t="str">
            <v>step1+2</v>
          </cell>
          <cell r="P1116">
            <v>2103</v>
          </cell>
        </row>
        <row r="1117">
          <cell r="A1117">
            <v>24</v>
          </cell>
          <cell r="B1117">
            <v>42</v>
          </cell>
          <cell r="C1117">
            <v>71.3</v>
          </cell>
          <cell r="D1117" t="str">
            <v>step1+1</v>
          </cell>
          <cell r="F1117">
            <v>25</v>
          </cell>
          <cell r="G1117">
            <v>20</v>
          </cell>
          <cell r="H1117">
            <v>22</v>
          </cell>
          <cell r="K1117">
            <v>20</v>
          </cell>
          <cell r="L1117">
            <v>22</v>
          </cell>
          <cell r="M1117">
            <v>46.462499999999999</v>
          </cell>
          <cell r="N1117" t="str">
            <v>step1+2</v>
          </cell>
          <cell r="P1117">
            <v>2104</v>
          </cell>
        </row>
        <row r="1118">
          <cell r="A1118">
            <v>23</v>
          </cell>
          <cell r="B1118">
            <v>40</v>
          </cell>
          <cell r="C1118">
            <v>69.19</v>
          </cell>
          <cell r="D1118" t="str">
            <v>step1+1</v>
          </cell>
          <cell r="F1118">
            <v>25</v>
          </cell>
          <cell r="G1118">
            <v>18</v>
          </cell>
          <cell r="K1118">
            <v>22</v>
          </cell>
          <cell r="L1118">
            <v>21</v>
          </cell>
          <cell r="M1118">
            <v>45.625</v>
          </cell>
          <cell r="N1118" t="str">
            <v>step1+2</v>
          </cell>
          <cell r="P1118">
            <v>2105</v>
          </cell>
        </row>
        <row r="1119">
          <cell r="A1119">
            <v>21</v>
          </cell>
          <cell r="B1119">
            <v>45</v>
          </cell>
          <cell r="C1119">
            <v>68.91</v>
          </cell>
          <cell r="D1119" t="str">
            <v>step1+1</v>
          </cell>
          <cell r="F1119">
            <v>24</v>
          </cell>
          <cell r="G1119">
            <v>22</v>
          </cell>
          <cell r="H1119">
            <v>19</v>
          </cell>
          <cell r="K1119">
            <v>21</v>
          </cell>
          <cell r="L1119">
            <v>25</v>
          </cell>
          <cell r="M1119">
            <v>43.85</v>
          </cell>
          <cell r="N1119" t="str">
            <v>step1+2</v>
          </cell>
          <cell r="P1119">
            <v>2106</v>
          </cell>
        </row>
        <row r="1120">
          <cell r="A1120">
            <v>19</v>
          </cell>
          <cell r="B1120">
            <v>39</v>
          </cell>
          <cell r="C1120">
            <v>71.3</v>
          </cell>
          <cell r="D1120" t="str">
            <v>step1+1</v>
          </cell>
          <cell r="F1120">
            <v>20</v>
          </cell>
          <cell r="G1120">
            <v>21</v>
          </cell>
          <cell r="H1120">
            <v>22</v>
          </cell>
          <cell r="K1120">
            <v>20</v>
          </cell>
          <cell r="L1120">
            <v>21</v>
          </cell>
          <cell r="M1120">
            <v>42.287500000000001</v>
          </cell>
          <cell r="N1120" t="str">
            <v>step1+2</v>
          </cell>
          <cell r="P1120">
            <v>2107</v>
          </cell>
        </row>
        <row r="1121">
          <cell r="A1121">
            <v>14</v>
          </cell>
          <cell r="B1121">
            <v>27.5</v>
          </cell>
          <cell r="C1121">
            <v>68.72</v>
          </cell>
          <cell r="D1121" t="str">
            <v>step1+1</v>
          </cell>
          <cell r="F1121">
            <v>20</v>
          </cell>
          <cell r="G1121">
            <v>21</v>
          </cell>
          <cell r="H1121">
            <v>18</v>
          </cell>
          <cell r="K1121">
            <v>17</v>
          </cell>
          <cell r="L1121">
            <v>22</v>
          </cell>
          <cell r="M1121">
            <v>43.337499999999999</v>
          </cell>
          <cell r="N1121" t="str">
            <v>step1+2</v>
          </cell>
          <cell r="P1121">
            <v>2108</v>
          </cell>
        </row>
        <row r="1122">
          <cell r="A1122">
            <v>10</v>
          </cell>
          <cell r="B1122">
            <v>37</v>
          </cell>
          <cell r="C1122">
            <v>71.48</v>
          </cell>
          <cell r="D1122" t="str">
            <v>step1+1</v>
          </cell>
          <cell r="F1122">
            <v>22</v>
          </cell>
          <cell r="G1122">
            <v>19</v>
          </cell>
          <cell r="H1122">
            <v>19</v>
          </cell>
          <cell r="K1122">
            <v>18</v>
          </cell>
          <cell r="L1122">
            <v>22</v>
          </cell>
          <cell r="M1122">
            <v>43.962499999999999</v>
          </cell>
          <cell r="N1122" t="str">
            <v>step1+2</v>
          </cell>
          <cell r="P1122">
            <v>2109</v>
          </cell>
        </row>
        <row r="1123">
          <cell r="A1123">
            <v>24</v>
          </cell>
          <cell r="B1123">
            <v>46</v>
          </cell>
          <cell r="C1123">
            <v>65</v>
          </cell>
          <cell r="D1123" t="str">
            <v>step1+1</v>
          </cell>
          <cell r="F1123">
            <v>23</v>
          </cell>
          <cell r="G1123">
            <v>24</v>
          </cell>
          <cell r="K1123">
            <v>22</v>
          </cell>
          <cell r="L1123">
            <v>24</v>
          </cell>
          <cell r="P1123">
            <v>2111</v>
          </cell>
        </row>
        <row r="1124">
          <cell r="A1124">
            <v>23</v>
          </cell>
          <cell r="B1124">
            <v>43.5</v>
          </cell>
          <cell r="C1124">
            <v>70</v>
          </cell>
          <cell r="D1124" t="str">
            <v>step1+1</v>
          </cell>
          <cell r="F1124">
            <v>24</v>
          </cell>
          <cell r="G1124">
            <v>22</v>
          </cell>
          <cell r="K1124">
            <v>24</v>
          </cell>
          <cell r="L1124">
            <v>24</v>
          </cell>
          <cell r="P1124">
            <v>2112</v>
          </cell>
        </row>
        <row r="1125">
          <cell r="A1125">
            <v>20</v>
          </cell>
          <cell r="B1125">
            <v>36.5</v>
          </cell>
          <cell r="C1125">
            <v>63.75</v>
          </cell>
          <cell r="D1125" t="str">
            <v>step1+1</v>
          </cell>
          <cell r="F1125">
            <v>24</v>
          </cell>
          <cell r="G1125">
            <v>22</v>
          </cell>
          <cell r="K1125">
            <v>20</v>
          </cell>
          <cell r="L1125">
            <v>21</v>
          </cell>
          <cell r="M1125">
            <v>16</v>
          </cell>
          <cell r="P1125">
            <v>2113</v>
          </cell>
        </row>
        <row r="1126">
          <cell r="A1126" t="str">
            <v>غ</v>
          </cell>
          <cell r="B1126" t="str">
            <v>#VALUE!</v>
          </cell>
          <cell r="C1126" t="str">
            <v>غ</v>
          </cell>
          <cell r="D1126" t="str">
            <v>غ</v>
          </cell>
          <cell r="F1126" t="str">
            <v>غ</v>
          </cell>
          <cell r="G1126" t="str">
            <v>غ</v>
          </cell>
          <cell r="H1126" t="str">
            <v>غ</v>
          </cell>
          <cell r="K1126" t="str">
            <v>غ</v>
          </cell>
          <cell r="L1126" t="str">
            <v>غ</v>
          </cell>
          <cell r="P1126">
            <v>2114</v>
          </cell>
        </row>
        <row r="1127">
          <cell r="A1127">
            <v>20</v>
          </cell>
          <cell r="B1127">
            <v>45</v>
          </cell>
          <cell r="C1127">
            <v>70</v>
          </cell>
          <cell r="D1127" t="str">
            <v>step1+1</v>
          </cell>
          <cell r="F1127">
            <v>25</v>
          </cell>
          <cell r="G1127">
            <v>22</v>
          </cell>
          <cell r="K1127">
            <v>23</v>
          </cell>
          <cell r="L1127">
            <v>24</v>
          </cell>
          <cell r="P1127">
            <v>2115</v>
          </cell>
        </row>
        <row r="1128">
          <cell r="A1128">
            <v>22</v>
          </cell>
          <cell r="B1128">
            <v>41</v>
          </cell>
          <cell r="C1128">
            <v>63.75</v>
          </cell>
          <cell r="D1128" t="str">
            <v>step1+1</v>
          </cell>
          <cell r="F1128">
            <v>23</v>
          </cell>
          <cell r="G1128">
            <v>23</v>
          </cell>
          <cell r="H1128">
            <v>19</v>
          </cell>
          <cell r="K1128">
            <v>20</v>
          </cell>
          <cell r="L1128">
            <v>22</v>
          </cell>
          <cell r="M1128">
            <v>17</v>
          </cell>
          <cell r="P1128">
            <v>2116</v>
          </cell>
        </row>
        <row r="1129">
          <cell r="A1129" t="str">
            <v>غ</v>
          </cell>
          <cell r="B1129" t="str">
            <v>#VALUE!</v>
          </cell>
          <cell r="C1129" t="str">
            <v>غ</v>
          </cell>
          <cell r="D1129" t="str">
            <v>غ</v>
          </cell>
          <cell r="F1129" t="str">
            <v>غ</v>
          </cell>
          <cell r="G1129" t="str">
            <v>غ</v>
          </cell>
          <cell r="H1129" t="str">
            <v>غ</v>
          </cell>
          <cell r="K1129" t="str">
            <v>غ</v>
          </cell>
          <cell r="L1129" t="str">
            <v>غ</v>
          </cell>
          <cell r="P1129">
            <v>2117</v>
          </cell>
        </row>
        <row r="1130">
          <cell r="A1130">
            <v>21</v>
          </cell>
          <cell r="B1130">
            <v>45</v>
          </cell>
          <cell r="C1130">
            <v>72.5</v>
          </cell>
          <cell r="D1130" t="str">
            <v>step1+1</v>
          </cell>
          <cell r="F1130">
            <v>25</v>
          </cell>
          <cell r="G1130">
            <v>23</v>
          </cell>
          <cell r="K1130">
            <v>22</v>
          </cell>
          <cell r="L1130">
            <v>24</v>
          </cell>
          <cell r="P1130">
            <v>2118</v>
          </cell>
        </row>
        <row r="1131">
          <cell r="A1131" t="str">
            <v>غ</v>
          </cell>
          <cell r="B1131" t="str">
            <v>#VALUE!</v>
          </cell>
          <cell r="C1131" t="str">
            <v>غ</v>
          </cell>
          <cell r="D1131" t="str">
            <v>غ</v>
          </cell>
          <cell r="F1131" t="str">
            <v>غ</v>
          </cell>
          <cell r="G1131" t="str">
            <v>غ</v>
          </cell>
          <cell r="H1131" t="str">
            <v>غ</v>
          </cell>
          <cell r="K1131" t="str">
            <v>غ</v>
          </cell>
          <cell r="L1131" t="str">
            <v>غ</v>
          </cell>
          <cell r="P1131">
            <v>2119</v>
          </cell>
        </row>
        <row r="1132">
          <cell r="A1132">
            <v>21</v>
          </cell>
          <cell r="B1132">
            <v>43</v>
          </cell>
          <cell r="C1132">
            <v>67.5</v>
          </cell>
          <cell r="D1132" t="str">
            <v>step1+1</v>
          </cell>
          <cell r="F1132">
            <v>22</v>
          </cell>
          <cell r="G1132">
            <v>22</v>
          </cell>
          <cell r="H1132">
            <v>18</v>
          </cell>
          <cell r="K1132">
            <v>19</v>
          </cell>
          <cell r="L1132">
            <v>21</v>
          </cell>
          <cell r="M1132">
            <v>24</v>
          </cell>
          <cell r="P1132">
            <v>2120</v>
          </cell>
        </row>
        <row r="1133">
          <cell r="A1133">
            <v>23</v>
          </cell>
          <cell r="B1133">
            <v>47.5</v>
          </cell>
          <cell r="C1133">
            <v>63.75</v>
          </cell>
          <cell r="D1133" t="str">
            <v>step1+1</v>
          </cell>
          <cell r="F1133">
            <v>25</v>
          </cell>
          <cell r="G1133">
            <v>22</v>
          </cell>
          <cell r="H1133">
            <v>21</v>
          </cell>
          <cell r="K1133">
            <v>24</v>
          </cell>
          <cell r="L1133">
            <v>25</v>
          </cell>
          <cell r="M1133">
            <v>20</v>
          </cell>
          <cell r="P1133">
            <v>2121</v>
          </cell>
        </row>
        <row r="1134">
          <cell r="A1134" t="str">
            <v>غ</v>
          </cell>
          <cell r="B1134" t="str">
            <v>#VALUE!</v>
          </cell>
          <cell r="C1134" t="str">
            <v>غ</v>
          </cell>
          <cell r="D1134" t="str">
            <v>غ</v>
          </cell>
          <cell r="F1134" t="str">
            <v>غ</v>
          </cell>
          <cell r="G1134" t="str">
            <v>غ</v>
          </cell>
          <cell r="H1134" t="str">
            <v>غ</v>
          </cell>
          <cell r="K1134" t="str">
            <v>غ</v>
          </cell>
          <cell r="L1134" t="str">
            <v>غ</v>
          </cell>
          <cell r="P1134">
            <v>2122</v>
          </cell>
        </row>
        <row r="1135">
          <cell r="A1135">
            <v>23</v>
          </cell>
          <cell r="B1135">
            <v>44</v>
          </cell>
          <cell r="C1135">
            <v>70</v>
          </cell>
          <cell r="D1135" t="str">
            <v>step1+1</v>
          </cell>
          <cell r="F1135">
            <v>25</v>
          </cell>
          <cell r="G1135">
            <v>23</v>
          </cell>
          <cell r="H1135">
            <v>20</v>
          </cell>
          <cell r="K1135">
            <v>23</v>
          </cell>
          <cell r="L1135">
            <v>23</v>
          </cell>
          <cell r="M1135">
            <v>23</v>
          </cell>
          <cell r="P1135">
            <v>2123</v>
          </cell>
        </row>
        <row r="1136">
          <cell r="A1136">
            <v>24</v>
          </cell>
          <cell r="B1136">
            <v>40</v>
          </cell>
          <cell r="C1136">
            <v>68.75</v>
          </cell>
          <cell r="D1136" t="str">
            <v>step1+1</v>
          </cell>
          <cell r="F1136">
            <v>24</v>
          </cell>
          <cell r="G1136">
            <v>21</v>
          </cell>
          <cell r="H1136">
            <v>20</v>
          </cell>
          <cell r="K1136">
            <v>21</v>
          </cell>
          <cell r="L1136">
            <v>24</v>
          </cell>
          <cell r="M1136">
            <v>23</v>
          </cell>
          <cell r="P1136">
            <v>2124</v>
          </cell>
        </row>
        <row r="1137">
          <cell r="A1137">
            <v>23</v>
          </cell>
          <cell r="B1137">
            <v>43.5</v>
          </cell>
          <cell r="C1137">
            <v>68.75</v>
          </cell>
          <cell r="D1137" t="str">
            <v>step1+1</v>
          </cell>
          <cell r="F1137">
            <v>25</v>
          </cell>
          <cell r="G1137">
            <v>21</v>
          </cell>
          <cell r="H1137">
            <v>20</v>
          </cell>
          <cell r="K1137">
            <v>21</v>
          </cell>
          <cell r="L1137">
            <v>24</v>
          </cell>
          <cell r="M1137">
            <v>19</v>
          </cell>
          <cell r="P1137">
            <v>2125</v>
          </cell>
        </row>
        <row r="1138">
          <cell r="A1138">
            <v>18</v>
          </cell>
          <cell r="B1138">
            <v>36</v>
          </cell>
          <cell r="C1138">
            <v>61.25</v>
          </cell>
          <cell r="D1138" t="str">
            <v>step1+1</v>
          </cell>
          <cell r="F1138">
            <v>24</v>
          </cell>
          <cell r="G1138">
            <v>21</v>
          </cell>
          <cell r="K1138">
            <v>19</v>
          </cell>
          <cell r="L1138">
            <v>22</v>
          </cell>
          <cell r="P1138">
            <v>2126</v>
          </cell>
        </row>
        <row r="1139">
          <cell r="A1139">
            <v>19</v>
          </cell>
          <cell r="B1139">
            <v>44.5</v>
          </cell>
          <cell r="C1139">
            <v>57.5</v>
          </cell>
          <cell r="D1139" t="str">
            <v>step1+1</v>
          </cell>
          <cell r="F1139">
            <v>22</v>
          </cell>
          <cell r="G1139">
            <v>19</v>
          </cell>
          <cell r="H1139">
            <v>19</v>
          </cell>
          <cell r="K1139">
            <v>17</v>
          </cell>
          <cell r="L1139">
            <v>23</v>
          </cell>
          <cell r="M1139">
            <v>17</v>
          </cell>
          <cell r="P1139">
            <v>2127</v>
          </cell>
        </row>
        <row r="1140">
          <cell r="A1140">
            <v>22</v>
          </cell>
          <cell r="B1140">
            <v>33</v>
          </cell>
          <cell r="C1140">
            <v>52.5</v>
          </cell>
          <cell r="D1140" t="str">
            <v>step1+1</v>
          </cell>
          <cell r="F1140">
            <v>22</v>
          </cell>
          <cell r="G1140">
            <v>21</v>
          </cell>
          <cell r="K1140">
            <v>20</v>
          </cell>
          <cell r="L1140">
            <v>21</v>
          </cell>
          <cell r="P1140">
            <v>2128</v>
          </cell>
        </row>
        <row r="1141">
          <cell r="A1141">
            <v>21</v>
          </cell>
          <cell r="B1141">
            <v>29.5</v>
          </cell>
          <cell r="C1141">
            <v>53.75</v>
          </cell>
          <cell r="D1141" t="str">
            <v>step1+1</v>
          </cell>
          <cell r="F1141">
            <v>25</v>
          </cell>
          <cell r="G1141">
            <v>21</v>
          </cell>
          <cell r="H1141">
            <v>21</v>
          </cell>
          <cell r="K1141">
            <v>9</v>
          </cell>
          <cell r="L1141">
            <v>17</v>
          </cell>
          <cell r="M1141">
            <v>12</v>
          </cell>
          <cell r="P1141">
            <v>2129</v>
          </cell>
        </row>
        <row r="1142">
          <cell r="A1142">
            <v>24</v>
          </cell>
          <cell r="B1142">
            <v>33</v>
          </cell>
          <cell r="C1142">
            <v>56.25</v>
          </cell>
          <cell r="D1142" t="str">
            <v>step1+1</v>
          </cell>
          <cell r="F1142">
            <v>25</v>
          </cell>
          <cell r="G1142">
            <v>22</v>
          </cell>
          <cell r="K1142">
            <v>13</v>
          </cell>
          <cell r="L1142">
            <v>19</v>
          </cell>
          <cell r="P1142">
            <v>2130</v>
          </cell>
        </row>
        <row r="1143">
          <cell r="A1143">
            <v>23</v>
          </cell>
          <cell r="B1143">
            <v>37</v>
          </cell>
          <cell r="C1143">
            <v>57.5</v>
          </cell>
          <cell r="D1143" t="str">
            <v>step1+1</v>
          </cell>
          <cell r="F1143">
            <v>25</v>
          </cell>
          <cell r="G1143">
            <v>21</v>
          </cell>
          <cell r="H1143">
            <v>18</v>
          </cell>
          <cell r="K1143">
            <v>19</v>
          </cell>
          <cell r="L1143">
            <v>23</v>
          </cell>
          <cell r="M1143">
            <v>16</v>
          </cell>
          <cell r="P1143">
            <v>2131</v>
          </cell>
        </row>
        <row r="1144">
          <cell r="A1144" t="str">
            <v>غ</v>
          </cell>
          <cell r="B1144" t="str">
            <v>#VALUE!</v>
          </cell>
          <cell r="C1144" t="str">
            <v>غ</v>
          </cell>
          <cell r="D1144" t="str">
            <v>غ</v>
          </cell>
          <cell r="F1144" t="str">
            <v>غ</v>
          </cell>
          <cell r="G1144" t="str">
            <v>غ</v>
          </cell>
          <cell r="H1144" t="str">
            <v>غ</v>
          </cell>
          <cell r="K1144" t="str">
            <v>غ</v>
          </cell>
          <cell r="L1144" t="str">
            <v>غ</v>
          </cell>
          <cell r="P1144">
            <v>2132</v>
          </cell>
        </row>
        <row r="1145">
          <cell r="A1145">
            <v>22</v>
          </cell>
          <cell r="B1145">
            <v>36.5</v>
          </cell>
          <cell r="C1145">
            <v>58.75</v>
          </cell>
          <cell r="D1145" t="str">
            <v>step1+1</v>
          </cell>
          <cell r="F1145">
            <v>24</v>
          </cell>
          <cell r="G1145">
            <v>21</v>
          </cell>
          <cell r="K1145">
            <v>15</v>
          </cell>
          <cell r="L1145">
            <v>23</v>
          </cell>
          <cell r="P1145">
            <v>2133</v>
          </cell>
        </row>
        <row r="1146">
          <cell r="A1146">
            <v>22</v>
          </cell>
          <cell r="B1146">
            <v>42</v>
          </cell>
          <cell r="C1146">
            <v>71.25</v>
          </cell>
          <cell r="D1146" t="str">
            <v>step1+1</v>
          </cell>
          <cell r="F1146">
            <v>25</v>
          </cell>
          <cell r="G1146">
            <v>22</v>
          </cell>
          <cell r="K1146">
            <v>21</v>
          </cell>
          <cell r="L1146">
            <v>24</v>
          </cell>
          <cell r="P1146">
            <v>2134</v>
          </cell>
        </row>
        <row r="1147">
          <cell r="A1147" t="str">
            <v>غ</v>
          </cell>
          <cell r="B1147" t="str">
            <v>#VALUE!</v>
          </cell>
          <cell r="C1147" t="str">
            <v>غ</v>
          </cell>
          <cell r="D1147" t="str">
            <v>غ</v>
          </cell>
          <cell r="F1147" t="str">
            <v>غ</v>
          </cell>
          <cell r="G1147" t="str">
            <v>غ</v>
          </cell>
          <cell r="H1147" t="str">
            <v>غ</v>
          </cell>
          <cell r="K1147" t="str">
            <v>غ</v>
          </cell>
          <cell r="L1147" t="str">
            <v>غ</v>
          </cell>
          <cell r="P1147">
            <v>2135</v>
          </cell>
        </row>
        <row r="1148">
          <cell r="A1148">
            <v>24</v>
          </cell>
          <cell r="B1148">
            <v>42.5</v>
          </cell>
          <cell r="C1148">
            <v>72.5</v>
          </cell>
          <cell r="D1148" t="str">
            <v>step1+1</v>
          </cell>
          <cell r="F1148">
            <v>25</v>
          </cell>
          <cell r="G1148">
            <v>23</v>
          </cell>
          <cell r="H1148">
            <v>22</v>
          </cell>
          <cell r="K1148">
            <v>25</v>
          </cell>
          <cell r="L1148">
            <v>24</v>
          </cell>
          <cell r="M1148">
            <v>23</v>
          </cell>
          <cell r="P1148">
            <v>2136</v>
          </cell>
        </row>
        <row r="1149">
          <cell r="A1149">
            <v>22</v>
          </cell>
          <cell r="B1149">
            <v>43.5</v>
          </cell>
          <cell r="C1149">
            <v>70</v>
          </cell>
          <cell r="D1149" t="str">
            <v>step1+1</v>
          </cell>
          <cell r="F1149">
            <v>24</v>
          </cell>
          <cell r="G1149">
            <v>21</v>
          </cell>
          <cell r="H1149">
            <v>15</v>
          </cell>
          <cell r="K1149">
            <v>22</v>
          </cell>
          <cell r="L1149">
            <v>25</v>
          </cell>
          <cell r="M1149">
            <v>21</v>
          </cell>
          <cell r="P1149">
            <v>2137</v>
          </cell>
        </row>
        <row r="1150">
          <cell r="A1150">
            <v>23</v>
          </cell>
          <cell r="B1150">
            <v>46.5</v>
          </cell>
          <cell r="C1150">
            <v>67.5</v>
          </cell>
          <cell r="D1150" t="str">
            <v>step1+1</v>
          </cell>
          <cell r="F1150">
            <v>24</v>
          </cell>
          <cell r="G1150">
            <v>22</v>
          </cell>
          <cell r="H1150">
            <v>21</v>
          </cell>
          <cell r="K1150">
            <v>19</v>
          </cell>
          <cell r="L1150">
            <v>24</v>
          </cell>
          <cell r="M1150">
            <v>19</v>
          </cell>
          <cell r="P1150">
            <v>2138</v>
          </cell>
        </row>
        <row r="1151">
          <cell r="A1151">
            <v>22</v>
          </cell>
          <cell r="B1151">
            <v>44.5</v>
          </cell>
          <cell r="C1151">
            <v>63.75</v>
          </cell>
          <cell r="D1151" t="str">
            <v>step1+1</v>
          </cell>
          <cell r="F1151">
            <v>22</v>
          </cell>
          <cell r="G1151">
            <v>20</v>
          </cell>
          <cell r="K1151">
            <v>20</v>
          </cell>
          <cell r="L1151">
            <v>22</v>
          </cell>
          <cell r="P1151">
            <v>2140</v>
          </cell>
        </row>
        <row r="1152">
          <cell r="A1152">
            <v>22</v>
          </cell>
          <cell r="B1152">
            <v>40</v>
          </cell>
          <cell r="C1152">
            <v>70</v>
          </cell>
          <cell r="D1152" t="str">
            <v>step1+1</v>
          </cell>
          <cell r="F1152">
            <v>21</v>
          </cell>
          <cell r="G1152">
            <v>21</v>
          </cell>
          <cell r="H1152">
            <v>42.5</v>
          </cell>
          <cell r="I1152" t="str">
            <v>step1+2</v>
          </cell>
          <cell r="K1152">
            <v>16</v>
          </cell>
          <cell r="L1152">
            <v>22</v>
          </cell>
          <cell r="M1152">
            <v>46.65</v>
          </cell>
          <cell r="N1152" t="str">
            <v>step1+2</v>
          </cell>
          <cell r="P1152">
            <v>2141</v>
          </cell>
        </row>
        <row r="1153">
          <cell r="A1153">
            <v>24</v>
          </cell>
          <cell r="B1153">
            <v>46.5</v>
          </cell>
          <cell r="C1153">
            <v>75</v>
          </cell>
          <cell r="D1153" t="str">
            <v>step1+1</v>
          </cell>
          <cell r="F1153">
            <v>24</v>
          </cell>
          <cell r="G1153">
            <v>22</v>
          </cell>
          <cell r="H1153">
            <v>47</v>
          </cell>
          <cell r="I1153" t="str">
            <v>step1+2</v>
          </cell>
          <cell r="K1153">
            <v>22</v>
          </cell>
          <cell r="L1153">
            <v>25</v>
          </cell>
          <cell r="M1153">
            <v>49.370370370000003</v>
          </cell>
          <cell r="N1153" t="str">
            <v>step1+2</v>
          </cell>
          <cell r="P1153">
            <v>2142</v>
          </cell>
        </row>
        <row r="1154">
          <cell r="A1154">
            <v>15</v>
          </cell>
          <cell r="B1154">
            <v>16.5</v>
          </cell>
          <cell r="C1154">
            <v>22</v>
          </cell>
          <cell r="F1154">
            <v>15.5</v>
          </cell>
          <cell r="G1154">
            <v>21</v>
          </cell>
          <cell r="H1154">
            <v>9</v>
          </cell>
          <cell r="I1154">
            <v>10</v>
          </cell>
          <cell r="K1154">
            <v>14</v>
          </cell>
          <cell r="L1154">
            <v>8</v>
          </cell>
          <cell r="M1154">
            <v>11</v>
          </cell>
          <cell r="N1154">
            <v>10</v>
          </cell>
          <cell r="P1154">
            <v>2143</v>
          </cell>
        </row>
        <row r="1155">
          <cell r="A1155">
            <v>17</v>
          </cell>
          <cell r="B1155">
            <v>26</v>
          </cell>
          <cell r="C1155">
            <v>29</v>
          </cell>
          <cell r="F1155">
            <v>17</v>
          </cell>
          <cell r="G1155">
            <v>21</v>
          </cell>
          <cell r="H1155">
            <v>8</v>
          </cell>
          <cell r="I1155">
            <v>6</v>
          </cell>
          <cell r="K1155">
            <v>13</v>
          </cell>
          <cell r="L1155">
            <v>22</v>
          </cell>
          <cell r="M1155">
            <v>13</v>
          </cell>
          <cell r="N1155">
            <v>11</v>
          </cell>
          <cell r="P1155">
            <v>2154</v>
          </cell>
        </row>
        <row r="1156">
          <cell r="A1156">
            <v>19</v>
          </cell>
          <cell r="B1156">
            <v>22</v>
          </cell>
          <cell r="C1156">
            <v>17</v>
          </cell>
          <cell r="F1156">
            <v>24</v>
          </cell>
          <cell r="G1156">
            <v>21</v>
          </cell>
          <cell r="H1156">
            <v>7</v>
          </cell>
          <cell r="I1156">
            <v>13</v>
          </cell>
          <cell r="K1156">
            <v>17</v>
          </cell>
          <cell r="L1156">
            <v>17</v>
          </cell>
          <cell r="M1156">
            <v>5</v>
          </cell>
          <cell r="N1156">
            <v>8</v>
          </cell>
          <cell r="P1156">
            <v>2162</v>
          </cell>
        </row>
        <row r="1157">
          <cell r="A1157" t="str">
            <v>غ</v>
          </cell>
          <cell r="B1157" t="str">
            <v>#VALUE!</v>
          </cell>
          <cell r="C1157" t="str">
            <v>غ</v>
          </cell>
          <cell r="D1157" t="str">
            <v>غ</v>
          </cell>
          <cell r="F1157">
            <v>3</v>
          </cell>
          <cell r="G1157">
            <v>7</v>
          </cell>
          <cell r="K1157" t="str">
            <v>غ</v>
          </cell>
          <cell r="L1157" t="str">
            <v>غ</v>
          </cell>
          <cell r="P1157">
            <v>2167</v>
          </cell>
        </row>
        <row r="1158">
          <cell r="A1158">
            <v>19</v>
          </cell>
          <cell r="B1158">
            <v>43.5</v>
          </cell>
          <cell r="C1158">
            <v>60</v>
          </cell>
          <cell r="D1158" t="str">
            <v>step1+1</v>
          </cell>
          <cell r="F1158">
            <v>24</v>
          </cell>
          <cell r="G1158">
            <v>22</v>
          </cell>
          <cell r="H1158">
            <v>46</v>
          </cell>
          <cell r="I1158" t="str">
            <v>step1+2</v>
          </cell>
          <cell r="K1158">
            <v>18</v>
          </cell>
          <cell r="L1158">
            <v>24</v>
          </cell>
          <cell r="M1158">
            <v>45</v>
          </cell>
          <cell r="N1158" t="str">
            <v>step1+2</v>
          </cell>
          <cell r="P1158">
            <v>2170</v>
          </cell>
        </row>
        <row r="1159">
          <cell r="A1159">
            <v>19</v>
          </cell>
          <cell r="B1159">
            <v>47.5</v>
          </cell>
          <cell r="C1159">
            <v>51</v>
          </cell>
          <cell r="D1159" t="str">
            <v>step1+1</v>
          </cell>
          <cell r="F1159">
            <v>23</v>
          </cell>
          <cell r="G1159">
            <v>23</v>
          </cell>
          <cell r="H1159">
            <v>43</v>
          </cell>
          <cell r="I1159" t="str">
            <v>step1+2</v>
          </cell>
          <cell r="K1159">
            <v>21</v>
          </cell>
          <cell r="L1159">
            <v>20</v>
          </cell>
          <cell r="M1159">
            <v>45</v>
          </cell>
          <cell r="N1159" t="str">
            <v>step1+2</v>
          </cell>
          <cell r="P1159">
            <v>2171</v>
          </cell>
        </row>
        <row r="1160">
          <cell r="A1160">
            <v>19</v>
          </cell>
          <cell r="B1160">
            <v>41.5</v>
          </cell>
          <cell r="C1160">
            <v>72</v>
          </cell>
          <cell r="D1160" t="str">
            <v>step1+1</v>
          </cell>
          <cell r="F1160">
            <v>23</v>
          </cell>
          <cell r="G1160">
            <v>21</v>
          </cell>
          <cell r="H1160">
            <v>35</v>
          </cell>
          <cell r="I1160" t="str">
            <v>step1+2</v>
          </cell>
          <cell r="K1160">
            <v>19</v>
          </cell>
          <cell r="L1160">
            <v>25</v>
          </cell>
          <cell r="M1160">
            <v>35</v>
          </cell>
          <cell r="N1160" t="str">
            <v>step1+2</v>
          </cell>
          <cell r="P1160">
            <v>2172</v>
          </cell>
        </row>
        <row r="1161">
          <cell r="A1161">
            <v>21</v>
          </cell>
          <cell r="B1161">
            <v>43.5</v>
          </cell>
          <cell r="C1161">
            <v>70</v>
          </cell>
          <cell r="D1161" t="str">
            <v>step1+1</v>
          </cell>
          <cell r="F1161">
            <v>23</v>
          </cell>
          <cell r="G1161">
            <v>21</v>
          </cell>
          <cell r="H1161">
            <v>40</v>
          </cell>
          <cell r="I1161" t="str">
            <v>step1+2</v>
          </cell>
          <cell r="K1161">
            <v>23</v>
          </cell>
          <cell r="L1161">
            <v>25</v>
          </cell>
          <cell r="M1161">
            <v>40</v>
          </cell>
          <cell r="N1161" t="str">
            <v>step1+2</v>
          </cell>
          <cell r="P1161">
            <v>2173</v>
          </cell>
        </row>
        <row r="1162">
          <cell r="A1162">
            <v>18</v>
          </cell>
          <cell r="B1162">
            <v>43.5</v>
          </cell>
          <cell r="C1162">
            <v>69</v>
          </cell>
          <cell r="D1162" t="str">
            <v>step1+1</v>
          </cell>
          <cell r="F1162">
            <v>24</v>
          </cell>
          <cell r="G1162">
            <v>23</v>
          </cell>
          <cell r="H1162">
            <v>35</v>
          </cell>
          <cell r="I1162" t="str">
            <v>step1+2</v>
          </cell>
          <cell r="K1162">
            <v>21</v>
          </cell>
          <cell r="L1162">
            <v>25</v>
          </cell>
          <cell r="M1162">
            <v>35</v>
          </cell>
          <cell r="N1162" t="str">
            <v>step1+2</v>
          </cell>
          <cell r="P1162">
            <v>2174</v>
          </cell>
        </row>
        <row r="1163">
          <cell r="A1163">
            <v>20</v>
          </cell>
          <cell r="B1163">
            <v>46.5</v>
          </cell>
          <cell r="C1163">
            <v>69.75</v>
          </cell>
          <cell r="D1163" t="str">
            <v>step1+1</v>
          </cell>
          <cell r="F1163">
            <v>24</v>
          </cell>
          <cell r="G1163">
            <v>20</v>
          </cell>
          <cell r="H1163">
            <v>23</v>
          </cell>
          <cell r="K1163">
            <v>18</v>
          </cell>
          <cell r="L1163">
            <v>23</v>
          </cell>
          <cell r="M1163">
            <v>47.75</v>
          </cell>
          <cell r="N1163" t="str">
            <v>step1+2</v>
          </cell>
          <cell r="P1163">
            <v>2175</v>
          </cell>
        </row>
        <row r="1164">
          <cell r="A1164">
            <v>24</v>
          </cell>
          <cell r="B1164">
            <v>42.5</v>
          </cell>
          <cell r="C1164">
            <v>67.88</v>
          </cell>
          <cell r="D1164" t="str">
            <v>step1+1</v>
          </cell>
          <cell r="F1164">
            <v>21</v>
          </cell>
          <cell r="G1164">
            <v>20</v>
          </cell>
          <cell r="K1164">
            <v>20</v>
          </cell>
          <cell r="L1164">
            <v>23</v>
          </cell>
          <cell r="M1164">
            <v>47</v>
          </cell>
          <cell r="N1164" t="str">
            <v>step1+2</v>
          </cell>
          <cell r="P1164">
            <v>2176</v>
          </cell>
        </row>
        <row r="1165">
          <cell r="A1165">
            <v>23</v>
          </cell>
          <cell r="B1165">
            <v>47.5</v>
          </cell>
          <cell r="C1165">
            <v>73.88</v>
          </cell>
          <cell r="D1165" t="str">
            <v>step1+1</v>
          </cell>
          <cell r="F1165">
            <v>25</v>
          </cell>
          <cell r="G1165">
            <v>24</v>
          </cell>
          <cell r="K1165">
            <v>24</v>
          </cell>
          <cell r="L1165">
            <v>25</v>
          </cell>
          <cell r="M1165">
            <v>49.125</v>
          </cell>
          <cell r="N1165" t="str">
            <v>step1+2</v>
          </cell>
          <cell r="P1165">
            <v>2177</v>
          </cell>
        </row>
        <row r="1166">
          <cell r="A1166">
            <v>23</v>
          </cell>
          <cell r="B1166">
            <v>40</v>
          </cell>
          <cell r="C1166">
            <v>66.75</v>
          </cell>
          <cell r="D1166" t="str">
            <v>step1+1</v>
          </cell>
          <cell r="F1166">
            <v>25</v>
          </cell>
          <cell r="G1166">
            <v>22</v>
          </cell>
          <cell r="K1166">
            <v>22</v>
          </cell>
          <cell r="L1166">
            <v>24</v>
          </cell>
          <cell r="M1166">
            <v>46.625</v>
          </cell>
          <cell r="N1166" t="str">
            <v>step1+2</v>
          </cell>
          <cell r="P1166">
            <v>2178</v>
          </cell>
        </row>
        <row r="1167">
          <cell r="A1167">
            <v>23</v>
          </cell>
          <cell r="B1167">
            <v>46.5</v>
          </cell>
          <cell r="C1167">
            <v>75</v>
          </cell>
          <cell r="D1167" t="str">
            <v>step1+1</v>
          </cell>
          <cell r="F1167">
            <v>22</v>
          </cell>
          <cell r="G1167">
            <v>24</v>
          </cell>
          <cell r="K1167">
            <v>20</v>
          </cell>
          <cell r="L1167">
            <v>24</v>
          </cell>
          <cell r="M1167">
            <v>48.875</v>
          </cell>
          <cell r="N1167" t="str">
            <v>step1+2</v>
          </cell>
          <cell r="P1167">
            <v>2179</v>
          </cell>
        </row>
        <row r="1168">
          <cell r="A1168">
            <v>22</v>
          </cell>
          <cell r="B1168">
            <v>44.5</v>
          </cell>
          <cell r="C1168">
            <v>70.5</v>
          </cell>
          <cell r="D1168" t="str">
            <v>step1+1</v>
          </cell>
          <cell r="F1168">
            <v>23</v>
          </cell>
          <cell r="G1168">
            <v>23</v>
          </cell>
          <cell r="K1168">
            <v>21</v>
          </cell>
          <cell r="L1168">
            <v>25</v>
          </cell>
          <cell r="M1168">
            <v>47.5</v>
          </cell>
          <cell r="N1168" t="str">
            <v>step1+2</v>
          </cell>
          <cell r="P1168">
            <v>2180</v>
          </cell>
        </row>
        <row r="1169">
          <cell r="A1169">
            <v>22</v>
          </cell>
          <cell r="B1169">
            <v>47</v>
          </cell>
          <cell r="C1169">
            <v>65</v>
          </cell>
          <cell r="D1169" t="str">
            <v>step1+1</v>
          </cell>
          <cell r="F1169">
            <v>23</v>
          </cell>
          <cell r="G1169">
            <v>21</v>
          </cell>
          <cell r="K1169">
            <v>22</v>
          </cell>
          <cell r="L1169">
            <v>25</v>
          </cell>
          <cell r="P1169">
            <v>2329</v>
          </cell>
        </row>
        <row r="1170">
          <cell r="A1170">
            <v>24</v>
          </cell>
          <cell r="B1170">
            <v>44.5</v>
          </cell>
          <cell r="C1170">
            <v>57</v>
          </cell>
          <cell r="D1170" t="str">
            <v>step1+1</v>
          </cell>
          <cell r="F1170">
            <v>24</v>
          </cell>
          <cell r="G1170">
            <v>21</v>
          </cell>
          <cell r="H1170">
            <v>45</v>
          </cell>
          <cell r="I1170" t="str">
            <v>step1+2</v>
          </cell>
          <cell r="K1170">
            <v>22</v>
          </cell>
          <cell r="L1170">
            <v>25</v>
          </cell>
          <cell r="M1170">
            <v>45</v>
          </cell>
          <cell r="N1170" t="str">
            <v>step1+2</v>
          </cell>
          <cell r="P1170">
            <v>2330</v>
          </cell>
        </row>
        <row r="1171">
          <cell r="A1171">
            <v>18</v>
          </cell>
          <cell r="B1171">
            <v>34.5</v>
          </cell>
          <cell r="C1171">
            <v>63.38</v>
          </cell>
          <cell r="D1171" t="str">
            <v>step1+1</v>
          </cell>
          <cell r="F1171">
            <v>22</v>
          </cell>
          <cell r="G1171">
            <v>14</v>
          </cell>
          <cell r="K1171" t="str">
            <v>غ</v>
          </cell>
          <cell r="L1171">
            <v>20</v>
          </cell>
          <cell r="M1171">
            <v>43.625</v>
          </cell>
          <cell r="N1171" t="str">
            <v>step1+2</v>
          </cell>
          <cell r="P1171">
            <v>2331</v>
          </cell>
        </row>
        <row r="1172">
          <cell r="A1172">
            <v>23</v>
          </cell>
          <cell r="B1172">
            <v>31</v>
          </cell>
          <cell r="C1172">
            <v>61</v>
          </cell>
          <cell r="D1172" t="str">
            <v>step1+1</v>
          </cell>
          <cell r="F1172">
            <v>21</v>
          </cell>
          <cell r="G1172">
            <v>22.5</v>
          </cell>
          <cell r="H1172">
            <v>30</v>
          </cell>
          <cell r="I1172" t="str">
            <v>step1+2</v>
          </cell>
          <cell r="K1172">
            <v>19</v>
          </cell>
          <cell r="L1172">
            <v>21</v>
          </cell>
          <cell r="M1172">
            <v>30</v>
          </cell>
          <cell r="N1172" t="str">
            <v>step1+2</v>
          </cell>
          <cell r="P1172">
            <v>2332</v>
          </cell>
        </row>
        <row r="1173">
          <cell r="A1173">
            <v>23</v>
          </cell>
          <cell r="B1173">
            <v>45</v>
          </cell>
          <cell r="C1173">
            <v>70.41</v>
          </cell>
          <cell r="D1173" t="str">
            <v>step1+1</v>
          </cell>
          <cell r="F1173">
            <v>25</v>
          </cell>
          <cell r="G1173">
            <v>22</v>
          </cell>
          <cell r="H1173">
            <v>21</v>
          </cell>
          <cell r="K1173">
            <v>20</v>
          </cell>
          <cell r="L1173">
            <v>24</v>
          </cell>
          <cell r="M1173">
            <v>47.287500000000001</v>
          </cell>
          <cell r="N1173" t="str">
            <v>step1+2</v>
          </cell>
          <cell r="P1173">
            <v>2333</v>
          </cell>
        </row>
        <row r="1174">
          <cell r="A1174">
            <v>23</v>
          </cell>
          <cell r="B1174">
            <v>44.5</v>
          </cell>
          <cell r="C1174">
            <v>48</v>
          </cell>
          <cell r="D1174" t="str">
            <v>step1+1</v>
          </cell>
          <cell r="F1174">
            <v>15</v>
          </cell>
          <cell r="G1174">
            <v>22</v>
          </cell>
          <cell r="H1174">
            <v>46</v>
          </cell>
          <cell r="I1174" t="str">
            <v>step1+2</v>
          </cell>
          <cell r="K1174">
            <v>20</v>
          </cell>
          <cell r="L1174">
            <v>24</v>
          </cell>
          <cell r="M1174">
            <v>44</v>
          </cell>
          <cell r="N1174" t="str">
            <v>step1+2</v>
          </cell>
          <cell r="P1174">
            <v>2335</v>
          </cell>
        </row>
        <row r="1175">
          <cell r="A1175">
            <v>20</v>
          </cell>
          <cell r="B1175">
            <v>43</v>
          </cell>
          <cell r="C1175">
            <v>70.13</v>
          </cell>
          <cell r="D1175" t="str">
            <v>step1+1</v>
          </cell>
          <cell r="F1175">
            <v>17</v>
          </cell>
          <cell r="G1175">
            <v>21</v>
          </cell>
          <cell r="H1175">
            <v>24</v>
          </cell>
          <cell r="K1175">
            <v>22</v>
          </cell>
          <cell r="L1175">
            <v>24</v>
          </cell>
          <cell r="M1175">
            <v>47.625</v>
          </cell>
          <cell r="N1175" t="str">
            <v>step1+2</v>
          </cell>
          <cell r="P1175">
            <v>2337</v>
          </cell>
        </row>
        <row r="1176">
          <cell r="A1176">
            <v>24</v>
          </cell>
          <cell r="B1176">
            <v>47</v>
          </cell>
          <cell r="C1176">
            <v>23</v>
          </cell>
          <cell r="D1176">
            <v>0</v>
          </cell>
          <cell r="F1176">
            <v>21</v>
          </cell>
          <cell r="G1176">
            <v>21</v>
          </cell>
          <cell r="H1176">
            <v>12</v>
          </cell>
          <cell r="I1176">
            <v>12</v>
          </cell>
          <cell r="K1176">
            <v>23</v>
          </cell>
          <cell r="L1176">
            <v>18</v>
          </cell>
          <cell r="M1176">
            <v>18</v>
          </cell>
          <cell r="N1176">
            <v>13</v>
          </cell>
          <cell r="P1176">
            <v>2339</v>
          </cell>
        </row>
        <row r="1177">
          <cell r="A1177">
            <v>0</v>
          </cell>
          <cell r="B1177">
            <v>24.5</v>
          </cell>
          <cell r="C1177">
            <v>37</v>
          </cell>
          <cell r="D1177">
            <v>16</v>
          </cell>
          <cell r="F1177">
            <v>0</v>
          </cell>
          <cell r="G1177">
            <v>13.5</v>
          </cell>
          <cell r="H1177">
            <v>17</v>
          </cell>
          <cell r="I1177">
            <v>12</v>
          </cell>
          <cell r="K1177" t="str">
            <v>غ</v>
          </cell>
          <cell r="L1177">
            <v>7</v>
          </cell>
          <cell r="M1177">
            <v>19</v>
          </cell>
          <cell r="P1177">
            <v>2340</v>
          </cell>
        </row>
        <row r="1178">
          <cell r="A1178">
            <v>19</v>
          </cell>
          <cell r="B1178">
            <v>46.5</v>
          </cell>
          <cell r="C1178">
            <v>42</v>
          </cell>
          <cell r="D1178">
            <v>20</v>
          </cell>
          <cell r="F1178">
            <v>23.5</v>
          </cell>
          <cell r="G1178">
            <v>21</v>
          </cell>
          <cell r="H1178">
            <v>20</v>
          </cell>
          <cell r="I1178">
            <v>16</v>
          </cell>
          <cell r="K1178">
            <v>23</v>
          </cell>
          <cell r="L1178">
            <v>25</v>
          </cell>
          <cell r="M1178">
            <v>19</v>
          </cell>
          <cell r="N1178">
            <v>21</v>
          </cell>
          <cell r="P1178">
            <v>2341</v>
          </cell>
        </row>
        <row r="1179">
          <cell r="A1179">
            <v>24</v>
          </cell>
          <cell r="B1179">
            <v>34</v>
          </cell>
          <cell r="C1179">
            <v>37</v>
          </cell>
          <cell r="D1179">
            <v>15</v>
          </cell>
          <cell r="F1179">
            <v>24</v>
          </cell>
          <cell r="G1179">
            <v>21</v>
          </cell>
          <cell r="H1179">
            <v>9</v>
          </cell>
          <cell r="I1179">
            <v>18</v>
          </cell>
          <cell r="K1179">
            <v>15</v>
          </cell>
          <cell r="L1179">
            <v>23</v>
          </cell>
          <cell r="M1179">
            <v>11</v>
          </cell>
          <cell r="N1179">
            <v>12</v>
          </cell>
          <cell r="P1179">
            <v>2342</v>
          </cell>
        </row>
        <row r="1180">
          <cell r="A1180">
            <v>22</v>
          </cell>
          <cell r="B1180">
            <v>30</v>
          </cell>
          <cell r="C1180">
            <v>26</v>
          </cell>
          <cell r="D1180">
            <v>16</v>
          </cell>
          <cell r="F1180">
            <v>21</v>
          </cell>
          <cell r="G1180">
            <v>21.5</v>
          </cell>
          <cell r="H1180">
            <v>14</v>
          </cell>
          <cell r="I1180">
            <v>24</v>
          </cell>
          <cell r="K1180">
            <v>19</v>
          </cell>
          <cell r="L1180">
            <v>23</v>
          </cell>
          <cell r="M1180">
            <v>20</v>
          </cell>
          <cell r="N1180">
            <v>14</v>
          </cell>
          <cell r="P1180">
            <v>2343</v>
          </cell>
        </row>
        <row r="1181">
          <cell r="A1181">
            <v>10</v>
          </cell>
          <cell r="B1181">
            <v>10</v>
          </cell>
          <cell r="C1181">
            <v>27</v>
          </cell>
          <cell r="D1181">
            <v>13</v>
          </cell>
          <cell r="F1181">
            <v>21</v>
          </cell>
          <cell r="G1181">
            <v>23</v>
          </cell>
          <cell r="H1181">
            <v>11</v>
          </cell>
          <cell r="I1181">
            <v>12</v>
          </cell>
          <cell r="K1181">
            <v>17</v>
          </cell>
          <cell r="L1181">
            <v>23</v>
          </cell>
          <cell r="M1181">
            <v>14</v>
          </cell>
          <cell r="N1181">
            <v>18</v>
          </cell>
          <cell r="P1181">
            <v>2344</v>
          </cell>
        </row>
        <row r="1182">
          <cell r="A1182">
            <v>22</v>
          </cell>
          <cell r="B1182">
            <v>25.5</v>
          </cell>
          <cell r="C1182">
            <v>25</v>
          </cell>
          <cell r="D1182">
            <v>20</v>
          </cell>
          <cell r="F1182">
            <v>22</v>
          </cell>
          <cell r="G1182">
            <v>20</v>
          </cell>
          <cell r="H1182">
            <v>9</v>
          </cell>
          <cell r="I1182">
            <v>17</v>
          </cell>
          <cell r="K1182">
            <v>15</v>
          </cell>
          <cell r="L1182">
            <v>25</v>
          </cell>
          <cell r="M1182">
            <v>11</v>
          </cell>
          <cell r="N1182">
            <v>15</v>
          </cell>
          <cell r="P1182">
            <v>2345</v>
          </cell>
        </row>
        <row r="1183">
          <cell r="A1183">
            <v>14</v>
          </cell>
          <cell r="B1183">
            <v>21.5</v>
          </cell>
          <cell r="C1183">
            <v>24</v>
          </cell>
          <cell r="D1183">
            <v>9</v>
          </cell>
          <cell r="F1183">
            <v>17</v>
          </cell>
          <cell r="G1183">
            <v>20</v>
          </cell>
          <cell r="H1183">
            <v>12</v>
          </cell>
          <cell r="I1183">
            <v>15</v>
          </cell>
          <cell r="K1183">
            <v>15</v>
          </cell>
          <cell r="L1183">
            <v>20</v>
          </cell>
          <cell r="M1183" t="str">
            <v>غ</v>
          </cell>
          <cell r="N1183">
            <v>11</v>
          </cell>
          <cell r="P1183">
            <v>2346</v>
          </cell>
        </row>
        <row r="1184">
          <cell r="A1184">
            <v>15</v>
          </cell>
          <cell r="B1184">
            <v>27.5</v>
          </cell>
          <cell r="C1184">
            <v>26</v>
          </cell>
          <cell r="D1184">
            <v>19</v>
          </cell>
          <cell r="F1184">
            <v>20.5</v>
          </cell>
          <cell r="G1184">
            <v>19</v>
          </cell>
          <cell r="H1184">
            <v>11</v>
          </cell>
          <cell r="I1184">
            <v>16</v>
          </cell>
          <cell r="K1184">
            <v>17</v>
          </cell>
          <cell r="L1184">
            <v>23</v>
          </cell>
          <cell r="M1184">
            <v>17</v>
          </cell>
          <cell r="N1184">
            <v>12</v>
          </cell>
          <cell r="P1184">
            <v>2348</v>
          </cell>
        </row>
        <row r="1185">
          <cell r="A1185">
            <v>19</v>
          </cell>
          <cell r="B1185">
            <v>25</v>
          </cell>
          <cell r="C1185">
            <v>39</v>
          </cell>
          <cell r="D1185">
            <v>14</v>
          </cell>
          <cell r="F1185">
            <v>24</v>
          </cell>
          <cell r="G1185">
            <v>20</v>
          </cell>
          <cell r="H1185">
            <v>10</v>
          </cell>
          <cell r="I1185">
            <v>16</v>
          </cell>
          <cell r="K1185">
            <v>14</v>
          </cell>
          <cell r="L1185">
            <v>9</v>
          </cell>
          <cell r="M1185">
            <v>13</v>
          </cell>
          <cell r="N1185">
            <v>15</v>
          </cell>
          <cell r="P1185">
            <v>2349</v>
          </cell>
        </row>
        <row r="1186">
          <cell r="A1186">
            <v>17</v>
          </cell>
          <cell r="B1186">
            <v>21</v>
          </cell>
          <cell r="C1186">
            <v>23</v>
          </cell>
          <cell r="D1186">
            <v>13</v>
          </cell>
          <cell r="F1186">
            <v>22</v>
          </cell>
          <cell r="G1186">
            <v>19</v>
          </cell>
          <cell r="H1186">
            <v>8</v>
          </cell>
          <cell r="I1186">
            <v>10</v>
          </cell>
          <cell r="K1186">
            <v>21</v>
          </cell>
          <cell r="L1186">
            <v>22</v>
          </cell>
          <cell r="M1186">
            <v>13</v>
          </cell>
          <cell r="N1186">
            <v>15</v>
          </cell>
          <cell r="P1186">
            <v>2350</v>
          </cell>
        </row>
        <row r="1187">
          <cell r="A1187">
            <v>17</v>
          </cell>
          <cell r="B1187">
            <v>22.5</v>
          </cell>
          <cell r="C1187">
            <v>23</v>
          </cell>
          <cell r="D1187">
            <v>10</v>
          </cell>
          <cell r="F1187">
            <v>23</v>
          </cell>
          <cell r="G1187">
            <v>20</v>
          </cell>
          <cell r="H1187">
            <v>6</v>
          </cell>
          <cell r="I1187">
            <v>10</v>
          </cell>
          <cell r="K1187">
            <v>16</v>
          </cell>
          <cell r="L1187">
            <v>9</v>
          </cell>
          <cell r="M1187">
            <v>10</v>
          </cell>
          <cell r="N1187">
            <v>6</v>
          </cell>
          <cell r="P1187">
            <v>2351</v>
          </cell>
        </row>
        <row r="1188">
          <cell r="A1188">
            <v>0</v>
          </cell>
          <cell r="B1188">
            <v>0</v>
          </cell>
          <cell r="C1188">
            <v>37</v>
          </cell>
          <cell r="D1188">
            <v>15</v>
          </cell>
          <cell r="F1188" t="str">
            <v>غ</v>
          </cell>
          <cell r="G1188" t="str">
            <v>غ</v>
          </cell>
          <cell r="H1188">
            <v>5</v>
          </cell>
          <cell r="I1188">
            <v>11</v>
          </cell>
          <cell r="K1188" t="str">
            <v>غ</v>
          </cell>
          <cell r="L1188" t="str">
            <v>غ</v>
          </cell>
          <cell r="M1188">
            <v>10</v>
          </cell>
          <cell r="N1188">
            <v>11</v>
          </cell>
          <cell r="P1188">
            <v>2352</v>
          </cell>
        </row>
        <row r="1189">
          <cell r="A1189">
            <v>11</v>
          </cell>
          <cell r="B1189">
            <v>27</v>
          </cell>
          <cell r="C1189">
            <v>25</v>
          </cell>
          <cell r="D1189">
            <v>13</v>
          </cell>
          <cell r="F1189">
            <v>17</v>
          </cell>
          <cell r="G1189">
            <v>23</v>
          </cell>
          <cell r="H1189">
            <v>14</v>
          </cell>
          <cell r="I1189">
            <v>16</v>
          </cell>
          <cell r="K1189">
            <v>18</v>
          </cell>
          <cell r="L1189">
            <v>22</v>
          </cell>
          <cell r="M1189">
            <v>18</v>
          </cell>
          <cell r="N1189">
            <v>18</v>
          </cell>
          <cell r="P1189">
            <v>2353</v>
          </cell>
        </row>
        <row r="1190">
          <cell r="A1190">
            <v>0</v>
          </cell>
          <cell r="B1190">
            <v>21</v>
          </cell>
          <cell r="C1190">
            <v>42</v>
          </cell>
          <cell r="D1190">
            <v>10</v>
          </cell>
          <cell r="F1190">
            <v>18</v>
          </cell>
          <cell r="G1190">
            <v>18</v>
          </cell>
          <cell r="H1190">
            <v>7</v>
          </cell>
          <cell r="I1190">
            <v>10</v>
          </cell>
          <cell r="K1190">
            <v>23</v>
          </cell>
          <cell r="L1190">
            <v>15</v>
          </cell>
          <cell r="M1190">
            <v>6</v>
          </cell>
          <cell r="N1190">
            <v>5</v>
          </cell>
          <cell r="P1190">
            <v>2354</v>
          </cell>
        </row>
        <row r="1191">
          <cell r="A1191">
            <v>19</v>
          </cell>
          <cell r="B1191">
            <v>25</v>
          </cell>
          <cell r="C1191">
            <v>15</v>
          </cell>
          <cell r="D1191">
            <v>15</v>
          </cell>
          <cell r="F1191">
            <v>24</v>
          </cell>
          <cell r="G1191">
            <v>18</v>
          </cell>
          <cell r="H1191">
            <v>8</v>
          </cell>
          <cell r="I1191">
            <v>13</v>
          </cell>
          <cell r="K1191">
            <v>19</v>
          </cell>
          <cell r="L1191">
            <v>19</v>
          </cell>
          <cell r="M1191">
            <v>10</v>
          </cell>
          <cell r="N1191">
            <v>14</v>
          </cell>
          <cell r="P1191">
            <v>2355</v>
          </cell>
        </row>
        <row r="1192">
          <cell r="A1192">
            <v>19</v>
          </cell>
          <cell r="B1192">
            <v>6</v>
          </cell>
          <cell r="C1192">
            <v>30</v>
          </cell>
          <cell r="D1192">
            <v>18</v>
          </cell>
          <cell r="F1192">
            <v>20</v>
          </cell>
          <cell r="G1192">
            <v>9</v>
          </cell>
          <cell r="H1192">
            <v>15</v>
          </cell>
          <cell r="I1192">
            <v>18</v>
          </cell>
          <cell r="K1192">
            <v>19</v>
          </cell>
          <cell r="L1192">
            <v>22</v>
          </cell>
          <cell r="M1192" t="str">
            <v>غ</v>
          </cell>
          <cell r="N1192">
            <v>20</v>
          </cell>
          <cell r="P1192">
            <v>2356</v>
          </cell>
        </row>
        <row r="1193">
          <cell r="A1193">
            <v>18</v>
          </cell>
          <cell r="B1193">
            <v>37</v>
          </cell>
          <cell r="C1193">
            <v>32</v>
          </cell>
          <cell r="D1193">
            <v>12</v>
          </cell>
          <cell r="F1193">
            <v>21</v>
          </cell>
          <cell r="G1193">
            <v>21</v>
          </cell>
          <cell r="H1193">
            <v>9</v>
          </cell>
          <cell r="I1193">
            <v>16</v>
          </cell>
          <cell r="K1193">
            <v>24</v>
          </cell>
          <cell r="L1193">
            <v>22</v>
          </cell>
          <cell r="M1193">
            <v>13</v>
          </cell>
          <cell r="N1193">
            <v>18</v>
          </cell>
          <cell r="P1193">
            <v>2357</v>
          </cell>
        </row>
        <row r="1194">
          <cell r="A1194">
            <v>20</v>
          </cell>
          <cell r="B1194">
            <v>44</v>
          </cell>
          <cell r="C1194">
            <v>30</v>
          </cell>
          <cell r="D1194">
            <v>17</v>
          </cell>
          <cell r="F1194">
            <v>23</v>
          </cell>
          <cell r="G1194">
            <v>21</v>
          </cell>
          <cell r="H1194">
            <v>12</v>
          </cell>
          <cell r="I1194">
            <v>17</v>
          </cell>
          <cell r="K1194">
            <v>22</v>
          </cell>
          <cell r="L1194">
            <v>25</v>
          </cell>
          <cell r="M1194">
            <v>10</v>
          </cell>
          <cell r="N1194">
            <v>21</v>
          </cell>
          <cell r="P1194">
            <v>2358</v>
          </cell>
        </row>
        <row r="1195">
          <cell r="A1195">
            <v>21</v>
          </cell>
          <cell r="B1195">
            <v>35.5</v>
          </cell>
          <cell r="C1195">
            <v>22</v>
          </cell>
          <cell r="D1195">
            <v>21</v>
          </cell>
          <cell r="F1195">
            <v>22</v>
          </cell>
          <cell r="G1195">
            <v>22</v>
          </cell>
          <cell r="H1195">
            <v>23</v>
          </cell>
          <cell r="I1195">
            <v>19</v>
          </cell>
          <cell r="K1195">
            <v>21</v>
          </cell>
          <cell r="L1195">
            <v>23</v>
          </cell>
          <cell r="M1195">
            <v>21</v>
          </cell>
          <cell r="N1195">
            <v>25</v>
          </cell>
          <cell r="P1195">
            <v>2359</v>
          </cell>
        </row>
        <row r="1196">
          <cell r="A1196">
            <v>23</v>
          </cell>
          <cell r="B1196">
            <v>35</v>
          </cell>
          <cell r="C1196">
            <v>21</v>
          </cell>
          <cell r="D1196">
            <v>13</v>
          </cell>
          <cell r="F1196">
            <v>23</v>
          </cell>
          <cell r="G1196">
            <v>23</v>
          </cell>
          <cell r="H1196">
            <v>18</v>
          </cell>
          <cell r="I1196">
            <v>8</v>
          </cell>
          <cell r="K1196">
            <v>22</v>
          </cell>
          <cell r="L1196">
            <v>22</v>
          </cell>
          <cell r="M1196">
            <v>10</v>
          </cell>
          <cell r="N1196">
            <v>11</v>
          </cell>
          <cell r="P1196">
            <v>2360</v>
          </cell>
        </row>
        <row r="1197">
          <cell r="A1197">
            <v>21</v>
          </cell>
          <cell r="B1197">
            <v>23.5</v>
          </cell>
          <cell r="C1197">
            <v>25</v>
          </cell>
          <cell r="D1197">
            <v>20</v>
          </cell>
          <cell r="F1197">
            <v>24</v>
          </cell>
          <cell r="G1197">
            <v>22</v>
          </cell>
          <cell r="H1197">
            <v>7</v>
          </cell>
          <cell r="I1197">
            <v>19</v>
          </cell>
          <cell r="K1197">
            <v>12</v>
          </cell>
          <cell r="L1197">
            <v>19</v>
          </cell>
          <cell r="M1197">
            <v>17</v>
          </cell>
          <cell r="N1197">
            <v>16</v>
          </cell>
          <cell r="P1197">
            <v>2361</v>
          </cell>
        </row>
        <row r="1198">
          <cell r="A1198">
            <v>10</v>
          </cell>
          <cell r="B1198">
            <v>21.5</v>
          </cell>
          <cell r="C1198">
            <v>26</v>
          </cell>
          <cell r="D1198">
            <v>12</v>
          </cell>
          <cell r="F1198">
            <v>18</v>
          </cell>
          <cell r="G1198">
            <v>21</v>
          </cell>
          <cell r="H1198">
            <v>5</v>
          </cell>
          <cell r="I1198">
            <v>7</v>
          </cell>
          <cell r="K1198">
            <v>17</v>
          </cell>
          <cell r="L1198">
            <v>19</v>
          </cell>
          <cell r="M1198">
            <v>10</v>
          </cell>
          <cell r="N1198">
            <v>10</v>
          </cell>
          <cell r="P1198">
            <v>2362</v>
          </cell>
        </row>
        <row r="1199">
          <cell r="A1199">
            <v>14</v>
          </cell>
          <cell r="B1199">
            <v>26</v>
          </cell>
          <cell r="C1199">
            <v>28</v>
          </cell>
          <cell r="D1199">
            <v>13</v>
          </cell>
          <cell r="F1199">
            <v>23</v>
          </cell>
          <cell r="G1199">
            <v>22</v>
          </cell>
          <cell r="H1199">
            <v>6</v>
          </cell>
          <cell r="I1199">
            <v>18</v>
          </cell>
          <cell r="K1199">
            <v>18</v>
          </cell>
          <cell r="L1199">
            <v>16</v>
          </cell>
          <cell r="M1199">
            <v>12</v>
          </cell>
          <cell r="N1199">
            <v>18</v>
          </cell>
          <cell r="P1199">
            <v>2363</v>
          </cell>
        </row>
        <row r="1200">
          <cell r="A1200">
            <v>8</v>
          </cell>
          <cell r="B1200">
            <v>21</v>
          </cell>
          <cell r="C1200" t="str">
            <v>غ</v>
          </cell>
          <cell r="D1200">
            <v>17</v>
          </cell>
          <cell r="F1200">
            <v>8</v>
          </cell>
          <cell r="G1200">
            <v>12</v>
          </cell>
          <cell r="H1200">
            <v>1</v>
          </cell>
          <cell r="I1200">
            <v>16</v>
          </cell>
          <cell r="K1200">
            <v>18</v>
          </cell>
          <cell r="L1200">
            <v>8</v>
          </cell>
          <cell r="M1200">
            <v>8</v>
          </cell>
          <cell r="N1200">
            <v>18</v>
          </cell>
          <cell r="P1200">
            <v>2364</v>
          </cell>
        </row>
        <row r="1201">
          <cell r="A1201">
            <v>0</v>
          </cell>
          <cell r="B1201">
            <v>26</v>
          </cell>
          <cell r="C1201">
            <v>23</v>
          </cell>
          <cell r="D1201">
            <v>14</v>
          </cell>
          <cell r="F1201">
            <v>19</v>
          </cell>
          <cell r="G1201">
            <v>21</v>
          </cell>
          <cell r="H1201">
            <v>6</v>
          </cell>
          <cell r="I1201">
            <v>6</v>
          </cell>
          <cell r="K1201" t="str">
            <v>غ</v>
          </cell>
          <cell r="L1201">
            <v>6</v>
          </cell>
          <cell r="M1201">
            <v>7</v>
          </cell>
          <cell r="N1201">
            <v>6</v>
          </cell>
          <cell r="P1201">
            <v>2365</v>
          </cell>
        </row>
        <row r="1202">
          <cell r="A1202">
            <v>0</v>
          </cell>
          <cell r="B1202">
            <v>0</v>
          </cell>
          <cell r="C1202">
            <v>27</v>
          </cell>
          <cell r="D1202">
            <v>16</v>
          </cell>
          <cell r="F1202" t="str">
            <v>غ</v>
          </cell>
          <cell r="G1202" t="str">
            <v>غ</v>
          </cell>
          <cell r="H1202">
            <v>7</v>
          </cell>
          <cell r="I1202">
            <v>14</v>
          </cell>
          <cell r="K1202" t="str">
            <v>غ</v>
          </cell>
          <cell r="L1202" t="str">
            <v>غ</v>
          </cell>
          <cell r="M1202">
            <v>12</v>
          </cell>
          <cell r="N1202">
            <v>15</v>
          </cell>
          <cell r="P1202">
            <v>2366</v>
          </cell>
        </row>
        <row r="1203">
          <cell r="A1203">
            <v>19</v>
          </cell>
          <cell r="B1203">
            <v>34.5</v>
          </cell>
          <cell r="C1203">
            <v>19</v>
          </cell>
          <cell r="D1203">
            <v>11</v>
          </cell>
          <cell r="F1203">
            <v>21</v>
          </cell>
          <cell r="G1203">
            <v>20</v>
          </cell>
          <cell r="H1203">
            <v>10</v>
          </cell>
          <cell r="I1203">
            <v>19</v>
          </cell>
          <cell r="K1203">
            <v>21</v>
          </cell>
          <cell r="L1203">
            <v>24</v>
          </cell>
          <cell r="M1203">
            <v>15</v>
          </cell>
          <cell r="N1203">
            <v>12</v>
          </cell>
          <cell r="P1203">
            <v>2367</v>
          </cell>
        </row>
        <row r="1204">
          <cell r="A1204">
            <v>14</v>
          </cell>
          <cell r="B1204">
            <v>26</v>
          </cell>
          <cell r="C1204">
            <v>30</v>
          </cell>
          <cell r="D1204">
            <v>13</v>
          </cell>
          <cell r="F1204">
            <v>22</v>
          </cell>
          <cell r="G1204">
            <v>21</v>
          </cell>
          <cell r="H1204">
            <v>5</v>
          </cell>
          <cell r="I1204">
            <v>17</v>
          </cell>
          <cell r="K1204">
            <v>12</v>
          </cell>
          <cell r="L1204">
            <v>17</v>
          </cell>
          <cell r="M1204">
            <v>10</v>
          </cell>
          <cell r="N1204">
            <v>14</v>
          </cell>
          <cell r="P1204">
            <v>2368</v>
          </cell>
        </row>
        <row r="1205">
          <cell r="A1205">
            <v>0</v>
          </cell>
          <cell r="B1205">
            <v>0</v>
          </cell>
          <cell r="C1205">
            <v>35</v>
          </cell>
          <cell r="D1205">
            <v>19</v>
          </cell>
          <cell r="F1205" t="str">
            <v>غ</v>
          </cell>
          <cell r="G1205" t="str">
            <v>غ</v>
          </cell>
          <cell r="H1205">
            <v>8</v>
          </cell>
          <cell r="I1205">
            <v>16</v>
          </cell>
          <cell r="K1205" t="str">
            <v>غ</v>
          </cell>
          <cell r="L1205" t="str">
            <v>غ</v>
          </cell>
          <cell r="M1205">
            <v>10</v>
          </cell>
          <cell r="N1205">
            <v>16</v>
          </cell>
          <cell r="P1205">
            <v>2369</v>
          </cell>
        </row>
        <row r="1206">
          <cell r="A1206">
            <v>22</v>
          </cell>
          <cell r="B1206">
            <v>31</v>
          </cell>
          <cell r="C1206">
            <v>23</v>
          </cell>
          <cell r="D1206">
            <v>13</v>
          </cell>
          <cell r="F1206">
            <v>24</v>
          </cell>
          <cell r="G1206">
            <v>21</v>
          </cell>
          <cell r="H1206">
            <v>14</v>
          </cell>
          <cell r="I1206">
            <v>11</v>
          </cell>
          <cell r="K1206">
            <v>19</v>
          </cell>
          <cell r="L1206">
            <v>23</v>
          </cell>
          <cell r="M1206">
            <v>8</v>
          </cell>
          <cell r="N1206">
            <v>7</v>
          </cell>
          <cell r="P1206">
            <v>2370</v>
          </cell>
        </row>
        <row r="1207">
          <cell r="A1207">
            <v>23</v>
          </cell>
          <cell r="B1207">
            <v>31</v>
          </cell>
          <cell r="C1207">
            <v>29</v>
          </cell>
          <cell r="D1207">
            <v>19</v>
          </cell>
          <cell r="F1207">
            <v>22</v>
          </cell>
          <cell r="G1207">
            <v>20.5</v>
          </cell>
          <cell r="H1207">
            <v>9</v>
          </cell>
          <cell r="I1207">
            <v>13</v>
          </cell>
          <cell r="K1207">
            <v>14</v>
          </cell>
          <cell r="L1207">
            <v>23</v>
          </cell>
          <cell r="M1207">
            <v>17</v>
          </cell>
          <cell r="N1207">
            <v>9</v>
          </cell>
          <cell r="P1207">
            <v>2371</v>
          </cell>
        </row>
        <row r="1208">
          <cell r="A1208">
            <v>0</v>
          </cell>
          <cell r="B1208">
            <v>0</v>
          </cell>
          <cell r="C1208">
            <v>39</v>
          </cell>
          <cell r="D1208">
            <v>19</v>
          </cell>
          <cell r="F1208" t="str">
            <v>غ</v>
          </cell>
          <cell r="G1208" t="str">
            <v>غ</v>
          </cell>
          <cell r="H1208">
            <v>8</v>
          </cell>
          <cell r="I1208">
            <v>21</v>
          </cell>
          <cell r="K1208" t="str">
            <v>غ</v>
          </cell>
          <cell r="L1208" t="str">
            <v>غ</v>
          </cell>
          <cell r="M1208">
            <v>20</v>
          </cell>
          <cell r="N1208">
            <v>22</v>
          </cell>
          <cell r="P1208">
            <v>2373</v>
          </cell>
        </row>
        <row r="1209">
          <cell r="A1209">
            <v>0</v>
          </cell>
          <cell r="B1209">
            <v>41.5</v>
          </cell>
          <cell r="C1209">
            <v>28</v>
          </cell>
          <cell r="F1209">
            <v>22</v>
          </cell>
          <cell r="G1209">
            <v>22.5</v>
          </cell>
          <cell r="H1209">
            <v>14</v>
          </cell>
          <cell r="I1209">
            <v>15</v>
          </cell>
          <cell r="K1209">
            <v>20</v>
          </cell>
          <cell r="L1209">
            <v>24</v>
          </cell>
          <cell r="M1209">
            <v>13</v>
          </cell>
          <cell r="N1209">
            <v>12</v>
          </cell>
          <cell r="P1209">
            <v>2374</v>
          </cell>
        </row>
        <row r="1210">
          <cell r="A1210">
            <v>23</v>
          </cell>
          <cell r="B1210">
            <v>35.5</v>
          </cell>
          <cell r="C1210">
            <v>37</v>
          </cell>
          <cell r="D1210">
            <v>20</v>
          </cell>
          <cell r="F1210">
            <v>21</v>
          </cell>
          <cell r="G1210">
            <v>22.5</v>
          </cell>
          <cell r="H1210">
            <v>17</v>
          </cell>
          <cell r="I1210">
            <v>14</v>
          </cell>
          <cell r="K1210">
            <v>14</v>
          </cell>
          <cell r="L1210">
            <v>21</v>
          </cell>
          <cell r="M1210">
            <v>16</v>
          </cell>
          <cell r="N1210">
            <v>21</v>
          </cell>
          <cell r="P1210">
            <v>2376</v>
          </cell>
        </row>
        <row r="1211">
          <cell r="A1211">
            <v>0</v>
          </cell>
          <cell r="B1211">
            <v>23.5</v>
          </cell>
          <cell r="C1211">
            <v>27</v>
          </cell>
          <cell r="D1211">
            <v>14</v>
          </cell>
          <cell r="F1211">
            <v>10</v>
          </cell>
          <cell r="G1211">
            <v>23</v>
          </cell>
          <cell r="H1211">
            <v>13</v>
          </cell>
          <cell r="I1211">
            <v>10</v>
          </cell>
          <cell r="K1211">
            <v>17</v>
          </cell>
          <cell r="L1211">
            <v>22</v>
          </cell>
          <cell r="M1211">
            <v>12</v>
          </cell>
          <cell r="N1211">
            <v>10</v>
          </cell>
          <cell r="P1211">
            <v>2377</v>
          </cell>
        </row>
        <row r="1212">
          <cell r="A1212">
            <v>21</v>
          </cell>
          <cell r="B1212">
            <v>43.5</v>
          </cell>
          <cell r="C1212" t="str">
            <v>غ</v>
          </cell>
          <cell r="D1212">
            <v>22</v>
          </cell>
          <cell r="F1212">
            <v>23</v>
          </cell>
          <cell r="G1212">
            <v>22</v>
          </cell>
          <cell r="H1212" t="str">
            <v>غ</v>
          </cell>
          <cell r="I1212">
            <v>19</v>
          </cell>
          <cell r="K1212">
            <v>22</v>
          </cell>
          <cell r="L1212">
            <v>23</v>
          </cell>
          <cell r="M1212" t="str">
            <v>غ ب</v>
          </cell>
          <cell r="N1212">
            <v>19</v>
          </cell>
          <cell r="P1212">
            <v>2378</v>
          </cell>
        </row>
        <row r="1213">
          <cell r="A1213">
            <v>0</v>
          </cell>
          <cell r="B1213">
            <v>38.5</v>
          </cell>
          <cell r="C1213">
            <v>37</v>
          </cell>
          <cell r="F1213">
            <v>12</v>
          </cell>
          <cell r="G1213">
            <v>12</v>
          </cell>
          <cell r="H1213" t="str">
            <v>غ</v>
          </cell>
          <cell r="I1213">
            <v>21</v>
          </cell>
          <cell r="K1213">
            <v>18</v>
          </cell>
          <cell r="L1213">
            <v>20</v>
          </cell>
          <cell r="M1213" t="str">
            <v>غ</v>
          </cell>
          <cell r="N1213">
            <v>21</v>
          </cell>
          <cell r="P1213">
            <v>2379</v>
          </cell>
        </row>
        <row r="1214">
          <cell r="A1214">
            <v>24</v>
          </cell>
          <cell r="B1214">
            <v>41.5</v>
          </cell>
          <cell r="C1214">
            <v>30</v>
          </cell>
          <cell r="F1214">
            <v>24</v>
          </cell>
          <cell r="G1214">
            <v>21</v>
          </cell>
          <cell r="H1214">
            <v>15</v>
          </cell>
          <cell r="I1214">
            <v>10</v>
          </cell>
          <cell r="K1214">
            <v>20</v>
          </cell>
          <cell r="L1214">
            <v>22</v>
          </cell>
          <cell r="M1214">
            <v>14</v>
          </cell>
          <cell r="N1214">
            <v>18</v>
          </cell>
          <cell r="P1214">
            <v>2380</v>
          </cell>
        </row>
        <row r="1215">
          <cell r="A1215">
            <v>23</v>
          </cell>
          <cell r="B1215">
            <v>44.5</v>
          </cell>
          <cell r="C1215">
            <v>34</v>
          </cell>
          <cell r="D1215">
            <v>17</v>
          </cell>
          <cell r="F1215">
            <v>24</v>
          </cell>
          <cell r="G1215">
            <v>23</v>
          </cell>
          <cell r="H1215">
            <v>19</v>
          </cell>
          <cell r="I1215">
            <v>15</v>
          </cell>
          <cell r="K1215">
            <v>23</v>
          </cell>
          <cell r="L1215">
            <v>21</v>
          </cell>
          <cell r="M1215">
            <v>19</v>
          </cell>
          <cell r="N1215">
            <v>13</v>
          </cell>
          <cell r="P1215">
            <v>2381</v>
          </cell>
        </row>
        <row r="1216">
          <cell r="A1216">
            <v>7</v>
          </cell>
          <cell r="B1216">
            <v>7</v>
          </cell>
          <cell r="C1216" t="str">
            <v>غ</v>
          </cell>
          <cell r="D1216">
            <v>0</v>
          </cell>
          <cell r="F1216">
            <v>10</v>
          </cell>
          <cell r="G1216">
            <v>7.5</v>
          </cell>
          <cell r="H1216" t="str">
            <v>غ</v>
          </cell>
          <cell r="I1216">
            <v>6</v>
          </cell>
          <cell r="K1216" t="str">
            <v>غ</v>
          </cell>
          <cell r="L1216" t="str">
            <v>غ</v>
          </cell>
          <cell r="M1216" t="str">
            <v>غ</v>
          </cell>
          <cell r="N1216">
            <v>6</v>
          </cell>
          <cell r="P1216">
            <v>2382</v>
          </cell>
        </row>
        <row r="1217">
          <cell r="A1217">
            <v>20</v>
          </cell>
          <cell r="B1217">
            <v>21</v>
          </cell>
          <cell r="C1217">
            <v>38</v>
          </cell>
          <cell r="D1217">
            <v>22</v>
          </cell>
          <cell r="F1217">
            <v>19</v>
          </cell>
          <cell r="G1217">
            <v>18</v>
          </cell>
          <cell r="H1217">
            <v>17</v>
          </cell>
          <cell r="I1217">
            <v>19</v>
          </cell>
          <cell r="K1217">
            <v>17</v>
          </cell>
          <cell r="L1217">
            <v>23</v>
          </cell>
          <cell r="M1217">
            <v>14</v>
          </cell>
          <cell r="N1217">
            <v>21</v>
          </cell>
          <cell r="P1217">
            <v>2383</v>
          </cell>
        </row>
        <row r="1218">
          <cell r="A1218">
            <v>20</v>
          </cell>
          <cell r="B1218">
            <v>26</v>
          </cell>
          <cell r="C1218">
            <v>27</v>
          </cell>
          <cell r="D1218">
            <v>14</v>
          </cell>
          <cell r="F1218">
            <v>19</v>
          </cell>
          <cell r="G1218">
            <v>21</v>
          </cell>
          <cell r="H1218">
            <v>8</v>
          </cell>
          <cell r="I1218">
            <v>17</v>
          </cell>
          <cell r="K1218">
            <v>18</v>
          </cell>
          <cell r="L1218">
            <v>19</v>
          </cell>
          <cell r="M1218">
            <v>9</v>
          </cell>
          <cell r="N1218">
            <v>15</v>
          </cell>
          <cell r="P1218">
            <v>2384</v>
          </cell>
        </row>
        <row r="1219">
          <cell r="A1219">
            <v>14</v>
          </cell>
          <cell r="B1219">
            <v>22.5</v>
          </cell>
          <cell r="C1219">
            <v>24</v>
          </cell>
          <cell r="D1219">
            <v>24</v>
          </cell>
          <cell r="F1219">
            <v>17</v>
          </cell>
          <cell r="G1219">
            <v>18</v>
          </cell>
          <cell r="H1219">
            <v>15</v>
          </cell>
          <cell r="I1219">
            <v>10</v>
          </cell>
          <cell r="K1219">
            <v>17</v>
          </cell>
          <cell r="L1219">
            <v>23</v>
          </cell>
          <cell r="M1219">
            <v>14</v>
          </cell>
          <cell r="N1219">
            <v>11</v>
          </cell>
          <cell r="P1219">
            <v>2385</v>
          </cell>
        </row>
        <row r="1220">
          <cell r="A1220">
            <v>0</v>
          </cell>
          <cell r="B1220">
            <v>0</v>
          </cell>
          <cell r="C1220">
            <v>24</v>
          </cell>
          <cell r="D1220">
            <v>11</v>
          </cell>
          <cell r="F1220" t="str">
            <v>غ</v>
          </cell>
          <cell r="G1220" t="str">
            <v>غ</v>
          </cell>
          <cell r="H1220">
            <v>12</v>
          </cell>
          <cell r="I1220">
            <v>9</v>
          </cell>
          <cell r="K1220" t="str">
            <v>غ</v>
          </cell>
          <cell r="L1220" t="str">
            <v>غ</v>
          </cell>
          <cell r="M1220">
            <v>12</v>
          </cell>
          <cell r="N1220">
            <v>6</v>
          </cell>
          <cell r="P1220">
            <v>2386</v>
          </cell>
        </row>
        <row r="1221">
          <cell r="A1221">
            <v>23</v>
          </cell>
          <cell r="B1221">
            <v>38</v>
          </cell>
          <cell r="C1221" t="str">
            <v>غ</v>
          </cell>
          <cell r="D1221">
            <v>17</v>
          </cell>
          <cell r="F1221">
            <v>21</v>
          </cell>
          <cell r="G1221">
            <v>22</v>
          </cell>
          <cell r="H1221">
            <v>16</v>
          </cell>
          <cell r="I1221">
            <v>14</v>
          </cell>
          <cell r="K1221">
            <v>21</v>
          </cell>
          <cell r="L1221">
            <v>21</v>
          </cell>
          <cell r="M1221">
            <v>12</v>
          </cell>
          <cell r="N1221">
            <v>11</v>
          </cell>
          <cell r="P1221">
            <v>2387</v>
          </cell>
        </row>
        <row r="1222">
          <cell r="A1222">
            <v>19</v>
          </cell>
          <cell r="B1222">
            <v>25.5</v>
          </cell>
          <cell r="C1222">
            <v>35</v>
          </cell>
          <cell r="D1222">
            <v>19</v>
          </cell>
          <cell r="F1222">
            <v>19</v>
          </cell>
          <cell r="G1222">
            <v>20.5</v>
          </cell>
          <cell r="H1222">
            <v>7</v>
          </cell>
          <cell r="I1222">
            <v>15</v>
          </cell>
          <cell r="K1222">
            <v>21</v>
          </cell>
          <cell r="L1222">
            <v>19</v>
          </cell>
          <cell r="M1222">
            <v>13</v>
          </cell>
          <cell r="N1222">
            <v>18</v>
          </cell>
          <cell r="P1222">
            <v>2388</v>
          </cell>
        </row>
        <row r="1223">
          <cell r="A1223">
            <v>20</v>
          </cell>
          <cell r="B1223">
            <v>18.5</v>
          </cell>
          <cell r="C1223" t="str">
            <v>غ</v>
          </cell>
          <cell r="D1223">
            <v>16</v>
          </cell>
          <cell r="F1223">
            <v>20</v>
          </cell>
          <cell r="G1223">
            <v>12</v>
          </cell>
          <cell r="H1223">
            <v>10</v>
          </cell>
          <cell r="I1223">
            <v>15</v>
          </cell>
          <cell r="K1223">
            <v>20</v>
          </cell>
          <cell r="L1223">
            <v>25</v>
          </cell>
          <cell r="M1223" t="str">
            <v>غ ب</v>
          </cell>
          <cell r="N1223">
            <v>16</v>
          </cell>
          <cell r="P1223">
            <v>2389</v>
          </cell>
        </row>
        <row r="1224">
          <cell r="A1224">
            <v>15</v>
          </cell>
          <cell r="B1224">
            <v>26.5</v>
          </cell>
          <cell r="C1224">
            <v>22</v>
          </cell>
          <cell r="D1224">
            <v>12</v>
          </cell>
          <cell r="F1224">
            <v>24</v>
          </cell>
          <cell r="G1224">
            <v>21</v>
          </cell>
          <cell r="H1224">
            <v>17</v>
          </cell>
          <cell r="I1224">
            <v>12</v>
          </cell>
          <cell r="K1224">
            <v>20</v>
          </cell>
          <cell r="L1224">
            <v>23</v>
          </cell>
          <cell r="M1224">
            <v>13</v>
          </cell>
          <cell r="N1224">
            <v>13</v>
          </cell>
          <cell r="P1224">
            <v>2390</v>
          </cell>
        </row>
        <row r="1225">
          <cell r="A1225">
            <v>0</v>
          </cell>
          <cell r="B1225">
            <v>0</v>
          </cell>
          <cell r="C1225">
            <v>25</v>
          </cell>
          <cell r="D1225">
            <v>19</v>
          </cell>
          <cell r="F1225" t="str">
            <v>غ</v>
          </cell>
          <cell r="G1225" t="str">
            <v>غ</v>
          </cell>
          <cell r="H1225">
            <v>11</v>
          </cell>
          <cell r="I1225">
            <v>12</v>
          </cell>
          <cell r="K1225" t="str">
            <v>غ</v>
          </cell>
          <cell r="L1225" t="str">
            <v>غ</v>
          </cell>
          <cell r="M1225">
            <v>11</v>
          </cell>
          <cell r="N1225">
            <v>13</v>
          </cell>
          <cell r="P1225">
            <v>2391</v>
          </cell>
        </row>
        <row r="1226">
          <cell r="A1226">
            <v>20</v>
          </cell>
          <cell r="B1226">
            <v>24</v>
          </cell>
          <cell r="C1226" t="str">
            <v>غ</v>
          </cell>
          <cell r="D1226">
            <v>16</v>
          </cell>
          <cell r="F1226">
            <v>18</v>
          </cell>
          <cell r="G1226">
            <v>1</v>
          </cell>
          <cell r="H1226">
            <v>7</v>
          </cell>
          <cell r="I1226">
            <v>21</v>
          </cell>
          <cell r="K1226">
            <v>10</v>
          </cell>
          <cell r="L1226" t="str">
            <v>غ</v>
          </cell>
          <cell r="M1226">
            <v>10</v>
          </cell>
          <cell r="N1226">
            <v>13</v>
          </cell>
          <cell r="P1226">
            <v>2392</v>
          </cell>
        </row>
        <row r="1227">
          <cell r="A1227">
            <v>21</v>
          </cell>
          <cell r="B1227">
            <v>39.5</v>
          </cell>
          <cell r="C1227">
            <v>27</v>
          </cell>
          <cell r="D1227">
            <v>18</v>
          </cell>
          <cell r="F1227">
            <v>24</v>
          </cell>
          <cell r="G1227">
            <v>20</v>
          </cell>
          <cell r="H1227">
            <v>14</v>
          </cell>
          <cell r="I1227">
            <v>15</v>
          </cell>
          <cell r="K1227">
            <v>16</v>
          </cell>
          <cell r="L1227">
            <v>25</v>
          </cell>
          <cell r="M1227">
            <v>12</v>
          </cell>
          <cell r="N1227">
            <v>17</v>
          </cell>
          <cell r="P1227">
            <v>2393</v>
          </cell>
        </row>
        <row r="1228">
          <cell r="A1228">
            <v>14</v>
          </cell>
          <cell r="B1228">
            <v>26</v>
          </cell>
          <cell r="C1228">
            <v>32</v>
          </cell>
          <cell r="D1228">
            <v>0</v>
          </cell>
          <cell r="F1228">
            <v>20</v>
          </cell>
          <cell r="G1228">
            <v>15</v>
          </cell>
          <cell r="H1228">
            <v>12</v>
          </cell>
          <cell r="I1228">
            <v>20</v>
          </cell>
          <cell r="K1228">
            <v>19</v>
          </cell>
          <cell r="L1228">
            <v>18</v>
          </cell>
          <cell r="M1228">
            <v>11</v>
          </cell>
          <cell r="N1228">
            <v>8</v>
          </cell>
          <cell r="P1228">
            <v>2394</v>
          </cell>
        </row>
        <row r="1229">
          <cell r="A1229">
            <v>0</v>
          </cell>
          <cell r="B1229">
            <v>0</v>
          </cell>
          <cell r="C1229" t="str">
            <v>غ</v>
          </cell>
          <cell r="D1229">
            <v>15</v>
          </cell>
          <cell r="F1229">
            <v>0</v>
          </cell>
          <cell r="G1229" t="str">
            <v>غ</v>
          </cell>
          <cell r="H1229">
            <v>16</v>
          </cell>
          <cell r="I1229" t="str">
            <v>غ</v>
          </cell>
          <cell r="K1229" t="str">
            <v>غ</v>
          </cell>
          <cell r="L1229" t="str">
            <v>غ</v>
          </cell>
          <cell r="M1229">
            <v>16</v>
          </cell>
          <cell r="N1229">
            <v>14</v>
          </cell>
          <cell r="P1229">
            <v>2395</v>
          </cell>
        </row>
        <row r="1230">
          <cell r="A1230">
            <v>0</v>
          </cell>
          <cell r="B1230">
            <v>0</v>
          </cell>
          <cell r="C1230">
            <v>37</v>
          </cell>
          <cell r="D1230">
            <v>18</v>
          </cell>
          <cell r="F1230">
            <v>0</v>
          </cell>
          <cell r="G1230" t="str">
            <v>غ</v>
          </cell>
          <cell r="H1230">
            <v>12</v>
          </cell>
          <cell r="I1230" t="str">
            <v>غ</v>
          </cell>
          <cell r="K1230" t="str">
            <v>غ</v>
          </cell>
          <cell r="L1230" t="str">
            <v>غ</v>
          </cell>
          <cell r="M1230">
            <v>15</v>
          </cell>
          <cell r="N1230">
            <v>17</v>
          </cell>
          <cell r="P1230">
            <v>2396</v>
          </cell>
        </row>
        <row r="1231">
          <cell r="A1231">
            <v>23</v>
          </cell>
          <cell r="B1231">
            <v>44</v>
          </cell>
          <cell r="C1231">
            <v>46</v>
          </cell>
          <cell r="D1231">
            <v>13</v>
          </cell>
          <cell r="F1231">
            <v>25</v>
          </cell>
          <cell r="G1231">
            <v>20</v>
          </cell>
          <cell r="H1231">
            <v>13</v>
          </cell>
          <cell r="I1231">
            <v>17</v>
          </cell>
          <cell r="K1231">
            <v>18</v>
          </cell>
          <cell r="L1231">
            <v>20</v>
          </cell>
          <cell r="M1231">
            <v>16</v>
          </cell>
          <cell r="N1231">
            <v>7</v>
          </cell>
          <cell r="P1231">
            <v>2397</v>
          </cell>
        </row>
        <row r="1232">
          <cell r="A1232">
            <v>25</v>
          </cell>
          <cell r="B1232">
            <v>45</v>
          </cell>
          <cell r="C1232">
            <v>51</v>
          </cell>
          <cell r="D1232" t="str">
            <v>step1+1</v>
          </cell>
          <cell r="F1232">
            <v>22</v>
          </cell>
          <cell r="G1232">
            <v>21</v>
          </cell>
          <cell r="H1232">
            <v>15</v>
          </cell>
          <cell r="I1232">
            <v>20</v>
          </cell>
          <cell r="K1232">
            <v>21</v>
          </cell>
          <cell r="L1232">
            <v>25</v>
          </cell>
          <cell r="M1232">
            <v>17</v>
          </cell>
          <cell r="N1232">
            <v>14</v>
          </cell>
          <cell r="P1232">
            <v>2398</v>
          </cell>
        </row>
        <row r="1233">
          <cell r="A1233">
            <v>0</v>
          </cell>
          <cell r="B1233">
            <v>0</v>
          </cell>
          <cell r="C1233">
            <v>40</v>
          </cell>
          <cell r="F1233" t="str">
            <v>غ</v>
          </cell>
          <cell r="G1233" t="str">
            <v>غ</v>
          </cell>
          <cell r="H1233">
            <v>14</v>
          </cell>
          <cell r="I1233">
            <v>22</v>
          </cell>
          <cell r="K1233" t="str">
            <v>غ</v>
          </cell>
          <cell r="L1233" t="str">
            <v>غ</v>
          </cell>
          <cell r="M1233">
            <v>9</v>
          </cell>
          <cell r="N1233">
            <v>16</v>
          </cell>
          <cell r="P1233">
            <v>2399</v>
          </cell>
        </row>
        <row r="1234">
          <cell r="A1234">
            <v>22</v>
          </cell>
          <cell r="B1234">
            <v>37.5</v>
          </cell>
          <cell r="C1234">
            <v>70.88</v>
          </cell>
          <cell r="D1234" t="str">
            <v>step1+1</v>
          </cell>
          <cell r="F1234">
            <v>23</v>
          </cell>
          <cell r="G1234">
            <v>22</v>
          </cell>
          <cell r="H1234">
            <v>20</v>
          </cell>
          <cell r="K1234">
            <v>15</v>
          </cell>
          <cell r="L1234">
            <v>22</v>
          </cell>
          <cell r="M1234">
            <v>46.125</v>
          </cell>
          <cell r="N1234" t="str">
            <v>step1+2</v>
          </cell>
          <cell r="P1234">
            <v>2400</v>
          </cell>
        </row>
        <row r="1235">
          <cell r="A1235">
            <v>22</v>
          </cell>
          <cell r="B1235">
            <v>41</v>
          </cell>
          <cell r="C1235">
            <v>52.5</v>
          </cell>
          <cell r="D1235" t="str">
            <v>step1+1</v>
          </cell>
          <cell r="F1235">
            <v>25</v>
          </cell>
          <cell r="G1235">
            <v>20</v>
          </cell>
          <cell r="H1235">
            <v>42</v>
          </cell>
          <cell r="I1235" t="str">
            <v>step1+2</v>
          </cell>
          <cell r="K1235">
            <v>21</v>
          </cell>
          <cell r="L1235">
            <v>20</v>
          </cell>
          <cell r="M1235">
            <v>44</v>
          </cell>
          <cell r="N1235" t="str">
            <v>step1+2</v>
          </cell>
          <cell r="P1235">
            <v>2401</v>
          </cell>
        </row>
        <row r="1236">
          <cell r="A1236">
            <v>21</v>
          </cell>
          <cell r="B1236">
            <v>42.5</v>
          </cell>
          <cell r="C1236">
            <v>45</v>
          </cell>
          <cell r="D1236" t="str">
            <v>step1+1</v>
          </cell>
          <cell r="F1236">
            <v>24</v>
          </cell>
          <cell r="G1236">
            <v>22</v>
          </cell>
          <cell r="H1236">
            <v>37</v>
          </cell>
          <cell r="I1236" t="str">
            <v>step1+2</v>
          </cell>
          <cell r="K1236">
            <v>17</v>
          </cell>
          <cell r="L1236">
            <v>23</v>
          </cell>
          <cell r="M1236">
            <v>43</v>
          </cell>
          <cell r="N1236" t="str">
            <v>step1+2</v>
          </cell>
          <cell r="P1236">
            <v>2402</v>
          </cell>
        </row>
        <row r="1237">
          <cell r="A1237">
            <v>22</v>
          </cell>
          <cell r="B1237">
            <v>40</v>
          </cell>
          <cell r="C1237">
            <v>45</v>
          </cell>
          <cell r="D1237" t="str">
            <v>step1+1</v>
          </cell>
          <cell r="F1237">
            <v>24</v>
          </cell>
          <cell r="G1237">
            <v>20</v>
          </cell>
          <cell r="H1237">
            <v>44</v>
          </cell>
          <cell r="I1237" t="str">
            <v>step1+2</v>
          </cell>
          <cell r="K1237">
            <v>16</v>
          </cell>
          <cell r="L1237">
            <v>23</v>
          </cell>
          <cell r="M1237">
            <v>42</v>
          </cell>
          <cell r="N1237" t="str">
            <v>step1+2</v>
          </cell>
          <cell r="P1237">
            <v>2403</v>
          </cell>
        </row>
        <row r="1238">
          <cell r="A1238">
            <v>23</v>
          </cell>
          <cell r="B1238">
            <v>44</v>
          </cell>
          <cell r="C1238">
            <v>49.5</v>
          </cell>
          <cell r="D1238" t="str">
            <v>step1+1</v>
          </cell>
          <cell r="F1238">
            <v>23</v>
          </cell>
          <cell r="G1238">
            <v>21</v>
          </cell>
          <cell r="H1238">
            <v>37</v>
          </cell>
          <cell r="I1238" t="str">
            <v>step1+2</v>
          </cell>
          <cell r="K1238">
            <v>17</v>
          </cell>
          <cell r="L1238">
            <v>24</v>
          </cell>
          <cell r="M1238">
            <v>44</v>
          </cell>
          <cell r="N1238" t="str">
            <v>step1+2</v>
          </cell>
          <cell r="P1238">
            <v>2404</v>
          </cell>
        </row>
        <row r="1239">
          <cell r="A1239">
            <v>20</v>
          </cell>
          <cell r="B1239">
            <v>45.5</v>
          </cell>
          <cell r="C1239">
            <v>60</v>
          </cell>
          <cell r="D1239" t="str">
            <v>step1+1</v>
          </cell>
          <cell r="F1239">
            <v>22</v>
          </cell>
          <cell r="G1239">
            <v>19</v>
          </cell>
          <cell r="H1239">
            <v>44</v>
          </cell>
          <cell r="I1239" t="str">
            <v>step1+2</v>
          </cell>
          <cell r="K1239">
            <v>18</v>
          </cell>
          <cell r="L1239">
            <v>21</v>
          </cell>
          <cell r="M1239">
            <v>45</v>
          </cell>
          <cell r="N1239" t="str">
            <v>step1+2</v>
          </cell>
          <cell r="P1239">
            <v>2405</v>
          </cell>
        </row>
        <row r="1240">
          <cell r="A1240">
            <v>22</v>
          </cell>
          <cell r="B1240">
            <v>43.5</v>
          </cell>
          <cell r="C1240">
            <v>52.5</v>
          </cell>
          <cell r="D1240" t="str">
            <v>step1+1</v>
          </cell>
          <cell r="F1240">
            <v>25</v>
          </cell>
          <cell r="G1240">
            <v>20.5</v>
          </cell>
          <cell r="H1240">
            <v>41</v>
          </cell>
          <cell r="I1240" t="str">
            <v>step1+2</v>
          </cell>
          <cell r="K1240">
            <v>19</v>
          </cell>
          <cell r="L1240">
            <v>24</v>
          </cell>
          <cell r="M1240">
            <v>44</v>
          </cell>
          <cell r="N1240" t="str">
            <v>step1+2</v>
          </cell>
          <cell r="P1240">
            <v>2406</v>
          </cell>
        </row>
        <row r="1241">
          <cell r="A1241">
            <v>23</v>
          </cell>
          <cell r="B1241">
            <v>42.5</v>
          </cell>
          <cell r="C1241">
            <v>64.5</v>
          </cell>
          <cell r="D1241" t="str">
            <v>step1+1</v>
          </cell>
          <cell r="F1241">
            <v>24</v>
          </cell>
          <cell r="G1241">
            <v>22</v>
          </cell>
          <cell r="H1241">
            <v>39</v>
          </cell>
          <cell r="I1241" t="str">
            <v>step1+2</v>
          </cell>
          <cell r="K1241">
            <v>19</v>
          </cell>
          <cell r="L1241">
            <v>20</v>
          </cell>
          <cell r="M1241">
            <v>44</v>
          </cell>
          <cell r="N1241" t="str">
            <v>step1+2</v>
          </cell>
          <cell r="P1241">
            <v>2407</v>
          </cell>
        </row>
        <row r="1242">
          <cell r="A1242">
            <v>19</v>
          </cell>
          <cell r="B1242">
            <v>35</v>
          </cell>
          <cell r="C1242">
            <v>45</v>
          </cell>
          <cell r="D1242" t="str">
            <v>step1+1</v>
          </cell>
          <cell r="F1242">
            <v>23</v>
          </cell>
          <cell r="G1242">
            <v>18.5</v>
          </cell>
          <cell r="H1242">
            <v>41</v>
          </cell>
          <cell r="I1242" t="str">
            <v>step1+2</v>
          </cell>
          <cell r="K1242">
            <v>17</v>
          </cell>
          <cell r="L1242">
            <v>22</v>
          </cell>
          <cell r="M1242">
            <v>44</v>
          </cell>
          <cell r="N1242" t="str">
            <v>step1+2</v>
          </cell>
          <cell r="P1242">
            <v>2408</v>
          </cell>
        </row>
        <row r="1243">
          <cell r="A1243">
            <v>19</v>
          </cell>
          <cell r="B1243">
            <v>28</v>
          </cell>
          <cell r="C1243">
            <v>61.5</v>
          </cell>
          <cell r="D1243" t="str">
            <v>step1+1</v>
          </cell>
          <cell r="F1243">
            <v>17</v>
          </cell>
          <cell r="G1243">
            <v>22</v>
          </cell>
          <cell r="H1243">
            <v>30</v>
          </cell>
          <cell r="I1243" t="str">
            <v>step1+2</v>
          </cell>
          <cell r="K1243">
            <v>16</v>
          </cell>
          <cell r="L1243">
            <v>20</v>
          </cell>
          <cell r="M1243">
            <v>41</v>
          </cell>
          <cell r="N1243" t="str">
            <v>step1+2</v>
          </cell>
          <cell r="P1243">
            <v>2409</v>
          </cell>
        </row>
        <row r="1244">
          <cell r="A1244">
            <v>23</v>
          </cell>
          <cell r="B1244">
            <v>34.5</v>
          </cell>
          <cell r="C1244">
            <v>67.5</v>
          </cell>
          <cell r="D1244" t="str">
            <v>step1+1</v>
          </cell>
          <cell r="F1244">
            <v>23</v>
          </cell>
          <cell r="G1244">
            <v>22</v>
          </cell>
          <cell r="H1244">
            <v>30</v>
          </cell>
          <cell r="I1244" t="str">
            <v>step1+2</v>
          </cell>
          <cell r="K1244">
            <v>19</v>
          </cell>
          <cell r="L1244">
            <v>21</v>
          </cell>
          <cell r="M1244">
            <v>38</v>
          </cell>
          <cell r="N1244" t="str">
            <v>step1+2</v>
          </cell>
          <cell r="P1244">
            <v>2410</v>
          </cell>
        </row>
        <row r="1245">
          <cell r="A1245" t="str">
            <v>غ</v>
          </cell>
          <cell r="B1245" t="str">
            <v>#VALUE!</v>
          </cell>
          <cell r="C1245" t="str">
            <v>غ</v>
          </cell>
          <cell r="D1245" t="str">
            <v>غ</v>
          </cell>
          <cell r="F1245" t="str">
            <v>غ</v>
          </cell>
          <cell r="G1245" t="str">
            <v>غ</v>
          </cell>
          <cell r="H1245" t="str">
            <v>غ</v>
          </cell>
          <cell r="K1245" t="str">
            <v>غ</v>
          </cell>
          <cell r="L1245" t="str">
            <v>غ</v>
          </cell>
          <cell r="M1245">
            <v>0</v>
          </cell>
          <cell r="P1245">
            <v>2411</v>
          </cell>
        </row>
        <row r="1246">
          <cell r="A1246">
            <v>13</v>
          </cell>
          <cell r="B1246">
            <v>30</v>
          </cell>
          <cell r="C1246">
            <v>64</v>
          </cell>
          <cell r="D1246" t="str">
            <v>step1+1</v>
          </cell>
          <cell r="F1246">
            <v>24</v>
          </cell>
          <cell r="G1246">
            <v>21</v>
          </cell>
          <cell r="H1246">
            <v>30</v>
          </cell>
          <cell r="I1246" t="str">
            <v>step1+2</v>
          </cell>
          <cell r="K1246">
            <v>14</v>
          </cell>
          <cell r="L1246">
            <v>22</v>
          </cell>
          <cell r="M1246">
            <v>30</v>
          </cell>
          <cell r="N1246" t="str">
            <v>step1+2</v>
          </cell>
          <cell r="P1246">
            <v>2415</v>
          </cell>
        </row>
        <row r="1247">
          <cell r="A1247">
            <v>24</v>
          </cell>
          <cell r="B1247">
            <v>36.5</v>
          </cell>
          <cell r="C1247">
            <v>66</v>
          </cell>
          <cell r="D1247" t="str">
            <v>step1+1</v>
          </cell>
          <cell r="F1247">
            <v>23</v>
          </cell>
          <cell r="G1247">
            <v>21</v>
          </cell>
          <cell r="H1247">
            <v>30</v>
          </cell>
          <cell r="I1247" t="str">
            <v>step1+2</v>
          </cell>
          <cell r="K1247">
            <v>22</v>
          </cell>
          <cell r="L1247">
            <v>24</v>
          </cell>
          <cell r="M1247">
            <v>30</v>
          </cell>
          <cell r="N1247" t="str">
            <v>step1+2</v>
          </cell>
          <cell r="P1247">
            <v>2416</v>
          </cell>
        </row>
        <row r="1248">
          <cell r="A1248">
            <v>24</v>
          </cell>
          <cell r="B1248">
            <v>42.5</v>
          </cell>
          <cell r="C1248">
            <v>51</v>
          </cell>
          <cell r="D1248" t="str">
            <v>step1+1</v>
          </cell>
          <cell r="F1248">
            <v>23</v>
          </cell>
          <cell r="G1248">
            <v>18</v>
          </cell>
          <cell r="H1248">
            <v>37</v>
          </cell>
          <cell r="I1248" t="str">
            <v>step1+2</v>
          </cell>
          <cell r="K1248">
            <v>20</v>
          </cell>
          <cell r="L1248">
            <v>22</v>
          </cell>
          <cell r="M1248">
            <v>42</v>
          </cell>
          <cell r="N1248" t="str">
            <v>step1+2</v>
          </cell>
          <cell r="P1248">
            <v>2417</v>
          </cell>
        </row>
        <row r="1249">
          <cell r="A1249">
            <v>24</v>
          </cell>
          <cell r="B1249">
            <v>44.5</v>
          </cell>
          <cell r="C1249">
            <v>73</v>
          </cell>
          <cell r="D1249" t="str">
            <v>step1+1</v>
          </cell>
          <cell r="F1249">
            <v>25</v>
          </cell>
          <cell r="G1249">
            <v>22</v>
          </cell>
          <cell r="H1249">
            <v>35</v>
          </cell>
          <cell r="I1249" t="str">
            <v>step1+2</v>
          </cell>
          <cell r="K1249">
            <v>19</v>
          </cell>
          <cell r="L1249">
            <v>22</v>
          </cell>
          <cell r="M1249">
            <v>35</v>
          </cell>
          <cell r="N1249" t="str">
            <v>step1+2</v>
          </cell>
          <cell r="P1249">
            <v>2418</v>
          </cell>
        </row>
        <row r="1250">
          <cell r="A1250">
            <v>25</v>
          </cell>
          <cell r="B1250">
            <v>27</v>
          </cell>
          <cell r="C1250">
            <v>60</v>
          </cell>
          <cell r="D1250" t="str">
            <v>step1+1</v>
          </cell>
          <cell r="F1250">
            <v>23</v>
          </cell>
          <cell r="G1250">
            <v>22</v>
          </cell>
          <cell r="H1250">
            <v>35</v>
          </cell>
          <cell r="I1250" t="str">
            <v>step1+2</v>
          </cell>
          <cell r="K1250">
            <v>21</v>
          </cell>
          <cell r="L1250">
            <v>24</v>
          </cell>
          <cell r="M1250">
            <v>35</v>
          </cell>
          <cell r="N1250" t="str">
            <v>step1+2</v>
          </cell>
          <cell r="P1250">
            <v>2419</v>
          </cell>
        </row>
        <row r="1251">
          <cell r="A1251">
            <v>20</v>
          </cell>
          <cell r="B1251">
            <v>7</v>
          </cell>
          <cell r="C1251">
            <v>58.88</v>
          </cell>
          <cell r="D1251" t="str">
            <v>step1+1</v>
          </cell>
          <cell r="F1251">
            <v>10</v>
          </cell>
          <cell r="G1251">
            <v>18</v>
          </cell>
          <cell r="H1251">
            <v>20</v>
          </cell>
          <cell r="K1251">
            <v>17</v>
          </cell>
          <cell r="L1251">
            <v>20</v>
          </cell>
          <cell r="M1251">
            <v>37.912500000000001</v>
          </cell>
          <cell r="N1251" t="str">
            <v>step1+2</v>
          </cell>
          <cell r="P1251">
            <v>2420</v>
          </cell>
        </row>
        <row r="1252">
          <cell r="A1252">
            <v>14</v>
          </cell>
          <cell r="B1252">
            <v>0</v>
          </cell>
          <cell r="C1252">
            <v>56.77</v>
          </cell>
          <cell r="D1252" t="str">
            <v>step1+1</v>
          </cell>
          <cell r="F1252">
            <v>0</v>
          </cell>
          <cell r="G1252">
            <v>6</v>
          </cell>
          <cell r="K1252" t="str">
            <v>غ</v>
          </cell>
          <cell r="L1252" t="str">
            <v>غ</v>
          </cell>
          <cell r="M1252">
            <v>33.65</v>
          </cell>
          <cell r="N1252" t="str">
            <v>step1+2</v>
          </cell>
          <cell r="P1252">
            <v>2421</v>
          </cell>
        </row>
        <row r="1253">
          <cell r="A1253">
            <v>21</v>
          </cell>
          <cell r="B1253">
            <v>46</v>
          </cell>
          <cell r="C1253">
            <v>49.5</v>
          </cell>
          <cell r="D1253" t="str">
            <v>step1+1</v>
          </cell>
          <cell r="F1253">
            <v>25</v>
          </cell>
          <cell r="G1253">
            <v>22.5</v>
          </cell>
          <cell r="H1253">
            <v>45</v>
          </cell>
          <cell r="I1253" t="str">
            <v>step1+2</v>
          </cell>
          <cell r="K1253">
            <v>23</v>
          </cell>
          <cell r="L1253">
            <v>25</v>
          </cell>
          <cell r="M1253">
            <v>50</v>
          </cell>
          <cell r="N1253" t="str">
            <v>step1+2</v>
          </cell>
          <cell r="P1253">
            <v>2422</v>
          </cell>
        </row>
        <row r="1254">
          <cell r="A1254">
            <v>24</v>
          </cell>
          <cell r="B1254">
            <v>47.5</v>
          </cell>
          <cell r="C1254">
            <v>54</v>
          </cell>
          <cell r="D1254" t="str">
            <v>step1+1</v>
          </cell>
          <cell r="F1254">
            <v>25</v>
          </cell>
          <cell r="G1254">
            <v>23</v>
          </cell>
          <cell r="H1254">
            <v>46</v>
          </cell>
          <cell r="I1254" t="str">
            <v>step1+2</v>
          </cell>
          <cell r="K1254">
            <v>24</v>
          </cell>
          <cell r="L1254">
            <v>24</v>
          </cell>
          <cell r="M1254">
            <v>44</v>
          </cell>
          <cell r="N1254" t="str">
            <v>step1+2</v>
          </cell>
          <cell r="P1254">
            <v>2423</v>
          </cell>
        </row>
        <row r="1255">
          <cell r="A1255">
            <v>22</v>
          </cell>
          <cell r="B1255">
            <v>46.5</v>
          </cell>
          <cell r="C1255">
            <v>30</v>
          </cell>
          <cell r="D1255" t="str">
            <v>step1+1</v>
          </cell>
          <cell r="F1255">
            <v>21</v>
          </cell>
          <cell r="G1255">
            <v>19</v>
          </cell>
          <cell r="H1255">
            <v>41</v>
          </cell>
          <cell r="I1255" t="str">
            <v>step1+2</v>
          </cell>
          <cell r="K1255">
            <v>16</v>
          </cell>
          <cell r="L1255">
            <v>23</v>
          </cell>
          <cell r="M1255">
            <v>45</v>
          </cell>
          <cell r="N1255" t="str">
            <v>step1+2</v>
          </cell>
          <cell r="P1255">
            <v>2424</v>
          </cell>
        </row>
        <row r="1256">
          <cell r="A1256">
            <v>18</v>
          </cell>
          <cell r="B1256">
            <v>32</v>
          </cell>
          <cell r="C1256">
            <v>45</v>
          </cell>
          <cell r="D1256" t="str">
            <v>step1+1</v>
          </cell>
          <cell r="F1256">
            <v>17</v>
          </cell>
          <cell r="G1256">
            <v>19</v>
          </cell>
          <cell r="H1256">
            <v>38</v>
          </cell>
          <cell r="I1256" t="str">
            <v>step1+2</v>
          </cell>
          <cell r="K1256">
            <v>14</v>
          </cell>
          <cell r="L1256">
            <v>18</v>
          </cell>
          <cell r="M1256">
            <v>38</v>
          </cell>
          <cell r="N1256" t="str">
            <v>step1+2</v>
          </cell>
          <cell r="P1256">
            <v>2425</v>
          </cell>
        </row>
        <row r="1257">
          <cell r="A1257">
            <v>19</v>
          </cell>
          <cell r="B1257">
            <v>40</v>
          </cell>
          <cell r="F1257">
            <v>21</v>
          </cell>
          <cell r="G1257">
            <v>20.5</v>
          </cell>
          <cell r="K1257">
            <v>20</v>
          </cell>
          <cell r="L1257">
            <v>23</v>
          </cell>
          <cell r="M1257">
            <v>0</v>
          </cell>
          <cell r="P1257">
            <v>2426</v>
          </cell>
        </row>
        <row r="1258">
          <cell r="A1258">
            <v>21</v>
          </cell>
          <cell r="B1258">
            <v>47</v>
          </cell>
          <cell r="C1258">
            <v>64</v>
          </cell>
          <cell r="D1258" t="str">
            <v>step1+1</v>
          </cell>
          <cell r="F1258">
            <v>23</v>
          </cell>
          <cell r="G1258">
            <v>22</v>
          </cell>
          <cell r="H1258">
            <v>35</v>
          </cell>
          <cell r="I1258" t="str">
            <v>step1+2</v>
          </cell>
          <cell r="K1258">
            <v>23</v>
          </cell>
          <cell r="L1258">
            <v>25</v>
          </cell>
          <cell r="M1258">
            <v>35</v>
          </cell>
          <cell r="N1258" t="str">
            <v>step1+2</v>
          </cell>
          <cell r="P1258">
            <v>2427</v>
          </cell>
        </row>
        <row r="1259">
          <cell r="A1259" t="str">
            <v>غ</v>
          </cell>
          <cell r="B1259" t="str">
            <v>#VALUE!</v>
          </cell>
          <cell r="C1259" t="str">
            <v>غ</v>
          </cell>
          <cell r="D1259" t="str">
            <v>غ</v>
          </cell>
          <cell r="F1259" t="str">
            <v>غ</v>
          </cell>
          <cell r="G1259" t="str">
            <v>غ</v>
          </cell>
          <cell r="H1259" t="str">
            <v>غ</v>
          </cell>
          <cell r="K1259" t="str">
            <v>غ</v>
          </cell>
          <cell r="L1259" t="str">
            <v>غ</v>
          </cell>
          <cell r="M1259">
            <v>0</v>
          </cell>
          <cell r="P1259">
            <v>2428</v>
          </cell>
        </row>
        <row r="1260">
          <cell r="A1260">
            <v>21</v>
          </cell>
          <cell r="B1260">
            <v>44</v>
          </cell>
          <cell r="C1260">
            <v>57</v>
          </cell>
          <cell r="D1260" t="str">
            <v>step1+1</v>
          </cell>
          <cell r="F1260">
            <v>25</v>
          </cell>
          <cell r="G1260">
            <v>20</v>
          </cell>
          <cell r="H1260">
            <v>40</v>
          </cell>
          <cell r="I1260" t="str">
            <v>step1+2</v>
          </cell>
          <cell r="K1260">
            <v>20</v>
          </cell>
          <cell r="L1260">
            <v>23.2</v>
          </cell>
          <cell r="M1260">
            <v>47</v>
          </cell>
          <cell r="N1260" t="str">
            <v>step1+2</v>
          </cell>
          <cell r="P1260">
            <v>2429</v>
          </cell>
        </row>
        <row r="1261">
          <cell r="A1261">
            <v>9</v>
          </cell>
          <cell r="B1261">
            <v>35</v>
          </cell>
          <cell r="C1261">
            <v>69.33</v>
          </cell>
          <cell r="D1261" t="str">
            <v>step1+1</v>
          </cell>
          <cell r="F1261">
            <v>20</v>
          </cell>
          <cell r="G1261">
            <v>20</v>
          </cell>
          <cell r="H1261">
            <v>18</v>
          </cell>
          <cell r="K1261">
            <v>21</v>
          </cell>
          <cell r="L1261">
            <v>21</v>
          </cell>
          <cell r="M1261">
            <v>45.725000000000001</v>
          </cell>
          <cell r="N1261" t="str">
            <v>step1+2</v>
          </cell>
          <cell r="P1261">
            <v>2430</v>
          </cell>
        </row>
        <row r="1262">
          <cell r="A1262">
            <v>22</v>
          </cell>
          <cell r="B1262">
            <v>49.5</v>
          </cell>
          <cell r="C1262">
            <v>74</v>
          </cell>
          <cell r="D1262" t="str">
            <v>step1+1</v>
          </cell>
          <cell r="F1262">
            <v>25</v>
          </cell>
          <cell r="G1262">
            <v>23</v>
          </cell>
          <cell r="H1262">
            <v>45</v>
          </cell>
          <cell r="I1262" t="str">
            <v>step1+2</v>
          </cell>
          <cell r="K1262">
            <v>24</v>
          </cell>
          <cell r="L1262">
            <v>25</v>
          </cell>
          <cell r="M1262">
            <v>45</v>
          </cell>
          <cell r="N1262" t="str">
            <v>step1+2</v>
          </cell>
          <cell r="P1262">
            <v>2431</v>
          </cell>
        </row>
        <row r="1263">
          <cell r="A1263">
            <v>17</v>
          </cell>
          <cell r="B1263">
            <v>17.5</v>
          </cell>
          <cell r="C1263">
            <v>33</v>
          </cell>
          <cell r="F1263">
            <v>19.5</v>
          </cell>
          <cell r="G1263">
            <v>11</v>
          </cell>
          <cell r="H1263">
            <v>9</v>
          </cell>
          <cell r="I1263">
            <v>8</v>
          </cell>
          <cell r="K1263">
            <v>13</v>
          </cell>
          <cell r="L1263">
            <v>15</v>
          </cell>
          <cell r="M1263">
            <v>15</v>
          </cell>
          <cell r="N1263">
            <v>14</v>
          </cell>
          <cell r="P1263">
            <v>2432</v>
          </cell>
        </row>
        <row r="1264">
          <cell r="A1264">
            <v>20</v>
          </cell>
          <cell r="B1264">
            <v>43.5</v>
          </cell>
          <cell r="C1264">
            <v>61</v>
          </cell>
          <cell r="D1264" t="str">
            <v>step1+1</v>
          </cell>
          <cell r="F1264">
            <v>22</v>
          </cell>
          <cell r="G1264">
            <v>21</v>
          </cell>
          <cell r="H1264">
            <v>35</v>
          </cell>
          <cell r="I1264" t="str">
            <v>step1+2</v>
          </cell>
          <cell r="K1264">
            <v>15</v>
          </cell>
          <cell r="L1264">
            <v>18</v>
          </cell>
          <cell r="M1264">
            <v>35</v>
          </cell>
          <cell r="N1264" t="str">
            <v>step1+2</v>
          </cell>
          <cell r="P1264">
            <v>2433</v>
          </cell>
        </row>
        <row r="1265">
          <cell r="A1265">
            <v>22</v>
          </cell>
          <cell r="B1265">
            <v>41</v>
          </cell>
          <cell r="C1265">
            <v>24</v>
          </cell>
          <cell r="D1265">
            <v>13</v>
          </cell>
          <cell r="F1265">
            <v>24</v>
          </cell>
          <cell r="G1265">
            <v>22</v>
          </cell>
          <cell r="H1265">
            <v>13</v>
          </cell>
          <cell r="I1265">
            <v>16</v>
          </cell>
          <cell r="K1265">
            <v>24</v>
          </cell>
          <cell r="L1265">
            <v>24</v>
          </cell>
          <cell r="M1265">
            <v>15</v>
          </cell>
          <cell r="N1265">
            <v>14</v>
          </cell>
          <cell r="P1265">
            <v>2434</v>
          </cell>
        </row>
        <row r="1266">
          <cell r="A1266">
            <v>6</v>
          </cell>
          <cell r="B1266">
            <v>5.5</v>
          </cell>
          <cell r="C1266">
            <v>0</v>
          </cell>
          <cell r="F1266">
            <v>17</v>
          </cell>
          <cell r="G1266">
            <v>17</v>
          </cell>
          <cell r="H1266">
            <v>10</v>
          </cell>
          <cell r="I1266">
            <v>11</v>
          </cell>
          <cell r="K1266" t="str">
            <v>غ</v>
          </cell>
          <cell r="L1266">
            <v>19</v>
          </cell>
          <cell r="M1266">
            <v>8</v>
          </cell>
          <cell r="N1266">
            <v>10</v>
          </cell>
          <cell r="P1266">
            <v>2437</v>
          </cell>
        </row>
        <row r="1267">
          <cell r="A1267">
            <v>25</v>
          </cell>
          <cell r="B1267">
            <v>38</v>
          </cell>
          <cell r="F1267">
            <v>23</v>
          </cell>
          <cell r="G1267">
            <v>22</v>
          </cell>
          <cell r="K1267">
            <v>24</v>
          </cell>
          <cell r="L1267">
            <v>24</v>
          </cell>
          <cell r="P1267">
            <v>2438</v>
          </cell>
        </row>
        <row r="1268">
          <cell r="A1268">
            <v>25</v>
          </cell>
          <cell r="B1268">
            <v>29</v>
          </cell>
          <cell r="C1268">
            <v>58</v>
          </cell>
          <cell r="D1268" t="str">
            <v>step1+1</v>
          </cell>
          <cell r="F1268">
            <v>20</v>
          </cell>
          <cell r="G1268">
            <v>22</v>
          </cell>
          <cell r="H1268">
            <v>40</v>
          </cell>
          <cell r="I1268" t="str">
            <v>step1+2</v>
          </cell>
          <cell r="K1268">
            <v>23</v>
          </cell>
          <cell r="L1268">
            <v>24</v>
          </cell>
          <cell r="M1268">
            <v>40</v>
          </cell>
          <cell r="N1268" t="str">
            <v>step1+2</v>
          </cell>
          <cell r="P1268">
            <v>2442</v>
          </cell>
        </row>
        <row r="1269">
          <cell r="A1269">
            <v>17</v>
          </cell>
          <cell r="B1269">
            <v>21.5</v>
          </cell>
          <cell r="C1269">
            <v>20</v>
          </cell>
          <cell r="D1269">
            <v>6</v>
          </cell>
          <cell r="F1269">
            <v>15</v>
          </cell>
          <cell r="G1269">
            <v>19</v>
          </cell>
          <cell r="H1269">
            <v>8</v>
          </cell>
          <cell r="I1269">
            <v>7</v>
          </cell>
          <cell r="K1269">
            <v>12</v>
          </cell>
          <cell r="L1269">
            <v>15</v>
          </cell>
          <cell r="M1269">
            <v>10</v>
          </cell>
          <cell r="N1269">
            <v>8</v>
          </cell>
          <cell r="P1269">
            <v>2448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ID</v>
          </cell>
        </row>
        <row r="2">
          <cell r="A2">
            <v>1</v>
          </cell>
          <cell r="C2">
            <v>1213.1416666667001</v>
          </cell>
        </row>
        <row r="3">
          <cell r="A3">
            <v>3</v>
          </cell>
          <cell r="C3">
            <v>1528.4458333333</v>
          </cell>
        </row>
        <row r="4">
          <cell r="A4">
            <v>4</v>
          </cell>
          <cell r="C4">
            <v>1461.8</v>
          </cell>
        </row>
        <row r="5">
          <cell r="A5">
            <v>6</v>
          </cell>
          <cell r="C5">
            <v>1361.7874999999999</v>
          </cell>
        </row>
        <row r="6">
          <cell r="A6">
            <v>7</v>
          </cell>
          <cell r="C6">
            <v>1138.6500000000001</v>
          </cell>
        </row>
        <row r="7">
          <cell r="A7">
            <v>10</v>
          </cell>
          <cell r="C7">
            <v>1499.8625</v>
          </cell>
        </row>
        <row r="8">
          <cell r="A8">
            <v>11</v>
          </cell>
          <cell r="C8">
            <v>1374.1416666667001</v>
          </cell>
        </row>
        <row r="9">
          <cell r="A9">
            <v>13</v>
          </cell>
          <cell r="C9">
            <v>1304.425</v>
          </cell>
        </row>
        <row r="10">
          <cell r="A10">
            <v>17</v>
          </cell>
          <cell r="C10">
            <v>1392.25</v>
          </cell>
        </row>
        <row r="11">
          <cell r="A11">
            <v>18</v>
          </cell>
          <cell r="C11">
            <v>1310.175</v>
          </cell>
        </row>
        <row r="12">
          <cell r="A12">
            <v>20</v>
          </cell>
          <cell r="C12">
            <v>1242.1083333332999</v>
          </cell>
        </row>
        <row r="13">
          <cell r="A13">
            <v>22</v>
          </cell>
          <cell r="C13">
            <v>1254.0666666667</v>
          </cell>
        </row>
        <row r="14">
          <cell r="A14">
            <v>23</v>
          </cell>
          <cell r="C14">
            <v>1200.51</v>
          </cell>
        </row>
        <row r="15">
          <cell r="A15">
            <v>25</v>
          </cell>
          <cell r="C15">
            <v>1367.9375</v>
          </cell>
        </row>
        <row r="16">
          <cell r="A16">
            <v>26</v>
          </cell>
          <cell r="C16">
            <v>1064.03</v>
          </cell>
        </row>
        <row r="17">
          <cell r="A17">
            <v>27</v>
          </cell>
          <cell r="C17">
            <v>1168.7625</v>
          </cell>
        </row>
        <row r="18">
          <cell r="A18">
            <v>28</v>
          </cell>
          <cell r="C18">
            <v>1033.08</v>
          </cell>
        </row>
        <row r="19">
          <cell r="A19">
            <v>29</v>
          </cell>
          <cell r="C19">
            <v>1324.8208333333</v>
          </cell>
        </row>
        <row r="20">
          <cell r="A20">
            <v>30</v>
          </cell>
          <cell r="C20" t="str">
            <v>غ</v>
          </cell>
        </row>
        <row r="21">
          <cell r="A21">
            <v>32</v>
          </cell>
          <cell r="C21">
            <v>1410.6166666667</v>
          </cell>
        </row>
        <row r="22">
          <cell r="A22">
            <v>33</v>
          </cell>
          <cell r="C22">
            <v>1236.0041666667</v>
          </cell>
        </row>
        <row r="23">
          <cell r="A23">
            <v>35</v>
          </cell>
          <cell r="C23">
            <v>1480.675</v>
          </cell>
        </row>
        <row r="24">
          <cell r="A24">
            <v>39</v>
          </cell>
          <cell r="C24">
            <v>1557.9</v>
          </cell>
        </row>
        <row r="25">
          <cell r="A25">
            <v>42</v>
          </cell>
          <cell r="C25">
            <v>1452.0916666666999</v>
          </cell>
        </row>
        <row r="26">
          <cell r="A26">
            <v>43</v>
          </cell>
          <cell r="C26">
            <v>1413.0208333333001</v>
          </cell>
        </row>
        <row r="27">
          <cell r="A27">
            <v>45</v>
          </cell>
          <cell r="C27">
            <v>1488.7916666666999</v>
          </cell>
        </row>
        <row r="28">
          <cell r="A28">
            <v>49</v>
          </cell>
          <cell r="C28">
            <v>1079.3900000000001</v>
          </cell>
        </row>
        <row r="29">
          <cell r="A29">
            <v>50</v>
          </cell>
          <cell r="C29">
            <v>1007</v>
          </cell>
        </row>
        <row r="30">
          <cell r="A30">
            <v>51</v>
          </cell>
          <cell r="C30">
            <v>1220.9416666667</v>
          </cell>
        </row>
        <row r="31">
          <cell r="A31">
            <v>52</v>
          </cell>
          <cell r="C31">
            <v>1078.75</v>
          </cell>
        </row>
        <row r="32">
          <cell r="A32">
            <v>54</v>
          </cell>
          <cell r="C32">
            <v>1444.7541666667</v>
          </cell>
        </row>
        <row r="33">
          <cell r="A33">
            <v>55</v>
          </cell>
          <cell r="C33">
            <v>1132.75</v>
          </cell>
        </row>
        <row r="34">
          <cell r="A34">
            <v>56</v>
          </cell>
          <cell r="C34">
            <v>1295.2249999999999</v>
          </cell>
        </row>
        <row r="35">
          <cell r="A35">
            <v>57</v>
          </cell>
          <cell r="C35">
            <v>1408.1666666666999</v>
          </cell>
        </row>
        <row r="36">
          <cell r="A36">
            <v>59</v>
          </cell>
          <cell r="C36">
            <v>1493.2958333332999</v>
          </cell>
        </row>
        <row r="37">
          <cell r="A37">
            <v>61</v>
          </cell>
          <cell r="C37">
            <v>1442.6083333332999</v>
          </cell>
        </row>
        <row r="38">
          <cell r="A38">
            <v>63</v>
          </cell>
          <cell r="C38">
            <v>1348.4749999999999</v>
          </cell>
        </row>
        <row r="39">
          <cell r="A39">
            <v>64</v>
          </cell>
          <cell r="C39">
            <v>1406.2416666667</v>
          </cell>
        </row>
        <row r="40">
          <cell r="A40">
            <v>65</v>
          </cell>
          <cell r="C40">
            <v>1585.4375</v>
          </cell>
        </row>
        <row r="41">
          <cell r="A41">
            <v>66</v>
          </cell>
          <cell r="C41">
            <v>1256.9291666667</v>
          </cell>
        </row>
        <row r="42">
          <cell r="A42">
            <v>67</v>
          </cell>
          <cell r="C42">
            <v>1493.9</v>
          </cell>
        </row>
        <row r="43">
          <cell r="A43">
            <v>69</v>
          </cell>
          <cell r="C43">
            <v>1294.7541666667</v>
          </cell>
        </row>
        <row r="44">
          <cell r="A44">
            <v>70</v>
          </cell>
          <cell r="C44">
            <v>1408.625</v>
          </cell>
        </row>
        <row r="45">
          <cell r="A45">
            <v>71</v>
          </cell>
          <cell r="C45">
            <v>1175.44</v>
          </cell>
        </row>
        <row r="46">
          <cell r="A46">
            <v>73</v>
          </cell>
          <cell r="C46">
            <v>1348.625</v>
          </cell>
        </row>
        <row r="47">
          <cell r="A47">
            <v>74</v>
          </cell>
          <cell r="C47">
            <v>1321.5333333333001</v>
          </cell>
        </row>
        <row r="48">
          <cell r="A48">
            <v>76</v>
          </cell>
          <cell r="C48">
            <v>1239.0125</v>
          </cell>
        </row>
        <row r="49">
          <cell r="A49">
            <v>78</v>
          </cell>
          <cell r="C49">
            <v>1201.0625</v>
          </cell>
        </row>
        <row r="50">
          <cell r="A50">
            <v>80</v>
          </cell>
          <cell r="C50">
            <v>1461.6708333332999</v>
          </cell>
        </row>
        <row r="51">
          <cell r="A51">
            <v>81</v>
          </cell>
          <cell r="C51">
            <v>1018.23</v>
          </cell>
        </row>
        <row r="52">
          <cell r="A52">
            <v>82</v>
          </cell>
          <cell r="C52">
            <v>1121.31</v>
          </cell>
        </row>
        <row r="53">
          <cell r="A53">
            <v>83</v>
          </cell>
          <cell r="C53">
            <v>1226.0666666667</v>
          </cell>
        </row>
        <row r="54">
          <cell r="A54">
            <v>84</v>
          </cell>
          <cell r="C54">
            <v>1495.8916666667001</v>
          </cell>
        </row>
        <row r="55">
          <cell r="A55">
            <v>86</v>
          </cell>
          <cell r="C55">
            <v>1598.6125</v>
          </cell>
        </row>
        <row r="56">
          <cell r="A56">
            <v>88</v>
          </cell>
          <cell r="C56">
            <v>1242.8333333333001</v>
          </cell>
        </row>
        <row r="57">
          <cell r="A57">
            <v>89</v>
          </cell>
          <cell r="C57">
            <v>1598.3333333333001</v>
          </cell>
        </row>
        <row r="58">
          <cell r="A58">
            <v>90</v>
          </cell>
          <cell r="C58">
            <v>1425.6708333332999</v>
          </cell>
        </row>
        <row r="59">
          <cell r="A59">
            <v>91</v>
          </cell>
          <cell r="C59">
            <v>1267.9000000000001</v>
          </cell>
        </row>
        <row r="60">
          <cell r="A60">
            <v>92</v>
          </cell>
          <cell r="C60">
            <v>1382.1291666667</v>
          </cell>
        </row>
        <row r="61">
          <cell r="A61">
            <v>93</v>
          </cell>
          <cell r="C61">
            <v>1152.3599999999999</v>
          </cell>
        </row>
        <row r="62">
          <cell r="A62">
            <v>94</v>
          </cell>
          <cell r="C62">
            <v>1307.7375</v>
          </cell>
        </row>
        <row r="63">
          <cell r="A63">
            <v>95</v>
          </cell>
          <cell r="C63">
            <v>1489.2083333333001</v>
          </cell>
        </row>
        <row r="64">
          <cell r="A64">
            <v>96</v>
          </cell>
          <cell r="C64">
            <v>1303.9958333333</v>
          </cell>
        </row>
        <row r="65">
          <cell r="A65">
            <v>99</v>
          </cell>
          <cell r="C65">
            <v>1281.0625</v>
          </cell>
        </row>
        <row r="66">
          <cell r="A66">
            <v>100</v>
          </cell>
          <cell r="C66">
            <v>1615.2083333333001</v>
          </cell>
        </row>
        <row r="67">
          <cell r="A67">
            <v>101</v>
          </cell>
          <cell r="C67">
            <v>1445.825</v>
          </cell>
        </row>
        <row r="68">
          <cell r="A68">
            <v>102</v>
          </cell>
          <cell r="C68">
            <v>1297.6583333333001</v>
          </cell>
        </row>
        <row r="69">
          <cell r="A69">
            <v>103</v>
          </cell>
          <cell r="C69">
            <v>1049.96</v>
          </cell>
        </row>
        <row r="70">
          <cell r="A70">
            <v>104</v>
          </cell>
          <cell r="C70">
            <v>1440.0583333333</v>
          </cell>
        </row>
        <row r="71">
          <cell r="A71">
            <v>106</v>
          </cell>
          <cell r="C71">
            <v>1163.93</v>
          </cell>
        </row>
        <row r="72">
          <cell r="A72">
            <v>108</v>
          </cell>
          <cell r="C72">
            <v>1503.4416666667</v>
          </cell>
        </row>
        <row r="73">
          <cell r="A73">
            <v>109</v>
          </cell>
          <cell r="C73">
            <v>1214.1125</v>
          </cell>
        </row>
        <row r="74">
          <cell r="A74">
            <v>110</v>
          </cell>
          <cell r="C74">
            <v>1527.4208333332999</v>
          </cell>
        </row>
        <row r="75">
          <cell r="A75">
            <v>111</v>
          </cell>
          <cell r="C75">
            <v>1469.2333333332999</v>
          </cell>
        </row>
        <row r="76">
          <cell r="A76">
            <v>112</v>
          </cell>
          <cell r="C76">
            <v>1456.1125</v>
          </cell>
        </row>
        <row r="77">
          <cell r="A77">
            <v>113</v>
          </cell>
          <cell r="C77">
            <v>1369.5458333332999</v>
          </cell>
        </row>
        <row r="78">
          <cell r="A78">
            <v>116</v>
          </cell>
          <cell r="C78">
            <v>1247.8916666667001</v>
          </cell>
        </row>
        <row r="79">
          <cell r="A79">
            <v>117</v>
          </cell>
          <cell r="C79">
            <v>1396.8125</v>
          </cell>
        </row>
        <row r="80">
          <cell r="A80">
            <v>118</v>
          </cell>
          <cell r="C80">
            <v>1331.4666666666999</v>
          </cell>
        </row>
        <row r="81">
          <cell r="A81">
            <v>119</v>
          </cell>
          <cell r="C81">
            <v>1349.55</v>
          </cell>
        </row>
        <row r="82">
          <cell r="A82">
            <v>122</v>
          </cell>
          <cell r="C82">
            <v>1487.1041666666999</v>
          </cell>
        </row>
        <row r="83">
          <cell r="A83">
            <v>123</v>
          </cell>
          <cell r="C83">
            <v>1307.3875</v>
          </cell>
        </row>
        <row r="84">
          <cell r="A84">
            <v>124</v>
          </cell>
          <cell r="C84">
            <v>1203.1916666667</v>
          </cell>
        </row>
        <row r="85">
          <cell r="A85">
            <v>126</v>
          </cell>
          <cell r="C85">
            <v>1401.7666666667001</v>
          </cell>
        </row>
        <row r="86">
          <cell r="A86">
            <v>128</v>
          </cell>
          <cell r="C86">
            <v>1403.1666666666999</v>
          </cell>
        </row>
        <row r="87">
          <cell r="A87">
            <v>129</v>
          </cell>
          <cell r="C87">
            <v>1156.4625000000001</v>
          </cell>
        </row>
        <row r="88">
          <cell r="A88">
            <v>131</v>
          </cell>
          <cell r="C88">
            <v>1511.2791666666999</v>
          </cell>
        </row>
        <row r="89">
          <cell r="A89">
            <v>133</v>
          </cell>
          <cell r="C89">
            <v>1205.3791666667</v>
          </cell>
        </row>
        <row r="90">
          <cell r="A90">
            <v>134</v>
          </cell>
          <cell r="C90">
            <v>1357.6291666667</v>
          </cell>
        </row>
        <row r="91">
          <cell r="A91">
            <v>137</v>
          </cell>
          <cell r="C91">
            <v>1308.5</v>
          </cell>
        </row>
        <row r="92">
          <cell r="A92">
            <v>138</v>
          </cell>
          <cell r="C92">
            <v>1179.7249999999999</v>
          </cell>
        </row>
        <row r="93">
          <cell r="A93">
            <v>139</v>
          </cell>
          <cell r="C93">
            <v>1115.0958333333001</v>
          </cell>
        </row>
        <row r="94">
          <cell r="A94">
            <v>140</v>
          </cell>
          <cell r="C94">
            <v>1219.3666666667</v>
          </cell>
        </row>
        <row r="95">
          <cell r="A95">
            <v>141</v>
          </cell>
          <cell r="C95">
            <v>1428.3958333333001</v>
          </cell>
        </row>
        <row r="96">
          <cell r="A96">
            <v>142</v>
          </cell>
          <cell r="C96" t="str">
            <v>غ ب</v>
          </cell>
        </row>
        <row r="97">
          <cell r="A97">
            <v>144</v>
          </cell>
          <cell r="C97">
            <v>1019.5</v>
          </cell>
        </row>
        <row r="98">
          <cell r="A98">
            <v>145</v>
          </cell>
          <cell r="C98">
            <v>1212.4625000000001</v>
          </cell>
        </row>
        <row r="99">
          <cell r="A99">
            <v>146</v>
          </cell>
          <cell r="C99">
            <v>1014.83</v>
          </cell>
        </row>
        <row r="100">
          <cell r="A100">
            <v>147</v>
          </cell>
          <cell r="C100">
            <v>1248.6583333333001</v>
          </cell>
        </row>
        <row r="101">
          <cell r="A101">
            <v>148</v>
          </cell>
          <cell r="C101">
            <v>1179.9375</v>
          </cell>
        </row>
        <row r="102">
          <cell r="A102">
            <v>149</v>
          </cell>
          <cell r="C102">
            <v>1307.375</v>
          </cell>
        </row>
        <row r="103">
          <cell r="A103">
            <v>150</v>
          </cell>
          <cell r="C103">
            <v>1556.1041666666999</v>
          </cell>
        </row>
        <row r="104">
          <cell r="A104">
            <v>151</v>
          </cell>
          <cell r="C104">
            <v>1132.7750000000001</v>
          </cell>
        </row>
        <row r="105">
          <cell r="A105">
            <v>154</v>
          </cell>
          <cell r="C105">
            <v>1343.9041666666999</v>
          </cell>
        </row>
        <row r="106">
          <cell r="A106">
            <v>155</v>
          </cell>
          <cell r="C106">
            <v>1408.6458333333001</v>
          </cell>
        </row>
        <row r="107">
          <cell r="A107">
            <v>156</v>
          </cell>
          <cell r="C107">
            <v>1005.5</v>
          </cell>
        </row>
        <row r="108">
          <cell r="A108">
            <v>158</v>
          </cell>
          <cell r="C108">
            <v>1355.5458333332999</v>
          </cell>
        </row>
        <row r="109">
          <cell r="A109">
            <v>159</v>
          </cell>
          <cell r="C109">
            <v>1448.3583333332999</v>
          </cell>
        </row>
        <row r="110">
          <cell r="A110">
            <v>160</v>
          </cell>
          <cell r="C110">
            <v>1298.28</v>
          </cell>
        </row>
        <row r="111">
          <cell r="A111">
            <v>161</v>
          </cell>
          <cell r="C111">
            <v>1312.8875</v>
          </cell>
        </row>
        <row r="112">
          <cell r="A112">
            <v>163</v>
          </cell>
          <cell r="C112">
            <v>1056.5</v>
          </cell>
        </row>
        <row r="113">
          <cell r="A113">
            <v>164</v>
          </cell>
          <cell r="C113">
            <v>1192.3416666666999</v>
          </cell>
        </row>
        <row r="114">
          <cell r="A114">
            <v>165</v>
          </cell>
          <cell r="C114">
            <v>1449.1125</v>
          </cell>
        </row>
        <row r="115">
          <cell r="A115">
            <v>167</v>
          </cell>
          <cell r="C115">
            <v>1486.5291666666999</v>
          </cell>
        </row>
        <row r="116">
          <cell r="A116">
            <v>168</v>
          </cell>
          <cell r="C116">
            <v>1029.43</v>
          </cell>
        </row>
        <row r="117">
          <cell r="A117">
            <v>170</v>
          </cell>
          <cell r="C117">
            <v>1039.19</v>
          </cell>
        </row>
        <row r="118">
          <cell r="A118">
            <v>171</v>
          </cell>
          <cell r="C118">
            <v>1548.9208333332999</v>
          </cell>
        </row>
        <row r="119">
          <cell r="A119">
            <v>172</v>
          </cell>
          <cell r="C119">
            <v>1135.4833333332999</v>
          </cell>
        </row>
        <row r="120">
          <cell r="A120">
            <v>173</v>
          </cell>
          <cell r="C120">
            <v>1352.75</v>
          </cell>
        </row>
        <row r="121">
          <cell r="A121">
            <v>174</v>
          </cell>
          <cell r="C121">
            <v>1346.425</v>
          </cell>
        </row>
        <row r="122">
          <cell r="A122">
            <v>175</v>
          </cell>
          <cell r="C122">
            <v>1350.39</v>
          </cell>
        </row>
        <row r="123">
          <cell r="A123">
            <v>177</v>
          </cell>
          <cell r="C123">
            <v>1290.7291666666999</v>
          </cell>
        </row>
        <row r="124">
          <cell r="A124">
            <v>179</v>
          </cell>
          <cell r="C124">
            <v>1544.9666666666999</v>
          </cell>
        </row>
        <row r="125">
          <cell r="A125">
            <v>182</v>
          </cell>
          <cell r="C125">
            <v>1341.3083333333</v>
          </cell>
        </row>
        <row r="126">
          <cell r="A126">
            <v>184</v>
          </cell>
          <cell r="C126">
            <v>1516.05</v>
          </cell>
        </row>
        <row r="127">
          <cell r="A127">
            <v>186</v>
          </cell>
          <cell r="C127">
            <v>1451.1375</v>
          </cell>
        </row>
        <row r="128">
          <cell r="A128">
            <v>187</v>
          </cell>
          <cell r="C128">
            <v>1055.07</v>
          </cell>
        </row>
        <row r="129">
          <cell r="A129">
            <v>188</v>
          </cell>
          <cell r="C129">
            <v>1201.9916666667</v>
          </cell>
        </row>
        <row r="130">
          <cell r="A130">
            <v>190</v>
          </cell>
          <cell r="C130">
            <v>1330.3125</v>
          </cell>
        </row>
        <row r="131">
          <cell r="A131">
            <v>191</v>
          </cell>
          <cell r="C131">
            <v>1428.2291666666999</v>
          </cell>
        </row>
        <row r="132">
          <cell r="A132">
            <v>192</v>
          </cell>
          <cell r="C132">
            <v>1445.6041666666999</v>
          </cell>
        </row>
        <row r="133">
          <cell r="A133">
            <v>193</v>
          </cell>
          <cell r="C133">
            <v>1402.5833333333001</v>
          </cell>
        </row>
        <row r="134">
          <cell r="A134">
            <v>194</v>
          </cell>
          <cell r="C134">
            <v>1295.4833333332999</v>
          </cell>
        </row>
        <row r="135">
          <cell r="A135">
            <v>195</v>
          </cell>
          <cell r="C135">
            <v>1262.4166666666999</v>
          </cell>
        </row>
        <row r="136">
          <cell r="A136">
            <v>199</v>
          </cell>
          <cell r="C136">
            <v>1352.4416666667</v>
          </cell>
        </row>
        <row r="137">
          <cell r="A137">
            <v>200</v>
          </cell>
          <cell r="C137">
            <v>1563.8333333333001</v>
          </cell>
        </row>
        <row r="138">
          <cell r="A138">
            <v>201</v>
          </cell>
          <cell r="C138">
            <v>1317.4124999999999</v>
          </cell>
        </row>
        <row r="139">
          <cell r="A139">
            <v>202</v>
          </cell>
          <cell r="C139">
            <v>1412.6416666667001</v>
          </cell>
        </row>
        <row r="140">
          <cell r="A140">
            <v>204</v>
          </cell>
          <cell r="C140">
            <v>1433.65</v>
          </cell>
        </row>
        <row r="141">
          <cell r="A141">
            <v>205</v>
          </cell>
          <cell r="C141">
            <v>1414.7166666666999</v>
          </cell>
        </row>
        <row r="142">
          <cell r="A142">
            <v>206</v>
          </cell>
          <cell r="C142">
            <v>1476.7291666666999</v>
          </cell>
        </row>
        <row r="143">
          <cell r="A143">
            <v>207</v>
          </cell>
          <cell r="C143">
            <v>1312.9375</v>
          </cell>
        </row>
        <row r="144">
          <cell r="A144">
            <v>212</v>
          </cell>
          <cell r="C144">
            <v>1422.9124999999999</v>
          </cell>
        </row>
        <row r="145">
          <cell r="A145">
            <v>214</v>
          </cell>
          <cell r="C145">
            <v>1218.1416666667001</v>
          </cell>
        </row>
        <row r="146">
          <cell r="A146">
            <v>215</v>
          </cell>
          <cell r="C146">
            <v>1062.42</v>
          </cell>
        </row>
        <row r="147">
          <cell r="A147">
            <v>216</v>
          </cell>
          <cell r="C147">
            <v>1456.5208333333001</v>
          </cell>
        </row>
        <row r="148">
          <cell r="A148">
            <v>217</v>
          </cell>
          <cell r="C148">
            <v>1361.425</v>
          </cell>
        </row>
        <row r="149">
          <cell r="A149">
            <v>220</v>
          </cell>
          <cell r="C149">
            <v>1059.5999999999999</v>
          </cell>
        </row>
        <row r="150">
          <cell r="A150">
            <v>221</v>
          </cell>
          <cell r="C150">
            <v>1347.0541666667</v>
          </cell>
        </row>
        <row r="151">
          <cell r="A151">
            <v>222</v>
          </cell>
          <cell r="C151">
            <v>1305.8416666666999</v>
          </cell>
        </row>
        <row r="152">
          <cell r="A152">
            <v>223</v>
          </cell>
          <cell r="C152">
            <v>1253.8166666667</v>
          </cell>
        </row>
        <row r="153">
          <cell r="A153">
            <v>224</v>
          </cell>
          <cell r="C153">
            <v>1256.8708333333</v>
          </cell>
        </row>
        <row r="154">
          <cell r="A154">
            <v>226</v>
          </cell>
          <cell r="C154">
            <v>1487.9833333332999</v>
          </cell>
        </row>
        <row r="155">
          <cell r="A155">
            <v>227</v>
          </cell>
          <cell r="C155">
            <v>993</v>
          </cell>
        </row>
        <row r="156">
          <cell r="A156">
            <v>228</v>
          </cell>
          <cell r="C156">
            <v>1425.7708333333001</v>
          </cell>
        </row>
        <row r="157">
          <cell r="A157">
            <v>229</v>
          </cell>
          <cell r="C157">
            <v>1381.5458333332999</v>
          </cell>
        </row>
        <row r="158">
          <cell r="A158">
            <v>230</v>
          </cell>
          <cell r="C158">
            <v>1338.5791666667001</v>
          </cell>
        </row>
        <row r="159">
          <cell r="A159">
            <v>231</v>
          </cell>
          <cell r="C159">
            <v>1453.4583333333001</v>
          </cell>
        </row>
        <row r="160">
          <cell r="A160">
            <v>232</v>
          </cell>
          <cell r="C160">
            <v>1391.4083333333001</v>
          </cell>
        </row>
        <row r="161">
          <cell r="A161">
            <v>233</v>
          </cell>
          <cell r="C161">
            <v>1455.65</v>
          </cell>
        </row>
        <row r="162">
          <cell r="A162">
            <v>235</v>
          </cell>
          <cell r="C162">
            <v>1056.5</v>
          </cell>
        </row>
        <row r="163">
          <cell r="A163">
            <v>237</v>
          </cell>
          <cell r="C163">
            <v>1369.1083333332999</v>
          </cell>
        </row>
        <row r="164">
          <cell r="A164">
            <v>238</v>
          </cell>
          <cell r="C164">
            <v>1426.8875</v>
          </cell>
        </row>
        <row r="165">
          <cell r="A165">
            <v>239</v>
          </cell>
          <cell r="C165">
            <v>1477.3791666667</v>
          </cell>
        </row>
        <row r="166">
          <cell r="A166">
            <v>241</v>
          </cell>
          <cell r="C166">
            <v>1267.9124999999999</v>
          </cell>
        </row>
        <row r="167">
          <cell r="A167">
            <v>242</v>
          </cell>
          <cell r="C167">
            <v>1330.5708333333</v>
          </cell>
        </row>
        <row r="168">
          <cell r="A168">
            <v>243</v>
          </cell>
          <cell r="C168">
            <v>1097.08</v>
          </cell>
        </row>
        <row r="169">
          <cell r="A169">
            <v>244</v>
          </cell>
          <cell r="C169">
            <v>1408.125</v>
          </cell>
        </row>
        <row r="170">
          <cell r="A170">
            <v>245</v>
          </cell>
          <cell r="C170">
            <v>1478.5583333333</v>
          </cell>
        </row>
        <row r="171">
          <cell r="A171">
            <v>246</v>
          </cell>
          <cell r="C171">
            <v>1341.5125</v>
          </cell>
        </row>
        <row r="172">
          <cell r="A172">
            <v>247</v>
          </cell>
          <cell r="C172">
            <v>1326.5541666667</v>
          </cell>
        </row>
        <row r="173">
          <cell r="A173">
            <v>248</v>
          </cell>
          <cell r="C173">
            <v>1442.6624999999999</v>
          </cell>
        </row>
        <row r="174">
          <cell r="A174">
            <v>249</v>
          </cell>
          <cell r="C174">
            <v>1310.0666666667</v>
          </cell>
        </row>
        <row r="175">
          <cell r="A175">
            <v>250</v>
          </cell>
          <cell r="C175">
            <v>1349.9833333332999</v>
          </cell>
        </row>
        <row r="176">
          <cell r="A176">
            <v>251</v>
          </cell>
          <cell r="C176">
            <v>1412.3583333332999</v>
          </cell>
        </row>
        <row r="177">
          <cell r="A177">
            <v>252</v>
          </cell>
          <cell r="C177">
            <v>994.37</v>
          </cell>
        </row>
        <row r="178">
          <cell r="A178">
            <v>257</v>
          </cell>
          <cell r="C178">
            <v>1499.6375</v>
          </cell>
        </row>
        <row r="179">
          <cell r="A179">
            <v>260</v>
          </cell>
          <cell r="C179">
            <v>1204.4625000000001</v>
          </cell>
        </row>
        <row r="180">
          <cell r="A180">
            <v>261</v>
          </cell>
          <cell r="C180">
            <v>1381.8208333333</v>
          </cell>
        </row>
        <row r="181">
          <cell r="A181">
            <v>263</v>
          </cell>
          <cell r="C181">
            <v>1392.5583333333</v>
          </cell>
        </row>
        <row r="182">
          <cell r="A182">
            <v>264</v>
          </cell>
          <cell r="C182">
            <v>1340.2166666666999</v>
          </cell>
        </row>
        <row r="183">
          <cell r="A183">
            <v>265</v>
          </cell>
          <cell r="C183">
            <v>1467.125</v>
          </cell>
        </row>
        <row r="184">
          <cell r="A184">
            <v>266</v>
          </cell>
          <cell r="C184">
            <v>1146.5625</v>
          </cell>
        </row>
        <row r="185">
          <cell r="A185">
            <v>267</v>
          </cell>
          <cell r="C185">
            <v>1201.9541666667001</v>
          </cell>
        </row>
        <row r="186">
          <cell r="A186">
            <v>268</v>
          </cell>
          <cell r="C186">
            <v>1308.825</v>
          </cell>
        </row>
        <row r="187">
          <cell r="A187">
            <v>269</v>
          </cell>
          <cell r="C187">
            <v>1209.9208333332999</v>
          </cell>
        </row>
        <row r="188">
          <cell r="A188">
            <v>270</v>
          </cell>
          <cell r="C188">
            <v>1421.0958333333001</v>
          </cell>
        </row>
        <row r="189">
          <cell r="A189">
            <v>271</v>
          </cell>
          <cell r="C189">
            <v>1127.3499999999999</v>
          </cell>
        </row>
        <row r="190">
          <cell r="A190">
            <v>272</v>
          </cell>
          <cell r="C190">
            <v>1310.6666666666999</v>
          </cell>
        </row>
        <row r="191">
          <cell r="A191">
            <v>273</v>
          </cell>
          <cell r="C191">
            <v>1007</v>
          </cell>
        </row>
        <row r="192">
          <cell r="A192">
            <v>274</v>
          </cell>
          <cell r="C192">
            <v>1190.3499999999999</v>
          </cell>
        </row>
        <row r="193">
          <cell r="A193">
            <v>275</v>
          </cell>
          <cell r="C193">
            <v>1515.4625000000001</v>
          </cell>
        </row>
        <row r="194">
          <cell r="A194">
            <v>276</v>
          </cell>
          <cell r="C194">
            <v>1352.2458333333</v>
          </cell>
        </row>
        <row r="195">
          <cell r="A195">
            <v>278</v>
          </cell>
          <cell r="C195">
            <v>1345.1666666666999</v>
          </cell>
        </row>
        <row r="196">
          <cell r="A196">
            <v>279</v>
          </cell>
          <cell r="C196">
            <v>1457.8916666667001</v>
          </cell>
        </row>
        <row r="197">
          <cell r="A197">
            <v>281</v>
          </cell>
          <cell r="C197">
            <v>1435.7083333333001</v>
          </cell>
        </row>
        <row r="198">
          <cell r="A198">
            <v>283</v>
          </cell>
          <cell r="C198">
            <v>1361.7375</v>
          </cell>
        </row>
        <row r="199">
          <cell r="A199">
            <v>284</v>
          </cell>
          <cell r="C199">
            <v>1139.75</v>
          </cell>
        </row>
        <row r="200">
          <cell r="A200">
            <v>286</v>
          </cell>
          <cell r="C200">
            <v>1229.8666666667</v>
          </cell>
        </row>
        <row r="201">
          <cell r="A201">
            <v>287</v>
          </cell>
          <cell r="C201">
            <v>1347.7750000000001</v>
          </cell>
        </row>
        <row r="202">
          <cell r="A202">
            <v>289</v>
          </cell>
          <cell r="C202">
            <v>1072.2833333333001</v>
          </cell>
        </row>
        <row r="203">
          <cell r="A203">
            <v>290</v>
          </cell>
          <cell r="C203">
            <v>1471.1</v>
          </cell>
        </row>
        <row r="204">
          <cell r="A204">
            <v>300</v>
          </cell>
          <cell r="C204">
            <v>1433.1375</v>
          </cell>
        </row>
        <row r="205">
          <cell r="A205">
            <v>302</v>
          </cell>
          <cell r="C205">
            <v>1245.4958333333</v>
          </cell>
        </row>
        <row r="206">
          <cell r="A206">
            <v>303</v>
          </cell>
          <cell r="C206">
            <v>1132.8</v>
          </cell>
        </row>
        <row r="207">
          <cell r="A207">
            <v>304</v>
          </cell>
          <cell r="C207">
            <v>1235.18</v>
          </cell>
        </row>
        <row r="208">
          <cell r="A208">
            <v>305</v>
          </cell>
          <cell r="C208">
            <v>1365.4916666667</v>
          </cell>
        </row>
        <row r="209">
          <cell r="A209">
            <v>306</v>
          </cell>
          <cell r="C209">
            <v>1499.3833333333</v>
          </cell>
        </row>
        <row r="210">
          <cell r="A210">
            <v>307</v>
          </cell>
          <cell r="C210">
            <v>1313.5291666666999</v>
          </cell>
        </row>
        <row r="211">
          <cell r="A211">
            <v>308</v>
          </cell>
          <cell r="C211">
            <v>1361.9124999999999</v>
          </cell>
        </row>
        <row r="212">
          <cell r="A212">
            <v>309</v>
          </cell>
          <cell r="C212">
            <v>1482.7541666667</v>
          </cell>
        </row>
        <row r="213">
          <cell r="A213">
            <v>310</v>
          </cell>
          <cell r="C213">
            <v>1193.6458333333001</v>
          </cell>
        </row>
        <row r="214">
          <cell r="A214">
            <v>311</v>
          </cell>
          <cell r="C214">
            <v>1270.0666666667</v>
          </cell>
        </row>
        <row r="215">
          <cell r="A215">
            <v>312</v>
          </cell>
          <cell r="C215">
            <v>1319.3833333333</v>
          </cell>
        </row>
        <row r="216">
          <cell r="A216">
            <v>313</v>
          </cell>
          <cell r="C216">
            <v>1492.4</v>
          </cell>
        </row>
        <row r="217">
          <cell r="A217">
            <v>314</v>
          </cell>
          <cell r="C217">
            <v>1495.3875</v>
          </cell>
        </row>
        <row r="218">
          <cell r="A218">
            <v>319</v>
          </cell>
          <cell r="C218">
            <v>1337.7166666666999</v>
          </cell>
        </row>
        <row r="219">
          <cell r="A219">
            <v>320</v>
          </cell>
          <cell r="C219">
            <v>1525.1083333332999</v>
          </cell>
        </row>
        <row r="220">
          <cell r="A220">
            <v>321</v>
          </cell>
          <cell r="C220">
            <v>1248.875</v>
          </cell>
        </row>
        <row r="221">
          <cell r="A221">
            <v>322</v>
          </cell>
          <cell r="C221">
            <v>1312.9749999999999</v>
          </cell>
        </row>
        <row r="222">
          <cell r="A222">
            <v>323</v>
          </cell>
          <cell r="C222">
            <v>1521.4083333333001</v>
          </cell>
        </row>
        <row r="223">
          <cell r="A223">
            <v>324</v>
          </cell>
          <cell r="C223">
            <v>1516.8</v>
          </cell>
        </row>
        <row r="224">
          <cell r="A224">
            <v>326</v>
          </cell>
          <cell r="C224">
            <v>1164.53</v>
          </cell>
        </row>
        <row r="225">
          <cell r="A225">
            <v>327</v>
          </cell>
          <cell r="C225">
            <v>1250.8333333333001</v>
          </cell>
        </row>
        <row r="226">
          <cell r="A226">
            <v>328</v>
          </cell>
          <cell r="C226">
            <v>1373.4833333332999</v>
          </cell>
        </row>
        <row r="227">
          <cell r="A227">
            <v>334</v>
          </cell>
          <cell r="C227">
            <v>1318.1583333333001</v>
          </cell>
        </row>
        <row r="228">
          <cell r="A228">
            <v>335</v>
          </cell>
          <cell r="C228">
            <v>1261.5791666667001</v>
          </cell>
        </row>
        <row r="229">
          <cell r="A229">
            <v>336</v>
          </cell>
          <cell r="C229">
            <v>1352.5458333332999</v>
          </cell>
        </row>
        <row r="230">
          <cell r="A230">
            <v>337</v>
          </cell>
          <cell r="C230">
            <v>1203.825</v>
          </cell>
        </row>
        <row r="231">
          <cell r="A231">
            <v>338</v>
          </cell>
          <cell r="C231">
            <v>1457.8416666666999</v>
          </cell>
        </row>
        <row r="232">
          <cell r="A232">
            <v>340</v>
          </cell>
          <cell r="C232">
            <v>1115.95</v>
          </cell>
        </row>
        <row r="233">
          <cell r="A233">
            <v>345</v>
          </cell>
          <cell r="C233">
            <v>1211.7083333333001</v>
          </cell>
        </row>
        <row r="234">
          <cell r="A234">
            <v>347</v>
          </cell>
          <cell r="C234">
            <v>1184.7916666666999</v>
          </cell>
        </row>
        <row r="235">
          <cell r="A235">
            <v>355</v>
          </cell>
          <cell r="C235">
            <v>1448.7708333333001</v>
          </cell>
        </row>
        <row r="236">
          <cell r="A236">
            <v>356</v>
          </cell>
          <cell r="C236">
            <v>1244.7041666667001</v>
          </cell>
        </row>
        <row r="237">
          <cell r="A237">
            <v>357</v>
          </cell>
          <cell r="C237">
            <v>1038.4375</v>
          </cell>
        </row>
        <row r="238">
          <cell r="A238">
            <v>358</v>
          </cell>
          <cell r="C238">
            <v>998</v>
          </cell>
        </row>
        <row r="239">
          <cell r="A239">
            <v>359</v>
          </cell>
          <cell r="C239">
            <v>1107.9958333333</v>
          </cell>
        </row>
        <row r="240">
          <cell r="A240">
            <v>360</v>
          </cell>
          <cell r="C240">
            <v>1064.81</v>
          </cell>
        </row>
        <row r="241">
          <cell r="A241">
            <v>361</v>
          </cell>
          <cell r="C241">
            <v>1269.0916666666999</v>
          </cell>
        </row>
        <row r="242">
          <cell r="A242">
            <v>362</v>
          </cell>
          <cell r="C242">
            <v>1063.9166666666999</v>
          </cell>
        </row>
        <row r="243">
          <cell r="A243">
            <v>363</v>
          </cell>
          <cell r="C243">
            <v>1493.6541666666999</v>
          </cell>
        </row>
        <row r="244">
          <cell r="A244">
            <v>364</v>
          </cell>
          <cell r="C244">
            <v>995</v>
          </cell>
        </row>
        <row r="245">
          <cell r="A245">
            <v>365</v>
          </cell>
          <cell r="C245">
            <v>1461.8666666667</v>
          </cell>
        </row>
        <row r="246">
          <cell r="A246">
            <v>367</v>
          </cell>
          <cell r="C246">
            <v>1321.7249999999999</v>
          </cell>
        </row>
        <row r="247">
          <cell r="A247">
            <v>368</v>
          </cell>
          <cell r="C247">
            <v>1481.7333333332999</v>
          </cell>
        </row>
        <row r="248">
          <cell r="A248">
            <v>369</v>
          </cell>
          <cell r="C248">
            <v>1364.2291666666999</v>
          </cell>
        </row>
        <row r="249">
          <cell r="A249">
            <v>370</v>
          </cell>
          <cell r="C249">
            <v>1284.0875000000001</v>
          </cell>
        </row>
        <row r="250">
          <cell r="A250">
            <v>372</v>
          </cell>
          <cell r="C250">
            <v>1371.2750000000001</v>
          </cell>
        </row>
        <row r="251">
          <cell r="A251">
            <v>374</v>
          </cell>
          <cell r="C251">
            <v>1401.6083333332999</v>
          </cell>
        </row>
        <row r="252">
          <cell r="A252">
            <v>378</v>
          </cell>
          <cell r="C252">
            <v>1182.2583333333</v>
          </cell>
        </row>
        <row r="253">
          <cell r="A253">
            <v>379</v>
          </cell>
          <cell r="C253">
            <v>1449.7958333332999</v>
          </cell>
        </row>
        <row r="254">
          <cell r="A254">
            <v>382</v>
          </cell>
          <cell r="C254">
            <v>1394.2249999999999</v>
          </cell>
        </row>
        <row r="255">
          <cell r="A255">
            <v>384</v>
          </cell>
          <cell r="C255">
            <v>993</v>
          </cell>
        </row>
        <row r="256">
          <cell r="A256">
            <v>385</v>
          </cell>
          <cell r="C256">
            <v>1408.5666666667</v>
          </cell>
        </row>
        <row r="257">
          <cell r="A257">
            <v>386</v>
          </cell>
          <cell r="C257">
            <v>1030.8499999999999</v>
          </cell>
        </row>
        <row r="258">
          <cell r="A258">
            <v>388</v>
          </cell>
          <cell r="C258">
            <v>1543.5708333333</v>
          </cell>
        </row>
        <row r="259">
          <cell r="A259">
            <v>389</v>
          </cell>
          <cell r="C259">
            <v>1400.2291666666999</v>
          </cell>
        </row>
        <row r="260">
          <cell r="A260">
            <v>390</v>
          </cell>
          <cell r="C260">
            <v>1496.9791666666999</v>
          </cell>
        </row>
        <row r="261">
          <cell r="A261">
            <v>391</v>
          </cell>
          <cell r="C261">
            <v>1036.73</v>
          </cell>
        </row>
        <row r="262">
          <cell r="A262">
            <v>392</v>
          </cell>
          <cell r="C262">
            <v>1271.6416666667001</v>
          </cell>
        </row>
        <row r="263">
          <cell r="A263">
            <v>394</v>
          </cell>
          <cell r="C263">
            <v>1346.8791666667</v>
          </cell>
        </row>
        <row r="264">
          <cell r="A264">
            <v>395</v>
          </cell>
          <cell r="C264">
            <v>1152.8666666667</v>
          </cell>
        </row>
        <row r="265">
          <cell r="A265">
            <v>402</v>
          </cell>
          <cell r="C265">
            <v>1319.2333333332999</v>
          </cell>
        </row>
        <row r="266">
          <cell r="A266">
            <v>404</v>
          </cell>
          <cell r="C266">
            <v>1554.65</v>
          </cell>
        </row>
        <row r="267">
          <cell r="A267">
            <v>407</v>
          </cell>
          <cell r="C267">
            <v>1224.6708333332999</v>
          </cell>
        </row>
        <row r="268">
          <cell r="A268">
            <v>411</v>
          </cell>
          <cell r="C268">
            <v>1402.9666666666999</v>
          </cell>
        </row>
        <row r="269">
          <cell r="A269">
            <v>412</v>
          </cell>
          <cell r="C269">
            <v>1191.7083333333001</v>
          </cell>
        </row>
        <row r="270">
          <cell r="A270">
            <v>416</v>
          </cell>
          <cell r="C270">
            <v>1514.5083333333</v>
          </cell>
        </row>
        <row r="271">
          <cell r="A271">
            <v>417</v>
          </cell>
          <cell r="C271">
            <v>1380.6416666667001</v>
          </cell>
        </row>
        <row r="272">
          <cell r="A272">
            <v>418</v>
          </cell>
          <cell r="C272" t="str">
            <v>غ ب</v>
          </cell>
        </row>
        <row r="273">
          <cell r="A273">
            <v>425</v>
          </cell>
          <cell r="C273">
            <v>1334.5708333333</v>
          </cell>
        </row>
        <row r="274">
          <cell r="A274">
            <v>427</v>
          </cell>
          <cell r="C274">
            <v>1051.3800000000001</v>
          </cell>
        </row>
        <row r="275">
          <cell r="A275">
            <v>428</v>
          </cell>
          <cell r="C275">
            <v>1385.5250000000001</v>
          </cell>
        </row>
        <row r="276">
          <cell r="A276">
            <v>436</v>
          </cell>
          <cell r="C276">
            <v>1111.4875</v>
          </cell>
        </row>
        <row r="277">
          <cell r="A277">
            <v>437</v>
          </cell>
          <cell r="C277">
            <v>1227.7</v>
          </cell>
        </row>
        <row r="278">
          <cell r="A278">
            <v>438</v>
          </cell>
          <cell r="C278">
            <v>1063.71</v>
          </cell>
        </row>
        <row r="279">
          <cell r="A279">
            <v>441</v>
          </cell>
          <cell r="C279">
            <v>1003.33</v>
          </cell>
        </row>
        <row r="280">
          <cell r="A280">
            <v>449</v>
          </cell>
          <cell r="C280">
            <v>1502.5625</v>
          </cell>
        </row>
        <row r="281">
          <cell r="A281">
            <v>450</v>
          </cell>
          <cell r="C281">
            <v>1334.4833333332999</v>
          </cell>
        </row>
        <row r="282">
          <cell r="A282">
            <v>451</v>
          </cell>
          <cell r="C282">
            <v>1394.6708333332999</v>
          </cell>
        </row>
        <row r="283">
          <cell r="A283">
            <v>454</v>
          </cell>
          <cell r="C283">
            <v>1153.5208333333001</v>
          </cell>
        </row>
        <row r="284">
          <cell r="A284">
            <v>455</v>
          </cell>
          <cell r="C284">
            <v>1464.7041666667001</v>
          </cell>
        </row>
        <row r="285">
          <cell r="A285">
            <v>457</v>
          </cell>
          <cell r="C285">
            <v>1430.4916666667</v>
          </cell>
        </row>
        <row r="286">
          <cell r="A286">
            <v>458</v>
          </cell>
          <cell r="C286">
            <v>1479.2625</v>
          </cell>
        </row>
        <row r="287">
          <cell r="A287">
            <v>460</v>
          </cell>
          <cell r="C287">
            <v>1466.2458333333</v>
          </cell>
        </row>
        <row r="288">
          <cell r="A288">
            <v>461</v>
          </cell>
          <cell r="C288">
            <v>1505.35</v>
          </cell>
        </row>
        <row r="289">
          <cell r="A289">
            <v>462</v>
          </cell>
          <cell r="C289">
            <v>1284.4166666666999</v>
          </cell>
        </row>
        <row r="290">
          <cell r="A290">
            <v>463</v>
          </cell>
          <cell r="C290">
            <v>1041.3900000000001</v>
          </cell>
        </row>
        <row r="291">
          <cell r="A291">
            <v>469</v>
          </cell>
          <cell r="C291">
            <v>1279.9124999999999</v>
          </cell>
        </row>
        <row r="292">
          <cell r="A292">
            <v>471</v>
          </cell>
          <cell r="C292">
            <v>1219.55</v>
          </cell>
        </row>
        <row r="293">
          <cell r="A293">
            <v>473</v>
          </cell>
          <cell r="C293">
            <v>1349.2791666666999</v>
          </cell>
        </row>
        <row r="294">
          <cell r="A294">
            <v>474</v>
          </cell>
          <cell r="C294">
            <v>1515.1666666666999</v>
          </cell>
        </row>
        <row r="295">
          <cell r="A295">
            <v>477</v>
          </cell>
          <cell r="C295">
            <v>1283.2625</v>
          </cell>
        </row>
        <row r="296">
          <cell r="A296">
            <v>478</v>
          </cell>
          <cell r="C296">
            <v>1428.4291666667</v>
          </cell>
        </row>
        <row r="297">
          <cell r="A297">
            <v>479</v>
          </cell>
          <cell r="C297">
            <v>1243.1583333333001</v>
          </cell>
        </row>
        <row r="298">
          <cell r="A298">
            <v>481</v>
          </cell>
          <cell r="C298">
            <v>1527.5250000000001</v>
          </cell>
        </row>
        <row r="299">
          <cell r="A299">
            <v>483</v>
          </cell>
          <cell r="C299">
            <v>1386.9166666666999</v>
          </cell>
        </row>
        <row r="300">
          <cell r="A300">
            <v>484</v>
          </cell>
          <cell r="C300">
            <v>1244.3375000000001</v>
          </cell>
        </row>
        <row r="301">
          <cell r="A301">
            <v>486</v>
          </cell>
          <cell r="C301">
            <v>1515.1083333332999</v>
          </cell>
        </row>
        <row r="302">
          <cell r="A302">
            <v>487</v>
          </cell>
          <cell r="C302">
            <v>1252.1708333332999</v>
          </cell>
        </row>
        <row r="303">
          <cell r="A303">
            <v>488</v>
          </cell>
          <cell r="C303">
            <v>1142.625</v>
          </cell>
        </row>
        <row r="304">
          <cell r="A304">
            <v>490</v>
          </cell>
          <cell r="C304">
            <v>1289.6833333333</v>
          </cell>
        </row>
        <row r="305">
          <cell r="A305">
            <v>491</v>
          </cell>
          <cell r="C305">
            <v>1433.125</v>
          </cell>
        </row>
        <row r="306">
          <cell r="A306">
            <v>495</v>
          </cell>
          <cell r="C306">
            <v>1257.1333333333</v>
          </cell>
        </row>
        <row r="307">
          <cell r="A307">
            <v>496</v>
          </cell>
          <cell r="C307">
            <v>1414.9749999999999</v>
          </cell>
        </row>
        <row r="308">
          <cell r="A308">
            <v>498</v>
          </cell>
          <cell r="C308">
            <v>1117.3666666667</v>
          </cell>
        </row>
        <row r="309">
          <cell r="A309">
            <v>499</v>
          </cell>
          <cell r="C309">
            <v>1382.3875</v>
          </cell>
        </row>
        <row r="310">
          <cell r="A310">
            <v>500</v>
          </cell>
          <cell r="C310">
            <v>1400.3916666667001</v>
          </cell>
        </row>
        <row r="311">
          <cell r="A311">
            <v>501</v>
          </cell>
          <cell r="C311">
            <v>1445.3541666666999</v>
          </cell>
        </row>
        <row r="312">
          <cell r="A312">
            <v>502</v>
          </cell>
          <cell r="C312">
            <v>1147.45</v>
          </cell>
        </row>
        <row r="313">
          <cell r="A313">
            <v>503</v>
          </cell>
          <cell r="C313">
            <v>1308.4041666666999</v>
          </cell>
        </row>
        <row r="314">
          <cell r="A314">
            <v>506</v>
          </cell>
          <cell r="C314">
            <v>1351.7249999999999</v>
          </cell>
        </row>
        <row r="315">
          <cell r="A315">
            <v>509</v>
          </cell>
          <cell r="C315">
            <v>1186.7083333333001</v>
          </cell>
        </row>
        <row r="316">
          <cell r="A316">
            <v>510</v>
          </cell>
          <cell r="C316">
            <v>1286.2583333333</v>
          </cell>
        </row>
        <row r="317">
          <cell r="A317">
            <v>511</v>
          </cell>
          <cell r="C317">
            <v>1450.5916666666999</v>
          </cell>
        </row>
        <row r="318">
          <cell r="A318">
            <v>512</v>
          </cell>
          <cell r="C318">
            <v>1210.0291666666999</v>
          </cell>
        </row>
        <row r="319">
          <cell r="A319">
            <v>513</v>
          </cell>
          <cell r="C319">
            <v>1410.3333333333001</v>
          </cell>
        </row>
        <row r="320">
          <cell r="A320">
            <v>514</v>
          </cell>
          <cell r="C320">
            <v>1098.67</v>
          </cell>
        </row>
        <row r="321">
          <cell r="A321">
            <v>517</v>
          </cell>
          <cell r="C321">
            <v>993</v>
          </cell>
        </row>
        <row r="322">
          <cell r="A322">
            <v>518</v>
          </cell>
          <cell r="C322">
            <v>1443.9958333333</v>
          </cell>
        </row>
        <row r="323">
          <cell r="A323">
            <v>522</v>
          </cell>
          <cell r="C323">
            <v>1293.7249999999999</v>
          </cell>
        </row>
        <row r="324">
          <cell r="A324">
            <v>523</v>
          </cell>
          <cell r="C324">
            <v>995</v>
          </cell>
        </row>
        <row r="325">
          <cell r="A325">
            <v>524</v>
          </cell>
          <cell r="C325">
            <v>1001.5</v>
          </cell>
        </row>
        <row r="326">
          <cell r="A326">
            <v>528</v>
          </cell>
          <cell r="C326">
            <v>1498.075</v>
          </cell>
        </row>
        <row r="327">
          <cell r="A327">
            <v>532</v>
          </cell>
          <cell r="C327">
            <v>1367.375</v>
          </cell>
        </row>
        <row r="328">
          <cell r="A328">
            <v>540</v>
          </cell>
          <cell r="C328">
            <v>1277.8875</v>
          </cell>
        </row>
        <row r="329">
          <cell r="A329">
            <v>543</v>
          </cell>
          <cell r="C329">
            <v>1374.6208333333</v>
          </cell>
        </row>
        <row r="330">
          <cell r="A330">
            <v>549</v>
          </cell>
          <cell r="C330">
            <v>1363.7791666666999</v>
          </cell>
        </row>
        <row r="331">
          <cell r="A331">
            <v>555</v>
          </cell>
          <cell r="C331">
            <v>1018.04</v>
          </cell>
        </row>
        <row r="332">
          <cell r="A332">
            <v>556</v>
          </cell>
          <cell r="C332">
            <v>1019</v>
          </cell>
        </row>
        <row r="333">
          <cell r="A333">
            <v>558</v>
          </cell>
          <cell r="C333">
            <v>1278.0875000000001</v>
          </cell>
        </row>
        <row r="334">
          <cell r="A334">
            <v>560</v>
          </cell>
          <cell r="C334" t="str">
            <v>225 c</v>
          </cell>
        </row>
        <row r="335">
          <cell r="A335">
            <v>562</v>
          </cell>
          <cell r="C335">
            <v>1112.0208333333001</v>
          </cell>
        </row>
        <row r="336">
          <cell r="A336">
            <v>564</v>
          </cell>
          <cell r="C336">
            <v>1484.0666666667</v>
          </cell>
        </row>
        <row r="337">
          <cell r="A337">
            <v>565</v>
          </cell>
          <cell r="C337">
            <v>1437.5166666667001</v>
          </cell>
        </row>
        <row r="338">
          <cell r="A338">
            <v>566</v>
          </cell>
          <cell r="C338">
            <v>1168.3</v>
          </cell>
        </row>
        <row r="339">
          <cell r="A339">
            <v>569</v>
          </cell>
          <cell r="C339">
            <v>1326.3125</v>
          </cell>
        </row>
        <row r="340">
          <cell r="A340">
            <v>571</v>
          </cell>
          <cell r="C340">
            <v>1064.1416666667001</v>
          </cell>
        </row>
        <row r="341">
          <cell r="A341">
            <v>572</v>
          </cell>
          <cell r="C341">
            <v>1151.9291666667</v>
          </cell>
        </row>
        <row r="342">
          <cell r="A342">
            <v>574</v>
          </cell>
          <cell r="C342">
            <v>1204.3083333333</v>
          </cell>
        </row>
        <row r="343">
          <cell r="A343">
            <v>581</v>
          </cell>
          <cell r="C343">
            <v>1376.7833333333001</v>
          </cell>
        </row>
        <row r="344">
          <cell r="A344">
            <v>583</v>
          </cell>
          <cell r="C344">
            <v>1275.3625</v>
          </cell>
        </row>
        <row r="345">
          <cell r="A345">
            <v>584</v>
          </cell>
          <cell r="C345">
            <v>1414.6833333333</v>
          </cell>
        </row>
        <row r="346">
          <cell r="A346">
            <v>586</v>
          </cell>
          <cell r="C346">
            <v>1137.04</v>
          </cell>
        </row>
        <row r="347">
          <cell r="A347">
            <v>587</v>
          </cell>
          <cell r="C347">
            <v>1406.8666666667</v>
          </cell>
        </row>
        <row r="348">
          <cell r="A348">
            <v>589</v>
          </cell>
          <cell r="C348">
            <v>1410.6208333333</v>
          </cell>
        </row>
        <row r="349">
          <cell r="A349">
            <v>594</v>
          </cell>
          <cell r="C349">
            <v>1147.04</v>
          </cell>
        </row>
        <row r="350">
          <cell r="A350">
            <v>595</v>
          </cell>
          <cell r="C350">
            <v>1564.2125000000001</v>
          </cell>
        </row>
        <row r="351">
          <cell r="A351">
            <v>596</v>
          </cell>
          <cell r="C351">
            <v>1492.8541666666999</v>
          </cell>
        </row>
        <row r="352">
          <cell r="A352">
            <v>599</v>
          </cell>
          <cell r="C352">
            <v>1498.1958333333</v>
          </cell>
        </row>
        <row r="353">
          <cell r="A353">
            <v>601</v>
          </cell>
          <cell r="C353">
            <v>1311.9916666667</v>
          </cell>
        </row>
        <row r="354">
          <cell r="A354">
            <v>605</v>
          </cell>
          <cell r="C354">
            <v>1414.9</v>
          </cell>
        </row>
        <row r="355">
          <cell r="A355">
            <v>606</v>
          </cell>
          <cell r="C355">
            <v>1471.6666666666999</v>
          </cell>
        </row>
        <row r="356">
          <cell r="A356">
            <v>607</v>
          </cell>
          <cell r="C356">
            <v>1475.4208333332999</v>
          </cell>
        </row>
        <row r="357">
          <cell r="A357">
            <v>608</v>
          </cell>
          <cell r="C357">
            <v>1221.1375</v>
          </cell>
        </row>
        <row r="358">
          <cell r="A358">
            <v>609</v>
          </cell>
          <cell r="C358">
            <v>1245.2041666667001</v>
          </cell>
        </row>
        <row r="359">
          <cell r="A359">
            <v>611</v>
          </cell>
          <cell r="C359">
            <v>1467.5625</v>
          </cell>
        </row>
        <row r="360">
          <cell r="A360">
            <v>614</v>
          </cell>
          <cell r="C360">
            <v>1449.8291666667001</v>
          </cell>
        </row>
        <row r="361">
          <cell r="A361">
            <v>615</v>
          </cell>
          <cell r="C361">
            <v>1175.3</v>
          </cell>
        </row>
        <row r="362">
          <cell r="A362">
            <v>618</v>
          </cell>
          <cell r="C362">
            <v>1359.5083333333</v>
          </cell>
        </row>
        <row r="363">
          <cell r="A363">
            <v>619</v>
          </cell>
          <cell r="C363">
            <v>1183.6624999999999</v>
          </cell>
        </row>
        <row r="364">
          <cell r="A364">
            <v>620</v>
          </cell>
          <cell r="C364">
            <v>1515.9833333332999</v>
          </cell>
        </row>
        <row r="365">
          <cell r="A365">
            <v>621</v>
          </cell>
          <cell r="C365">
            <v>1408.7958333332999</v>
          </cell>
        </row>
        <row r="366">
          <cell r="A366">
            <v>622</v>
          </cell>
          <cell r="C366">
            <v>1089.74</v>
          </cell>
        </row>
        <row r="367">
          <cell r="A367">
            <v>623</v>
          </cell>
          <cell r="C367">
            <v>1422.5</v>
          </cell>
        </row>
        <row r="368">
          <cell r="A368">
            <v>624</v>
          </cell>
          <cell r="C368">
            <v>1447.3166666667</v>
          </cell>
        </row>
        <row r="369">
          <cell r="A369">
            <v>626</v>
          </cell>
          <cell r="C369">
            <v>1420.1041666666999</v>
          </cell>
        </row>
        <row r="370">
          <cell r="A370">
            <v>628</v>
          </cell>
          <cell r="C370">
            <v>1491.4291666667</v>
          </cell>
        </row>
        <row r="371">
          <cell r="A371">
            <v>629</v>
          </cell>
          <cell r="C371">
            <v>1303.5541666667</v>
          </cell>
        </row>
        <row r="372">
          <cell r="A372">
            <v>631</v>
          </cell>
          <cell r="C372">
            <v>1197.8958333333001</v>
          </cell>
        </row>
        <row r="373">
          <cell r="A373">
            <v>632</v>
          </cell>
          <cell r="C373">
            <v>1330.7</v>
          </cell>
        </row>
        <row r="374">
          <cell r="A374">
            <v>636</v>
          </cell>
          <cell r="C374">
            <v>1433.6708333332999</v>
          </cell>
        </row>
        <row r="375">
          <cell r="A375">
            <v>637</v>
          </cell>
          <cell r="C375">
            <v>1366.0708333333</v>
          </cell>
        </row>
        <row r="376">
          <cell r="A376">
            <v>638</v>
          </cell>
          <cell r="C376">
            <v>1060.81</v>
          </cell>
        </row>
        <row r="377">
          <cell r="A377">
            <v>639</v>
          </cell>
          <cell r="C377">
            <v>1112.1208333333</v>
          </cell>
        </row>
        <row r="378">
          <cell r="A378">
            <v>640</v>
          </cell>
          <cell r="C378">
            <v>1274.9124999999999</v>
          </cell>
        </row>
        <row r="379">
          <cell r="A379">
            <v>642</v>
          </cell>
          <cell r="C379">
            <v>1393.7375</v>
          </cell>
        </row>
        <row r="380">
          <cell r="A380">
            <v>643</v>
          </cell>
          <cell r="C380">
            <v>1330.7916666666999</v>
          </cell>
        </row>
        <row r="381">
          <cell r="A381">
            <v>646</v>
          </cell>
          <cell r="C381">
            <v>1141.2125000000001</v>
          </cell>
        </row>
        <row r="382">
          <cell r="A382">
            <v>649</v>
          </cell>
          <cell r="C382">
            <v>1132.9124999999999</v>
          </cell>
        </row>
        <row r="383">
          <cell r="A383">
            <v>654</v>
          </cell>
          <cell r="C383">
            <v>1282.43</v>
          </cell>
        </row>
        <row r="384">
          <cell r="A384">
            <v>659</v>
          </cell>
          <cell r="C384">
            <v>1184.5166666667001</v>
          </cell>
        </row>
        <row r="385">
          <cell r="A385">
            <v>660</v>
          </cell>
          <cell r="C385">
            <v>1382.2750000000001</v>
          </cell>
        </row>
        <row r="386">
          <cell r="A386">
            <v>661</v>
          </cell>
          <cell r="C386">
            <v>1107.81</v>
          </cell>
        </row>
        <row r="387">
          <cell r="A387">
            <v>662</v>
          </cell>
          <cell r="C387">
            <v>1032.24</v>
          </cell>
        </row>
        <row r="388">
          <cell r="A388">
            <v>663</v>
          </cell>
          <cell r="C388">
            <v>1221.2833333333001</v>
          </cell>
        </row>
        <row r="389">
          <cell r="A389">
            <v>664</v>
          </cell>
          <cell r="C389">
            <v>1234.5458333332999</v>
          </cell>
        </row>
        <row r="390">
          <cell r="A390">
            <v>665</v>
          </cell>
          <cell r="C390">
            <v>1138.3833333333</v>
          </cell>
        </row>
        <row r="391">
          <cell r="A391">
            <v>666</v>
          </cell>
          <cell r="C391">
            <v>1440.9708333333001</v>
          </cell>
        </row>
        <row r="392">
          <cell r="A392">
            <v>667</v>
          </cell>
          <cell r="C392">
            <v>1328.325</v>
          </cell>
        </row>
        <row r="393">
          <cell r="A393">
            <v>669</v>
          </cell>
          <cell r="C393">
            <v>1008</v>
          </cell>
        </row>
        <row r="394">
          <cell r="A394">
            <v>670</v>
          </cell>
          <cell r="C394">
            <v>1309.8</v>
          </cell>
        </row>
        <row r="395">
          <cell r="A395">
            <v>671</v>
          </cell>
          <cell r="C395">
            <v>1149.5625</v>
          </cell>
        </row>
        <row r="396">
          <cell r="A396">
            <v>673</v>
          </cell>
          <cell r="C396" t="str">
            <v>راسب</v>
          </cell>
        </row>
        <row r="397">
          <cell r="A397">
            <v>677</v>
          </cell>
          <cell r="C397">
            <v>1109.0541666667</v>
          </cell>
        </row>
        <row r="398">
          <cell r="A398">
            <v>678</v>
          </cell>
          <cell r="C398">
            <v>1547.7083333333001</v>
          </cell>
        </row>
        <row r="399">
          <cell r="A399">
            <v>679</v>
          </cell>
          <cell r="C399">
            <v>1541.5416666666999</v>
          </cell>
        </row>
        <row r="400">
          <cell r="A400">
            <v>680</v>
          </cell>
          <cell r="C400">
            <v>1539.425</v>
          </cell>
        </row>
        <row r="401">
          <cell r="A401">
            <v>681</v>
          </cell>
          <cell r="C401">
            <v>1425.5708333333</v>
          </cell>
        </row>
        <row r="402">
          <cell r="A402">
            <v>682</v>
          </cell>
          <cell r="C402">
            <v>1432.6041666666999</v>
          </cell>
        </row>
        <row r="403">
          <cell r="A403">
            <v>683</v>
          </cell>
          <cell r="C403">
            <v>1288.4000000000001</v>
          </cell>
        </row>
        <row r="404">
          <cell r="A404">
            <v>684</v>
          </cell>
          <cell r="C404">
            <v>1026.42</v>
          </cell>
        </row>
        <row r="405">
          <cell r="A405">
            <v>685</v>
          </cell>
          <cell r="C405">
            <v>1409.4625000000001</v>
          </cell>
        </row>
        <row r="406">
          <cell r="A406">
            <v>686</v>
          </cell>
          <cell r="C406">
            <v>1488.5374999999999</v>
          </cell>
        </row>
        <row r="407">
          <cell r="A407">
            <v>687</v>
          </cell>
          <cell r="C407">
            <v>1213.19</v>
          </cell>
        </row>
        <row r="408">
          <cell r="A408">
            <v>688</v>
          </cell>
          <cell r="C408">
            <v>1382.4666666666999</v>
          </cell>
        </row>
        <row r="409">
          <cell r="A409">
            <v>689</v>
          </cell>
          <cell r="C409">
            <v>1443.4875</v>
          </cell>
        </row>
        <row r="410">
          <cell r="A410">
            <v>690</v>
          </cell>
          <cell r="C410">
            <v>1318.3833333333</v>
          </cell>
        </row>
        <row r="411">
          <cell r="A411">
            <v>693</v>
          </cell>
          <cell r="C411">
            <v>1176.5041666667</v>
          </cell>
        </row>
        <row r="412">
          <cell r="A412">
            <v>694</v>
          </cell>
          <cell r="C412">
            <v>1156.4291666667</v>
          </cell>
        </row>
        <row r="413">
          <cell r="A413">
            <v>696</v>
          </cell>
          <cell r="C413">
            <v>996</v>
          </cell>
        </row>
        <row r="414">
          <cell r="A414">
            <v>698</v>
          </cell>
          <cell r="C414">
            <v>1401.7583333333</v>
          </cell>
        </row>
        <row r="415">
          <cell r="A415">
            <v>703</v>
          </cell>
          <cell r="C415">
            <v>1300.5791666667001</v>
          </cell>
        </row>
        <row r="416">
          <cell r="A416">
            <v>704</v>
          </cell>
          <cell r="C416">
            <v>1465.1125</v>
          </cell>
        </row>
        <row r="417">
          <cell r="A417">
            <v>705</v>
          </cell>
          <cell r="C417">
            <v>1420.7291666666999</v>
          </cell>
        </row>
        <row r="418">
          <cell r="A418">
            <v>706</v>
          </cell>
          <cell r="C418">
            <v>1447.1375</v>
          </cell>
        </row>
        <row r="419">
          <cell r="A419">
            <v>707</v>
          </cell>
          <cell r="C419">
            <v>1264.4541666667001</v>
          </cell>
        </row>
        <row r="420">
          <cell r="A420">
            <v>708</v>
          </cell>
          <cell r="C420">
            <v>1476.3166666667</v>
          </cell>
        </row>
        <row r="421">
          <cell r="A421">
            <v>710</v>
          </cell>
          <cell r="C421">
            <v>1136.9416666667</v>
          </cell>
        </row>
        <row r="422">
          <cell r="A422">
            <v>711</v>
          </cell>
          <cell r="C422">
            <v>1364.95</v>
          </cell>
        </row>
        <row r="423">
          <cell r="A423">
            <v>715</v>
          </cell>
          <cell r="C423">
            <v>1342.4083333333001</v>
          </cell>
        </row>
        <row r="424">
          <cell r="A424">
            <v>716</v>
          </cell>
          <cell r="C424">
            <v>1513.8083333333</v>
          </cell>
        </row>
        <row r="425">
          <cell r="A425">
            <v>717</v>
          </cell>
          <cell r="C425">
            <v>1381.7041666667001</v>
          </cell>
        </row>
        <row r="426">
          <cell r="A426">
            <v>718</v>
          </cell>
          <cell r="C426">
            <v>1497.6791666667</v>
          </cell>
        </row>
        <row r="427">
          <cell r="A427">
            <v>720</v>
          </cell>
          <cell r="C427">
            <v>1007.5</v>
          </cell>
        </row>
        <row r="428">
          <cell r="A428">
            <v>721</v>
          </cell>
          <cell r="C428">
            <v>1020.27</v>
          </cell>
        </row>
        <row r="429">
          <cell r="A429">
            <v>722</v>
          </cell>
          <cell r="C429">
            <v>1389.75</v>
          </cell>
        </row>
        <row r="430">
          <cell r="A430">
            <v>723</v>
          </cell>
          <cell r="C430">
            <v>1274.7416666667</v>
          </cell>
        </row>
        <row r="431">
          <cell r="A431">
            <v>724</v>
          </cell>
          <cell r="C431">
            <v>1483.9958333333</v>
          </cell>
        </row>
        <row r="432">
          <cell r="A432">
            <v>725</v>
          </cell>
          <cell r="C432">
            <v>1442.1916666667</v>
          </cell>
        </row>
        <row r="433">
          <cell r="A433">
            <v>726</v>
          </cell>
          <cell r="C433">
            <v>1032.19</v>
          </cell>
        </row>
        <row r="434">
          <cell r="A434">
            <v>727</v>
          </cell>
          <cell r="C434">
            <v>1165.5166666667001</v>
          </cell>
        </row>
        <row r="435">
          <cell r="A435">
            <v>728</v>
          </cell>
          <cell r="C435">
            <v>1357.0541666667</v>
          </cell>
        </row>
        <row r="436">
          <cell r="A436">
            <v>737</v>
          </cell>
          <cell r="C436">
            <v>1404.2874999999999</v>
          </cell>
        </row>
        <row r="437">
          <cell r="A437">
            <v>739</v>
          </cell>
          <cell r="C437">
            <v>1288.2249999999999</v>
          </cell>
        </row>
        <row r="438">
          <cell r="A438">
            <v>740</v>
          </cell>
          <cell r="C438">
            <v>1131</v>
          </cell>
        </row>
        <row r="439">
          <cell r="A439">
            <v>741</v>
          </cell>
          <cell r="C439">
            <v>1214.6833333333</v>
          </cell>
        </row>
        <row r="440">
          <cell r="A440">
            <v>742</v>
          </cell>
          <cell r="C440">
            <v>1338.7249999999999</v>
          </cell>
        </row>
        <row r="441">
          <cell r="A441">
            <v>747</v>
          </cell>
          <cell r="C441">
            <v>1290.3666666667</v>
          </cell>
        </row>
        <row r="442">
          <cell r="A442">
            <v>749</v>
          </cell>
          <cell r="C442">
            <v>1235.5458333332999</v>
          </cell>
        </row>
        <row r="443">
          <cell r="A443">
            <v>750</v>
          </cell>
          <cell r="C443">
            <v>1142.1166666667</v>
          </cell>
        </row>
        <row r="444">
          <cell r="A444">
            <v>751</v>
          </cell>
          <cell r="C444">
            <v>1240.0833333333001</v>
          </cell>
        </row>
        <row r="445">
          <cell r="A445">
            <v>752</v>
          </cell>
          <cell r="C445">
            <v>1295.6166666667</v>
          </cell>
        </row>
        <row r="446">
          <cell r="A446">
            <v>753</v>
          </cell>
          <cell r="C446">
            <v>1181.3625</v>
          </cell>
        </row>
        <row r="447">
          <cell r="A447">
            <v>754</v>
          </cell>
          <cell r="C447">
            <v>1323.2</v>
          </cell>
        </row>
        <row r="448">
          <cell r="A448">
            <v>755</v>
          </cell>
          <cell r="C448">
            <v>1449.0625</v>
          </cell>
        </row>
        <row r="449">
          <cell r="A449">
            <v>756</v>
          </cell>
          <cell r="C449">
            <v>1291.9833333332999</v>
          </cell>
        </row>
        <row r="450">
          <cell r="A450">
            <v>757</v>
          </cell>
          <cell r="C450">
            <v>1534.65</v>
          </cell>
        </row>
        <row r="451">
          <cell r="A451">
            <v>758</v>
          </cell>
          <cell r="C451">
            <v>1335.3041666667</v>
          </cell>
        </row>
        <row r="452">
          <cell r="A452">
            <v>760</v>
          </cell>
          <cell r="C452">
            <v>1099.32</v>
          </cell>
        </row>
        <row r="453">
          <cell r="A453">
            <v>761</v>
          </cell>
          <cell r="C453">
            <v>1243.2583333333</v>
          </cell>
        </row>
        <row r="454">
          <cell r="A454">
            <v>762</v>
          </cell>
          <cell r="C454">
            <v>1296.4583333333001</v>
          </cell>
        </row>
        <row r="455">
          <cell r="A455">
            <v>764</v>
          </cell>
          <cell r="C455">
            <v>1148.43</v>
          </cell>
        </row>
        <row r="456">
          <cell r="A456">
            <v>766</v>
          </cell>
          <cell r="C456">
            <v>1511.125</v>
          </cell>
        </row>
        <row r="457">
          <cell r="A457">
            <v>768</v>
          </cell>
          <cell r="C457">
            <v>1469.0333333333001</v>
          </cell>
        </row>
        <row r="458">
          <cell r="A458">
            <v>769</v>
          </cell>
          <cell r="C458">
            <v>1235.0291666666999</v>
          </cell>
        </row>
        <row r="459">
          <cell r="A459">
            <v>770</v>
          </cell>
          <cell r="C459">
            <v>1038.1500000000001</v>
          </cell>
        </row>
        <row r="460">
          <cell r="A460">
            <v>774</v>
          </cell>
          <cell r="C460">
            <v>1196.8916666667001</v>
          </cell>
        </row>
        <row r="461">
          <cell r="A461">
            <v>777</v>
          </cell>
          <cell r="C461">
            <v>1057.94</v>
          </cell>
        </row>
        <row r="462">
          <cell r="A462">
            <v>779</v>
          </cell>
          <cell r="C462">
            <v>1234.7458333333</v>
          </cell>
        </row>
        <row r="463">
          <cell r="A463">
            <v>780</v>
          </cell>
          <cell r="C463">
            <v>1481.1958333333</v>
          </cell>
        </row>
        <row r="464">
          <cell r="A464">
            <v>782</v>
          </cell>
          <cell r="C464" t="str">
            <v>غ</v>
          </cell>
        </row>
        <row r="465">
          <cell r="A465">
            <v>783</v>
          </cell>
          <cell r="C465">
            <v>1199.0583333333</v>
          </cell>
        </row>
        <row r="466">
          <cell r="A466">
            <v>785</v>
          </cell>
          <cell r="C466">
            <v>1104.6375</v>
          </cell>
        </row>
        <row r="467">
          <cell r="A467">
            <v>788</v>
          </cell>
          <cell r="C467">
            <v>1249.3</v>
          </cell>
        </row>
        <row r="468">
          <cell r="A468">
            <v>791</v>
          </cell>
          <cell r="C468">
            <v>1487.8791666667</v>
          </cell>
        </row>
        <row r="469">
          <cell r="A469">
            <v>794</v>
          </cell>
          <cell r="C469">
            <v>1335.7333333332999</v>
          </cell>
        </row>
        <row r="470">
          <cell r="A470">
            <v>802</v>
          </cell>
          <cell r="C470">
            <v>993</v>
          </cell>
        </row>
        <row r="471">
          <cell r="A471">
            <v>803</v>
          </cell>
          <cell r="C471">
            <v>1278.1875</v>
          </cell>
        </row>
        <row r="472">
          <cell r="A472">
            <v>804</v>
          </cell>
          <cell r="C472">
            <v>1342.5208333333001</v>
          </cell>
        </row>
        <row r="473">
          <cell r="A473">
            <v>806</v>
          </cell>
          <cell r="C473">
            <v>1301.5166666667001</v>
          </cell>
        </row>
        <row r="474">
          <cell r="A474">
            <v>807</v>
          </cell>
          <cell r="C474">
            <v>1203.8541666666999</v>
          </cell>
        </row>
        <row r="475">
          <cell r="A475">
            <v>808</v>
          </cell>
          <cell r="C475">
            <v>1540.0208333333001</v>
          </cell>
        </row>
        <row r="476">
          <cell r="A476">
            <v>809</v>
          </cell>
          <cell r="C476">
            <v>1285.9749999999999</v>
          </cell>
        </row>
        <row r="477">
          <cell r="A477">
            <v>811</v>
          </cell>
          <cell r="C477">
            <v>1071.79</v>
          </cell>
        </row>
        <row r="478">
          <cell r="A478">
            <v>812</v>
          </cell>
          <cell r="C478">
            <v>1278.1208333333</v>
          </cell>
        </row>
        <row r="479">
          <cell r="A479">
            <v>813</v>
          </cell>
          <cell r="C479">
            <v>1464.6041666666999</v>
          </cell>
        </row>
        <row r="480">
          <cell r="A480">
            <v>814</v>
          </cell>
          <cell r="C480" t="str">
            <v>غ</v>
          </cell>
        </row>
        <row r="481">
          <cell r="A481">
            <v>815</v>
          </cell>
          <cell r="C481">
            <v>1379.4416666667</v>
          </cell>
        </row>
        <row r="482">
          <cell r="A482">
            <v>816</v>
          </cell>
          <cell r="C482">
            <v>996</v>
          </cell>
        </row>
        <row r="483">
          <cell r="A483">
            <v>817</v>
          </cell>
          <cell r="C483">
            <v>1391.4208333332999</v>
          </cell>
        </row>
        <row r="484">
          <cell r="A484">
            <v>818</v>
          </cell>
          <cell r="C484">
            <v>1199.3041666667</v>
          </cell>
        </row>
        <row r="485">
          <cell r="A485">
            <v>819</v>
          </cell>
          <cell r="C485">
            <v>1538.6</v>
          </cell>
        </row>
        <row r="486">
          <cell r="A486">
            <v>820</v>
          </cell>
          <cell r="C486">
            <v>1445.625</v>
          </cell>
        </row>
        <row r="487">
          <cell r="A487">
            <v>821</v>
          </cell>
          <cell r="C487">
            <v>1409.5250000000001</v>
          </cell>
        </row>
        <row r="488">
          <cell r="A488">
            <v>824</v>
          </cell>
          <cell r="C488">
            <v>1332.0333333333001</v>
          </cell>
        </row>
        <row r="489">
          <cell r="A489">
            <v>825</v>
          </cell>
          <cell r="C489">
            <v>1333.0041666667</v>
          </cell>
        </row>
        <row r="490">
          <cell r="A490">
            <v>826</v>
          </cell>
          <cell r="C490">
            <v>1293.2083333333001</v>
          </cell>
        </row>
        <row r="491">
          <cell r="A491">
            <v>827</v>
          </cell>
          <cell r="C491">
            <v>1399.3083333333</v>
          </cell>
        </row>
        <row r="492">
          <cell r="A492">
            <v>828</v>
          </cell>
          <cell r="C492">
            <v>1558.05</v>
          </cell>
        </row>
        <row r="493">
          <cell r="A493">
            <v>829</v>
          </cell>
          <cell r="C493">
            <v>1422.7333333332999</v>
          </cell>
        </row>
        <row r="494">
          <cell r="A494">
            <v>830</v>
          </cell>
          <cell r="C494">
            <v>998</v>
          </cell>
        </row>
        <row r="495">
          <cell r="A495">
            <v>832</v>
          </cell>
          <cell r="C495">
            <v>1513.1333333333</v>
          </cell>
        </row>
        <row r="496">
          <cell r="A496">
            <v>833</v>
          </cell>
          <cell r="C496">
            <v>1006</v>
          </cell>
        </row>
        <row r="497">
          <cell r="A497">
            <v>835</v>
          </cell>
          <cell r="C497">
            <v>1075.8499999999999</v>
          </cell>
        </row>
        <row r="498">
          <cell r="A498">
            <v>836</v>
          </cell>
          <cell r="C498">
            <v>1504.1416666667001</v>
          </cell>
        </row>
        <row r="499">
          <cell r="A499">
            <v>837</v>
          </cell>
          <cell r="C499">
            <v>1297.6875</v>
          </cell>
        </row>
        <row r="500">
          <cell r="A500">
            <v>839</v>
          </cell>
          <cell r="C500">
            <v>1051.6300000000001</v>
          </cell>
        </row>
        <row r="501">
          <cell r="A501">
            <v>841</v>
          </cell>
          <cell r="C501">
            <v>1423.2791666666999</v>
          </cell>
        </row>
        <row r="502">
          <cell r="A502">
            <v>842</v>
          </cell>
          <cell r="C502">
            <v>1445.8125</v>
          </cell>
        </row>
        <row r="503">
          <cell r="A503">
            <v>843</v>
          </cell>
          <cell r="C503">
            <v>1370.25</v>
          </cell>
        </row>
        <row r="504">
          <cell r="A504">
            <v>844</v>
          </cell>
          <cell r="C504">
            <v>1194.7041666667001</v>
          </cell>
        </row>
        <row r="505">
          <cell r="A505">
            <v>845</v>
          </cell>
          <cell r="C505">
            <v>1394.6791666667</v>
          </cell>
        </row>
        <row r="506">
          <cell r="A506">
            <v>847</v>
          </cell>
          <cell r="C506">
            <v>1478.2458333333</v>
          </cell>
        </row>
        <row r="507">
          <cell r="A507">
            <v>850</v>
          </cell>
          <cell r="C507">
            <v>1554.2750000000001</v>
          </cell>
        </row>
        <row r="508">
          <cell r="A508">
            <v>853</v>
          </cell>
          <cell r="C508">
            <v>1525.3958333333001</v>
          </cell>
        </row>
        <row r="509">
          <cell r="A509">
            <v>855</v>
          </cell>
          <cell r="C509">
            <v>1411.2874999999999</v>
          </cell>
        </row>
        <row r="510">
          <cell r="A510">
            <v>858</v>
          </cell>
          <cell r="C510">
            <v>1281.875</v>
          </cell>
        </row>
        <row r="511">
          <cell r="A511">
            <v>864</v>
          </cell>
          <cell r="C511">
            <v>1524.6083333332999</v>
          </cell>
        </row>
        <row r="512">
          <cell r="A512">
            <v>865</v>
          </cell>
          <cell r="C512">
            <v>1446.8458333333001</v>
          </cell>
        </row>
        <row r="513">
          <cell r="A513">
            <v>867</v>
          </cell>
          <cell r="C513">
            <v>1451.8041666667</v>
          </cell>
        </row>
        <row r="514">
          <cell r="A514">
            <v>868</v>
          </cell>
          <cell r="C514">
            <v>1332.8125</v>
          </cell>
        </row>
        <row r="515">
          <cell r="A515">
            <v>869</v>
          </cell>
          <cell r="C515">
            <v>1471.2041666667001</v>
          </cell>
        </row>
        <row r="516">
          <cell r="A516">
            <v>870</v>
          </cell>
          <cell r="C516">
            <v>1228.5833333333001</v>
          </cell>
        </row>
        <row r="517">
          <cell r="A517">
            <v>871</v>
          </cell>
          <cell r="C517">
            <v>1505.8208333333</v>
          </cell>
        </row>
        <row r="518">
          <cell r="A518">
            <v>872</v>
          </cell>
          <cell r="C518">
            <v>1382.1208333333</v>
          </cell>
        </row>
        <row r="519">
          <cell r="A519">
            <v>874</v>
          </cell>
          <cell r="C519">
            <v>1004</v>
          </cell>
        </row>
        <row r="520">
          <cell r="A520">
            <v>876</v>
          </cell>
          <cell r="C520">
            <v>1394.4625000000001</v>
          </cell>
        </row>
        <row r="521">
          <cell r="A521">
            <v>877</v>
          </cell>
          <cell r="C521">
            <v>1134.7166666666999</v>
          </cell>
        </row>
        <row r="522">
          <cell r="A522">
            <v>878</v>
          </cell>
          <cell r="C522">
            <v>1400.875</v>
          </cell>
        </row>
        <row r="523">
          <cell r="A523">
            <v>879</v>
          </cell>
          <cell r="C523">
            <v>1119.19</v>
          </cell>
        </row>
        <row r="524">
          <cell r="A524">
            <v>881</v>
          </cell>
          <cell r="C524">
            <v>1299.6541666666999</v>
          </cell>
        </row>
        <row r="525">
          <cell r="A525">
            <v>882</v>
          </cell>
          <cell r="C525">
            <v>1356.5125</v>
          </cell>
        </row>
        <row r="526">
          <cell r="A526">
            <v>883</v>
          </cell>
          <cell r="C526">
            <v>1331.65</v>
          </cell>
        </row>
        <row r="527">
          <cell r="A527">
            <v>884</v>
          </cell>
          <cell r="C527">
            <v>1442.8708333333</v>
          </cell>
        </row>
        <row r="528">
          <cell r="A528">
            <v>885</v>
          </cell>
          <cell r="C528">
            <v>1238.4458333333</v>
          </cell>
        </row>
        <row r="529">
          <cell r="A529">
            <v>886</v>
          </cell>
          <cell r="C529">
            <v>1448.6166666667</v>
          </cell>
        </row>
        <row r="530">
          <cell r="A530">
            <v>887</v>
          </cell>
          <cell r="C530">
            <v>1344.8083333333</v>
          </cell>
        </row>
        <row r="531">
          <cell r="A531">
            <v>890</v>
          </cell>
          <cell r="C531">
            <v>1329.9458333333</v>
          </cell>
        </row>
        <row r="532">
          <cell r="A532">
            <v>891</v>
          </cell>
          <cell r="C532">
            <v>1136.125</v>
          </cell>
        </row>
        <row r="533">
          <cell r="A533">
            <v>892</v>
          </cell>
          <cell r="C533">
            <v>1230.1208333333</v>
          </cell>
        </row>
        <row r="534">
          <cell r="A534">
            <v>894</v>
          </cell>
          <cell r="C534">
            <v>1182.2291666666999</v>
          </cell>
        </row>
        <row r="535">
          <cell r="A535">
            <v>895</v>
          </cell>
          <cell r="C535">
            <v>1339.0625</v>
          </cell>
        </row>
        <row r="536">
          <cell r="A536">
            <v>896</v>
          </cell>
          <cell r="C536">
            <v>1067.5250000000001</v>
          </cell>
        </row>
        <row r="537">
          <cell r="A537">
            <v>897</v>
          </cell>
          <cell r="C537">
            <v>1456.4041666666999</v>
          </cell>
        </row>
        <row r="538">
          <cell r="A538">
            <v>898</v>
          </cell>
          <cell r="C538">
            <v>1499.7458333333</v>
          </cell>
        </row>
        <row r="539">
          <cell r="A539">
            <v>900</v>
          </cell>
          <cell r="C539">
            <v>1348.4625000000001</v>
          </cell>
        </row>
        <row r="540">
          <cell r="A540">
            <v>905</v>
          </cell>
          <cell r="C540">
            <v>1096.5</v>
          </cell>
        </row>
        <row r="541">
          <cell r="A541">
            <v>906</v>
          </cell>
          <cell r="C541">
            <v>1370.825</v>
          </cell>
        </row>
        <row r="542">
          <cell r="A542">
            <v>907</v>
          </cell>
          <cell r="C542">
            <v>1472.7249999999999</v>
          </cell>
        </row>
        <row r="543">
          <cell r="A543">
            <v>908</v>
          </cell>
          <cell r="C543">
            <v>1202.4124999999999</v>
          </cell>
        </row>
        <row r="544">
          <cell r="A544">
            <v>909</v>
          </cell>
          <cell r="C544">
            <v>1182.4541666667001</v>
          </cell>
        </row>
        <row r="545">
          <cell r="A545">
            <v>912</v>
          </cell>
          <cell r="C545">
            <v>1101.2041666667001</v>
          </cell>
        </row>
        <row r="546">
          <cell r="A546">
            <v>916</v>
          </cell>
          <cell r="C546">
            <v>1177.6291666667</v>
          </cell>
        </row>
        <row r="547">
          <cell r="A547">
            <v>921</v>
          </cell>
          <cell r="C547">
            <v>1486.9958333333</v>
          </cell>
        </row>
        <row r="548">
          <cell r="A548">
            <v>925</v>
          </cell>
          <cell r="C548">
            <v>1382.8833333333</v>
          </cell>
        </row>
        <row r="549">
          <cell r="A549">
            <v>937</v>
          </cell>
          <cell r="C549">
            <v>1289.95</v>
          </cell>
        </row>
        <row r="550">
          <cell r="A550">
            <v>941</v>
          </cell>
          <cell r="C550">
            <v>1382.4375</v>
          </cell>
        </row>
        <row r="551">
          <cell r="A551">
            <v>942</v>
          </cell>
          <cell r="C551">
            <v>1522.2708333333001</v>
          </cell>
        </row>
        <row r="552">
          <cell r="A552">
            <v>949</v>
          </cell>
          <cell r="C552">
            <v>1151.58</v>
          </cell>
        </row>
        <row r="553">
          <cell r="A553">
            <v>951</v>
          </cell>
          <cell r="C553">
            <v>1529.5083333333</v>
          </cell>
        </row>
        <row r="554">
          <cell r="A554">
            <v>954</v>
          </cell>
          <cell r="C554">
            <v>1443.2375</v>
          </cell>
        </row>
        <row r="555">
          <cell r="A555">
            <v>955</v>
          </cell>
          <cell r="C555">
            <v>1440.8</v>
          </cell>
        </row>
        <row r="556">
          <cell r="A556">
            <v>957</v>
          </cell>
          <cell r="C556">
            <v>1333.3916666667001</v>
          </cell>
        </row>
        <row r="557">
          <cell r="A557">
            <v>958</v>
          </cell>
          <cell r="C557">
            <v>1295.9291666667</v>
          </cell>
        </row>
        <row r="558">
          <cell r="A558">
            <v>961</v>
          </cell>
          <cell r="C558">
            <v>1193.8125</v>
          </cell>
        </row>
        <row r="559">
          <cell r="A559">
            <v>963</v>
          </cell>
          <cell r="C559">
            <v>1440.3291666667001</v>
          </cell>
        </row>
        <row r="560">
          <cell r="A560">
            <v>964</v>
          </cell>
          <cell r="C560">
            <v>1441.6166666667</v>
          </cell>
        </row>
        <row r="561">
          <cell r="A561">
            <v>966</v>
          </cell>
          <cell r="C561">
            <v>1439.9291666667</v>
          </cell>
        </row>
        <row r="562">
          <cell r="A562">
            <v>968</v>
          </cell>
          <cell r="C562">
            <v>1514.1083333332999</v>
          </cell>
        </row>
        <row r="563">
          <cell r="A563">
            <v>969</v>
          </cell>
          <cell r="C563">
            <v>1487.5125</v>
          </cell>
        </row>
        <row r="564">
          <cell r="A564">
            <v>970</v>
          </cell>
          <cell r="C564">
            <v>1266.6208333333</v>
          </cell>
        </row>
        <row r="565">
          <cell r="A565">
            <v>971</v>
          </cell>
          <cell r="C565">
            <v>1050.73</v>
          </cell>
        </row>
        <row r="566">
          <cell r="A566">
            <v>975</v>
          </cell>
          <cell r="C566">
            <v>1255.7125000000001</v>
          </cell>
        </row>
        <row r="567">
          <cell r="A567">
            <v>977</v>
          </cell>
          <cell r="C567">
            <v>1273.6624999999999</v>
          </cell>
        </row>
        <row r="568">
          <cell r="A568">
            <v>978</v>
          </cell>
          <cell r="C568">
            <v>1093.6500000000001</v>
          </cell>
        </row>
        <row r="569">
          <cell r="A569">
            <v>982</v>
          </cell>
          <cell r="C569">
            <v>1060.1400000000001</v>
          </cell>
        </row>
        <row r="570">
          <cell r="A570">
            <v>983</v>
          </cell>
          <cell r="C570">
            <v>1180.69</v>
          </cell>
        </row>
        <row r="571">
          <cell r="A571">
            <v>984</v>
          </cell>
          <cell r="C571">
            <v>1370.7791666666999</v>
          </cell>
        </row>
        <row r="572">
          <cell r="A572">
            <v>985</v>
          </cell>
          <cell r="C572">
            <v>1422.4333333333</v>
          </cell>
        </row>
        <row r="573">
          <cell r="A573">
            <v>986</v>
          </cell>
          <cell r="C573">
            <v>1227.1624999999999</v>
          </cell>
        </row>
        <row r="574">
          <cell r="A574">
            <v>987</v>
          </cell>
          <cell r="C574">
            <v>1411.1166666667</v>
          </cell>
        </row>
        <row r="575">
          <cell r="A575">
            <v>988</v>
          </cell>
          <cell r="C575" t="str">
            <v>راسب</v>
          </cell>
        </row>
        <row r="576">
          <cell r="A576">
            <v>989</v>
          </cell>
          <cell r="C576">
            <v>1166.8041666667</v>
          </cell>
        </row>
        <row r="577">
          <cell r="A577">
            <v>991</v>
          </cell>
          <cell r="C577">
            <v>1058.04</v>
          </cell>
        </row>
        <row r="578">
          <cell r="A578">
            <v>992</v>
          </cell>
          <cell r="C578">
            <v>1173.6916666667</v>
          </cell>
        </row>
        <row r="579">
          <cell r="A579">
            <v>993</v>
          </cell>
          <cell r="C579">
            <v>1493.4958333333</v>
          </cell>
        </row>
        <row r="580">
          <cell r="A580">
            <v>994</v>
          </cell>
          <cell r="C580">
            <v>1288.6291666667</v>
          </cell>
        </row>
        <row r="581">
          <cell r="A581">
            <v>997</v>
          </cell>
          <cell r="C581">
            <v>1524.1</v>
          </cell>
        </row>
        <row r="582">
          <cell r="A582">
            <v>998</v>
          </cell>
          <cell r="C582">
            <v>1274.6666666666999</v>
          </cell>
        </row>
        <row r="583">
          <cell r="A583">
            <v>999</v>
          </cell>
          <cell r="C583" t="str">
            <v>راسب</v>
          </cell>
        </row>
        <row r="584">
          <cell r="A584">
            <v>1000</v>
          </cell>
          <cell r="C584">
            <v>1125.5458333332999</v>
          </cell>
        </row>
        <row r="585">
          <cell r="A585">
            <v>1001</v>
          </cell>
          <cell r="C585">
            <v>1324.5</v>
          </cell>
        </row>
        <row r="586">
          <cell r="A586">
            <v>1003</v>
          </cell>
          <cell r="C586">
            <v>1223.925</v>
          </cell>
        </row>
        <row r="587">
          <cell r="A587">
            <v>1004</v>
          </cell>
          <cell r="C587">
            <v>1496.6958333333</v>
          </cell>
        </row>
        <row r="588">
          <cell r="A588">
            <v>1005</v>
          </cell>
          <cell r="C588">
            <v>1265.2833333333001</v>
          </cell>
        </row>
        <row r="589">
          <cell r="A589">
            <v>1006</v>
          </cell>
          <cell r="C589">
            <v>1121.4583333333001</v>
          </cell>
        </row>
        <row r="590">
          <cell r="A590">
            <v>1008</v>
          </cell>
          <cell r="C590">
            <v>1435.8</v>
          </cell>
        </row>
        <row r="591">
          <cell r="A591">
            <v>1009</v>
          </cell>
          <cell r="C591">
            <v>1147.2583333333</v>
          </cell>
        </row>
        <row r="592">
          <cell r="A592">
            <v>1010</v>
          </cell>
          <cell r="C592">
            <v>1206.5666666667</v>
          </cell>
        </row>
        <row r="593">
          <cell r="A593">
            <v>1012</v>
          </cell>
          <cell r="C593">
            <v>1458.6875</v>
          </cell>
        </row>
        <row r="594">
          <cell r="A594">
            <v>1013</v>
          </cell>
          <cell r="C594">
            <v>1350.0833333333001</v>
          </cell>
        </row>
        <row r="595">
          <cell r="A595">
            <v>1014</v>
          </cell>
          <cell r="C595">
            <v>1498.4625000000001</v>
          </cell>
        </row>
        <row r="596">
          <cell r="A596">
            <v>1015</v>
          </cell>
          <cell r="C596">
            <v>1161.28</v>
          </cell>
        </row>
        <row r="597">
          <cell r="A597">
            <v>1016</v>
          </cell>
          <cell r="C597">
            <v>1148.5</v>
          </cell>
        </row>
        <row r="598">
          <cell r="A598">
            <v>1028</v>
          </cell>
          <cell r="C598">
            <v>1476.7791666666999</v>
          </cell>
        </row>
        <row r="599">
          <cell r="A599">
            <v>1032</v>
          </cell>
          <cell r="C599">
            <v>1234.6375</v>
          </cell>
        </row>
        <row r="600">
          <cell r="A600">
            <v>1033</v>
          </cell>
          <cell r="C600">
            <v>1227.8499999999999</v>
          </cell>
        </row>
        <row r="601">
          <cell r="A601">
            <v>1034</v>
          </cell>
          <cell r="C601">
            <v>1405.88</v>
          </cell>
        </row>
        <row r="602">
          <cell r="A602">
            <v>1040</v>
          </cell>
          <cell r="C602">
            <v>1258.9916666667</v>
          </cell>
        </row>
        <row r="603">
          <cell r="A603">
            <v>1042</v>
          </cell>
          <cell r="C603" t="str">
            <v>غ</v>
          </cell>
        </row>
        <row r="604">
          <cell r="A604">
            <v>1047</v>
          </cell>
          <cell r="C604">
            <v>1077.1500000000001</v>
          </cell>
        </row>
        <row r="605">
          <cell r="A605">
            <v>1050</v>
          </cell>
          <cell r="C605">
            <v>1466.1041666666999</v>
          </cell>
        </row>
        <row r="606">
          <cell r="A606">
            <v>1054</v>
          </cell>
          <cell r="C606">
            <v>1030.1500000000001</v>
          </cell>
        </row>
        <row r="607">
          <cell r="A607">
            <v>1055</v>
          </cell>
          <cell r="C607">
            <v>1418.3541666666999</v>
          </cell>
        </row>
        <row r="608">
          <cell r="A608">
            <v>1056</v>
          </cell>
          <cell r="C608">
            <v>1425.125</v>
          </cell>
        </row>
        <row r="609">
          <cell r="A609">
            <v>1057</v>
          </cell>
          <cell r="C609">
            <v>1372.8166666667</v>
          </cell>
        </row>
        <row r="610">
          <cell r="A610">
            <v>1059</v>
          </cell>
          <cell r="C610">
            <v>1522.9166666666999</v>
          </cell>
        </row>
        <row r="611">
          <cell r="A611">
            <v>1060</v>
          </cell>
          <cell r="C611">
            <v>1203.2166666666999</v>
          </cell>
        </row>
        <row r="612">
          <cell r="A612">
            <v>1062</v>
          </cell>
          <cell r="C612">
            <v>1513.9875</v>
          </cell>
        </row>
        <row r="613">
          <cell r="A613">
            <v>1069</v>
          </cell>
          <cell r="C613">
            <v>1204.7958333332999</v>
          </cell>
        </row>
        <row r="614">
          <cell r="A614">
            <v>1070</v>
          </cell>
          <cell r="C614">
            <v>1369.5291666666999</v>
          </cell>
        </row>
        <row r="615">
          <cell r="A615">
            <v>1073</v>
          </cell>
          <cell r="C615">
            <v>1513.9416666667</v>
          </cell>
        </row>
        <row r="616">
          <cell r="A616">
            <v>1081</v>
          </cell>
          <cell r="C616">
            <v>1395.1666666666999</v>
          </cell>
        </row>
        <row r="617">
          <cell r="A617">
            <v>1082</v>
          </cell>
          <cell r="C617">
            <v>1065.71</v>
          </cell>
        </row>
        <row r="618">
          <cell r="A618">
            <v>1084</v>
          </cell>
          <cell r="C618">
            <v>1477.9083333333001</v>
          </cell>
        </row>
        <row r="619">
          <cell r="A619">
            <v>1085</v>
          </cell>
          <cell r="C619">
            <v>1382.3875</v>
          </cell>
        </row>
        <row r="620">
          <cell r="A620">
            <v>1086</v>
          </cell>
          <cell r="C620">
            <v>1395.3416666666999</v>
          </cell>
        </row>
        <row r="621">
          <cell r="A621">
            <v>1087</v>
          </cell>
          <cell r="C621">
            <v>1072.06</v>
          </cell>
        </row>
        <row r="622">
          <cell r="A622">
            <v>1088</v>
          </cell>
          <cell r="C622">
            <v>1064.0208333333001</v>
          </cell>
        </row>
        <row r="623">
          <cell r="A623">
            <v>1089</v>
          </cell>
          <cell r="C623" t="str">
            <v>راسب</v>
          </cell>
        </row>
        <row r="624">
          <cell r="A624">
            <v>1090</v>
          </cell>
          <cell r="C624">
            <v>1008.37</v>
          </cell>
        </row>
        <row r="625">
          <cell r="A625">
            <v>1093</v>
          </cell>
          <cell r="C625">
            <v>1147.8791666667</v>
          </cell>
        </row>
        <row r="626">
          <cell r="A626">
            <v>1094</v>
          </cell>
          <cell r="C626">
            <v>1384.6</v>
          </cell>
        </row>
        <row r="627">
          <cell r="A627">
            <v>1096</v>
          </cell>
          <cell r="C627">
            <v>1355.425</v>
          </cell>
        </row>
        <row r="628">
          <cell r="A628">
            <v>1097</v>
          </cell>
          <cell r="C628">
            <v>1436.95</v>
          </cell>
        </row>
        <row r="629">
          <cell r="A629">
            <v>1098</v>
          </cell>
          <cell r="C629">
            <v>1188.5583333333</v>
          </cell>
        </row>
        <row r="630">
          <cell r="A630">
            <v>1099</v>
          </cell>
          <cell r="C630">
            <v>1097.23</v>
          </cell>
        </row>
        <row r="631">
          <cell r="A631">
            <v>1101</v>
          </cell>
          <cell r="C631">
            <v>1514.6333333333</v>
          </cell>
        </row>
        <row r="632">
          <cell r="A632">
            <v>1103</v>
          </cell>
          <cell r="C632">
            <v>1563.1166666667</v>
          </cell>
        </row>
        <row r="633">
          <cell r="A633">
            <v>1107</v>
          </cell>
          <cell r="C633">
            <v>1120.48</v>
          </cell>
        </row>
        <row r="634">
          <cell r="A634">
            <v>1108</v>
          </cell>
          <cell r="C634">
            <v>1453.8333333333001</v>
          </cell>
        </row>
        <row r="635">
          <cell r="A635">
            <v>1111</v>
          </cell>
          <cell r="C635">
            <v>1253.3625</v>
          </cell>
        </row>
        <row r="636">
          <cell r="A636">
            <v>1112</v>
          </cell>
          <cell r="C636">
            <v>1358.9875</v>
          </cell>
        </row>
        <row r="637">
          <cell r="A637">
            <v>1115</v>
          </cell>
          <cell r="C637">
            <v>1452.2416666667</v>
          </cell>
        </row>
        <row r="638">
          <cell r="A638">
            <v>1116</v>
          </cell>
          <cell r="C638">
            <v>1439.4541666667001</v>
          </cell>
        </row>
        <row r="639">
          <cell r="A639">
            <v>1117</v>
          </cell>
          <cell r="C639">
            <v>1424.5833333333001</v>
          </cell>
        </row>
        <row r="640">
          <cell r="A640">
            <v>1123</v>
          </cell>
          <cell r="C640">
            <v>1501.2125000000001</v>
          </cell>
        </row>
        <row r="641">
          <cell r="A641">
            <v>1124</v>
          </cell>
          <cell r="C641">
            <v>1174.3800000000001</v>
          </cell>
        </row>
        <row r="642">
          <cell r="A642">
            <v>1126</v>
          </cell>
          <cell r="C642">
            <v>1144.48</v>
          </cell>
        </row>
        <row r="643">
          <cell r="A643">
            <v>1127</v>
          </cell>
          <cell r="C643">
            <v>1498.5708333333</v>
          </cell>
        </row>
        <row r="644">
          <cell r="A644">
            <v>1128</v>
          </cell>
          <cell r="C644">
            <v>1390.6875</v>
          </cell>
        </row>
        <row r="645">
          <cell r="A645">
            <v>1129</v>
          </cell>
          <cell r="C645">
            <v>1265.8666666667</v>
          </cell>
        </row>
        <row r="646">
          <cell r="A646">
            <v>1132</v>
          </cell>
          <cell r="C646">
            <v>1433.5125</v>
          </cell>
        </row>
        <row r="647">
          <cell r="A647">
            <v>1137</v>
          </cell>
          <cell r="C647">
            <v>1348.6833333333</v>
          </cell>
        </row>
        <row r="648">
          <cell r="A648">
            <v>1138</v>
          </cell>
          <cell r="C648">
            <v>1353.3875</v>
          </cell>
        </row>
        <row r="649">
          <cell r="A649">
            <v>1139</v>
          </cell>
          <cell r="C649">
            <v>1507.575</v>
          </cell>
        </row>
        <row r="650">
          <cell r="A650">
            <v>1142</v>
          </cell>
          <cell r="C650">
            <v>1533.8625</v>
          </cell>
        </row>
        <row r="651">
          <cell r="A651">
            <v>1144</v>
          </cell>
          <cell r="C651">
            <v>1131.78</v>
          </cell>
        </row>
        <row r="652">
          <cell r="A652">
            <v>1147</v>
          </cell>
          <cell r="C652">
            <v>1362.9541666667001</v>
          </cell>
        </row>
        <row r="653">
          <cell r="A653">
            <v>1148</v>
          </cell>
          <cell r="C653">
            <v>1279.0416666666999</v>
          </cell>
        </row>
        <row r="654">
          <cell r="A654">
            <v>1149</v>
          </cell>
          <cell r="C654">
            <v>1542.8458333333001</v>
          </cell>
        </row>
        <row r="655">
          <cell r="A655">
            <v>1150</v>
          </cell>
          <cell r="C655">
            <v>1526.0458333332999</v>
          </cell>
        </row>
        <row r="656">
          <cell r="A656">
            <v>1152</v>
          </cell>
          <cell r="C656">
            <v>1213.4625000000001</v>
          </cell>
        </row>
        <row r="657">
          <cell r="A657">
            <v>1153</v>
          </cell>
          <cell r="C657">
            <v>1450.9666666666999</v>
          </cell>
        </row>
        <row r="658">
          <cell r="A658">
            <v>1155</v>
          </cell>
          <cell r="C658">
            <v>1500.3208333333</v>
          </cell>
        </row>
        <row r="659">
          <cell r="A659">
            <v>1156</v>
          </cell>
          <cell r="C659">
            <v>1453.9041666666999</v>
          </cell>
        </row>
        <row r="660">
          <cell r="A660">
            <v>1158</v>
          </cell>
          <cell r="C660">
            <v>1145.32</v>
          </cell>
        </row>
        <row r="661">
          <cell r="A661">
            <v>1161</v>
          </cell>
          <cell r="C661">
            <v>1218.4166666666999</v>
          </cell>
        </row>
        <row r="662">
          <cell r="A662">
            <v>1163</v>
          </cell>
          <cell r="C662">
            <v>1292.7249999999999</v>
          </cell>
        </row>
        <row r="663">
          <cell r="A663">
            <v>1168</v>
          </cell>
          <cell r="C663">
            <v>1001</v>
          </cell>
        </row>
        <row r="664">
          <cell r="A664">
            <v>1173</v>
          </cell>
          <cell r="C664">
            <v>1101.2916666666999</v>
          </cell>
        </row>
        <row r="665">
          <cell r="A665">
            <v>1176</v>
          </cell>
          <cell r="C665">
            <v>1546.5125</v>
          </cell>
        </row>
        <row r="666">
          <cell r="A666">
            <v>1179</v>
          </cell>
          <cell r="C666">
            <v>1310.7791666666999</v>
          </cell>
        </row>
        <row r="667">
          <cell r="A667">
            <v>1180</v>
          </cell>
          <cell r="C667">
            <v>1134.4958333333</v>
          </cell>
        </row>
        <row r="668">
          <cell r="A668">
            <v>1181</v>
          </cell>
          <cell r="C668">
            <v>1337.6958333333</v>
          </cell>
        </row>
        <row r="669">
          <cell r="A669">
            <v>1182</v>
          </cell>
          <cell r="C669">
            <v>1368.3375000000001</v>
          </cell>
        </row>
        <row r="670">
          <cell r="A670">
            <v>1185</v>
          </cell>
          <cell r="C670">
            <v>1459.0666666667</v>
          </cell>
        </row>
        <row r="671">
          <cell r="A671">
            <v>1186</v>
          </cell>
          <cell r="C671">
            <v>1446.4791666666999</v>
          </cell>
        </row>
        <row r="672">
          <cell r="A672">
            <v>1188</v>
          </cell>
          <cell r="C672">
            <v>1083.1600000000001</v>
          </cell>
        </row>
        <row r="673">
          <cell r="A673">
            <v>1189</v>
          </cell>
          <cell r="C673">
            <v>1279.2916666666999</v>
          </cell>
        </row>
        <row r="674">
          <cell r="A674">
            <v>1190</v>
          </cell>
          <cell r="C674">
            <v>1464.6083333332999</v>
          </cell>
        </row>
        <row r="675">
          <cell r="A675">
            <v>1192</v>
          </cell>
          <cell r="C675">
            <v>1458.7541666667</v>
          </cell>
        </row>
        <row r="676">
          <cell r="A676">
            <v>1194</v>
          </cell>
          <cell r="C676">
            <v>1425.9541666667001</v>
          </cell>
        </row>
        <row r="677">
          <cell r="A677">
            <v>1199</v>
          </cell>
          <cell r="C677">
            <v>1192.28</v>
          </cell>
        </row>
        <row r="678">
          <cell r="A678">
            <v>1200</v>
          </cell>
          <cell r="C678">
            <v>1518.0666666667</v>
          </cell>
        </row>
        <row r="679">
          <cell r="A679">
            <v>1202</v>
          </cell>
          <cell r="C679">
            <v>1501.7666666667001</v>
          </cell>
        </row>
        <row r="680">
          <cell r="A680">
            <v>1204</v>
          </cell>
          <cell r="C680">
            <v>1123.0666666667</v>
          </cell>
        </row>
        <row r="681">
          <cell r="A681">
            <v>1205</v>
          </cell>
          <cell r="C681">
            <v>1173.69</v>
          </cell>
        </row>
        <row r="682">
          <cell r="A682">
            <v>1206</v>
          </cell>
          <cell r="C682">
            <v>1375.2708333333001</v>
          </cell>
        </row>
        <row r="683">
          <cell r="A683">
            <v>1208</v>
          </cell>
          <cell r="C683">
            <v>1475.6166666667</v>
          </cell>
        </row>
        <row r="684">
          <cell r="A684">
            <v>1209</v>
          </cell>
          <cell r="C684">
            <v>1410.9124999999999</v>
          </cell>
        </row>
        <row r="685">
          <cell r="A685">
            <v>1210</v>
          </cell>
          <cell r="C685">
            <v>1526.3583333332999</v>
          </cell>
        </row>
        <row r="686">
          <cell r="A686">
            <v>1211</v>
          </cell>
          <cell r="C686">
            <v>1487.9291666667</v>
          </cell>
        </row>
        <row r="687">
          <cell r="A687">
            <v>1212</v>
          </cell>
          <cell r="C687">
            <v>1198.4541666667001</v>
          </cell>
        </row>
        <row r="688">
          <cell r="A688">
            <v>1214</v>
          </cell>
          <cell r="C688">
            <v>1496.5666666667</v>
          </cell>
        </row>
        <row r="689">
          <cell r="A689">
            <v>1215</v>
          </cell>
          <cell r="C689">
            <v>1393.4916666667</v>
          </cell>
        </row>
        <row r="690">
          <cell r="A690">
            <v>1226</v>
          </cell>
          <cell r="C690">
            <v>1380.1541666666999</v>
          </cell>
        </row>
        <row r="691">
          <cell r="A691">
            <v>1227</v>
          </cell>
          <cell r="C691">
            <v>1161.7958333332999</v>
          </cell>
        </row>
        <row r="692">
          <cell r="A692">
            <v>1229</v>
          </cell>
          <cell r="C692">
            <v>1244.9416666667</v>
          </cell>
        </row>
        <row r="693">
          <cell r="A693">
            <v>1230</v>
          </cell>
          <cell r="C693">
            <v>1488.9083333333001</v>
          </cell>
        </row>
        <row r="694">
          <cell r="A694">
            <v>1231</v>
          </cell>
          <cell r="C694">
            <v>1334.2458333333</v>
          </cell>
        </row>
        <row r="695">
          <cell r="A695">
            <v>1232</v>
          </cell>
          <cell r="C695">
            <v>1227.79</v>
          </cell>
        </row>
        <row r="696">
          <cell r="A696">
            <v>1234</v>
          </cell>
          <cell r="C696">
            <v>1016.1</v>
          </cell>
        </row>
        <row r="697">
          <cell r="A697">
            <v>1235</v>
          </cell>
          <cell r="C697">
            <v>1504.8166666667</v>
          </cell>
        </row>
        <row r="698">
          <cell r="A698">
            <v>1236</v>
          </cell>
          <cell r="C698">
            <v>1265.7</v>
          </cell>
        </row>
        <row r="699">
          <cell r="A699">
            <v>1237</v>
          </cell>
          <cell r="C699">
            <v>1524.075</v>
          </cell>
        </row>
        <row r="700">
          <cell r="A700">
            <v>1239</v>
          </cell>
          <cell r="C700">
            <v>1357.0125</v>
          </cell>
        </row>
        <row r="701">
          <cell r="A701">
            <v>1240</v>
          </cell>
          <cell r="C701">
            <v>1033</v>
          </cell>
        </row>
        <row r="702">
          <cell r="A702">
            <v>1241</v>
          </cell>
          <cell r="C702">
            <v>1355.0374999999999</v>
          </cell>
        </row>
        <row r="703">
          <cell r="A703">
            <v>1251</v>
          </cell>
          <cell r="C703">
            <v>1286.4208333332999</v>
          </cell>
        </row>
        <row r="704">
          <cell r="A704">
            <v>1252</v>
          </cell>
          <cell r="C704">
            <v>1148.3583333332999</v>
          </cell>
        </row>
        <row r="705">
          <cell r="A705">
            <v>1258</v>
          </cell>
          <cell r="C705">
            <v>1277.2958333332999</v>
          </cell>
        </row>
        <row r="706">
          <cell r="A706">
            <v>1262</v>
          </cell>
          <cell r="C706">
            <v>1394.2583333333</v>
          </cell>
        </row>
        <row r="707">
          <cell r="A707">
            <v>1263</v>
          </cell>
          <cell r="C707">
            <v>1406.2874999999999</v>
          </cell>
        </row>
        <row r="708">
          <cell r="A708">
            <v>1267</v>
          </cell>
          <cell r="C708">
            <v>1144.1083333332999</v>
          </cell>
        </row>
        <row r="709">
          <cell r="A709">
            <v>1269</v>
          </cell>
          <cell r="C709">
            <v>1280.5416666666999</v>
          </cell>
        </row>
        <row r="710">
          <cell r="A710">
            <v>1270</v>
          </cell>
          <cell r="C710" t="str">
            <v>غ</v>
          </cell>
        </row>
        <row r="711">
          <cell r="A711">
            <v>1272</v>
          </cell>
          <cell r="C711">
            <v>1283.1500000000001</v>
          </cell>
        </row>
        <row r="712">
          <cell r="A712">
            <v>1279</v>
          </cell>
          <cell r="C712">
            <v>1301.3958333333001</v>
          </cell>
        </row>
        <row r="713">
          <cell r="A713">
            <v>1280</v>
          </cell>
          <cell r="C713">
            <v>1392.6666666666999</v>
          </cell>
        </row>
        <row r="714">
          <cell r="A714">
            <v>1281</v>
          </cell>
          <cell r="C714">
            <v>1471.2791666666999</v>
          </cell>
        </row>
        <row r="715">
          <cell r="A715">
            <v>1282</v>
          </cell>
          <cell r="C715">
            <v>1326.9916666667</v>
          </cell>
        </row>
        <row r="716">
          <cell r="A716">
            <v>1283</v>
          </cell>
          <cell r="C716">
            <v>1408.6375</v>
          </cell>
        </row>
        <row r="717">
          <cell r="A717">
            <v>1285</v>
          </cell>
          <cell r="C717">
            <v>1247.6375</v>
          </cell>
        </row>
        <row r="718">
          <cell r="A718">
            <v>1286</v>
          </cell>
          <cell r="C718">
            <v>1069.3800000000001</v>
          </cell>
        </row>
        <row r="719">
          <cell r="A719">
            <v>1288</v>
          </cell>
          <cell r="C719">
            <v>1269.1875</v>
          </cell>
        </row>
        <row r="720">
          <cell r="A720">
            <v>1290</v>
          </cell>
          <cell r="C720">
            <v>1364.4166666666999</v>
          </cell>
        </row>
        <row r="721">
          <cell r="A721">
            <v>1291</v>
          </cell>
          <cell r="C721">
            <v>1238.1083333332999</v>
          </cell>
        </row>
        <row r="722">
          <cell r="A722">
            <v>1292</v>
          </cell>
          <cell r="C722">
            <v>1451.7125000000001</v>
          </cell>
        </row>
        <row r="723">
          <cell r="A723">
            <v>1293</v>
          </cell>
          <cell r="C723">
            <v>1256.28</v>
          </cell>
        </row>
        <row r="724">
          <cell r="A724">
            <v>1295</v>
          </cell>
          <cell r="C724">
            <v>1370.9291666667</v>
          </cell>
        </row>
        <row r="725">
          <cell r="A725">
            <v>1299</v>
          </cell>
          <cell r="C725">
            <v>1458.9749999999999</v>
          </cell>
        </row>
        <row r="726">
          <cell r="A726">
            <v>1300</v>
          </cell>
          <cell r="C726">
            <v>1460.8416666666999</v>
          </cell>
        </row>
        <row r="727">
          <cell r="A727">
            <v>1301</v>
          </cell>
          <cell r="C727">
            <v>1242.1666666666999</v>
          </cell>
        </row>
        <row r="728">
          <cell r="A728">
            <v>1302</v>
          </cell>
          <cell r="C728">
            <v>1429.9083333333001</v>
          </cell>
        </row>
        <row r="729">
          <cell r="A729">
            <v>1303</v>
          </cell>
          <cell r="C729">
            <v>1446.1666666666999</v>
          </cell>
        </row>
        <row r="730">
          <cell r="A730">
            <v>1304</v>
          </cell>
          <cell r="C730">
            <v>1547.4583333333001</v>
          </cell>
        </row>
        <row r="731">
          <cell r="A731">
            <v>1312</v>
          </cell>
          <cell r="C731">
            <v>1307.8166666667</v>
          </cell>
        </row>
        <row r="732">
          <cell r="A732">
            <v>1313</v>
          </cell>
          <cell r="C732">
            <v>1551.4583333333001</v>
          </cell>
        </row>
        <row r="733">
          <cell r="A733">
            <v>1315</v>
          </cell>
          <cell r="C733">
            <v>1248.9416666667</v>
          </cell>
        </row>
        <row r="734">
          <cell r="A734">
            <v>1317</v>
          </cell>
          <cell r="C734">
            <v>1458.75</v>
          </cell>
        </row>
        <row r="735">
          <cell r="A735">
            <v>1322</v>
          </cell>
          <cell r="C735">
            <v>1314.5374999999999</v>
          </cell>
        </row>
        <row r="736">
          <cell r="A736">
            <v>1323</v>
          </cell>
          <cell r="C736">
            <v>1300.3499999999999</v>
          </cell>
        </row>
        <row r="737">
          <cell r="A737">
            <v>1326</v>
          </cell>
          <cell r="C737">
            <v>1371.2</v>
          </cell>
        </row>
        <row r="738">
          <cell r="A738">
            <v>1327</v>
          </cell>
          <cell r="C738">
            <v>1158.7083333333001</v>
          </cell>
        </row>
        <row r="739">
          <cell r="A739">
            <v>1328</v>
          </cell>
          <cell r="C739">
            <v>1341.8166666667</v>
          </cell>
        </row>
        <row r="740">
          <cell r="A740">
            <v>1330</v>
          </cell>
          <cell r="C740">
            <v>1439.8833333333</v>
          </cell>
        </row>
        <row r="741">
          <cell r="A741">
            <v>1331</v>
          </cell>
          <cell r="C741">
            <v>1130.3599999999999</v>
          </cell>
        </row>
        <row r="742">
          <cell r="A742">
            <v>1332</v>
          </cell>
          <cell r="C742">
            <v>1385.8208333333</v>
          </cell>
        </row>
        <row r="743">
          <cell r="A743">
            <v>1336</v>
          </cell>
          <cell r="C743">
            <v>1523.9</v>
          </cell>
        </row>
        <row r="744">
          <cell r="A744">
            <v>1337</v>
          </cell>
          <cell r="C744">
            <v>1049.98</v>
          </cell>
        </row>
        <row r="745">
          <cell r="A745">
            <v>1339</v>
          </cell>
          <cell r="C745">
            <v>1400.3375000000001</v>
          </cell>
        </row>
        <row r="746">
          <cell r="A746">
            <v>1340</v>
          </cell>
          <cell r="C746">
            <v>1007</v>
          </cell>
        </row>
        <row r="747">
          <cell r="A747">
            <v>1341</v>
          </cell>
          <cell r="C747">
            <v>1355.9916666667</v>
          </cell>
        </row>
        <row r="748">
          <cell r="A748">
            <v>1342</v>
          </cell>
          <cell r="C748">
            <v>1369.7958333332999</v>
          </cell>
        </row>
        <row r="749">
          <cell r="A749">
            <v>1345</v>
          </cell>
          <cell r="C749">
            <v>1328.9833333332999</v>
          </cell>
        </row>
        <row r="750">
          <cell r="A750">
            <v>1346</v>
          </cell>
          <cell r="C750">
            <v>1356.7750000000001</v>
          </cell>
        </row>
        <row r="751">
          <cell r="A751">
            <v>1347</v>
          </cell>
          <cell r="C751">
            <v>1524.0625</v>
          </cell>
        </row>
        <row r="752">
          <cell r="A752">
            <v>1349</v>
          </cell>
          <cell r="C752">
            <v>1395.0625</v>
          </cell>
        </row>
        <row r="753">
          <cell r="A753">
            <v>1351</v>
          </cell>
          <cell r="C753">
            <v>1296.3291666667001</v>
          </cell>
        </row>
        <row r="754">
          <cell r="A754">
            <v>1353</v>
          </cell>
          <cell r="C754">
            <v>1001.17</v>
          </cell>
        </row>
        <row r="755">
          <cell r="A755">
            <v>1354</v>
          </cell>
          <cell r="C755">
            <v>1160.95</v>
          </cell>
        </row>
        <row r="756">
          <cell r="A756">
            <v>1356</v>
          </cell>
          <cell r="C756">
            <v>1448.8833333333</v>
          </cell>
        </row>
        <row r="757">
          <cell r="A757">
            <v>1358</v>
          </cell>
          <cell r="C757">
            <v>1350.4124999999999</v>
          </cell>
        </row>
        <row r="758">
          <cell r="A758">
            <v>1359</v>
          </cell>
          <cell r="C758">
            <v>1285.175</v>
          </cell>
        </row>
        <row r="759">
          <cell r="A759">
            <v>1360</v>
          </cell>
          <cell r="C759">
            <v>1042.58</v>
          </cell>
        </row>
        <row r="760">
          <cell r="A760">
            <v>1362</v>
          </cell>
          <cell r="C760">
            <v>1358.7375</v>
          </cell>
        </row>
        <row r="761">
          <cell r="A761">
            <v>1363</v>
          </cell>
          <cell r="C761">
            <v>1037.5</v>
          </cell>
        </row>
        <row r="762">
          <cell r="A762">
            <v>1364</v>
          </cell>
          <cell r="C762">
            <v>1414.6791666667</v>
          </cell>
        </row>
        <row r="763">
          <cell r="A763">
            <v>1366</v>
          </cell>
          <cell r="C763">
            <v>1344.2916666666999</v>
          </cell>
        </row>
        <row r="764">
          <cell r="A764">
            <v>1367</v>
          </cell>
          <cell r="C764">
            <v>1450.8083333333</v>
          </cell>
        </row>
        <row r="765">
          <cell r="A765">
            <v>1368</v>
          </cell>
          <cell r="C765">
            <v>1251.9333333333</v>
          </cell>
        </row>
        <row r="766">
          <cell r="A766">
            <v>1370</v>
          </cell>
          <cell r="C766">
            <v>1491.1375</v>
          </cell>
        </row>
        <row r="767">
          <cell r="A767">
            <v>1371</v>
          </cell>
          <cell r="C767" t="str">
            <v>راسب</v>
          </cell>
        </row>
        <row r="768">
          <cell r="A768">
            <v>1372</v>
          </cell>
          <cell r="C768">
            <v>1249.68</v>
          </cell>
        </row>
        <row r="769">
          <cell r="A769">
            <v>1374</v>
          </cell>
          <cell r="C769">
            <v>1208.3708333333</v>
          </cell>
        </row>
        <row r="770">
          <cell r="A770">
            <v>1375</v>
          </cell>
          <cell r="C770" t="str">
            <v>غ</v>
          </cell>
        </row>
        <row r="771">
          <cell r="A771">
            <v>1378</v>
          </cell>
          <cell r="C771">
            <v>1027.67</v>
          </cell>
        </row>
        <row r="772">
          <cell r="A772">
            <v>1381</v>
          </cell>
          <cell r="C772">
            <v>1232.2791666666999</v>
          </cell>
        </row>
        <row r="773">
          <cell r="A773">
            <v>1383</v>
          </cell>
          <cell r="C773">
            <v>1129.27</v>
          </cell>
        </row>
        <row r="774">
          <cell r="A774">
            <v>1385</v>
          </cell>
          <cell r="C774">
            <v>1086.94</v>
          </cell>
        </row>
        <row r="775">
          <cell r="A775">
            <v>1386</v>
          </cell>
          <cell r="C775">
            <v>1187.5416666666999</v>
          </cell>
        </row>
        <row r="776">
          <cell r="A776">
            <v>1387</v>
          </cell>
          <cell r="C776">
            <v>1124.6099999999999</v>
          </cell>
        </row>
        <row r="777">
          <cell r="A777">
            <v>1389</v>
          </cell>
          <cell r="C777">
            <v>1389.125</v>
          </cell>
        </row>
        <row r="778">
          <cell r="A778">
            <v>1390</v>
          </cell>
          <cell r="C778">
            <v>1066.52</v>
          </cell>
        </row>
        <row r="779">
          <cell r="A779">
            <v>1392</v>
          </cell>
          <cell r="C779">
            <v>1354.5041666667</v>
          </cell>
        </row>
        <row r="780">
          <cell r="A780">
            <v>1394</v>
          </cell>
          <cell r="C780">
            <v>1185.6041666666999</v>
          </cell>
        </row>
        <row r="781">
          <cell r="A781">
            <v>1396</v>
          </cell>
          <cell r="C781">
            <v>1406.7833333333001</v>
          </cell>
        </row>
        <row r="782">
          <cell r="A782">
            <v>1397</v>
          </cell>
          <cell r="C782">
            <v>1449.7708333333001</v>
          </cell>
        </row>
        <row r="783">
          <cell r="A783">
            <v>1398</v>
          </cell>
          <cell r="C783" t="str">
            <v>غ</v>
          </cell>
        </row>
        <row r="784">
          <cell r="A784">
            <v>1400</v>
          </cell>
          <cell r="C784" t="str">
            <v>راسب</v>
          </cell>
        </row>
        <row r="785">
          <cell r="A785">
            <v>1403</v>
          </cell>
          <cell r="C785">
            <v>1302.9041666666999</v>
          </cell>
        </row>
        <row r="786">
          <cell r="A786">
            <v>1404</v>
          </cell>
          <cell r="C786">
            <v>1233.8125</v>
          </cell>
        </row>
        <row r="787">
          <cell r="A787">
            <v>1405</v>
          </cell>
          <cell r="C787">
            <v>1502.0291666666999</v>
          </cell>
        </row>
        <row r="788">
          <cell r="A788">
            <v>1406</v>
          </cell>
          <cell r="C788">
            <v>1286.1708333332999</v>
          </cell>
        </row>
        <row r="789">
          <cell r="A789">
            <v>1407</v>
          </cell>
          <cell r="C789">
            <v>1494.4625000000001</v>
          </cell>
        </row>
        <row r="790">
          <cell r="A790">
            <v>1409</v>
          </cell>
          <cell r="C790">
            <v>1335.8125</v>
          </cell>
        </row>
        <row r="791">
          <cell r="A791">
            <v>1411</v>
          </cell>
          <cell r="C791">
            <v>1304.5666666667</v>
          </cell>
        </row>
        <row r="792">
          <cell r="A792">
            <v>1412</v>
          </cell>
          <cell r="C792">
            <v>1134.7458333333</v>
          </cell>
        </row>
        <row r="793">
          <cell r="A793">
            <v>1418</v>
          </cell>
          <cell r="C793">
            <v>1246.31</v>
          </cell>
        </row>
        <row r="794">
          <cell r="A794">
            <v>1420</v>
          </cell>
          <cell r="C794">
            <v>1286.9833333332999</v>
          </cell>
        </row>
        <row r="795">
          <cell r="A795">
            <v>1421</v>
          </cell>
          <cell r="C795">
            <v>1188.5999999999999</v>
          </cell>
        </row>
        <row r="796">
          <cell r="A796">
            <v>1423</v>
          </cell>
          <cell r="C796">
            <v>1378.6208333333</v>
          </cell>
        </row>
        <row r="797">
          <cell r="A797">
            <v>1430</v>
          </cell>
          <cell r="C797">
            <v>1393.4833333332999</v>
          </cell>
        </row>
        <row r="798">
          <cell r="A798">
            <v>1436</v>
          </cell>
          <cell r="C798">
            <v>1450.1333333333</v>
          </cell>
        </row>
        <row r="799">
          <cell r="A799">
            <v>1439</v>
          </cell>
          <cell r="C799">
            <v>1365.2416666667</v>
          </cell>
        </row>
        <row r="800">
          <cell r="A800">
            <v>1441</v>
          </cell>
          <cell r="C800">
            <v>1247.9375</v>
          </cell>
        </row>
        <row r="801">
          <cell r="A801">
            <v>1444</v>
          </cell>
          <cell r="C801">
            <v>1252.5416666666999</v>
          </cell>
        </row>
        <row r="802">
          <cell r="A802">
            <v>1446</v>
          </cell>
          <cell r="C802">
            <v>1030.71</v>
          </cell>
        </row>
        <row r="803">
          <cell r="A803">
            <v>1449</v>
          </cell>
          <cell r="C803">
            <v>1182.4791666666999</v>
          </cell>
        </row>
        <row r="804">
          <cell r="A804">
            <v>1450</v>
          </cell>
          <cell r="C804">
            <v>1335.6291666667</v>
          </cell>
        </row>
        <row r="805">
          <cell r="A805">
            <v>1451</v>
          </cell>
          <cell r="C805">
            <v>1048.58</v>
          </cell>
        </row>
        <row r="806">
          <cell r="A806">
            <v>1452</v>
          </cell>
          <cell r="C806">
            <v>1187.7125000000001</v>
          </cell>
        </row>
        <row r="807">
          <cell r="A807">
            <v>1453</v>
          </cell>
          <cell r="C807">
            <v>1011.5</v>
          </cell>
        </row>
        <row r="808">
          <cell r="A808">
            <v>1455</v>
          </cell>
          <cell r="C808">
            <v>1296</v>
          </cell>
        </row>
        <row r="809">
          <cell r="A809">
            <v>1456</v>
          </cell>
          <cell r="C809">
            <v>1245.325</v>
          </cell>
        </row>
        <row r="810">
          <cell r="A810">
            <v>1462</v>
          </cell>
          <cell r="C810">
            <v>1387.1291666667</v>
          </cell>
        </row>
        <row r="811">
          <cell r="A811">
            <v>1463</v>
          </cell>
          <cell r="C811">
            <v>1506.5916666666999</v>
          </cell>
        </row>
        <row r="812">
          <cell r="A812">
            <v>1464</v>
          </cell>
          <cell r="C812">
            <v>1140.27</v>
          </cell>
        </row>
        <row r="813">
          <cell r="A813">
            <v>1465</v>
          </cell>
          <cell r="C813">
            <v>1418.3166666667</v>
          </cell>
        </row>
        <row r="814">
          <cell r="A814">
            <v>1467</v>
          </cell>
          <cell r="C814">
            <v>1204.1291666667</v>
          </cell>
        </row>
        <row r="815">
          <cell r="A815">
            <v>1470</v>
          </cell>
          <cell r="C815">
            <v>1548.0291666666999</v>
          </cell>
        </row>
        <row r="816">
          <cell r="A816">
            <v>1478</v>
          </cell>
          <cell r="C816" t="str">
            <v>راسب</v>
          </cell>
        </row>
        <row r="817">
          <cell r="A817">
            <v>1479</v>
          </cell>
          <cell r="C817">
            <v>1096.05</v>
          </cell>
        </row>
        <row r="818">
          <cell r="A818">
            <v>1482</v>
          </cell>
          <cell r="C818">
            <v>1474.5041666667</v>
          </cell>
        </row>
        <row r="819">
          <cell r="A819">
            <v>1483</v>
          </cell>
          <cell r="C819">
            <v>1374.1541666666999</v>
          </cell>
        </row>
        <row r="820">
          <cell r="A820">
            <v>1484</v>
          </cell>
          <cell r="C820">
            <v>1421.6458333333001</v>
          </cell>
        </row>
        <row r="821">
          <cell r="A821">
            <v>1486</v>
          </cell>
          <cell r="C821">
            <v>1073.32</v>
          </cell>
        </row>
        <row r="822">
          <cell r="A822">
            <v>1487</v>
          </cell>
          <cell r="C822">
            <v>1043.53</v>
          </cell>
        </row>
        <row r="823">
          <cell r="A823">
            <v>1488</v>
          </cell>
          <cell r="C823">
            <v>1414.6541666666999</v>
          </cell>
        </row>
        <row r="824">
          <cell r="A824">
            <v>1490</v>
          </cell>
          <cell r="C824">
            <v>1374.3125</v>
          </cell>
        </row>
        <row r="825">
          <cell r="A825">
            <v>1492</v>
          </cell>
          <cell r="C825">
            <v>1378.9541666667001</v>
          </cell>
        </row>
        <row r="826">
          <cell r="A826">
            <v>1493</v>
          </cell>
          <cell r="C826">
            <v>1390.5416666666999</v>
          </cell>
        </row>
        <row r="827">
          <cell r="A827">
            <v>1494</v>
          </cell>
          <cell r="C827">
            <v>1090.4583333333001</v>
          </cell>
        </row>
        <row r="828">
          <cell r="A828">
            <v>1501</v>
          </cell>
          <cell r="C828">
            <v>1455.3833333333</v>
          </cell>
        </row>
        <row r="829">
          <cell r="A829">
            <v>1502</v>
          </cell>
          <cell r="C829">
            <v>1390.7166666666999</v>
          </cell>
        </row>
        <row r="830">
          <cell r="A830">
            <v>1503</v>
          </cell>
          <cell r="C830">
            <v>1227.6500000000001</v>
          </cell>
        </row>
        <row r="831">
          <cell r="A831">
            <v>1505</v>
          </cell>
          <cell r="C831">
            <v>1066.8</v>
          </cell>
        </row>
        <row r="832">
          <cell r="A832">
            <v>1506</v>
          </cell>
          <cell r="C832">
            <v>1135.95</v>
          </cell>
        </row>
        <row r="833">
          <cell r="A833">
            <v>1508</v>
          </cell>
          <cell r="C833">
            <v>1317.8583333332999</v>
          </cell>
        </row>
        <row r="834">
          <cell r="A834">
            <v>1511</v>
          </cell>
          <cell r="C834">
            <v>1326.4291666667</v>
          </cell>
        </row>
        <row r="835">
          <cell r="A835">
            <v>1513</v>
          </cell>
          <cell r="C835">
            <v>1050.9000000000001</v>
          </cell>
        </row>
        <row r="836">
          <cell r="A836">
            <v>1515</v>
          </cell>
          <cell r="C836">
            <v>1492.7750000000001</v>
          </cell>
        </row>
        <row r="837">
          <cell r="A837">
            <v>1517</v>
          </cell>
          <cell r="C837">
            <v>1361</v>
          </cell>
        </row>
        <row r="838">
          <cell r="A838">
            <v>1518</v>
          </cell>
          <cell r="C838" t="str">
            <v>راسب</v>
          </cell>
        </row>
        <row r="839">
          <cell r="A839">
            <v>1520</v>
          </cell>
          <cell r="C839">
            <v>1050.8958333333001</v>
          </cell>
        </row>
        <row r="840">
          <cell r="A840">
            <v>1523</v>
          </cell>
          <cell r="C840">
            <v>1306.8791666667</v>
          </cell>
        </row>
        <row r="841">
          <cell r="A841">
            <v>1524</v>
          </cell>
          <cell r="C841">
            <v>1521.8791666667</v>
          </cell>
        </row>
        <row r="842">
          <cell r="A842">
            <v>1525</v>
          </cell>
          <cell r="C842">
            <v>1426.3833333333</v>
          </cell>
        </row>
        <row r="843">
          <cell r="A843">
            <v>1526</v>
          </cell>
          <cell r="C843">
            <v>1271.21</v>
          </cell>
        </row>
        <row r="844">
          <cell r="A844">
            <v>1527</v>
          </cell>
          <cell r="C844">
            <v>1301.8</v>
          </cell>
        </row>
        <row r="845">
          <cell r="A845">
            <v>1528</v>
          </cell>
          <cell r="C845">
            <v>1051.76</v>
          </cell>
        </row>
        <row r="846">
          <cell r="A846">
            <v>1530</v>
          </cell>
          <cell r="C846">
            <v>1278.69</v>
          </cell>
        </row>
        <row r="847">
          <cell r="A847">
            <v>1532</v>
          </cell>
          <cell r="C847">
            <v>1175.6500000000001</v>
          </cell>
        </row>
        <row r="848">
          <cell r="A848">
            <v>1535</v>
          </cell>
          <cell r="C848">
            <v>1005.67</v>
          </cell>
        </row>
        <row r="849">
          <cell r="A849">
            <v>1538</v>
          </cell>
          <cell r="C849">
            <v>1451.2833333333001</v>
          </cell>
        </row>
        <row r="850">
          <cell r="A850">
            <v>1539</v>
          </cell>
          <cell r="C850">
            <v>1120.48</v>
          </cell>
        </row>
        <row r="851">
          <cell r="A851">
            <v>1540</v>
          </cell>
          <cell r="C851">
            <v>1289.5374999999999</v>
          </cell>
        </row>
        <row r="852">
          <cell r="A852">
            <v>1542</v>
          </cell>
          <cell r="C852">
            <v>1440.7166666666999</v>
          </cell>
        </row>
        <row r="853">
          <cell r="A853">
            <v>1546</v>
          </cell>
          <cell r="C853">
            <v>1535.4916666667</v>
          </cell>
        </row>
        <row r="854">
          <cell r="A854">
            <v>1548</v>
          </cell>
          <cell r="C854">
            <v>1293.25</v>
          </cell>
        </row>
        <row r="855">
          <cell r="A855">
            <v>1550</v>
          </cell>
          <cell r="C855">
            <v>1288.5875000000001</v>
          </cell>
        </row>
        <row r="856">
          <cell r="A856">
            <v>1551</v>
          </cell>
          <cell r="C856">
            <v>1245.2750000000001</v>
          </cell>
        </row>
        <row r="857">
          <cell r="A857">
            <v>1552</v>
          </cell>
          <cell r="C857">
            <v>1238.0250000000001</v>
          </cell>
        </row>
        <row r="858">
          <cell r="A858">
            <v>1553</v>
          </cell>
          <cell r="C858">
            <v>1196.6541666666999</v>
          </cell>
        </row>
        <row r="859">
          <cell r="A859">
            <v>1555</v>
          </cell>
          <cell r="C859">
            <v>996</v>
          </cell>
        </row>
        <row r="860">
          <cell r="A860">
            <v>1557</v>
          </cell>
          <cell r="C860">
            <v>1243.7708333333001</v>
          </cell>
        </row>
        <row r="861">
          <cell r="A861">
            <v>1559</v>
          </cell>
          <cell r="C861">
            <v>1324.3458333333001</v>
          </cell>
        </row>
        <row r="862">
          <cell r="A862">
            <v>1560</v>
          </cell>
          <cell r="C862">
            <v>1481.7291666666999</v>
          </cell>
        </row>
        <row r="863">
          <cell r="A863">
            <v>1561</v>
          </cell>
          <cell r="C863">
            <v>1360.6916666667</v>
          </cell>
        </row>
        <row r="864">
          <cell r="A864">
            <v>1562</v>
          </cell>
          <cell r="C864">
            <v>1341.3875</v>
          </cell>
        </row>
        <row r="865">
          <cell r="A865">
            <v>1563</v>
          </cell>
          <cell r="C865">
            <v>1463.1583333333001</v>
          </cell>
        </row>
        <row r="866">
          <cell r="A866">
            <v>1566</v>
          </cell>
          <cell r="C866">
            <v>1352.7375</v>
          </cell>
        </row>
        <row r="867">
          <cell r="A867">
            <v>1568</v>
          </cell>
          <cell r="C867">
            <v>1312.8916666667001</v>
          </cell>
        </row>
        <row r="868">
          <cell r="A868">
            <v>1570</v>
          </cell>
          <cell r="C868">
            <v>1279.2333333332999</v>
          </cell>
        </row>
        <row r="869">
          <cell r="A869">
            <v>1572</v>
          </cell>
          <cell r="C869">
            <v>1341.7958333332999</v>
          </cell>
        </row>
        <row r="870">
          <cell r="A870">
            <v>1573</v>
          </cell>
          <cell r="C870">
            <v>1042.8800000000001</v>
          </cell>
        </row>
        <row r="871">
          <cell r="A871">
            <v>1574</v>
          </cell>
          <cell r="C871">
            <v>1161.9458333333</v>
          </cell>
        </row>
        <row r="872">
          <cell r="A872">
            <v>1575</v>
          </cell>
          <cell r="C872">
            <v>1341.9333333333</v>
          </cell>
        </row>
        <row r="873">
          <cell r="A873">
            <v>1576</v>
          </cell>
          <cell r="C873">
            <v>996.5</v>
          </cell>
        </row>
        <row r="874">
          <cell r="A874">
            <v>1577</v>
          </cell>
          <cell r="C874">
            <v>1378.6</v>
          </cell>
        </row>
        <row r="875">
          <cell r="A875">
            <v>1578</v>
          </cell>
          <cell r="C875">
            <v>1386.9791666666999</v>
          </cell>
        </row>
        <row r="876">
          <cell r="A876">
            <v>1579</v>
          </cell>
          <cell r="C876">
            <v>1416.8</v>
          </cell>
        </row>
        <row r="877">
          <cell r="A877">
            <v>1580</v>
          </cell>
          <cell r="C877">
            <v>1494.7958333332999</v>
          </cell>
        </row>
        <row r="878">
          <cell r="A878">
            <v>1581</v>
          </cell>
          <cell r="C878">
            <v>1289.8499999999999</v>
          </cell>
        </row>
        <row r="879">
          <cell r="A879">
            <v>1582</v>
          </cell>
          <cell r="C879">
            <v>1374.7041666667001</v>
          </cell>
        </row>
        <row r="880">
          <cell r="A880">
            <v>1583</v>
          </cell>
          <cell r="C880">
            <v>1415.7375</v>
          </cell>
        </row>
        <row r="881">
          <cell r="A881">
            <v>1584</v>
          </cell>
          <cell r="C881">
            <v>1280.825</v>
          </cell>
        </row>
        <row r="882">
          <cell r="A882">
            <v>1585</v>
          </cell>
          <cell r="C882">
            <v>1308.7125000000001</v>
          </cell>
        </row>
        <row r="883">
          <cell r="A883">
            <v>1586</v>
          </cell>
          <cell r="C883">
            <v>1471.4583333333001</v>
          </cell>
        </row>
        <row r="884">
          <cell r="A884">
            <v>1587</v>
          </cell>
          <cell r="C884">
            <v>1336.075</v>
          </cell>
        </row>
        <row r="885">
          <cell r="A885">
            <v>1588</v>
          </cell>
          <cell r="C885">
            <v>1423.0166666667001</v>
          </cell>
        </row>
        <row r="886">
          <cell r="A886">
            <v>1589</v>
          </cell>
          <cell r="C886">
            <v>1309.7041666667001</v>
          </cell>
        </row>
        <row r="887">
          <cell r="A887">
            <v>1590</v>
          </cell>
          <cell r="C887">
            <v>1414.2458333333</v>
          </cell>
        </row>
        <row r="888">
          <cell r="A888">
            <v>1591</v>
          </cell>
          <cell r="C888">
            <v>1303.175</v>
          </cell>
        </row>
        <row r="889">
          <cell r="A889">
            <v>1593</v>
          </cell>
          <cell r="C889">
            <v>1498.0250000000001</v>
          </cell>
        </row>
        <row r="890">
          <cell r="A890">
            <v>1594</v>
          </cell>
          <cell r="C890">
            <v>1365.3666666667</v>
          </cell>
        </row>
        <row r="891">
          <cell r="A891">
            <v>1595</v>
          </cell>
          <cell r="C891">
            <v>1251.1166666667</v>
          </cell>
        </row>
        <row r="892">
          <cell r="A892">
            <v>1596</v>
          </cell>
          <cell r="C892">
            <v>1502.7958333332999</v>
          </cell>
        </row>
        <row r="893">
          <cell r="A893">
            <v>1598</v>
          </cell>
          <cell r="C893">
            <v>1432.3416666666999</v>
          </cell>
        </row>
        <row r="894">
          <cell r="A894">
            <v>1599</v>
          </cell>
          <cell r="C894">
            <v>1248.2458333333</v>
          </cell>
        </row>
        <row r="895">
          <cell r="A895">
            <v>1600</v>
          </cell>
          <cell r="C895">
            <v>1418.1875</v>
          </cell>
        </row>
        <row r="896">
          <cell r="A896">
            <v>1601</v>
          </cell>
          <cell r="C896">
            <v>1426.0791666667001</v>
          </cell>
        </row>
        <row r="897">
          <cell r="A897">
            <v>1602</v>
          </cell>
          <cell r="C897">
            <v>1377.7791666666999</v>
          </cell>
        </row>
        <row r="898">
          <cell r="A898">
            <v>1603</v>
          </cell>
          <cell r="C898">
            <v>1367.6333333333</v>
          </cell>
        </row>
        <row r="899">
          <cell r="A899">
            <v>1604</v>
          </cell>
          <cell r="C899">
            <v>1555.0916666666999</v>
          </cell>
        </row>
        <row r="900">
          <cell r="A900">
            <v>1606</v>
          </cell>
          <cell r="C900">
            <v>1439.4291666667</v>
          </cell>
        </row>
        <row r="901">
          <cell r="A901">
            <v>1607</v>
          </cell>
          <cell r="C901">
            <v>1194.6500000000001</v>
          </cell>
        </row>
        <row r="902">
          <cell r="A902">
            <v>1611</v>
          </cell>
          <cell r="C902">
            <v>1504.3333333333001</v>
          </cell>
        </row>
        <row r="903">
          <cell r="A903">
            <v>1612</v>
          </cell>
          <cell r="C903">
            <v>1304.4333333333</v>
          </cell>
        </row>
        <row r="904">
          <cell r="A904">
            <v>1613</v>
          </cell>
          <cell r="C904">
            <v>1324.5958333333001</v>
          </cell>
        </row>
        <row r="905">
          <cell r="A905">
            <v>1614</v>
          </cell>
          <cell r="C905">
            <v>1195.3499999999999</v>
          </cell>
        </row>
        <row r="906">
          <cell r="A906">
            <v>1616</v>
          </cell>
          <cell r="C906">
            <v>1148.28</v>
          </cell>
        </row>
        <row r="907">
          <cell r="A907">
            <v>1617</v>
          </cell>
          <cell r="C907">
            <v>1274.0791666667001</v>
          </cell>
        </row>
        <row r="908">
          <cell r="A908">
            <v>1619</v>
          </cell>
          <cell r="C908">
            <v>1556.15</v>
          </cell>
        </row>
        <row r="909">
          <cell r="A909">
            <v>1633</v>
          </cell>
          <cell r="C909">
            <v>1238.8083333333</v>
          </cell>
        </row>
        <row r="910">
          <cell r="A910">
            <v>1634</v>
          </cell>
          <cell r="C910">
            <v>1024.08</v>
          </cell>
        </row>
        <row r="911">
          <cell r="A911">
            <v>1635</v>
          </cell>
          <cell r="C911">
            <v>1369.7874999999999</v>
          </cell>
        </row>
        <row r="912">
          <cell r="A912">
            <v>1636</v>
          </cell>
          <cell r="C912">
            <v>1105.6291666667</v>
          </cell>
        </row>
        <row r="913">
          <cell r="A913">
            <v>1637</v>
          </cell>
          <cell r="C913">
            <v>1406.7375</v>
          </cell>
        </row>
        <row r="914">
          <cell r="A914">
            <v>1638</v>
          </cell>
          <cell r="C914">
            <v>1189.4541666667001</v>
          </cell>
        </row>
        <row r="915">
          <cell r="A915">
            <v>1639</v>
          </cell>
          <cell r="C915">
            <v>1151.5250000000001</v>
          </cell>
        </row>
        <row r="916">
          <cell r="A916">
            <v>1640</v>
          </cell>
          <cell r="C916">
            <v>1236.98</v>
          </cell>
        </row>
        <row r="917">
          <cell r="A917">
            <v>1645</v>
          </cell>
          <cell r="C917">
            <v>1391.45</v>
          </cell>
        </row>
        <row r="918">
          <cell r="A918">
            <v>1648</v>
          </cell>
          <cell r="C918">
            <v>1263.3333333333001</v>
          </cell>
        </row>
        <row r="919">
          <cell r="A919">
            <v>1655</v>
          </cell>
          <cell r="C919">
            <v>1451.1166666667</v>
          </cell>
        </row>
        <row r="920">
          <cell r="A920">
            <v>1656</v>
          </cell>
          <cell r="C920">
            <v>1385.6125</v>
          </cell>
        </row>
        <row r="921">
          <cell r="A921">
            <v>1657</v>
          </cell>
          <cell r="C921">
            <v>1406.7333333332999</v>
          </cell>
        </row>
        <row r="922">
          <cell r="A922">
            <v>1658</v>
          </cell>
          <cell r="C922">
            <v>1399</v>
          </cell>
        </row>
        <row r="923">
          <cell r="A923">
            <v>1661</v>
          </cell>
          <cell r="C923">
            <v>1432.0875000000001</v>
          </cell>
        </row>
        <row r="924">
          <cell r="A924">
            <v>1663</v>
          </cell>
          <cell r="C924">
            <v>1035.56</v>
          </cell>
        </row>
        <row r="925">
          <cell r="A925">
            <v>1664</v>
          </cell>
          <cell r="C925">
            <v>1241.0583333333</v>
          </cell>
        </row>
        <row r="926">
          <cell r="A926">
            <v>1665</v>
          </cell>
          <cell r="C926">
            <v>1438.3208333333</v>
          </cell>
        </row>
        <row r="927">
          <cell r="A927">
            <v>1666</v>
          </cell>
          <cell r="C927">
            <v>1322.6583333333001</v>
          </cell>
        </row>
        <row r="928">
          <cell r="A928">
            <v>1667</v>
          </cell>
          <cell r="C928">
            <v>1396.7583333333</v>
          </cell>
        </row>
        <row r="929">
          <cell r="A929">
            <v>1668</v>
          </cell>
          <cell r="C929">
            <v>1488.3791666667</v>
          </cell>
        </row>
        <row r="930">
          <cell r="A930">
            <v>1669</v>
          </cell>
          <cell r="C930">
            <v>1009.22</v>
          </cell>
        </row>
        <row r="931">
          <cell r="A931">
            <v>1670</v>
          </cell>
          <cell r="C931">
            <v>1439.7208333333001</v>
          </cell>
        </row>
        <row r="932">
          <cell r="A932">
            <v>1671</v>
          </cell>
          <cell r="C932">
            <v>993</v>
          </cell>
        </row>
        <row r="933">
          <cell r="A933">
            <v>1672</v>
          </cell>
          <cell r="C933">
            <v>1088.69</v>
          </cell>
        </row>
        <row r="934">
          <cell r="A934">
            <v>1673</v>
          </cell>
          <cell r="C934">
            <v>1522.0958333333001</v>
          </cell>
        </row>
        <row r="935">
          <cell r="A935">
            <v>1674</v>
          </cell>
          <cell r="C935">
            <v>1194.925</v>
          </cell>
        </row>
        <row r="936">
          <cell r="A936">
            <v>1675</v>
          </cell>
          <cell r="C936">
            <v>1382.4708333333001</v>
          </cell>
        </row>
        <row r="937">
          <cell r="A937">
            <v>1676</v>
          </cell>
          <cell r="C937">
            <v>1384.1958333333</v>
          </cell>
        </row>
        <row r="938">
          <cell r="A938">
            <v>1677</v>
          </cell>
          <cell r="C938">
            <v>1370.11</v>
          </cell>
        </row>
        <row r="939">
          <cell r="A939">
            <v>1680</v>
          </cell>
          <cell r="C939">
            <v>995.13</v>
          </cell>
        </row>
        <row r="940">
          <cell r="A940">
            <v>1683</v>
          </cell>
          <cell r="C940">
            <v>1167.8</v>
          </cell>
        </row>
        <row r="941">
          <cell r="A941">
            <v>1684</v>
          </cell>
          <cell r="C941" t="str">
            <v>راسب</v>
          </cell>
        </row>
        <row r="942">
          <cell r="A942">
            <v>1688</v>
          </cell>
          <cell r="C942">
            <v>1279.7874999999999</v>
          </cell>
        </row>
        <row r="943">
          <cell r="A943">
            <v>1690</v>
          </cell>
          <cell r="C943">
            <v>1307.7333333332999</v>
          </cell>
        </row>
        <row r="944">
          <cell r="A944">
            <v>1695</v>
          </cell>
          <cell r="C944">
            <v>1372.5</v>
          </cell>
        </row>
        <row r="945">
          <cell r="A945">
            <v>1696</v>
          </cell>
          <cell r="C945">
            <v>1364.7125000000001</v>
          </cell>
        </row>
        <row r="946">
          <cell r="A946">
            <v>1702</v>
          </cell>
          <cell r="C946">
            <v>1429.0583333333</v>
          </cell>
        </row>
        <row r="947">
          <cell r="A947">
            <v>1704</v>
          </cell>
          <cell r="C947">
            <v>1512.1791666667</v>
          </cell>
        </row>
        <row r="948">
          <cell r="A948">
            <v>1707</v>
          </cell>
          <cell r="C948">
            <v>1123.8208333333</v>
          </cell>
        </row>
        <row r="949">
          <cell r="A949">
            <v>1710</v>
          </cell>
          <cell r="C949">
            <v>1059.4166666666999</v>
          </cell>
        </row>
        <row r="950">
          <cell r="A950">
            <v>1711</v>
          </cell>
          <cell r="C950">
            <v>1164.1500000000001</v>
          </cell>
        </row>
        <row r="951">
          <cell r="A951">
            <v>1714</v>
          </cell>
          <cell r="C951">
            <v>1515.7166666666999</v>
          </cell>
        </row>
        <row r="952">
          <cell r="A952">
            <v>1715</v>
          </cell>
          <cell r="C952">
            <v>1496.9541666667001</v>
          </cell>
        </row>
        <row r="953">
          <cell r="A953">
            <v>1717</v>
          </cell>
          <cell r="C953">
            <v>1244.0125</v>
          </cell>
        </row>
        <row r="954">
          <cell r="A954">
            <v>1718</v>
          </cell>
          <cell r="C954">
            <v>1210.9708333333001</v>
          </cell>
        </row>
        <row r="955">
          <cell r="A955">
            <v>1721</v>
          </cell>
          <cell r="C955">
            <v>1264.25</v>
          </cell>
        </row>
        <row r="956">
          <cell r="A956">
            <v>1722</v>
          </cell>
          <cell r="C956">
            <v>1329.8833333333</v>
          </cell>
        </row>
        <row r="957">
          <cell r="A957">
            <v>1723</v>
          </cell>
          <cell r="C957">
            <v>1287.2958333332999</v>
          </cell>
        </row>
        <row r="958">
          <cell r="A958">
            <v>1724</v>
          </cell>
          <cell r="C958" t="str">
            <v>راسب</v>
          </cell>
        </row>
        <row r="959">
          <cell r="A959">
            <v>1728</v>
          </cell>
          <cell r="C959">
            <v>1025.5</v>
          </cell>
        </row>
        <row r="960">
          <cell r="A960">
            <v>1729</v>
          </cell>
          <cell r="C960">
            <v>1193.3708333333</v>
          </cell>
        </row>
        <row r="961">
          <cell r="A961">
            <v>1730</v>
          </cell>
          <cell r="C961">
            <v>1003</v>
          </cell>
        </row>
        <row r="962">
          <cell r="A962">
            <v>1731</v>
          </cell>
          <cell r="C962">
            <v>1142.6833333333</v>
          </cell>
        </row>
        <row r="963">
          <cell r="A963">
            <v>1732</v>
          </cell>
          <cell r="C963">
            <v>1540.5958333333001</v>
          </cell>
        </row>
        <row r="964">
          <cell r="A964">
            <v>1733</v>
          </cell>
          <cell r="C964">
            <v>1499.7708333333001</v>
          </cell>
        </row>
        <row r="965">
          <cell r="A965">
            <v>1734</v>
          </cell>
          <cell r="C965">
            <v>1417.7666666667001</v>
          </cell>
        </row>
        <row r="966">
          <cell r="A966">
            <v>1735</v>
          </cell>
          <cell r="C966">
            <v>1289.8916666667001</v>
          </cell>
        </row>
        <row r="967">
          <cell r="A967">
            <v>1736</v>
          </cell>
          <cell r="C967">
            <v>1354.2625</v>
          </cell>
        </row>
        <row r="968">
          <cell r="A968">
            <v>1737</v>
          </cell>
          <cell r="C968">
            <v>1396.6</v>
          </cell>
        </row>
        <row r="969">
          <cell r="A969">
            <v>1739</v>
          </cell>
          <cell r="C969">
            <v>1387.75</v>
          </cell>
        </row>
        <row r="970">
          <cell r="A970">
            <v>1740</v>
          </cell>
          <cell r="C970">
            <v>1100.19</v>
          </cell>
        </row>
        <row r="971">
          <cell r="A971">
            <v>1741</v>
          </cell>
          <cell r="C971">
            <v>1425.0916666666999</v>
          </cell>
        </row>
        <row r="972">
          <cell r="A972">
            <v>1742</v>
          </cell>
          <cell r="C972">
            <v>1400.875</v>
          </cell>
        </row>
        <row r="973">
          <cell r="A973">
            <v>1743</v>
          </cell>
          <cell r="C973">
            <v>1388.575</v>
          </cell>
        </row>
        <row r="974">
          <cell r="A974">
            <v>1745</v>
          </cell>
          <cell r="C974">
            <v>1466.825</v>
          </cell>
        </row>
        <row r="975">
          <cell r="A975">
            <v>1748</v>
          </cell>
          <cell r="C975">
            <v>1333.3583333332999</v>
          </cell>
        </row>
        <row r="976">
          <cell r="A976">
            <v>1749</v>
          </cell>
          <cell r="C976">
            <v>1278.9333333333</v>
          </cell>
        </row>
        <row r="977">
          <cell r="A977">
            <v>1752</v>
          </cell>
          <cell r="C977">
            <v>999</v>
          </cell>
        </row>
        <row r="978">
          <cell r="A978">
            <v>1755</v>
          </cell>
          <cell r="C978">
            <v>1537.1333333333</v>
          </cell>
        </row>
        <row r="979">
          <cell r="A979">
            <v>1756</v>
          </cell>
          <cell r="C979">
            <v>1523.9666666666999</v>
          </cell>
        </row>
        <row r="980">
          <cell r="A980">
            <v>1757</v>
          </cell>
          <cell r="C980">
            <v>1367.825</v>
          </cell>
        </row>
        <row r="981">
          <cell r="A981">
            <v>1758</v>
          </cell>
          <cell r="C981">
            <v>1386.3</v>
          </cell>
        </row>
        <row r="982">
          <cell r="A982">
            <v>1759</v>
          </cell>
          <cell r="C982" t="str">
            <v>راسب</v>
          </cell>
        </row>
        <row r="983">
          <cell r="A983">
            <v>1760</v>
          </cell>
          <cell r="C983">
            <v>1049.5</v>
          </cell>
        </row>
        <row r="984">
          <cell r="A984">
            <v>1761</v>
          </cell>
          <cell r="C984">
            <v>1108.69</v>
          </cell>
        </row>
        <row r="985">
          <cell r="A985">
            <v>1764</v>
          </cell>
          <cell r="C985">
            <v>1211.2583333333</v>
          </cell>
        </row>
        <row r="986">
          <cell r="A986">
            <v>1765</v>
          </cell>
          <cell r="C986">
            <v>1351.7625</v>
          </cell>
        </row>
        <row r="987">
          <cell r="A987">
            <v>1766</v>
          </cell>
          <cell r="C987">
            <v>1496.8541666666999</v>
          </cell>
        </row>
        <row r="988">
          <cell r="A988">
            <v>1767</v>
          </cell>
          <cell r="C988">
            <v>1520.0083333333</v>
          </cell>
        </row>
        <row r="989">
          <cell r="A989">
            <v>1768</v>
          </cell>
          <cell r="C989">
            <v>1497.8166666667</v>
          </cell>
        </row>
        <row r="990">
          <cell r="A990">
            <v>1769</v>
          </cell>
          <cell r="C990">
            <v>1343.1833333333</v>
          </cell>
        </row>
        <row r="991">
          <cell r="A991">
            <v>1770</v>
          </cell>
          <cell r="C991">
            <v>1228.8833333333</v>
          </cell>
        </row>
        <row r="992">
          <cell r="A992">
            <v>1771</v>
          </cell>
          <cell r="C992">
            <v>1091.96</v>
          </cell>
        </row>
        <row r="993">
          <cell r="A993">
            <v>1776</v>
          </cell>
          <cell r="C993">
            <v>1510.3416666666999</v>
          </cell>
        </row>
        <row r="994">
          <cell r="A994">
            <v>1777</v>
          </cell>
          <cell r="C994" t="str">
            <v>غ</v>
          </cell>
        </row>
        <row r="995">
          <cell r="A995">
            <v>1778</v>
          </cell>
          <cell r="C995">
            <v>1472.4083333333001</v>
          </cell>
        </row>
        <row r="996">
          <cell r="A996">
            <v>1780</v>
          </cell>
          <cell r="C996">
            <v>1403.3666666667</v>
          </cell>
        </row>
        <row r="997">
          <cell r="A997">
            <v>1782</v>
          </cell>
          <cell r="C997">
            <v>1330.875</v>
          </cell>
        </row>
        <row r="998">
          <cell r="A998">
            <v>1783</v>
          </cell>
          <cell r="C998">
            <v>1344.7208333333001</v>
          </cell>
        </row>
        <row r="999">
          <cell r="A999">
            <v>1784</v>
          </cell>
          <cell r="C999">
            <v>1291.5708333333</v>
          </cell>
        </row>
        <row r="1000">
          <cell r="A1000">
            <v>1785</v>
          </cell>
          <cell r="C1000">
            <v>1241.4458333333</v>
          </cell>
        </row>
        <row r="1001">
          <cell r="A1001">
            <v>1786</v>
          </cell>
          <cell r="C1001">
            <v>1405.5875000000001</v>
          </cell>
        </row>
        <row r="1002">
          <cell r="A1002">
            <v>1788</v>
          </cell>
          <cell r="C1002">
            <v>1448.0708333333</v>
          </cell>
        </row>
        <row r="1003">
          <cell r="A1003">
            <v>1789</v>
          </cell>
          <cell r="C1003">
            <v>1432.95</v>
          </cell>
        </row>
        <row r="1004">
          <cell r="A1004">
            <v>1790</v>
          </cell>
          <cell r="C1004">
            <v>1436.7874999999999</v>
          </cell>
        </row>
        <row r="1005">
          <cell r="A1005">
            <v>1791</v>
          </cell>
          <cell r="C1005">
            <v>1378.2833333333001</v>
          </cell>
        </row>
        <row r="1006">
          <cell r="A1006">
            <v>1792</v>
          </cell>
          <cell r="C1006">
            <v>1299.6708333332999</v>
          </cell>
        </row>
        <row r="1007">
          <cell r="A1007">
            <v>1793</v>
          </cell>
          <cell r="C1007">
            <v>1538.4041666666999</v>
          </cell>
        </row>
        <row r="1008">
          <cell r="A1008">
            <v>1794</v>
          </cell>
          <cell r="C1008">
            <v>1064.6500000000001</v>
          </cell>
        </row>
        <row r="1009">
          <cell r="A1009">
            <v>1795</v>
          </cell>
          <cell r="C1009">
            <v>1303.7125000000001</v>
          </cell>
        </row>
        <row r="1010">
          <cell r="A1010">
            <v>1796</v>
          </cell>
          <cell r="C1010">
            <v>1463.85</v>
          </cell>
        </row>
        <row r="1011">
          <cell r="A1011">
            <v>1797</v>
          </cell>
          <cell r="C1011">
            <v>1483.4333333333</v>
          </cell>
        </row>
        <row r="1012">
          <cell r="A1012">
            <v>1798</v>
          </cell>
          <cell r="C1012">
            <v>1558.5</v>
          </cell>
        </row>
        <row r="1013">
          <cell r="A1013">
            <v>1799</v>
          </cell>
          <cell r="C1013">
            <v>1347.1958333333</v>
          </cell>
        </row>
        <row r="1014">
          <cell r="A1014">
            <v>1801</v>
          </cell>
          <cell r="C1014">
            <v>1471.0208333333001</v>
          </cell>
        </row>
        <row r="1015">
          <cell r="A1015">
            <v>1803</v>
          </cell>
          <cell r="C1015">
            <v>1001</v>
          </cell>
        </row>
        <row r="1016">
          <cell r="A1016">
            <v>1804</v>
          </cell>
          <cell r="C1016">
            <v>1409.3375000000001</v>
          </cell>
        </row>
        <row r="1017">
          <cell r="A1017">
            <v>1805</v>
          </cell>
          <cell r="C1017">
            <v>1502.4916666667</v>
          </cell>
        </row>
        <row r="1018">
          <cell r="A1018">
            <v>1806</v>
          </cell>
          <cell r="C1018">
            <v>1481.8708333333</v>
          </cell>
        </row>
        <row r="1019">
          <cell r="A1019">
            <v>1808</v>
          </cell>
          <cell r="C1019">
            <v>1312.9</v>
          </cell>
        </row>
        <row r="1020">
          <cell r="A1020">
            <v>1809</v>
          </cell>
          <cell r="C1020">
            <v>1209.8791666667</v>
          </cell>
        </row>
        <row r="1021">
          <cell r="A1021">
            <v>1816</v>
          </cell>
          <cell r="C1021">
            <v>1426.7333333332999</v>
          </cell>
        </row>
        <row r="1022">
          <cell r="A1022">
            <v>1817</v>
          </cell>
          <cell r="C1022">
            <v>1355.3208333333</v>
          </cell>
        </row>
        <row r="1023">
          <cell r="A1023">
            <v>1818</v>
          </cell>
          <cell r="C1023">
            <v>1417.6291666667</v>
          </cell>
        </row>
        <row r="1024">
          <cell r="A1024">
            <v>1824</v>
          </cell>
          <cell r="C1024">
            <v>1546</v>
          </cell>
        </row>
        <row r="1025">
          <cell r="A1025">
            <v>1830</v>
          </cell>
          <cell r="C1025">
            <v>1245.875</v>
          </cell>
        </row>
        <row r="1026">
          <cell r="A1026">
            <v>1831</v>
          </cell>
          <cell r="C1026">
            <v>1561.9</v>
          </cell>
        </row>
        <row r="1027">
          <cell r="A1027">
            <v>1832</v>
          </cell>
          <cell r="C1027">
            <v>1530.5083333333</v>
          </cell>
        </row>
        <row r="1028">
          <cell r="A1028">
            <v>1833</v>
          </cell>
          <cell r="C1028">
            <v>1186.7041666667001</v>
          </cell>
        </row>
        <row r="1029">
          <cell r="A1029">
            <v>1835</v>
          </cell>
          <cell r="C1029">
            <v>1278.1416666667001</v>
          </cell>
        </row>
        <row r="1030">
          <cell r="A1030">
            <v>1836</v>
          </cell>
          <cell r="C1030">
            <v>1387.1791666667</v>
          </cell>
        </row>
        <row r="1031">
          <cell r="A1031">
            <v>1840</v>
          </cell>
          <cell r="C1031">
            <v>1479.9375</v>
          </cell>
        </row>
        <row r="1032">
          <cell r="A1032">
            <v>1843</v>
          </cell>
          <cell r="C1032">
            <v>1181.4583333333001</v>
          </cell>
        </row>
        <row r="1033">
          <cell r="A1033">
            <v>1844</v>
          </cell>
          <cell r="C1033">
            <v>1405.6583333333001</v>
          </cell>
        </row>
        <row r="1034">
          <cell r="A1034">
            <v>1845</v>
          </cell>
          <cell r="C1034">
            <v>1426.2916666666999</v>
          </cell>
        </row>
        <row r="1035">
          <cell r="A1035">
            <v>1847</v>
          </cell>
          <cell r="C1035">
            <v>1209.7416666667</v>
          </cell>
        </row>
        <row r="1036">
          <cell r="A1036">
            <v>1852</v>
          </cell>
          <cell r="C1036">
            <v>1093.6541666666999</v>
          </cell>
        </row>
        <row r="1037">
          <cell r="A1037">
            <v>1853</v>
          </cell>
          <cell r="C1037">
            <v>1193.7125000000001</v>
          </cell>
        </row>
        <row r="1038">
          <cell r="A1038">
            <v>1855</v>
          </cell>
          <cell r="C1038">
            <v>1453.2166666666999</v>
          </cell>
        </row>
        <row r="1039">
          <cell r="A1039">
            <v>1856</v>
          </cell>
          <cell r="C1039">
            <v>1398.675</v>
          </cell>
        </row>
        <row r="1040">
          <cell r="A1040">
            <v>1857</v>
          </cell>
          <cell r="C1040">
            <v>1270.4625000000001</v>
          </cell>
        </row>
        <row r="1041">
          <cell r="A1041">
            <v>1858</v>
          </cell>
          <cell r="C1041">
            <v>1265.9458333333</v>
          </cell>
        </row>
        <row r="1042">
          <cell r="A1042">
            <v>1860</v>
          </cell>
          <cell r="C1042">
            <v>1143.4291666667</v>
          </cell>
        </row>
        <row r="1043">
          <cell r="A1043">
            <v>1861</v>
          </cell>
          <cell r="C1043">
            <v>1399.3291666667001</v>
          </cell>
        </row>
        <row r="1044">
          <cell r="A1044">
            <v>1862</v>
          </cell>
          <cell r="C1044">
            <v>1420.5</v>
          </cell>
        </row>
        <row r="1045">
          <cell r="A1045">
            <v>1863</v>
          </cell>
          <cell r="C1045">
            <v>1012.5</v>
          </cell>
        </row>
        <row r="1046">
          <cell r="A1046">
            <v>1865</v>
          </cell>
          <cell r="C1046">
            <v>1353.3875</v>
          </cell>
        </row>
        <row r="1047">
          <cell r="A1047">
            <v>1866</v>
          </cell>
          <cell r="C1047">
            <v>1414.7958333332999</v>
          </cell>
        </row>
        <row r="1048">
          <cell r="A1048">
            <v>1867</v>
          </cell>
          <cell r="C1048">
            <v>1277.4916666667</v>
          </cell>
        </row>
        <row r="1049">
          <cell r="A1049">
            <v>1869</v>
          </cell>
          <cell r="C1049">
            <v>1380.0916666666999</v>
          </cell>
        </row>
        <row r="1050">
          <cell r="A1050">
            <v>1870</v>
          </cell>
          <cell r="C1050">
            <v>1445.7208333333001</v>
          </cell>
        </row>
        <row r="1051">
          <cell r="A1051">
            <v>1871</v>
          </cell>
          <cell r="C1051">
            <v>1121.97</v>
          </cell>
        </row>
        <row r="1052">
          <cell r="A1052">
            <v>1872</v>
          </cell>
          <cell r="C1052">
            <v>1393.9875</v>
          </cell>
        </row>
        <row r="1053">
          <cell r="A1053">
            <v>1873</v>
          </cell>
          <cell r="C1053">
            <v>1255.3208333333</v>
          </cell>
        </row>
        <row r="1054">
          <cell r="A1054">
            <v>1878</v>
          </cell>
          <cell r="C1054">
            <v>1220.8041666667</v>
          </cell>
        </row>
        <row r="1055">
          <cell r="A1055">
            <v>1890</v>
          </cell>
          <cell r="C1055">
            <v>1542.15</v>
          </cell>
        </row>
        <row r="1056">
          <cell r="A1056">
            <v>1891</v>
          </cell>
          <cell r="C1056">
            <v>1102.8499999999999</v>
          </cell>
        </row>
        <row r="1057">
          <cell r="A1057">
            <v>1892</v>
          </cell>
          <cell r="C1057">
            <v>1556.6333333333</v>
          </cell>
        </row>
        <row r="1058">
          <cell r="A1058">
            <v>1893</v>
          </cell>
          <cell r="C1058">
            <v>1302.1166666667</v>
          </cell>
        </row>
        <row r="1059">
          <cell r="A1059">
            <v>1894</v>
          </cell>
          <cell r="C1059">
            <v>1336.2708333333001</v>
          </cell>
        </row>
        <row r="1060">
          <cell r="A1060">
            <v>1895</v>
          </cell>
          <cell r="C1060">
            <v>1453.9375</v>
          </cell>
        </row>
        <row r="1061">
          <cell r="A1061">
            <v>1896</v>
          </cell>
          <cell r="C1061">
            <v>1257.5291666666999</v>
          </cell>
        </row>
        <row r="1062">
          <cell r="A1062">
            <v>1897</v>
          </cell>
          <cell r="C1062">
            <v>1229.3291666667001</v>
          </cell>
        </row>
        <row r="1063">
          <cell r="A1063">
            <v>1900</v>
          </cell>
          <cell r="C1063">
            <v>1426.4708333333001</v>
          </cell>
        </row>
        <row r="1064">
          <cell r="A1064">
            <v>1901</v>
          </cell>
          <cell r="C1064">
            <v>1464.0291666666999</v>
          </cell>
        </row>
        <row r="1065">
          <cell r="A1065">
            <v>1902</v>
          </cell>
          <cell r="C1065">
            <v>1209.25</v>
          </cell>
        </row>
        <row r="1066">
          <cell r="A1066">
            <v>1903</v>
          </cell>
          <cell r="C1066">
            <v>1316.3416666666999</v>
          </cell>
        </row>
        <row r="1067">
          <cell r="A1067">
            <v>1904</v>
          </cell>
          <cell r="C1067">
            <v>1569.1125</v>
          </cell>
        </row>
        <row r="1068">
          <cell r="A1068">
            <v>1905</v>
          </cell>
          <cell r="C1068">
            <v>1355.3208333333</v>
          </cell>
        </row>
        <row r="1069">
          <cell r="A1069">
            <v>1906</v>
          </cell>
          <cell r="C1069" t="str">
            <v>value</v>
          </cell>
        </row>
        <row r="1070">
          <cell r="A1070">
            <v>1907</v>
          </cell>
          <cell r="C1070">
            <v>1352.9458333333</v>
          </cell>
        </row>
        <row r="1071">
          <cell r="A1071">
            <v>1908</v>
          </cell>
          <cell r="C1071">
            <v>1269.1583333333001</v>
          </cell>
        </row>
        <row r="1072">
          <cell r="A1072">
            <v>1910</v>
          </cell>
          <cell r="C1072">
            <v>1537.0041666667</v>
          </cell>
        </row>
        <row r="1073">
          <cell r="A1073">
            <v>1911</v>
          </cell>
          <cell r="C1073">
            <v>1560.0875000000001</v>
          </cell>
        </row>
        <row r="1074">
          <cell r="A1074">
            <v>1912</v>
          </cell>
          <cell r="C1074">
            <v>1132.45</v>
          </cell>
        </row>
        <row r="1075">
          <cell r="A1075">
            <v>1916</v>
          </cell>
          <cell r="C1075">
            <v>1448.8958333333001</v>
          </cell>
        </row>
        <row r="1076">
          <cell r="A1076">
            <v>1917</v>
          </cell>
          <cell r="C1076">
            <v>1204.2541666667</v>
          </cell>
        </row>
        <row r="1077">
          <cell r="A1077">
            <v>1919</v>
          </cell>
          <cell r="C1077">
            <v>1441.1708333332999</v>
          </cell>
        </row>
        <row r="1078">
          <cell r="A1078">
            <v>1920</v>
          </cell>
          <cell r="C1078">
            <v>1483.325</v>
          </cell>
        </row>
        <row r="1079">
          <cell r="A1079">
            <v>1922</v>
          </cell>
          <cell r="C1079">
            <v>1292.3125</v>
          </cell>
        </row>
        <row r="1080">
          <cell r="A1080">
            <v>1923</v>
          </cell>
          <cell r="C1080">
            <v>1585.1083333332999</v>
          </cell>
        </row>
        <row r="1081">
          <cell r="A1081">
            <v>1927</v>
          </cell>
          <cell r="C1081">
            <v>1448.6333333333</v>
          </cell>
        </row>
        <row r="1082">
          <cell r="A1082">
            <v>2065</v>
          </cell>
          <cell r="C1082">
            <v>1174.72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21-3-1</v>
          </cell>
          <cell r="B1">
            <v>25</v>
          </cell>
          <cell r="C1">
            <v>24</v>
          </cell>
          <cell r="D1">
            <v>45</v>
          </cell>
        </row>
        <row r="2">
          <cell r="A2" t="str">
            <v>21-3-2</v>
          </cell>
          <cell r="B2">
            <v>25</v>
          </cell>
          <cell r="C2">
            <v>22</v>
          </cell>
          <cell r="D2">
            <v>48.5</v>
          </cell>
        </row>
        <row r="3">
          <cell r="A3" t="str">
            <v>21-3-3</v>
          </cell>
          <cell r="B3">
            <v>24</v>
          </cell>
          <cell r="C3">
            <v>22</v>
          </cell>
          <cell r="D3">
            <v>35</v>
          </cell>
        </row>
        <row r="4">
          <cell r="A4" t="str">
            <v>21-3-4</v>
          </cell>
          <cell r="B4">
            <v>25</v>
          </cell>
          <cell r="C4">
            <v>22</v>
          </cell>
          <cell r="D4">
            <v>49</v>
          </cell>
        </row>
        <row r="5">
          <cell r="A5" t="str">
            <v>21-3-5</v>
          </cell>
          <cell r="B5">
            <v>25</v>
          </cell>
          <cell r="C5">
            <v>23</v>
          </cell>
          <cell r="D5">
            <v>49</v>
          </cell>
        </row>
        <row r="6">
          <cell r="A6" t="str">
            <v>21-3-6</v>
          </cell>
          <cell r="B6">
            <v>20</v>
          </cell>
          <cell r="C6">
            <v>18</v>
          </cell>
          <cell r="D6">
            <v>28.5</v>
          </cell>
        </row>
        <row r="7">
          <cell r="A7" t="str">
            <v>21-3-7</v>
          </cell>
          <cell r="B7">
            <v>25</v>
          </cell>
          <cell r="C7">
            <v>22</v>
          </cell>
          <cell r="D7">
            <v>45.5</v>
          </cell>
        </row>
        <row r="8">
          <cell r="A8" t="str">
            <v>21-3-8</v>
          </cell>
          <cell r="B8">
            <v>23</v>
          </cell>
          <cell r="C8">
            <v>22</v>
          </cell>
          <cell r="D8">
            <v>44</v>
          </cell>
        </row>
        <row r="9">
          <cell r="A9" t="str">
            <v>21-3-9</v>
          </cell>
          <cell r="B9">
            <v>23</v>
          </cell>
          <cell r="C9">
            <v>22</v>
          </cell>
          <cell r="D9">
            <v>46</v>
          </cell>
        </row>
        <row r="10">
          <cell r="A10" t="str">
            <v>21-3-10</v>
          </cell>
          <cell r="B10">
            <v>25</v>
          </cell>
          <cell r="C10">
            <v>22</v>
          </cell>
          <cell r="D10">
            <v>44.5</v>
          </cell>
        </row>
        <row r="11">
          <cell r="A11" t="str">
            <v>21-3-11</v>
          </cell>
          <cell r="B11">
            <v>25</v>
          </cell>
          <cell r="C11">
            <v>25</v>
          </cell>
          <cell r="D11">
            <v>47.5</v>
          </cell>
        </row>
        <row r="12">
          <cell r="A12" t="str">
            <v>21-3-13</v>
          </cell>
          <cell r="B12">
            <v>18</v>
          </cell>
          <cell r="C12">
            <v>20</v>
          </cell>
          <cell r="D12">
            <v>34</v>
          </cell>
        </row>
        <row r="13">
          <cell r="A13" t="str">
            <v>21-3-14</v>
          </cell>
          <cell r="B13">
            <v>24</v>
          </cell>
          <cell r="C13">
            <v>24</v>
          </cell>
          <cell r="D13">
            <v>38.5</v>
          </cell>
        </row>
        <row r="14">
          <cell r="A14" t="str">
            <v>21-3-15</v>
          </cell>
          <cell r="B14">
            <v>24</v>
          </cell>
          <cell r="C14">
            <v>24</v>
          </cell>
          <cell r="D14">
            <v>46</v>
          </cell>
        </row>
        <row r="15">
          <cell r="A15" t="str">
            <v>21-3-17</v>
          </cell>
          <cell r="B15">
            <v>24</v>
          </cell>
          <cell r="C15">
            <v>22</v>
          </cell>
          <cell r="D15">
            <v>41</v>
          </cell>
        </row>
        <row r="16">
          <cell r="A16" t="str">
            <v>21-3-18</v>
          </cell>
          <cell r="B16">
            <v>21</v>
          </cell>
          <cell r="C16">
            <v>21</v>
          </cell>
          <cell r="D16">
            <v>28</v>
          </cell>
        </row>
        <row r="17">
          <cell r="A17" t="str">
            <v>21-3-19</v>
          </cell>
          <cell r="B17">
            <v>25</v>
          </cell>
          <cell r="C17">
            <v>23</v>
          </cell>
          <cell r="D17">
            <v>47</v>
          </cell>
        </row>
        <row r="18">
          <cell r="A18" t="str">
            <v>21-3-20</v>
          </cell>
          <cell r="B18">
            <v>25</v>
          </cell>
          <cell r="C18">
            <v>24</v>
          </cell>
          <cell r="D18">
            <v>49.5</v>
          </cell>
        </row>
        <row r="19">
          <cell r="A19" t="str">
            <v>21-3-21</v>
          </cell>
          <cell r="B19">
            <v>23</v>
          </cell>
          <cell r="C19">
            <v>24</v>
          </cell>
          <cell r="D19">
            <v>45.5</v>
          </cell>
        </row>
        <row r="20">
          <cell r="A20" t="str">
            <v>21-3-22</v>
          </cell>
          <cell r="B20">
            <v>17</v>
          </cell>
          <cell r="C20">
            <v>21</v>
          </cell>
          <cell r="D20">
            <v>25.5</v>
          </cell>
        </row>
        <row r="21">
          <cell r="A21" t="str">
            <v>21-3-23</v>
          </cell>
          <cell r="B21">
            <v>25</v>
          </cell>
          <cell r="C21">
            <v>24</v>
          </cell>
          <cell r="D21">
            <v>46.5</v>
          </cell>
        </row>
        <row r="22">
          <cell r="A22" t="str">
            <v>21-3-24</v>
          </cell>
          <cell r="B22">
            <v>23</v>
          </cell>
          <cell r="C22">
            <v>23</v>
          </cell>
          <cell r="D22">
            <v>42.5</v>
          </cell>
        </row>
        <row r="23">
          <cell r="A23" t="str">
            <v>21-3-25</v>
          </cell>
          <cell r="B23">
            <v>25</v>
          </cell>
          <cell r="C23">
            <v>24</v>
          </cell>
          <cell r="D23">
            <v>49.5</v>
          </cell>
        </row>
        <row r="24">
          <cell r="A24" t="str">
            <v>21-3-27</v>
          </cell>
          <cell r="B24">
            <v>24</v>
          </cell>
          <cell r="C24">
            <v>21</v>
          </cell>
          <cell r="D24">
            <v>37</v>
          </cell>
        </row>
        <row r="25">
          <cell r="A25" t="str">
            <v>21-3-28</v>
          </cell>
          <cell r="B25">
            <v>25</v>
          </cell>
          <cell r="C25">
            <v>24</v>
          </cell>
          <cell r="D25">
            <v>41.5</v>
          </cell>
        </row>
        <row r="26">
          <cell r="A26" t="str">
            <v>21-3-29</v>
          </cell>
          <cell r="B26">
            <v>22</v>
          </cell>
          <cell r="C26">
            <v>24</v>
          </cell>
          <cell r="D26">
            <v>28.5</v>
          </cell>
        </row>
        <row r="27">
          <cell r="A27" t="str">
            <v>21-3-30</v>
          </cell>
          <cell r="B27">
            <v>25</v>
          </cell>
          <cell r="C27">
            <v>22</v>
          </cell>
          <cell r="D27">
            <v>41</v>
          </cell>
        </row>
        <row r="28">
          <cell r="A28" t="str">
            <v>21-3-31</v>
          </cell>
          <cell r="B28">
            <v>25</v>
          </cell>
          <cell r="C28">
            <v>23</v>
          </cell>
          <cell r="D28">
            <v>45.5</v>
          </cell>
        </row>
        <row r="29">
          <cell r="A29" t="str">
            <v>21-3-32</v>
          </cell>
          <cell r="B29">
            <v>23</v>
          </cell>
          <cell r="C29">
            <v>22</v>
          </cell>
          <cell r="D29">
            <v>38</v>
          </cell>
        </row>
        <row r="30">
          <cell r="A30" t="str">
            <v>21-3-33</v>
          </cell>
          <cell r="B30">
            <v>23</v>
          </cell>
          <cell r="C30">
            <v>23</v>
          </cell>
          <cell r="D30">
            <v>31.5</v>
          </cell>
        </row>
        <row r="31">
          <cell r="A31" t="str">
            <v>21-3-34</v>
          </cell>
          <cell r="B31">
            <v>25</v>
          </cell>
          <cell r="C31">
            <v>19.5</v>
          </cell>
          <cell r="D31">
            <v>40.5</v>
          </cell>
        </row>
        <row r="32">
          <cell r="A32" t="str">
            <v>21-3-35</v>
          </cell>
          <cell r="B32">
            <v>25</v>
          </cell>
          <cell r="C32">
            <v>25</v>
          </cell>
          <cell r="D32">
            <v>47.5</v>
          </cell>
        </row>
        <row r="33">
          <cell r="A33" t="str">
            <v>21-3-36</v>
          </cell>
          <cell r="B33">
            <v>24</v>
          </cell>
          <cell r="C33">
            <v>21</v>
          </cell>
          <cell r="D33">
            <v>47</v>
          </cell>
        </row>
        <row r="34">
          <cell r="A34" t="str">
            <v>21-3-37</v>
          </cell>
          <cell r="B34">
            <v>24</v>
          </cell>
          <cell r="C34">
            <v>22</v>
          </cell>
          <cell r="D34">
            <v>47</v>
          </cell>
        </row>
        <row r="35">
          <cell r="A35" t="str">
            <v>21-3-133</v>
          </cell>
          <cell r="B35">
            <v>24</v>
          </cell>
          <cell r="C35">
            <v>21</v>
          </cell>
          <cell r="D35">
            <v>41</v>
          </cell>
        </row>
        <row r="36">
          <cell r="A36" t="str">
            <v>21-3-463</v>
          </cell>
          <cell r="B36">
            <v>23</v>
          </cell>
          <cell r="C36">
            <v>22</v>
          </cell>
          <cell r="D36">
            <v>43</v>
          </cell>
        </row>
        <row r="37">
          <cell r="A37" t="str">
            <v>21-3-499</v>
          </cell>
          <cell r="B37">
            <v>20</v>
          </cell>
          <cell r="C37">
            <v>20</v>
          </cell>
          <cell r="D37">
            <v>39.5</v>
          </cell>
        </row>
        <row r="38">
          <cell r="A38" t="str">
            <v>20-3-34</v>
          </cell>
          <cell r="B38">
            <v>24</v>
          </cell>
          <cell r="C38">
            <v>22</v>
          </cell>
          <cell r="D38">
            <v>36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21-3-1</v>
          </cell>
          <cell r="B1">
            <v>24</v>
          </cell>
          <cell r="C1">
            <v>24</v>
          </cell>
          <cell r="D1">
            <v>25</v>
          </cell>
        </row>
        <row r="2">
          <cell r="A2" t="str">
            <v>21-3-2</v>
          </cell>
          <cell r="B2">
            <v>21</v>
          </cell>
          <cell r="C2">
            <v>24</v>
          </cell>
          <cell r="D2">
            <v>23</v>
          </cell>
        </row>
        <row r="3">
          <cell r="A3" t="str">
            <v>21-3-3</v>
          </cell>
          <cell r="B3">
            <v>23</v>
          </cell>
          <cell r="C3">
            <v>25</v>
          </cell>
          <cell r="D3">
            <v>22</v>
          </cell>
        </row>
        <row r="4">
          <cell r="A4" t="str">
            <v>21-3-4</v>
          </cell>
          <cell r="B4">
            <v>24</v>
          </cell>
          <cell r="C4">
            <v>25</v>
          </cell>
          <cell r="D4">
            <v>25</v>
          </cell>
        </row>
        <row r="5">
          <cell r="A5" t="str">
            <v>21-3-5</v>
          </cell>
          <cell r="B5">
            <v>24</v>
          </cell>
          <cell r="C5">
            <v>25</v>
          </cell>
          <cell r="D5">
            <v>25</v>
          </cell>
        </row>
        <row r="6">
          <cell r="A6" t="str">
            <v>21-3-6</v>
          </cell>
          <cell r="B6">
            <v>18</v>
          </cell>
          <cell r="C6">
            <v>22</v>
          </cell>
          <cell r="D6">
            <v>20</v>
          </cell>
        </row>
        <row r="7">
          <cell r="A7" t="str">
            <v>21-3-7</v>
          </cell>
          <cell r="B7">
            <v>21</v>
          </cell>
          <cell r="C7">
            <v>25</v>
          </cell>
          <cell r="D7">
            <v>24</v>
          </cell>
        </row>
        <row r="8">
          <cell r="A8" t="str">
            <v>21-3-8</v>
          </cell>
          <cell r="B8">
            <v>21</v>
          </cell>
          <cell r="C8">
            <v>24</v>
          </cell>
          <cell r="D8">
            <v>22</v>
          </cell>
        </row>
        <row r="9">
          <cell r="A9" t="str">
            <v>21-3-9</v>
          </cell>
          <cell r="B9">
            <v>25</v>
          </cell>
          <cell r="C9">
            <v>24</v>
          </cell>
          <cell r="D9">
            <v>23</v>
          </cell>
        </row>
        <row r="10">
          <cell r="A10" t="str">
            <v>21-3-10</v>
          </cell>
          <cell r="B10">
            <v>24</v>
          </cell>
          <cell r="C10">
            <v>24</v>
          </cell>
          <cell r="D10">
            <v>21</v>
          </cell>
        </row>
        <row r="11">
          <cell r="A11" t="str">
            <v>21-3-11</v>
          </cell>
          <cell r="B11">
            <v>24</v>
          </cell>
          <cell r="C11">
            <v>25</v>
          </cell>
          <cell r="D11">
            <v>25</v>
          </cell>
        </row>
        <row r="12">
          <cell r="A12" t="str">
            <v>21-3-13</v>
          </cell>
          <cell r="B12">
            <v>19</v>
          </cell>
          <cell r="C12">
            <v>22</v>
          </cell>
          <cell r="D12">
            <v>22</v>
          </cell>
        </row>
        <row r="13">
          <cell r="A13" t="str">
            <v>21-3-14</v>
          </cell>
          <cell r="B13">
            <v>18</v>
          </cell>
          <cell r="C13">
            <v>24</v>
          </cell>
          <cell r="D13">
            <v>22</v>
          </cell>
        </row>
        <row r="14">
          <cell r="A14" t="str">
            <v>21-3-15</v>
          </cell>
          <cell r="B14">
            <v>21</v>
          </cell>
          <cell r="C14">
            <v>25</v>
          </cell>
          <cell r="D14">
            <v>21</v>
          </cell>
        </row>
        <row r="15">
          <cell r="A15" t="str">
            <v>21-3-17</v>
          </cell>
          <cell r="B15">
            <v>22</v>
          </cell>
          <cell r="C15">
            <v>23</v>
          </cell>
          <cell r="D15">
            <v>22</v>
          </cell>
        </row>
        <row r="16">
          <cell r="A16" t="str">
            <v>21-3-18</v>
          </cell>
          <cell r="B16">
            <v>16</v>
          </cell>
          <cell r="C16">
            <v>25</v>
          </cell>
          <cell r="D16">
            <v>23</v>
          </cell>
        </row>
        <row r="17">
          <cell r="A17" t="str">
            <v>21-3-19</v>
          </cell>
          <cell r="B17">
            <v>22</v>
          </cell>
          <cell r="C17">
            <v>25</v>
          </cell>
          <cell r="D17">
            <v>24</v>
          </cell>
        </row>
        <row r="18">
          <cell r="A18" t="str">
            <v>21-3-20</v>
          </cell>
          <cell r="B18">
            <v>24</v>
          </cell>
          <cell r="C18">
            <v>22</v>
          </cell>
          <cell r="D18">
            <v>25</v>
          </cell>
        </row>
        <row r="19">
          <cell r="A19" t="str">
            <v>21-3-21</v>
          </cell>
          <cell r="B19">
            <v>15</v>
          </cell>
          <cell r="C19">
            <v>24</v>
          </cell>
          <cell r="D19">
            <v>23</v>
          </cell>
        </row>
        <row r="20">
          <cell r="A20" t="str">
            <v>21-3-22</v>
          </cell>
          <cell r="B20">
            <v>14</v>
          </cell>
          <cell r="C20">
            <v>20</v>
          </cell>
          <cell r="D20">
            <v>15</v>
          </cell>
        </row>
        <row r="21">
          <cell r="A21" t="str">
            <v>21-3-23</v>
          </cell>
          <cell r="B21">
            <v>21</v>
          </cell>
          <cell r="C21">
            <v>23</v>
          </cell>
          <cell r="D21">
            <v>23</v>
          </cell>
        </row>
        <row r="22">
          <cell r="A22" t="str">
            <v>21-3-24</v>
          </cell>
          <cell r="B22">
            <v>23</v>
          </cell>
          <cell r="C22">
            <v>25</v>
          </cell>
          <cell r="D22">
            <v>23</v>
          </cell>
        </row>
        <row r="23">
          <cell r="A23" t="str">
            <v>21-3-25</v>
          </cell>
          <cell r="B23">
            <v>24</v>
          </cell>
          <cell r="C23">
            <v>24</v>
          </cell>
          <cell r="D23">
            <v>24</v>
          </cell>
        </row>
        <row r="24">
          <cell r="A24" t="str">
            <v>21-3-27</v>
          </cell>
          <cell r="B24">
            <v>24</v>
          </cell>
          <cell r="C24">
            <v>24</v>
          </cell>
          <cell r="D24">
            <v>23</v>
          </cell>
        </row>
        <row r="25">
          <cell r="A25" t="str">
            <v>21-3-28</v>
          </cell>
          <cell r="B25">
            <v>24</v>
          </cell>
          <cell r="C25">
            <v>23</v>
          </cell>
          <cell r="D25">
            <v>24</v>
          </cell>
        </row>
        <row r="26">
          <cell r="A26" t="str">
            <v>21-3-29</v>
          </cell>
          <cell r="B26">
            <v>16</v>
          </cell>
          <cell r="C26">
            <v>25</v>
          </cell>
          <cell r="D26">
            <v>19</v>
          </cell>
        </row>
        <row r="27">
          <cell r="A27" t="str">
            <v>21-3-30</v>
          </cell>
          <cell r="B27">
            <v>18</v>
          </cell>
          <cell r="C27">
            <v>23</v>
          </cell>
          <cell r="D27">
            <v>25</v>
          </cell>
        </row>
        <row r="28">
          <cell r="A28" t="str">
            <v>21-3-31</v>
          </cell>
          <cell r="B28">
            <v>24</v>
          </cell>
          <cell r="C28">
            <v>24</v>
          </cell>
          <cell r="D28">
            <v>24</v>
          </cell>
        </row>
        <row r="29">
          <cell r="A29" t="str">
            <v>21-3-32</v>
          </cell>
          <cell r="B29">
            <v>18</v>
          </cell>
          <cell r="C29">
            <v>24</v>
          </cell>
          <cell r="D29">
            <v>19</v>
          </cell>
        </row>
        <row r="30">
          <cell r="A30" t="str">
            <v>21-3-33</v>
          </cell>
          <cell r="B30">
            <v>21</v>
          </cell>
          <cell r="C30">
            <v>24</v>
          </cell>
          <cell r="D30">
            <v>24</v>
          </cell>
        </row>
        <row r="31">
          <cell r="A31" t="str">
            <v>21-3-34</v>
          </cell>
          <cell r="B31">
            <v>23</v>
          </cell>
          <cell r="C31">
            <v>24</v>
          </cell>
          <cell r="D31">
            <v>21</v>
          </cell>
        </row>
        <row r="32">
          <cell r="A32" t="str">
            <v>21-3-35</v>
          </cell>
          <cell r="B32">
            <v>18</v>
          </cell>
          <cell r="C32">
            <v>24</v>
          </cell>
          <cell r="D32">
            <v>24</v>
          </cell>
        </row>
        <row r="33">
          <cell r="A33" t="str">
            <v>21-3-36</v>
          </cell>
          <cell r="B33">
            <v>21</v>
          </cell>
          <cell r="C33">
            <v>25</v>
          </cell>
          <cell r="D33">
            <v>25</v>
          </cell>
        </row>
        <row r="34">
          <cell r="A34" t="str">
            <v>21-3-37</v>
          </cell>
          <cell r="B34">
            <v>25</v>
          </cell>
          <cell r="C34">
            <v>24</v>
          </cell>
          <cell r="D34">
            <v>25</v>
          </cell>
        </row>
        <row r="35">
          <cell r="A35" t="str">
            <v>21-3-133</v>
          </cell>
          <cell r="B35">
            <v>22</v>
          </cell>
          <cell r="C35">
            <v>21</v>
          </cell>
          <cell r="D35">
            <v>25</v>
          </cell>
        </row>
        <row r="36">
          <cell r="A36" t="str">
            <v>21-3-463</v>
          </cell>
          <cell r="B36">
            <v>23</v>
          </cell>
          <cell r="C36">
            <v>25</v>
          </cell>
          <cell r="D36">
            <v>21</v>
          </cell>
        </row>
        <row r="37">
          <cell r="A37" t="str">
            <v>21-3-499</v>
          </cell>
          <cell r="B37">
            <v>22</v>
          </cell>
          <cell r="C37">
            <v>24</v>
          </cell>
          <cell r="D37">
            <v>23</v>
          </cell>
        </row>
        <row r="38">
          <cell r="A38" t="str">
            <v>20-3-34</v>
          </cell>
          <cell r="B38">
            <v>19</v>
          </cell>
          <cell r="C38">
            <v>23</v>
          </cell>
          <cell r="D38">
            <v>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J12" sqref="J12"/>
    </sheetView>
  </sheetViews>
  <sheetFormatPr baseColWidth="8" defaultRowHeight="14.4"/>
  <cols>
    <col hidden="1" width="8.88671875" customWidth="1" min="2" max="3"/>
    <col hidden="1" width="8.88671875" customWidth="1" min="5" max="6"/>
  </cols>
  <sheetData>
    <row r="1">
      <c r="A1" t="inlineStr">
        <is>
          <t>ID</t>
        </is>
      </c>
      <c r="D1" t="n">
        <v>2</v>
      </c>
      <c r="G1" t="n">
        <v>3</v>
      </c>
      <c r="H1" t="n">
        <v>4</v>
      </c>
    </row>
    <row r="2">
      <c r="A2" t="n">
        <v>4</v>
      </c>
      <c r="B2">
        <f>Sheet1!C2+Sheet1!D2+Sheet1!E2+Sheet1!F2+Sheet1!J2+Sheet1!K2+Sheet1!L2+Sheet1!M2</f>
        <v/>
      </c>
      <c r="C2">
        <f>IF(ISNUMBER(B2),B2,"")</f>
        <v/>
      </c>
      <c r="D2">
        <f>IF(ISNUMBER(C2),_xlfn.RANK.EQ(C2,$C$2:$C$1031),"")</f>
        <v/>
      </c>
      <c r="E2">
        <f>Sheet1!C2+Sheet1!D2+Sheet1!E2+Sheet1!F2+Sheet1!J2+Sheet1!K2+Sheet1!L2+Sheet1!M2+Sheet1!Q2+Sheet1!R2+Sheet1!S2+Sheet1!T2</f>
        <v/>
      </c>
      <c r="F2">
        <f>IF(ISNUMBER(E2),E2,"")</f>
        <v/>
      </c>
      <c r="G2">
        <f>IF(ISNUMBER(F2),_xlfn.RANK.EQ(F2,$F$2:$F$1031),"")</f>
        <v/>
      </c>
      <c r="H2">
        <f>INDEX(Sheet1!AH:AH,MATCH(A2,Sheet1!A:A,0))</f>
        <v/>
      </c>
    </row>
    <row r="3">
      <c r="A3" t="n">
        <v>6</v>
      </c>
      <c r="B3">
        <f>Sheet1!C3+Sheet1!D3+Sheet1!E3+Sheet1!F3+Sheet1!J3+Sheet1!K3+Sheet1!L3+Sheet1!M3</f>
        <v/>
      </c>
      <c r="C3">
        <f>IF(ISNUMBER(B3),B3,"")</f>
        <v/>
      </c>
      <c r="D3">
        <f>IF(ISNUMBER(C3),_xlfn.RANK.EQ(C3,$C$2:$C$1031),"")</f>
        <v/>
      </c>
      <c r="E3">
        <f>Sheet1!C3+Sheet1!D3+Sheet1!E3+Sheet1!F3+Sheet1!J3+Sheet1!K3+Sheet1!L3+Sheet1!M3+Sheet1!Q3+Sheet1!R3+Sheet1!S3+Sheet1!T3</f>
        <v/>
      </c>
      <c r="F3">
        <f>IF(ISNUMBER(E3),E3,"")</f>
        <v/>
      </c>
      <c r="G3">
        <f>IF(ISNUMBER(F3),_xlfn.RANK.EQ(F3,$F$2:$F$1031),"")</f>
        <v/>
      </c>
      <c r="H3">
        <f>INDEX(Sheet1!AH:AH,MATCH(A3,Sheet1!A:A,0))</f>
        <v/>
      </c>
    </row>
    <row r="4">
      <c r="A4" t="n">
        <v>9</v>
      </c>
      <c r="B4">
        <f>Sheet1!C4+Sheet1!D4+Sheet1!E4+Sheet1!F4+Sheet1!J4+Sheet1!K4+Sheet1!L4+Sheet1!M4</f>
        <v/>
      </c>
      <c r="C4">
        <f>IF(ISNUMBER(B4),B4,"")</f>
        <v/>
      </c>
      <c r="D4">
        <f>IF(ISNUMBER(C4),_xlfn.RANK.EQ(C4,$C$2:$C$1031),"")</f>
        <v/>
      </c>
      <c r="E4">
        <f>Sheet1!C4+Sheet1!D4+Sheet1!E4+Sheet1!F4+Sheet1!J4+Sheet1!K4+Sheet1!L4+Sheet1!M4+Sheet1!Q4+Sheet1!R4+Sheet1!S4+Sheet1!T4</f>
        <v/>
      </c>
      <c r="F4">
        <f>IF(ISNUMBER(E4),E4,"")</f>
        <v/>
      </c>
      <c r="G4">
        <f>IF(ISNUMBER(F4),_xlfn.RANK.EQ(F4,$F$2:$F$1031),"")</f>
        <v/>
      </c>
      <c r="H4">
        <f>INDEX(Sheet1!AH:AH,MATCH(A4,Sheet1!A:A,0))</f>
        <v/>
      </c>
    </row>
    <row r="5">
      <c r="A5" t="n">
        <v>13</v>
      </c>
      <c r="B5">
        <f>Sheet1!C5+Sheet1!D5+Sheet1!E5+Sheet1!F5+Sheet1!J5+Sheet1!K5+Sheet1!L5+Sheet1!M5</f>
        <v/>
      </c>
      <c r="C5">
        <f>IF(ISNUMBER(B5),B5,"")</f>
        <v/>
      </c>
      <c r="D5">
        <f>IF(ISNUMBER(C5),_xlfn.RANK.EQ(C5,$C$2:$C$1031),"")</f>
        <v/>
      </c>
      <c r="E5">
        <f>Sheet1!C5+Sheet1!D5+Sheet1!E5+Sheet1!F5+Sheet1!J5+Sheet1!K5+Sheet1!L5+Sheet1!M5+Sheet1!Q5+Sheet1!R5+Sheet1!S5+Sheet1!T5</f>
        <v/>
      </c>
      <c r="F5">
        <f>IF(ISNUMBER(E5),E5,"")</f>
        <v/>
      </c>
      <c r="G5">
        <f>IF(ISNUMBER(F5),_xlfn.RANK.EQ(F5,$F$2:$F$1031),"")</f>
        <v/>
      </c>
      <c r="H5">
        <f>INDEX(Sheet1!AH:AH,MATCH(A5,Sheet1!A:A,0))</f>
        <v/>
      </c>
    </row>
    <row r="6">
      <c r="A6" t="n">
        <v>15</v>
      </c>
      <c r="B6">
        <f>Sheet1!C6+Sheet1!D6+Sheet1!E6+Sheet1!F6+Sheet1!J6+Sheet1!K6+Sheet1!L6+Sheet1!M6</f>
        <v/>
      </c>
      <c r="C6">
        <f>IF(ISNUMBER(B6),B6,"")</f>
        <v/>
      </c>
      <c r="D6">
        <f>IF(ISNUMBER(C6),_xlfn.RANK.EQ(C6,$C$2:$C$1031),"")</f>
        <v/>
      </c>
      <c r="E6">
        <f>Sheet1!C6+Sheet1!D6+Sheet1!E6+Sheet1!F6+Sheet1!J6+Sheet1!K6+Sheet1!L6+Sheet1!M6+Sheet1!Q6+Sheet1!R6+Sheet1!S6+Sheet1!T6</f>
        <v/>
      </c>
      <c r="F6">
        <f>IF(ISNUMBER(E6),E6,"")</f>
        <v/>
      </c>
      <c r="G6">
        <f>IF(ISNUMBER(F6),_xlfn.RANK.EQ(F6,$F$2:$F$1031),"")</f>
        <v/>
      </c>
      <c r="H6">
        <f>INDEX(Sheet1!AH:AH,MATCH(A6,Sheet1!A:A,0))</f>
        <v/>
      </c>
    </row>
    <row r="7">
      <c r="A7" t="n">
        <v>31</v>
      </c>
      <c r="B7">
        <f>Sheet1!C7+Sheet1!D7+Sheet1!E7+Sheet1!F7+Sheet1!J7+Sheet1!K7+Sheet1!L7+Sheet1!M7</f>
        <v/>
      </c>
      <c r="C7">
        <f>IF(ISNUMBER(B7),B7,"")</f>
        <v/>
      </c>
      <c r="D7">
        <f>IF(ISNUMBER(C7),_xlfn.RANK.EQ(C7,$C$2:$C$1031),"")</f>
        <v/>
      </c>
      <c r="E7">
        <f>Sheet1!C7+Sheet1!D7+Sheet1!E7+Sheet1!F7+Sheet1!J7+Sheet1!K7+Sheet1!L7+Sheet1!M7+Sheet1!Q7+Sheet1!R7+Sheet1!S7+Sheet1!T7</f>
        <v/>
      </c>
      <c r="F7">
        <f>IF(ISNUMBER(E7),E7,"")</f>
        <v/>
      </c>
      <c r="G7">
        <f>IF(ISNUMBER(F7),_xlfn.RANK.EQ(F7,$F$2:$F$1031),"")</f>
        <v/>
      </c>
      <c r="H7">
        <f>INDEX(Sheet1!AH:AH,MATCH(A7,Sheet1!A:A,0))</f>
        <v/>
      </c>
    </row>
    <row r="8">
      <c r="A8" t="n">
        <v>32</v>
      </c>
      <c r="B8">
        <f>Sheet1!C8+Sheet1!D8+Sheet1!E8+Sheet1!F8+Sheet1!J8+Sheet1!K8+Sheet1!L8+Sheet1!M8</f>
        <v/>
      </c>
      <c r="C8">
        <f>IF(ISNUMBER(B8),B8,"")</f>
        <v/>
      </c>
      <c r="D8">
        <f>IF(ISNUMBER(C8),_xlfn.RANK.EQ(C8,$C$2:$C$1031),"")</f>
        <v/>
      </c>
      <c r="E8">
        <f>Sheet1!C8+Sheet1!D8+Sheet1!E8+Sheet1!F8+Sheet1!J8+Sheet1!K8+Sheet1!L8+Sheet1!M8+Sheet1!Q8+Sheet1!R8+Sheet1!S8+Sheet1!T8</f>
        <v/>
      </c>
      <c r="F8">
        <f>IF(ISNUMBER(E8),E8,"")</f>
        <v/>
      </c>
      <c r="G8">
        <f>IF(ISNUMBER(F8),_xlfn.RANK.EQ(F8,$F$2:$F$1031),"")</f>
        <v/>
      </c>
      <c r="H8">
        <f>INDEX(Sheet1!AH:AH,MATCH(A8,Sheet1!A:A,0))</f>
        <v/>
      </c>
    </row>
    <row r="9">
      <c r="A9" t="n">
        <v>34</v>
      </c>
      <c r="B9">
        <f>Sheet1!C9+Sheet1!D9+Sheet1!E9+Sheet1!F9+Sheet1!J9+Sheet1!K9+Sheet1!L9+Sheet1!M9</f>
        <v/>
      </c>
      <c r="C9">
        <f>IF(ISNUMBER(B9),B9,"")</f>
        <v/>
      </c>
      <c r="D9">
        <f>IF(ISNUMBER(C9),_xlfn.RANK.EQ(C9,$C$2:$C$1031),"")</f>
        <v/>
      </c>
      <c r="E9">
        <f>Sheet1!C9+Sheet1!D9+Sheet1!E9+Sheet1!F9+Sheet1!J9+Sheet1!K9+Sheet1!L9+Sheet1!M9+Sheet1!Q9+Sheet1!R9+Sheet1!S9+Sheet1!T9</f>
        <v/>
      </c>
      <c r="F9">
        <f>IF(ISNUMBER(E9),E9,"")</f>
        <v/>
      </c>
      <c r="G9">
        <f>IF(ISNUMBER(F9),_xlfn.RANK.EQ(F9,$F$2:$F$1031),"")</f>
        <v/>
      </c>
      <c r="H9">
        <f>INDEX(Sheet1!AH:AH,MATCH(A9,Sheet1!A:A,0))</f>
        <v/>
      </c>
    </row>
    <row r="10">
      <c r="A10" t="n">
        <v>35</v>
      </c>
      <c r="B10">
        <f>Sheet1!C10+Sheet1!D10+Sheet1!E10+Sheet1!F10+Sheet1!J10+Sheet1!K10+Sheet1!L10+Sheet1!M10</f>
        <v/>
      </c>
      <c r="C10">
        <f>IF(ISNUMBER(B10),B10,"")</f>
        <v/>
      </c>
      <c r="D10">
        <f>IF(ISNUMBER(C10),_xlfn.RANK.EQ(C10,$C$2:$C$1031),"")</f>
        <v/>
      </c>
      <c r="E10">
        <f>Sheet1!C10+Sheet1!D10+Sheet1!E10+Sheet1!F10+Sheet1!J10+Sheet1!K10+Sheet1!L10+Sheet1!M10+Sheet1!Q10+Sheet1!R10+Sheet1!S10+Sheet1!T10</f>
        <v/>
      </c>
      <c r="F10">
        <f>IF(ISNUMBER(E10),E10,"")</f>
        <v/>
      </c>
      <c r="G10">
        <f>IF(ISNUMBER(F10),_xlfn.RANK.EQ(F10,$F$2:$F$1031),"")</f>
        <v/>
      </c>
      <c r="H10">
        <f>INDEX(Sheet1!AH:AH,MATCH(A10,Sheet1!A:A,0))</f>
        <v/>
      </c>
    </row>
    <row r="11">
      <c r="A11" t="n">
        <v>37</v>
      </c>
      <c r="B11">
        <f>Sheet1!C11+Sheet1!D11+Sheet1!E11+Sheet1!F11+Sheet1!J11+Sheet1!K11+Sheet1!L11+Sheet1!M11</f>
        <v/>
      </c>
      <c r="C11">
        <f>IF(ISNUMBER(B11),B11,"")</f>
        <v/>
      </c>
      <c r="D11">
        <f>IF(ISNUMBER(C11),_xlfn.RANK.EQ(C11,$C$2:$C$1031),"")</f>
        <v/>
      </c>
      <c r="E11">
        <f>Sheet1!C11+Sheet1!D11+Sheet1!E11+Sheet1!F11+Sheet1!J11+Sheet1!K11+Sheet1!L11+Sheet1!M11+Sheet1!Q11+Sheet1!R11+Sheet1!S11+Sheet1!T11</f>
        <v/>
      </c>
      <c r="F11">
        <f>IF(ISNUMBER(E11),E11,"")</f>
        <v/>
      </c>
      <c r="G11">
        <f>IF(ISNUMBER(F11),_xlfn.RANK.EQ(F11,$F$2:$F$1031),"")</f>
        <v/>
      </c>
      <c r="H11">
        <f>INDEX(Sheet1!AH:AH,MATCH(A11,Sheet1!A:A,0))</f>
        <v/>
      </c>
    </row>
    <row r="12">
      <c r="A12" t="n">
        <v>38</v>
      </c>
      <c r="B12">
        <f>Sheet1!C12+Sheet1!D12+Sheet1!E12+Sheet1!F12+Sheet1!J12+Sheet1!K12+Sheet1!L12+Sheet1!M12</f>
        <v/>
      </c>
      <c r="C12">
        <f>IF(ISNUMBER(B12),B12,"")</f>
        <v/>
      </c>
      <c r="D12">
        <f>IF(ISNUMBER(C12),_xlfn.RANK.EQ(C12,$C$2:$C$1031),"")</f>
        <v/>
      </c>
      <c r="E12">
        <f>Sheet1!C12+Sheet1!D12+Sheet1!E12+Sheet1!F12+Sheet1!J12+Sheet1!K12+Sheet1!L12+Sheet1!M12+Sheet1!Q12+Sheet1!R12+Sheet1!S12+Sheet1!T12</f>
        <v/>
      </c>
      <c r="F12">
        <f>IF(ISNUMBER(E12),E12,"")</f>
        <v/>
      </c>
      <c r="G12">
        <f>IF(ISNUMBER(F12),_xlfn.RANK.EQ(F12,$F$2:$F$1031),"")</f>
        <v/>
      </c>
      <c r="H12">
        <f>INDEX(Sheet1!AH:AH,MATCH(A12,Sheet1!A:A,0))</f>
        <v/>
      </c>
    </row>
    <row r="13">
      <c r="A13" t="n">
        <v>39</v>
      </c>
      <c r="B13">
        <f>Sheet1!C13+Sheet1!D13+Sheet1!E13+Sheet1!F13+Sheet1!J13+Sheet1!K13+Sheet1!L13+Sheet1!M13</f>
        <v/>
      </c>
      <c r="C13">
        <f>IF(ISNUMBER(B13),B13,"")</f>
        <v/>
      </c>
      <c r="D13">
        <f>IF(ISNUMBER(C13),_xlfn.RANK.EQ(C13,$C$2:$C$1031),"")</f>
        <v/>
      </c>
      <c r="E13">
        <f>Sheet1!C13+Sheet1!D13+Sheet1!E13+Sheet1!F13+Sheet1!J13+Sheet1!K13+Sheet1!L13+Sheet1!M13+Sheet1!Q13+Sheet1!R13+Sheet1!S13+Sheet1!T13</f>
        <v/>
      </c>
      <c r="F13">
        <f>IF(ISNUMBER(E13),E13,"")</f>
        <v/>
      </c>
      <c r="G13">
        <f>IF(ISNUMBER(F13),_xlfn.RANK.EQ(F13,$F$2:$F$1031),"")</f>
        <v/>
      </c>
      <c r="H13">
        <f>INDEX(Sheet1!AH:AH,MATCH(A13,Sheet1!A:A,0))</f>
        <v/>
      </c>
    </row>
    <row r="14">
      <c r="A14" t="n">
        <v>40</v>
      </c>
      <c r="B14">
        <f>Sheet1!C14+Sheet1!D14+Sheet1!E14+Sheet1!F14+Sheet1!J14+Sheet1!K14+Sheet1!L14+Sheet1!M14</f>
        <v/>
      </c>
      <c r="C14">
        <f>IF(ISNUMBER(B14),B14,"")</f>
        <v/>
      </c>
      <c r="D14">
        <f>IF(ISNUMBER(C14),_xlfn.RANK.EQ(C14,$C$2:$C$1031),"")</f>
        <v/>
      </c>
      <c r="E14">
        <f>Sheet1!C14+Sheet1!D14+Sheet1!E14+Sheet1!F14+Sheet1!J14+Sheet1!K14+Sheet1!L14+Sheet1!M14+Sheet1!Q14+Sheet1!R14+Sheet1!S14+Sheet1!T14</f>
        <v/>
      </c>
      <c r="F14">
        <f>IF(ISNUMBER(E14),E14,"")</f>
        <v/>
      </c>
      <c r="G14">
        <f>IF(ISNUMBER(F14),_xlfn.RANK.EQ(F14,$F$2:$F$1031),"")</f>
        <v/>
      </c>
      <c r="H14">
        <f>INDEX(Sheet1!AH:AH,MATCH(A14,Sheet1!A:A,0))</f>
        <v/>
      </c>
    </row>
    <row r="15">
      <c r="A15" t="n">
        <v>41</v>
      </c>
      <c r="B15">
        <f>Sheet1!C15+Sheet1!D15+Sheet1!E15+Sheet1!F15+Sheet1!J15+Sheet1!K15+Sheet1!L15+Sheet1!M15</f>
        <v/>
      </c>
      <c r="C15">
        <f>IF(ISNUMBER(B15),B15,"")</f>
        <v/>
      </c>
      <c r="D15">
        <f>IF(ISNUMBER(C15),_xlfn.RANK.EQ(C15,$C$2:$C$1031),"")</f>
        <v/>
      </c>
      <c r="E15">
        <f>Sheet1!C15+Sheet1!D15+Sheet1!E15+Sheet1!F15+Sheet1!J15+Sheet1!K15+Sheet1!L15+Sheet1!M15+Sheet1!Q15+Sheet1!R15+Sheet1!S15+Sheet1!T15</f>
        <v/>
      </c>
      <c r="F15">
        <f>IF(ISNUMBER(E15),E15,"")</f>
        <v/>
      </c>
      <c r="G15">
        <f>IF(ISNUMBER(F15),_xlfn.RANK.EQ(F15,$F$2:$F$1031),"")</f>
        <v/>
      </c>
      <c r="H15">
        <f>INDEX(Sheet1!AH:AH,MATCH(A15,Sheet1!A:A,0))</f>
        <v/>
      </c>
    </row>
    <row r="16">
      <c r="A16" t="n">
        <v>42</v>
      </c>
      <c r="B16">
        <f>Sheet1!C16+Sheet1!D16+Sheet1!E16+Sheet1!F16+Sheet1!J16+Sheet1!K16+Sheet1!L16+Sheet1!M16</f>
        <v/>
      </c>
      <c r="C16">
        <f>IF(ISNUMBER(B16),B16,"")</f>
        <v/>
      </c>
      <c r="D16">
        <f>IF(ISNUMBER(C16),_xlfn.RANK.EQ(C16,$C$2:$C$1031),"")</f>
        <v/>
      </c>
      <c r="E16">
        <f>Sheet1!C16+Sheet1!D16+Sheet1!E16+Sheet1!F16+Sheet1!J16+Sheet1!K16+Sheet1!L16+Sheet1!M16+Sheet1!Q16+Sheet1!R16+Sheet1!S16+Sheet1!T16</f>
        <v/>
      </c>
      <c r="F16">
        <f>IF(ISNUMBER(E16),E16,"")</f>
        <v/>
      </c>
      <c r="G16">
        <f>IF(ISNUMBER(F16),_xlfn.RANK.EQ(F16,$F$2:$F$1031),"")</f>
        <v/>
      </c>
      <c r="H16">
        <f>INDEX(Sheet1!AH:AH,MATCH(A16,Sheet1!A:A,0))</f>
        <v/>
      </c>
    </row>
    <row r="17">
      <c r="A17" t="n">
        <v>46</v>
      </c>
      <c r="B17">
        <f>Sheet1!C17+Sheet1!D17+Sheet1!E17+Sheet1!F17+Sheet1!J17+Sheet1!K17+Sheet1!L17+Sheet1!M17</f>
        <v/>
      </c>
      <c r="C17">
        <f>IF(ISNUMBER(B17),B17,"")</f>
        <v/>
      </c>
      <c r="D17">
        <f>IF(ISNUMBER(C17),_xlfn.RANK.EQ(C17,$C$2:$C$1031),"")</f>
        <v/>
      </c>
      <c r="E17">
        <f>Sheet1!C17+Sheet1!D17+Sheet1!E17+Sheet1!F17+Sheet1!J17+Sheet1!K17+Sheet1!L17+Sheet1!M17+Sheet1!Q17+Sheet1!R17+Sheet1!S17+Sheet1!T17</f>
        <v/>
      </c>
      <c r="F17">
        <f>IF(ISNUMBER(E17),E17,"")</f>
        <v/>
      </c>
      <c r="G17">
        <f>IF(ISNUMBER(F17),_xlfn.RANK.EQ(F17,$F$2:$F$1031),"")</f>
        <v/>
      </c>
      <c r="H17">
        <f>INDEX(Sheet1!AH:AH,MATCH(A17,Sheet1!A:A,0))</f>
        <v/>
      </c>
    </row>
    <row r="18">
      <c r="A18" t="n">
        <v>50</v>
      </c>
      <c r="B18">
        <f>Sheet1!C18+Sheet1!D18+Sheet1!E18+Sheet1!F18+Sheet1!J18+Sheet1!K18+Sheet1!L18+Sheet1!M18</f>
        <v/>
      </c>
      <c r="C18">
        <f>IF(ISNUMBER(B18),B18,"")</f>
        <v/>
      </c>
      <c r="D18">
        <f>IF(ISNUMBER(C18),_xlfn.RANK.EQ(C18,$C$2:$C$1031),"")</f>
        <v/>
      </c>
      <c r="E18">
        <f>Sheet1!C18+Sheet1!D18+Sheet1!E18+Sheet1!F18+Sheet1!J18+Sheet1!K18+Sheet1!L18+Sheet1!M18+Sheet1!Q18+Sheet1!R18+Sheet1!S18+Sheet1!T18</f>
        <v/>
      </c>
      <c r="F18">
        <f>IF(ISNUMBER(E18),E18,"")</f>
        <v/>
      </c>
      <c r="G18">
        <f>IF(ISNUMBER(F18),_xlfn.RANK.EQ(F18,$F$2:$F$1031),"")</f>
        <v/>
      </c>
      <c r="H18">
        <f>INDEX(Sheet1!AH:AH,MATCH(A18,Sheet1!A:A,0))</f>
        <v/>
      </c>
    </row>
    <row r="19">
      <c r="A19" t="n">
        <v>51</v>
      </c>
      <c r="B19">
        <f>Sheet1!C19+Sheet1!D19+Sheet1!E19+Sheet1!F19+Sheet1!J19+Sheet1!K19+Sheet1!L19+Sheet1!M19</f>
        <v/>
      </c>
      <c r="C19">
        <f>IF(ISNUMBER(B19),B19,"")</f>
        <v/>
      </c>
      <c r="D19">
        <f>IF(ISNUMBER(C19),_xlfn.RANK.EQ(C19,$C$2:$C$1031),"")</f>
        <v/>
      </c>
      <c r="E19">
        <f>Sheet1!C19+Sheet1!D19+Sheet1!E19+Sheet1!F19+Sheet1!J19+Sheet1!K19+Sheet1!L19+Sheet1!M19+Sheet1!Q19+Sheet1!R19+Sheet1!S19+Sheet1!T19</f>
        <v/>
      </c>
      <c r="F19">
        <f>IF(ISNUMBER(E19),E19,"")</f>
        <v/>
      </c>
      <c r="G19">
        <f>IF(ISNUMBER(F19),_xlfn.RANK.EQ(F19,$F$2:$F$1031),"")</f>
        <v/>
      </c>
      <c r="H19">
        <f>INDEX(Sheet1!AH:AH,MATCH(A19,Sheet1!A:A,0))</f>
        <v/>
      </c>
    </row>
    <row r="20">
      <c r="A20" t="n">
        <v>52</v>
      </c>
      <c r="B20">
        <f>Sheet1!C20+Sheet1!D20+Sheet1!E20+Sheet1!F20+Sheet1!J20+Sheet1!K20+Sheet1!L20+Sheet1!M20</f>
        <v/>
      </c>
      <c r="C20">
        <f>IF(ISNUMBER(B20),B20,"")</f>
        <v/>
      </c>
      <c r="D20">
        <f>IF(ISNUMBER(C20),_xlfn.RANK.EQ(C20,$C$2:$C$1031),"")</f>
        <v/>
      </c>
      <c r="E20">
        <f>Sheet1!C20+Sheet1!D20+Sheet1!E20+Sheet1!F20+Sheet1!J20+Sheet1!K20+Sheet1!L20+Sheet1!M20+Sheet1!Q20+Sheet1!R20+Sheet1!S20+Sheet1!T20</f>
        <v/>
      </c>
      <c r="F20">
        <f>IF(ISNUMBER(E20),E20,"")</f>
        <v/>
      </c>
      <c r="G20">
        <f>IF(ISNUMBER(F20),_xlfn.RANK.EQ(F20,$F$2:$F$1031),"")</f>
        <v/>
      </c>
      <c r="H20">
        <f>INDEX(Sheet1!AH:AH,MATCH(A20,Sheet1!A:A,0))</f>
        <v/>
      </c>
    </row>
    <row r="21">
      <c r="A21" t="n">
        <v>53</v>
      </c>
      <c r="B21">
        <f>Sheet1!C21+Sheet1!D21+Sheet1!E21+Sheet1!F21+Sheet1!J21+Sheet1!K21+Sheet1!L21+Sheet1!M21</f>
        <v/>
      </c>
      <c r="C21">
        <f>IF(ISNUMBER(B21),B21,"")</f>
        <v/>
      </c>
      <c r="D21">
        <f>IF(ISNUMBER(C21),_xlfn.RANK.EQ(C21,$C$2:$C$1031),"")</f>
        <v/>
      </c>
      <c r="E21">
        <f>Sheet1!C21+Sheet1!D21+Sheet1!E21+Sheet1!F21+Sheet1!J21+Sheet1!K21+Sheet1!L21+Sheet1!M21+Sheet1!Q21+Sheet1!R21+Sheet1!S21+Sheet1!T21</f>
        <v/>
      </c>
      <c r="F21">
        <f>IF(ISNUMBER(E21),E21,"")</f>
        <v/>
      </c>
      <c r="G21">
        <f>IF(ISNUMBER(F21),_xlfn.RANK.EQ(F21,$F$2:$F$1031),"")</f>
        <v/>
      </c>
      <c r="H21">
        <f>INDEX(Sheet1!AH:AH,MATCH(A21,Sheet1!A:A,0))</f>
        <v/>
      </c>
    </row>
    <row r="22">
      <c r="A22" t="n">
        <v>54</v>
      </c>
      <c r="B22">
        <f>Sheet1!C22+Sheet1!D22+Sheet1!E22+Sheet1!F22+Sheet1!J22+Sheet1!K22+Sheet1!L22+Sheet1!M22</f>
        <v/>
      </c>
      <c r="C22">
        <f>IF(ISNUMBER(B22),B22,"")</f>
        <v/>
      </c>
      <c r="D22">
        <f>IF(ISNUMBER(C22),_xlfn.RANK.EQ(C22,$C$2:$C$1031),"")</f>
        <v/>
      </c>
      <c r="E22">
        <f>Sheet1!C22+Sheet1!D22+Sheet1!E22+Sheet1!F22+Sheet1!J22+Sheet1!K22+Sheet1!L22+Sheet1!M22+Sheet1!Q22+Sheet1!R22+Sheet1!S22+Sheet1!T22</f>
        <v/>
      </c>
      <c r="F22">
        <f>IF(ISNUMBER(E22),E22,"")</f>
        <v/>
      </c>
      <c r="G22">
        <f>IF(ISNUMBER(F22),_xlfn.RANK.EQ(F22,$F$2:$F$1031),"")</f>
        <v/>
      </c>
      <c r="H22">
        <f>INDEX(Sheet1!AH:AH,MATCH(A22,Sheet1!A:A,0))</f>
        <v/>
      </c>
    </row>
    <row r="23">
      <c r="A23" t="n">
        <v>55</v>
      </c>
      <c r="B23">
        <f>Sheet1!C23+Sheet1!D23+Sheet1!E23+Sheet1!F23+Sheet1!J23+Sheet1!K23+Sheet1!L23+Sheet1!M23</f>
        <v/>
      </c>
      <c r="C23">
        <f>IF(ISNUMBER(B23),B23,"")</f>
        <v/>
      </c>
      <c r="D23">
        <f>IF(ISNUMBER(C23),_xlfn.RANK.EQ(C23,$C$2:$C$1031),"")</f>
        <v/>
      </c>
      <c r="E23">
        <f>Sheet1!C23+Sheet1!D23+Sheet1!E23+Sheet1!F23+Sheet1!J23+Sheet1!K23+Sheet1!L23+Sheet1!M23+Sheet1!Q23+Sheet1!R23+Sheet1!S23+Sheet1!T23</f>
        <v/>
      </c>
      <c r="F23">
        <f>IF(ISNUMBER(E23),E23,"")</f>
        <v/>
      </c>
      <c r="G23">
        <f>IF(ISNUMBER(F23),_xlfn.RANK.EQ(F23,$F$2:$F$1031),"")</f>
        <v/>
      </c>
      <c r="H23">
        <f>INDEX(Sheet1!AH:AH,MATCH(A23,Sheet1!A:A,0))</f>
        <v/>
      </c>
    </row>
    <row r="24">
      <c r="A24" t="n">
        <v>58</v>
      </c>
      <c r="B24">
        <f>Sheet1!C24+Sheet1!D24+Sheet1!E24+Sheet1!F24+Sheet1!J24+Sheet1!K24+Sheet1!L24+Sheet1!M24</f>
        <v/>
      </c>
      <c r="C24">
        <f>IF(ISNUMBER(B24),B24,"")</f>
        <v/>
      </c>
      <c r="D24">
        <f>IF(ISNUMBER(C24),_xlfn.RANK.EQ(C24,$C$2:$C$1031),"")</f>
        <v/>
      </c>
      <c r="E24">
        <f>Sheet1!C24+Sheet1!D24+Sheet1!E24+Sheet1!F24+Sheet1!J24+Sheet1!K24+Sheet1!L24+Sheet1!M24+Sheet1!Q24+Sheet1!R24+Sheet1!S24+Sheet1!T24</f>
        <v/>
      </c>
      <c r="F24">
        <f>IF(ISNUMBER(E24),E24,"")</f>
        <v/>
      </c>
      <c r="G24">
        <f>IF(ISNUMBER(F24),_xlfn.RANK.EQ(F24,$F$2:$F$1031),"")</f>
        <v/>
      </c>
      <c r="H24">
        <f>INDEX(Sheet1!AH:AH,MATCH(A24,Sheet1!A:A,0))</f>
        <v/>
      </c>
    </row>
    <row r="25">
      <c r="A25" t="n">
        <v>59</v>
      </c>
      <c r="B25">
        <f>Sheet1!C25+Sheet1!D25+Sheet1!E25+Sheet1!F25+Sheet1!J25+Sheet1!K25+Sheet1!L25+Sheet1!M25</f>
        <v/>
      </c>
      <c r="C25">
        <f>IF(ISNUMBER(B25),B25,"")</f>
        <v/>
      </c>
      <c r="D25">
        <f>IF(ISNUMBER(C25),_xlfn.RANK.EQ(C25,$C$2:$C$1031),"")</f>
        <v/>
      </c>
      <c r="E25">
        <f>Sheet1!C25+Sheet1!D25+Sheet1!E25+Sheet1!F25+Sheet1!J25+Sheet1!K25+Sheet1!L25+Sheet1!M25+Sheet1!Q25+Sheet1!R25+Sheet1!S25+Sheet1!T25</f>
        <v/>
      </c>
      <c r="F25">
        <f>IF(ISNUMBER(E25),E25,"")</f>
        <v/>
      </c>
      <c r="G25">
        <f>IF(ISNUMBER(F25),_xlfn.RANK.EQ(F25,$F$2:$F$1031),"")</f>
        <v/>
      </c>
      <c r="H25">
        <f>INDEX(Sheet1!AH:AH,MATCH(A25,Sheet1!A:A,0))</f>
        <v/>
      </c>
    </row>
    <row r="26">
      <c r="A26" t="n">
        <v>60</v>
      </c>
      <c r="B26">
        <f>Sheet1!C26+Sheet1!D26+Sheet1!E26+Sheet1!F26+Sheet1!J26+Sheet1!K26+Sheet1!L26+Sheet1!M26</f>
        <v/>
      </c>
      <c r="C26">
        <f>IF(ISNUMBER(B26),B26,"")</f>
        <v/>
      </c>
      <c r="D26">
        <f>IF(ISNUMBER(C26),_xlfn.RANK.EQ(C26,$C$2:$C$1031),"")</f>
        <v/>
      </c>
      <c r="E26">
        <f>Sheet1!C26+Sheet1!D26+Sheet1!E26+Sheet1!F26+Sheet1!J26+Sheet1!K26+Sheet1!L26+Sheet1!M26+Sheet1!Q26+Sheet1!R26+Sheet1!S26+Sheet1!T26</f>
        <v/>
      </c>
      <c r="F26">
        <f>IF(ISNUMBER(E26),E26,"")</f>
        <v/>
      </c>
      <c r="G26">
        <f>IF(ISNUMBER(F26),_xlfn.RANK.EQ(F26,$F$2:$F$1031),"")</f>
        <v/>
      </c>
      <c r="H26">
        <f>INDEX(Sheet1!AH:AH,MATCH(A26,Sheet1!A:A,0))</f>
        <v/>
      </c>
    </row>
    <row r="27">
      <c r="A27" t="n">
        <v>67</v>
      </c>
      <c r="B27">
        <f>Sheet1!C27+Sheet1!D27+Sheet1!E27+Sheet1!F27+Sheet1!J27+Sheet1!K27+Sheet1!L27+Sheet1!M27</f>
        <v/>
      </c>
      <c r="C27">
        <f>IF(ISNUMBER(B27),B27,"")</f>
        <v/>
      </c>
      <c r="D27">
        <f>IF(ISNUMBER(C27),_xlfn.RANK.EQ(C27,$C$2:$C$1031),"")</f>
        <v/>
      </c>
      <c r="E27">
        <f>Sheet1!C27+Sheet1!D27+Sheet1!E27+Sheet1!F27+Sheet1!J27+Sheet1!K27+Sheet1!L27+Sheet1!M27+Sheet1!Q27+Sheet1!R27+Sheet1!S27+Sheet1!T27</f>
        <v/>
      </c>
      <c r="F27">
        <f>IF(ISNUMBER(E27),E27,"")</f>
        <v/>
      </c>
      <c r="G27">
        <f>IF(ISNUMBER(F27),_xlfn.RANK.EQ(F27,$F$2:$F$1031),"")</f>
        <v/>
      </c>
      <c r="H27">
        <f>INDEX(Sheet1!AH:AH,MATCH(A27,Sheet1!A:A,0))</f>
        <v/>
      </c>
    </row>
    <row r="28">
      <c r="A28" t="n">
        <v>68</v>
      </c>
      <c r="B28">
        <f>Sheet1!C28+Sheet1!D28+Sheet1!E28+Sheet1!F28+Sheet1!J28+Sheet1!K28+Sheet1!L28+Sheet1!M28</f>
        <v/>
      </c>
      <c r="C28">
        <f>IF(ISNUMBER(B28),B28,"")</f>
        <v/>
      </c>
      <c r="D28">
        <f>IF(ISNUMBER(C28),_xlfn.RANK.EQ(C28,$C$2:$C$1031),"")</f>
        <v/>
      </c>
      <c r="E28">
        <f>Sheet1!C28+Sheet1!D28+Sheet1!E28+Sheet1!F28+Sheet1!J28+Sheet1!K28+Sheet1!L28+Sheet1!M28+Sheet1!Q28+Sheet1!R28+Sheet1!S28+Sheet1!T28</f>
        <v/>
      </c>
      <c r="F28">
        <f>IF(ISNUMBER(E28),E28,"")</f>
        <v/>
      </c>
      <c r="G28">
        <f>IF(ISNUMBER(F28),_xlfn.RANK.EQ(F28,$F$2:$F$1031),"")</f>
        <v/>
      </c>
      <c r="H28">
        <f>INDEX(Sheet1!AH:AH,MATCH(A28,Sheet1!A:A,0))</f>
        <v/>
      </c>
    </row>
    <row r="29">
      <c r="A29" t="n">
        <v>72</v>
      </c>
      <c r="B29">
        <f>Sheet1!C29+Sheet1!D29+Sheet1!E29+Sheet1!F29+Sheet1!J29+Sheet1!K29+Sheet1!L29+Sheet1!M29</f>
        <v/>
      </c>
      <c r="C29">
        <f>IF(ISNUMBER(B29),B29,"")</f>
        <v/>
      </c>
      <c r="D29">
        <f>IF(ISNUMBER(C29),_xlfn.RANK.EQ(C29,$C$2:$C$1031),"")</f>
        <v/>
      </c>
      <c r="E29">
        <f>Sheet1!C29+Sheet1!D29+Sheet1!E29+Sheet1!F29+Sheet1!J29+Sheet1!K29+Sheet1!L29+Sheet1!M29+Sheet1!Q29+Sheet1!R29+Sheet1!S29+Sheet1!T29</f>
        <v/>
      </c>
      <c r="F29">
        <f>IF(ISNUMBER(E29),E29,"")</f>
        <v/>
      </c>
      <c r="G29">
        <f>IF(ISNUMBER(F29),_xlfn.RANK.EQ(F29,$F$2:$F$1031),"")</f>
        <v/>
      </c>
      <c r="H29">
        <f>INDEX(Sheet1!AH:AH,MATCH(A29,Sheet1!A:A,0))</f>
        <v/>
      </c>
    </row>
    <row r="30">
      <c r="A30" t="n">
        <v>74</v>
      </c>
      <c r="B30">
        <f>Sheet1!C30+Sheet1!D30+Sheet1!E30+Sheet1!F30+Sheet1!J30+Sheet1!K30+Sheet1!L30+Sheet1!M30</f>
        <v/>
      </c>
      <c r="C30">
        <f>IF(ISNUMBER(B30),B30,"")</f>
        <v/>
      </c>
      <c r="D30">
        <f>IF(ISNUMBER(C30),_xlfn.RANK.EQ(C30,$C$2:$C$1031),"")</f>
        <v/>
      </c>
      <c r="E30">
        <f>Sheet1!C30+Sheet1!D30+Sheet1!E30+Sheet1!F30+Sheet1!J30+Sheet1!K30+Sheet1!L30+Sheet1!M30+Sheet1!Q30+Sheet1!R30+Sheet1!S30+Sheet1!T30</f>
        <v/>
      </c>
      <c r="F30">
        <f>IF(ISNUMBER(E30),E30,"")</f>
        <v/>
      </c>
      <c r="G30">
        <f>IF(ISNUMBER(F30),_xlfn.RANK.EQ(F30,$F$2:$F$1031),"")</f>
        <v/>
      </c>
      <c r="H30">
        <f>INDEX(Sheet1!AH:AH,MATCH(A30,Sheet1!A:A,0))</f>
        <v/>
      </c>
    </row>
    <row r="31">
      <c r="A31" t="n">
        <v>75</v>
      </c>
      <c r="B31">
        <f>Sheet1!C31+Sheet1!D31+Sheet1!E31+Sheet1!F31+Sheet1!J31+Sheet1!K31+Sheet1!L31+Sheet1!M31</f>
        <v/>
      </c>
      <c r="C31">
        <f>IF(ISNUMBER(B31),B31,"")</f>
        <v/>
      </c>
      <c r="D31">
        <f>IF(ISNUMBER(C31),_xlfn.RANK.EQ(C31,$C$2:$C$1031),"")</f>
        <v/>
      </c>
      <c r="E31">
        <f>Sheet1!C31+Sheet1!D31+Sheet1!E31+Sheet1!F31+Sheet1!J31+Sheet1!K31+Sheet1!L31+Sheet1!M31+Sheet1!Q31+Sheet1!R31+Sheet1!S31+Sheet1!T31</f>
        <v/>
      </c>
      <c r="F31">
        <f>IF(ISNUMBER(E31),E31,"")</f>
        <v/>
      </c>
      <c r="G31">
        <f>IF(ISNUMBER(F31),_xlfn.RANK.EQ(F31,$F$2:$F$1031),"")</f>
        <v/>
      </c>
      <c r="H31">
        <f>INDEX(Sheet1!AH:AH,MATCH(A31,Sheet1!A:A,0))</f>
        <v/>
      </c>
    </row>
    <row r="32">
      <c r="A32" t="n">
        <v>76</v>
      </c>
      <c r="B32">
        <f>Sheet1!C32+Sheet1!D32+Sheet1!E32+Sheet1!F32+Sheet1!J32+Sheet1!K32+Sheet1!L32+Sheet1!M32</f>
        <v/>
      </c>
      <c r="C32">
        <f>IF(ISNUMBER(B32),B32,"")</f>
        <v/>
      </c>
      <c r="D32">
        <f>IF(ISNUMBER(C32),_xlfn.RANK.EQ(C32,$C$2:$C$1031),"")</f>
        <v/>
      </c>
      <c r="E32">
        <f>Sheet1!C32+Sheet1!D32+Sheet1!E32+Sheet1!F32+Sheet1!J32+Sheet1!K32+Sheet1!L32+Sheet1!M32+Sheet1!Q32+Sheet1!R32+Sheet1!S32+Sheet1!T32</f>
        <v/>
      </c>
      <c r="F32">
        <f>IF(ISNUMBER(E32),E32,"")</f>
        <v/>
      </c>
      <c r="G32">
        <f>IF(ISNUMBER(F32),_xlfn.RANK.EQ(F32,$F$2:$F$1031),"")</f>
        <v/>
      </c>
      <c r="H32">
        <f>INDEX(Sheet1!AH:AH,MATCH(A32,Sheet1!A:A,0))</f>
        <v/>
      </c>
    </row>
    <row r="33">
      <c r="A33" t="n">
        <v>77</v>
      </c>
      <c r="B33">
        <f>Sheet1!C33+Sheet1!D33+Sheet1!E33+Sheet1!F33+Sheet1!J33+Sheet1!K33+Sheet1!L33+Sheet1!M33</f>
        <v/>
      </c>
      <c r="C33">
        <f>IF(ISNUMBER(B33),B33,"")</f>
        <v/>
      </c>
      <c r="D33">
        <f>IF(ISNUMBER(C33),_xlfn.RANK.EQ(C33,$C$2:$C$1031),"")</f>
        <v/>
      </c>
      <c r="E33">
        <f>Sheet1!C33+Sheet1!D33+Sheet1!E33+Sheet1!F33+Sheet1!J33+Sheet1!K33+Sheet1!L33+Sheet1!M33+Sheet1!Q33+Sheet1!R33+Sheet1!S33+Sheet1!T33</f>
        <v/>
      </c>
      <c r="F33">
        <f>IF(ISNUMBER(E33),E33,"")</f>
        <v/>
      </c>
      <c r="G33">
        <f>IF(ISNUMBER(F33),_xlfn.RANK.EQ(F33,$F$2:$F$1031),"")</f>
        <v/>
      </c>
      <c r="H33">
        <f>INDEX(Sheet1!AH:AH,MATCH(A33,Sheet1!A:A,0))</f>
        <v/>
      </c>
    </row>
    <row r="34">
      <c r="A34" t="n">
        <v>78</v>
      </c>
      <c r="B34">
        <f>Sheet1!C34+Sheet1!D34+Sheet1!E34+Sheet1!F34+Sheet1!J34+Sheet1!K34+Sheet1!L34+Sheet1!M34</f>
        <v/>
      </c>
      <c r="C34">
        <f>IF(ISNUMBER(B34),B34,"")</f>
        <v/>
      </c>
      <c r="D34">
        <f>IF(ISNUMBER(C34),_xlfn.RANK.EQ(C34,$C$2:$C$1031),"")</f>
        <v/>
      </c>
      <c r="E34">
        <f>Sheet1!C34+Sheet1!D34+Sheet1!E34+Sheet1!F34+Sheet1!J34+Sheet1!K34+Sheet1!L34+Sheet1!M34+Sheet1!Q34+Sheet1!R34+Sheet1!S34+Sheet1!T34</f>
        <v/>
      </c>
      <c r="F34">
        <f>IF(ISNUMBER(E34),E34,"")</f>
        <v/>
      </c>
      <c r="G34">
        <f>IF(ISNUMBER(F34),_xlfn.RANK.EQ(F34,$F$2:$F$1031),"")</f>
        <v/>
      </c>
      <c r="H34">
        <f>INDEX(Sheet1!AH:AH,MATCH(A34,Sheet1!A:A,0))</f>
        <v/>
      </c>
    </row>
    <row r="35">
      <c r="A35" t="n">
        <v>79</v>
      </c>
      <c r="B35">
        <f>Sheet1!C35+Sheet1!D35+Sheet1!E35+Sheet1!F35+Sheet1!J35+Sheet1!K35+Sheet1!L35+Sheet1!M35</f>
        <v/>
      </c>
      <c r="C35">
        <f>IF(ISNUMBER(B35),B35,"")</f>
        <v/>
      </c>
      <c r="D35">
        <f>IF(ISNUMBER(C35),_xlfn.RANK.EQ(C35,$C$2:$C$1031),"")</f>
        <v/>
      </c>
      <c r="E35">
        <f>Sheet1!C35+Sheet1!D35+Sheet1!E35+Sheet1!F35+Sheet1!J35+Sheet1!K35+Sheet1!L35+Sheet1!M35+Sheet1!Q35+Sheet1!R35+Sheet1!S35+Sheet1!T35</f>
        <v/>
      </c>
      <c r="F35">
        <f>IF(ISNUMBER(E35),E35,"")</f>
        <v/>
      </c>
      <c r="G35">
        <f>IF(ISNUMBER(F35),_xlfn.RANK.EQ(F35,$F$2:$F$1031),"")</f>
        <v/>
      </c>
      <c r="H35">
        <f>INDEX(Sheet1!AH:AH,MATCH(A35,Sheet1!A:A,0))</f>
        <v/>
      </c>
    </row>
    <row r="36">
      <c r="A36" t="n">
        <v>80</v>
      </c>
      <c r="B36">
        <f>Sheet1!C36+Sheet1!D36+Sheet1!E36+Sheet1!F36+Sheet1!J36+Sheet1!K36+Sheet1!L36+Sheet1!M36</f>
        <v/>
      </c>
      <c r="C36">
        <f>IF(ISNUMBER(B36),B36,"")</f>
        <v/>
      </c>
      <c r="D36">
        <f>IF(ISNUMBER(C36),_xlfn.RANK.EQ(C36,$C$2:$C$1031),"")</f>
        <v/>
      </c>
      <c r="E36">
        <f>Sheet1!C36+Sheet1!D36+Sheet1!E36+Sheet1!F36+Sheet1!J36+Sheet1!K36+Sheet1!L36+Sheet1!M36+Sheet1!Q36+Sheet1!R36+Sheet1!S36+Sheet1!T36</f>
        <v/>
      </c>
      <c r="F36">
        <f>IF(ISNUMBER(E36),E36,"")</f>
        <v/>
      </c>
      <c r="G36">
        <f>IF(ISNUMBER(F36),_xlfn.RANK.EQ(F36,$F$2:$F$1031),"")</f>
        <v/>
      </c>
      <c r="H36">
        <f>INDEX(Sheet1!AH:AH,MATCH(A36,Sheet1!A:A,0))</f>
        <v/>
      </c>
    </row>
    <row r="37">
      <c r="A37" t="n">
        <v>81</v>
      </c>
      <c r="B37">
        <f>Sheet1!C37+Sheet1!D37+Sheet1!E37+Sheet1!F37+Sheet1!J37+Sheet1!K37+Sheet1!L37+Sheet1!M37</f>
        <v/>
      </c>
      <c r="C37">
        <f>IF(ISNUMBER(B37),B37,"")</f>
        <v/>
      </c>
      <c r="D37">
        <f>IF(ISNUMBER(C37),_xlfn.RANK.EQ(C37,$C$2:$C$1031),"")</f>
        <v/>
      </c>
      <c r="E37">
        <f>Sheet1!C37+Sheet1!D37+Sheet1!E37+Sheet1!F37+Sheet1!J37+Sheet1!K37+Sheet1!L37+Sheet1!M37+Sheet1!Q37+Sheet1!R37+Sheet1!S37+Sheet1!T37</f>
        <v/>
      </c>
      <c r="F37">
        <f>IF(ISNUMBER(E37),E37,"")</f>
        <v/>
      </c>
      <c r="G37">
        <f>IF(ISNUMBER(F37),_xlfn.RANK.EQ(F37,$F$2:$F$1031),"")</f>
        <v/>
      </c>
      <c r="H37">
        <f>INDEX(Sheet1!AH:AH,MATCH(A37,Sheet1!A:A,0))</f>
        <v/>
      </c>
    </row>
    <row r="38">
      <c r="A38" t="n">
        <v>82</v>
      </c>
      <c r="B38">
        <f>Sheet1!C38+Sheet1!D38+Sheet1!E38+Sheet1!F38+Sheet1!J38+Sheet1!K38+Sheet1!L38+Sheet1!M38</f>
        <v/>
      </c>
      <c r="C38">
        <f>IF(ISNUMBER(B38),B38,"")</f>
        <v/>
      </c>
      <c r="D38">
        <f>IF(ISNUMBER(C38),_xlfn.RANK.EQ(C38,$C$2:$C$1031),"")</f>
        <v/>
      </c>
      <c r="E38">
        <f>Sheet1!C38+Sheet1!D38+Sheet1!E38+Sheet1!F38+Sheet1!J38+Sheet1!K38+Sheet1!L38+Sheet1!M38+Sheet1!Q38+Sheet1!R38+Sheet1!S38+Sheet1!T38</f>
        <v/>
      </c>
      <c r="F38">
        <f>IF(ISNUMBER(E38),E38,"")</f>
        <v/>
      </c>
      <c r="G38">
        <f>IF(ISNUMBER(F38),_xlfn.RANK.EQ(F38,$F$2:$F$1031),"")</f>
        <v/>
      </c>
      <c r="H38">
        <f>INDEX(Sheet1!AH:AH,MATCH(A38,Sheet1!A:A,0))</f>
        <v/>
      </c>
    </row>
    <row r="39">
      <c r="A39" t="n">
        <v>83</v>
      </c>
      <c r="B39">
        <f>Sheet1!C39+Sheet1!D39+Sheet1!E39+Sheet1!F39+Sheet1!J39+Sheet1!K39+Sheet1!L39+Sheet1!M39</f>
        <v/>
      </c>
      <c r="C39">
        <f>IF(ISNUMBER(B39),B39,"")</f>
        <v/>
      </c>
      <c r="D39">
        <f>IF(ISNUMBER(C39),_xlfn.RANK.EQ(C39,$C$2:$C$1031),"")</f>
        <v/>
      </c>
      <c r="E39">
        <f>Sheet1!C39+Sheet1!D39+Sheet1!E39+Sheet1!F39+Sheet1!J39+Sheet1!K39+Sheet1!L39+Sheet1!M39+Sheet1!Q39+Sheet1!R39+Sheet1!S39+Sheet1!T39</f>
        <v/>
      </c>
      <c r="F39">
        <f>IF(ISNUMBER(E39),E39,"")</f>
        <v/>
      </c>
      <c r="G39">
        <f>IF(ISNUMBER(F39),_xlfn.RANK.EQ(F39,$F$2:$F$1031),"")</f>
        <v/>
      </c>
      <c r="H39">
        <f>INDEX(Sheet1!AH:AH,MATCH(A39,Sheet1!A:A,0))</f>
        <v/>
      </c>
    </row>
    <row r="40">
      <c r="A40" t="n">
        <v>85</v>
      </c>
      <c r="B40">
        <f>Sheet1!C40+Sheet1!D40+Sheet1!E40+Sheet1!F40+Sheet1!J40+Sheet1!K40+Sheet1!L40+Sheet1!M40</f>
        <v/>
      </c>
      <c r="C40">
        <f>IF(ISNUMBER(B40),B40,"")</f>
        <v/>
      </c>
      <c r="D40">
        <f>IF(ISNUMBER(C40),_xlfn.RANK.EQ(C40,$C$2:$C$1031),"")</f>
        <v/>
      </c>
      <c r="E40">
        <f>Sheet1!C40+Sheet1!D40+Sheet1!E40+Sheet1!F40+Sheet1!J40+Sheet1!K40+Sheet1!L40+Sheet1!M40+Sheet1!Q40+Sheet1!R40+Sheet1!S40+Sheet1!T40</f>
        <v/>
      </c>
      <c r="F40">
        <f>IF(ISNUMBER(E40),E40,"")</f>
        <v/>
      </c>
      <c r="G40">
        <f>IF(ISNUMBER(F40),_xlfn.RANK.EQ(F40,$F$2:$F$1031),"")</f>
        <v/>
      </c>
      <c r="H40">
        <f>INDEX(Sheet1!AH:AH,MATCH(A40,Sheet1!A:A,0))</f>
        <v/>
      </c>
    </row>
    <row r="41">
      <c r="A41" t="n">
        <v>89</v>
      </c>
      <c r="B41">
        <f>Sheet1!C41+Sheet1!D41+Sheet1!E41+Sheet1!F41+Sheet1!J41+Sheet1!K41+Sheet1!L41+Sheet1!M41</f>
        <v/>
      </c>
      <c r="C41">
        <f>IF(ISNUMBER(B41),B41,"")</f>
        <v/>
      </c>
      <c r="D41">
        <f>IF(ISNUMBER(C41),_xlfn.RANK.EQ(C41,$C$2:$C$1031),"")</f>
        <v/>
      </c>
      <c r="E41">
        <f>Sheet1!C41+Sheet1!D41+Sheet1!E41+Sheet1!F41+Sheet1!J41+Sheet1!K41+Sheet1!L41+Sheet1!M41+Sheet1!Q41+Sheet1!R41+Sheet1!S41+Sheet1!T41</f>
        <v/>
      </c>
      <c r="F41">
        <f>IF(ISNUMBER(E41),E41,"")</f>
        <v/>
      </c>
      <c r="G41">
        <f>IF(ISNUMBER(F41),_xlfn.RANK.EQ(F41,$F$2:$F$1031),"")</f>
        <v/>
      </c>
      <c r="H41">
        <f>INDEX(Sheet1!AH:AH,MATCH(A41,Sheet1!A:A,0))</f>
        <v/>
      </c>
    </row>
    <row r="42">
      <c r="A42" t="n">
        <v>90</v>
      </c>
      <c r="B42">
        <f>Sheet1!C42+Sheet1!D42+Sheet1!E42+Sheet1!F42+Sheet1!J42+Sheet1!K42+Sheet1!L42+Sheet1!M42</f>
        <v/>
      </c>
      <c r="C42">
        <f>IF(ISNUMBER(B42),B42,"")</f>
        <v/>
      </c>
      <c r="D42">
        <f>IF(ISNUMBER(C42),_xlfn.RANK.EQ(C42,$C$2:$C$1031),"")</f>
        <v/>
      </c>
      <c r="E42">
        <f>Sheet1!C42+Sheet1!D42+Sheet1!E42+Sheet1!F42+Sheet1!J42+Sheet1!K42+Sheet1!L42+Sheet1!M42+Sheet1!Q42+Sheet1!R42+Sheet1!S42+Sheet1!T42</f>
        <v/>
      </c>
      <c r="F42">
        <f>IF(ISNUMBER(E42),E42,"")</f>
        <v/>
      </c>
      <c r="G42">
        <f>IF(ISNUMBER(F42),_xlfn.RANK.EQ(F42,$F$2:$F$1031),"")</f>
        <v/>
      </c>
      <c r="H42">
        <f>INDEX(Sheet1!AH:AH,MATCH(A42,Sheet1!A:A,0))</f>
        <v/>
      </c>
    </row>
    <row r="43">
      <c r="A43" t="n">
        <v>91</v>
      </c>
      <c r="B43">
        <f>Sheet1!C43+Sheet1!D43+Sheet1!E43+Sheet1!F43+Sheet1!J43+Sheet1!K43+Sheet1!L43+Sheet1!M43</f>
        <v/>
      </c>
      <c r="C43">
        <f>IF(ISNUMBER(B43),B43,"")</f>
        <v/>
      </c>
      <c r="D43">
        <f>IF(ISNUMBER(C43),_xlfn.RANK.EQ(C43,$C$2:$C$1031),"")</f>
        <v/>
      </c>
      <c r="E43">
        <f>Sheet1!C43+Sheet1!D43+Sheet1!E43+Sheet1!F43+Sheet1!J43+Sheet1!K43+Sheet1!L43+Sheet1!M43+Sheet1!Q43+Sheet1!R43+Sheet1!S43+Sheet1!T43</f>
        <v/>
      </c>
      <c r="F43">
        <f>IF(ISNUMBER(E43),E43,"")</f>
        <v/>
      </c>
      <c r="G43">
        <f>IF(ISNUMBER(F43),_xlfn.RANK.EQ(F43,$F$2:$F$1031),"")</f>
        <v/>
      </c>
      <c r="H43">
        <f>INDEX(Sheet1!AH:AH,MATCH(A43,Sheet1!A:A,0))</f>
        <v/>
      </c>
    </row>
    <row r="44">
      <c r="A44" t="n">
        <v>93</v>
      </c>
      <c r="B44">
        <f>Sheet1!C44+Sheet1!D44+Sheet1!E44+Sheet1!F44+Sheet1!J44+Sheet1!K44+Sheet1!L44+Sheet1!M44</f>
        <v/>
      </c>
      <c r="C44">
        <f>IF(ISNUMBER(B44),B44,"")</f>
        <v/>
      </c>
      <c r="D44">
        <f>IF(ISNUMBER(C44),_xlfn.RANK.EQ(C44,$C$2:$C$1031),"")</f>
        <v/>
      </c>
      <c r="E44">
        <f>Sheet1!C44+Sheet1!D44+Sheet1!E44+Sheet1!F44+Sheet1!J44+Sheet1!K44+Sheet1!L44+Sheet1!M44+Sheet1!Q44+Sheet1!R44+Sheet1!S44+Sheet1!T44</f>
        <v/>
      </c>
      <c r="F44">
        <f>IF(ISNUMBER(E44),E44,"")</f>
        <v/>
      </c>
      <c r="G44">
        <f>IF(ISNUMBER(F44),_xlfn.RANK.EQ(F44,$F$2:$F$1031),"")</f>
        <v/>
      </c>
      <c r="H44">
        <f>INDEX(Sheet1!AH:AH,MATCH(A44,Sheet1!A:A,0))</f>
        <v/>
      </c>
    </row>
    <row r="45">
      <c r="A45" t="n">
        <v>95</v>
      </c>
      <c r="B45">
        <f>Sheet1!C45+Sheet1!D45+Sheet1!E45+Sheet1!F45+Sheet1!J45+Sheet1!K45+Sheet1!L45+Sheet1!M45</f>
        <v/>
      </c>
      <c r="C45">
        <f>IF(ISNUMBER(B45),B45,"")</f>
        <v/>
      </c>
      <c r="D45">
        <f>IF(ISNUMBER(C45),_xlfn.RANK.EQ(C45,$C$2:$C$1031),"")</f>
        <v/>
      </c>
      <c r="E45">
        <f>Sheet1!C45+Sheet1!D45+Sheet1!E45+Sheet1!F45+Sheet1!J45+Sheet1!K45+Sheet1!L45+Sheet1!M45+Sheet1!Q45+Sheet1!R45+Sheet1!S45+Sheet1!T45</f>
        <v/>
      </c>
      <c r="F45">
        <f>IF(ISNUMBER(E45),E45,"")</f>
        <v/>
      </c>
      <c r="G45">
        <f>IF(ISNUMBER(F45),_xlfn.RANK.EQ(F45,$F$2:$F$1031),"")</f>
        <v/>
      </c>
      <c r="H45">
        <f>INDEX(Sheet1!AH:AH,MATCH(A45,Sheet1!A:A,0))</f>
        <v/>
      </c>
    </row>
    <row r="46">
      <c r="A46" t="n">
        <v>97</v>
      </c>
      <c r="B46">
        <f>Sheet1!C46+Sheet1!D46+Sheet1!E46+Sheet1!F46+Sheet1!J46+Sheet1!K46+Sheet1!L46+Sheet1!M46</f>
        <v/>
      </c>
      <c r="C46">
        <f>IF(ISNUMBER(B46),B46,"")</f>
        <v/>
      </c>
      <c r="D46">
        <f>IF(ISNUMBER(C46),_xlfn.RANK.EQ(C46,$C$2:$C$1031),"")</f>
        <v/>
      </c>
      <c r="E46">
        <f>Sheet1!C46+Sheet1!D46+Sheet1!E46+Sheet1!F46+Sheet1!J46+Sheet1!K46+Sheet1!L46+Sheet1!M46+Sheet1!Q46+Sheet1!R46+Sheet1!S46+Sheet1!T46</f>
        <v/>
      </c>
      <c r="F46">
        <f>IF(ISNUMBER(E46),E46,"")</f>
        <v/>
      </c>
      <c r="G46">
        <f>IF(ISNUMBER(F46),_xlfn.RANK.EQ(F46,$F$2:$F$1031),"")</f>
        <v/>
      </c>
      <c r="H46">
        <f>INDEX(Sheet1!AH:AH,MATCH(A46,Sheet1!A:A,0))</f>
        <v/>
      </c>
    </row>
    <row r="47">
      <c r="A47" t="n">
        <v>100</v>
      </c>
      <c r="B47">
        <f>Sheet1!C47+Sheet1!D47+Sheet1!E47+Sheet1!F47+Sheet1!J47+Sheet1!K47+Sheet1!L47+Sheet1!M47</f>
        <v/>
      </c>
      <c r="C47">
        <f>IF(ISNUMBER(B47),B47,"")</f>
        <v/>
      </c>
      <c r="D47">
        <f>IF(ISNUMBER(C47),_xlfn.RANK.EQ(C47,$C$2:$C$1031),"")</f>
        <v/>
      </c>
      <c r="E47">
        <f>Sheet1!C47+Sheet1!D47+Sheet1!E47+Sheet1!F47+Sheet1!J47+Sheet1!K47+Sheet1!L47+Sheet1!M47+Sheet1!Q47+Sheet1!R47+Sheet1!S47+Sheet1!T47</f>
        <v/>
      </c>
      <c r="F47">
        <f>IF(ISNUMBER(E47),E47,"")</f>
        <v/>
      </c>
      <c r="G47">
        <f>IF(ISNUMBER(F47),_xlfn.RANK.EQ(F47,$F$2:$F$1031),"")</f>
        <v/>
      </c>
      <c r="H47">
        <f>INDEX(Sheet1!AH:AH,MATCH(A47,Sheet1!A:A,0))</f>
        <v/>
      </c>
    </row>
    <row r="48">
      <c r="A48" t="n">
        <v>101</v>
      </c>
      <c r="B48">
        <f>Sheet1!C48+Sheet1!D48+Sheet1!E48+Sheet1!F48+Sheet1!J48+Sheet1!K48+Sheet1!L48+Sheet1!M48</f>
        <v/>
      </c>
      <c r="C48">
        <f>IF(ISNUMBER(B48),B48,"")</f>
        <v/>
      </c>
      <c r="D48">
        <f>IF(ISNUMBER(C48),_xlfn.RANK.EQ(C48,$C$2:$C$1031),"")</f>
        <v/>
      </c>
      <c r="E48">
        <f>Sheet1!C48+Sheet1!D48+Sheet1!E48+Sheet1!F48+Sheet1!J48+Sheet1!K48+Sheet1!L48+Sheet1!M48+Sheet1!Q48+Sheet1!R48+Sheet1!S48+Sheet1!T48</f>
        <v/>
      </c>
      <c r="F48">
        <f>IF(ISNUMBER(E48),E48,"")</f>
        <v/>
      </c>
      <c r="G48">
        <f>IF(ISNUMBER(F48),_xlfn.RANK.EQ(F48,$F$2:$F$1031),"")</f>
        <v/>
      </c>
      <c r="H48">
        <f>INDEX(Sheet1!AH:AH,MATCH(A48,Sheet1!A:A,0))</f>
        <v/>
      </c>
    </row>
    <row r="49">
      <c r="A49" t="n">
        <v>107</v>
      </c>
      <c r="B49">
        <f>Sheet1!C49+Sheet1!D49+Sheet1!E49+Sheet1!F49+Sheet1!J49+Sheet1!K49+Sheet1!L49+Sheet1!M49</f>
        <v/>
      </c>
      <c r="C49">
        <f>IF(ISNUMBER(B49),B49,"")</f>
        <v/>
      </c>
      <c r="D49">
        <f>IF(ISNUMBER(C49),_xlfn.RANK.EQ(C49,$C$2:$C$1031),"")</f>
        <v/>
      </c>
      <c r="E49">
        <f>Sheet1!C49+Sheet1!D49+Sheet1!E49+Sheet1!F49+Sheet1!J49+Sheet1!K49+Sheet1!L49+Sheet1!M49+Sheet1!Q49+Sheet1!R49+Sheet1!S49+Sheet1!T49</f>
        <v/>
      </c>
      <c r="F49">
        <f>IF(ISNUMBER(E49),E49,"")</f>
        <v/>
      </c>
      <c r="G49">
        <f>IF(ISNUMBER(F49),_xlfn.RANK.EQ(F49,$F$2:$F$1031),"")</f>
        <v/>
      </c>
      <c r="H49">
        <f>INDEX(Sheet1!AH:AH,MATCH(A49,Sheet1!A:A,0))</f>
        <v/>
      </c>
    </row>
    <row r="50">
      <c r="A50" t="n">
        <v>109</v>
      </c>
      <c r="B50">
        <f>Sheet1!C50+Sheet1!D50+Sheet1!E50+Sheet1!F50+Sheet1!J50+Sheet1!K50+Sheet1!L50+Sheet1!M50</f>
        <v/>
      </c>
      <c r="C50">
        <f>IF(ISNUMBER(B50),B50,"")</f>
        <v/>
      </c>
      <c r="D50">
        <f>IF(ISNUMBER(C50),_xlfn.RANK.EQ(C50,$C$2:$C$1031),"")</f>
        <v/>
      </c>
      <c r="E50">
        <f>Sheet1!C50+Sheet1!D50+Sheet1!E50+Sheet1!F50+Sheet1!J50+Sheet1!K50+Sheet1!L50+Sheet1!M50+Sheet1!Q50+Sheet1!R50+Sheet1!S50+Sheet1!T50</f>
        <v/>
      </c>
      <c r="F50">
        <f>IF(ISNUMBER(E50),E50,"")</f>
        <v/>
      </c>
      <c r="G50">
        <f>IF(ISNUMBER(F50),_xlfn.RANK.EQ(F50,$F$2:$F$1031),"")</f>
        <v/>
      </c>
      <c r="H50">
        <f>INDEX(Sheet1!AH:AH,MATCH(A50,Sheet1!A:A,0))</f>
        <v/>
      </c>
    </row>
    <row r="51">
      <c r="A51" t="n">
        <v>110</v>
      </c>
      <c r="B51">
        <f>Sheet1!C51+Sheet1!D51+Sheet1!E51+Sheet1!F51+Sheet1!J51+Sheet1!K51+Sheet1!L51+Sheet1!M51</f>
        <v/>
      </c>
      <c r="C51">
        <f>IF(ISNUMBER(B51),B51,"")</f>
        <v/>
      </c>
      <c r="D51">
        <f>IF(ISNUMBER(C51),_xlfn.RANK.EQ(C51,$C$2:$C$1031),"")</f>
        <v/>
      </c>
      <c r="E51">
        <f>Sheet1!C51+Sheet1!D51+Sheet1!E51+Sheet1!F51+Sheet1!J51+Sheet1!K51+Sheet1!L51+Sheet1!M51+Sheet1!Q51+Sheet1!R51+Sheet1!S51+Sheet1!T51</f>
        <v/>
      </c>
      <c r="F51">
        <f>IF(ISNUMBER(E51),E51,"")</f>
        <v/>
      </c>
      <c r="G51">
        <f>IF(ISNUMBER(F51),_xlfn.RANK.EQ(F51,$F$2:$F$1031),"")</f>
        <v/>
      </c>
      <c r="H51">
        <f>INDEX(Sheet1!AH:AH,MATCH(A51,Sheet1!A:A,0))</f>
        <v/>
      </c>
    </row>
    <row r="52">
      <c r="A52" t="n">
        <v>112</v>
      </c>
      <c r="B52">
        <f>Sheet1!C52+Sheet1!D52+Sheet1!E52+Sheet1!F52+Sheet1!J52+Sheet1!K52+Sheet1!L52+Sheet1!M52</f>
        <v/>
      </c>
      <c r="C52">
        <f>IF(ISNUMBER(B52),B52,"")</f>
        <v/>
      </c>
      <c r="D52">
        <f>IF(ISNUMBER(C52),_xlfn.RANK.EQ(C52,$C$2:$C$1031),"")</f>
        <v/>
      </c>
      <c r="E52">
        <f>Sheet1!C52+Sheet1!D52+Sheet1!E52+Sheet1!F52+Sheet1!J52+Sheet1!K52+Sheet1!L52+Sheet1!M52+Sheet1!Q52+Sheet1!R52+Sheet1!S52+Sheet1!T52</f>
        <v/>
      </c>
      <c r="F52">
        <f>IF(ISNUMBER(E52),E52,"")</f>
        <v/>
      </c>
      <c r="G52">
        <f>IF(ISNUMBER(F52),_xlfn.RANK.EQ(F52,$F$2:$F$1031),"")</f>
        <v/>
      </c>
      <c r="H52">
        <f>INDEX(Sheet1!AH:AH,MATCH(A52,Sheet1!A:A,0))</f>
        <v/>
      </c>
    </row>
    <row r="53">
      <c r="A53" t="n">
        <v>115</v>
      </c>
      <c r="B53">
        <f>Sheet1!C53+Sheet1!D53+Sheet1!E53+Sheet1!F53+Sheet1!J53+Sheet1!K53+Sheet1!L53+Sheet1!M53</f>
        <v/>
      </c>
      <c r="C53">
        <f>IF(ISNUMBER(B53),B53,"")</f>
        <v/>
      </c>
      <c r="D53">
        <f>IF(ISNUMBER(C53),_xlfn.RANK.EQ(C53,$C$2:$C$1031),"")</f>
        <v/>
      </c>
      <c r="E53">
        <f>Sheet1!C53+Sheet1!D53+Sheet1!E53+Sheet1!F53+Sheet1!J53+Sheet1!K53+Sheet1!L53+Sheet1!M53+Sheet1!Q53+Sheet1!R53+Sheet1!S53+Sheet1!T53</f>
        <v/>
      </c>
      <c r="F53">
        <f>IF(ISNUMBER(E53),E53,"")</f>
        <v/>
      </c>
      <c r="G53">
        <f>IF(ISNUMBER(F53),_xlfn.RANK.EQ(F53,$F$2:$F$1031),"")</f>
        <v/>
      </c>
      <c r="H53">
        <f>INDEX(Sheet1!AH:AH,MATCH(A53,Sheet1!A:A,0))</f>
        <v/>
      </c>
    </row>
    <row r="54">
      <c r="A54" t="n">
        <v>117</v>
      </c>
      <c r="B54">
        <f>Sheet1!C54+Sheet1!D54+Sheet1!E54+Sheet1!F54+Sheet1!J54+Sheet1!K54+Sheet1!L54+Sheet1!M54</f>
        <v/>
      </c>
      <c r="C54">
        <f>IF(ISNUMBER(B54),B54,"")</f>
        <v/>
      </c>
      <c r="D54">
        <f>IF(ISNUMBER(C54),_xlfn.RANK.EQ(C54,$C$2:$C$1031),"")</f>
        <v/>
      </c>
      <c r="E54">
        <f>Sheet1!C54+Sheet1!D54+Sheet1!E54+Sheet1!F54+Sheet1!J54+Sheet1!K54+Sheet1!L54+Sheet1!M54+Sheet1!Q54+Sheet1!R54+Sheet1!S54+Sheet1!T54</f>
        <v/>
      </c>
      <c r="F54">
        <f>IF(ISNUMBER(E54),E54,"")</f>
        <v/>
      </c>
      <c r="G54">
        <f>IF(ISNUMBER(F54),_xlfn.RANK.EQ(F54,$F$2:$F$1031),"")</f>
        <v/>
      </c>
      <c r="H54">
        <f>INDEX(Sheet1!AH:AH,MATCH(A54,Sheet1!A:A,0))</f>
        <v/>
      </c>
    </row>
    <row r="55">
      <c r="A55" t="n">
        <v>118</v>
      </c>
      <c r="B55">
        <f>Sheet1!C55+Sheet1!D55+Sheet1!E55+Sheet1!F55+Sheet1!J55+Sheet1!K55+Sheet1!L55+Sheet1!M55</f>
        <v/>
      </c>
      <c r="C55">
        <f>IF(ISNUMBER(B55),B55,"")</f>
        <v/>
      </c>
      <c r="D55">
        <f>IF(ISNUMBER(C55),_xlfn.RANK.EQ(C55,$C$2:$C$1031),"")</f>
        <v/>
      </c>
      <c r="E55">
        <f>Sheet1!C55+Sheet1!D55+Sheet1!E55+Sheet1!F55+Sheet1!J55+Sheet1!K55+Sheet1!L55+Sheet1!M55+Sheet1!Q55+Sheet1!R55+Sheet1!S55+Sheet1!T55</f>
        <v/>
      </c>
      <c r="F55">
        <f>IF(ISNUMBER(E55),E55,"")</f>
        <v/>
      </c>
      <c r="G55">
        <f>IF(ISNUMBER(F55),_xlfn.RANK.EQ(F55,$F$2:$F$1031),"")</f>
        <v/>
      </c>
      <c r="H55">
        <f>INDEX(Sheet1!AH:AH,MATCH(A55,Sheet1!A:A,0))</f>
        <v/>
      </c>
    </row>
    <row r="56">
      <c r="A56" t="n">
        <v>119</v>
      </c>
      <c r="B56">
        <f>Sheet1!C56+Sheet1!D56+Sheet1!E56+Sheet1!F56+Sheet1!J56+Sheet1!K56+Sheet1!L56+Sheet1!M56</f>
        <v/>
      </c>
      <c r="C56">
        <f>IF(ISNUMBER(B56),B56,"")</f>
        <v/>
      </c>
      <c r="D56">
        <f>IF(ISNUMBER(C56),_xlfn.RANK.EQ(C56,$C$2:$C$1031),"")</f>
        <v/>
      </c>
      <c r="E56">
        <f>Sheet1!C56+Sheet1!D56+Sheet1!E56+Sheet1!F56+Sheet1!J56+Sheet1!K56+Sheet1!L56+Sheet1!M56+Sheet1!Q56+Sheet1!R56+Sheet1!S56+Sheet1!T56</f>
        <v/>
      </c>
      <c r="F56">
        <f>IF(ISNUMBER(E56),E56,"")</f>
        <v/>
      </c>
      <c r="G56">
        <f>IF(ISNUMBER(F56),_xlfn.RANK.EQ(F56,$F$2:$F$1031),"")</f>
        <v/>
      </c>
      <c r="H56">
        <f>INDEX(Sheet1!AH:AH,MATCH(A56,Sheet1!A:A,0))</f>
        <v/>
      </c>
    </row>
    <row r="57">
      <c r="A57" t="n">
        <v>120</v>
      </c>
      <c r="B57">
        <f>Sheet1!C57+Sheet1!D57+Sheet1!E57+Sheet1!F57+Sheet1!J57+Sheet1!K57+Sheet1!L57+Sheet1!M57</f>
        <v/>
      </c>
      <c r="C57">
        <f>IF(ISNUMBER(B57),B57,"")</f>
        <v/>
      </c>
      <c r="D57">
        <f>IF(ISNUMBER(C57),_xlfn.RANK.EQ(C57,$C$2:$C$1031),"")</f>
        <v/>
      </c>
      <c r="E57">
        <f>Sheet1!C57+Sheet1!D57+Sheet1!E57+Sheet1!F57+Sheet1!J57+Sheet1!K57+Sheet1!L57+Sheet1!M57+Sheet1!Q57+Sheet1!R57+Sheet1!S57+Sheet1!T57</f>
        <v/>
      </c>
      <c r="F57">
        <f>IF(ISNUMBER(E57),E57,"")</f>
        <v/>
      </c>
      <c r="G57">
        <f>IF(ISNUMBER(F57),_xlfn.RANK.EQ(F57,$F$2:$F$1031),"")</f>
        <v/>
      </c>
      <c r="H57">
        <f>INDEX(Sheet1!AH:AH,MATCH(A57,Sheet1!A:A,0))</f>
        <v/>
      </c>
    </row>
    <row r="58">
      <c r="A58" t="n">
        <v>122</v>
      </c>
      <c r="B58">
        <f>Sheet1!C58+Sheet1!D58+Sheet1!E58+Sheet1!F58+Sheet1!J58+Sheet1!K58+Sheet1!L58+Sheet1!M58</f>
        <v/>
      </c>
      <c r="C58">
        <f>IF(ISNUMBER(B58),B58,"")</f>
        <v/>
      </c>
      <c r="D58">
        <f>IF(ISNUMBER(C58),_xlfn.RANK.EQ(C58,$C$2:$C$1031),"")</f>
        <v/>
      </c>
      <c r="E58">
        <f>Sheet1!C58+Sheet1!D58+Sheet1!E58+Sheet1!F58+Sheet1!J58+Sheet1!K58+Sheet1!L58+Sheet1!M58+Sheet1!Q58+Sheet1!R58+Sheet1!S58+Sheet1!T58</f>
        <v/>
      </c>
      <c r="F58">
        <f>IF(ISNUMBER(E58),E58,"")</f>
        <v/>
      </c>
      <c r="G58">
        <f>IF(ISNUMBER(F58),_xlfn.RANK.EQ(F58,$F$2:$F$1031),"")</f>
        <v/>
      </c>
      <c r="H58">
        <f>INDEX(Sheet1!AH:AH,MATCH(A58,Sheet1!A:A,0))</f>
        <v/>
      </c>
    </row>
    <row r="59">
      <c r="A59" t="n">
        <v>124</v>
      </c>
      <c r="B59">
        <f>Sheet1!C59+Sheet1!D59+Sheet1!E59+Sheet1!F59+Sheet1!J59+Sheet1!K59+Sheet1!L59+Sheet1!M59</f>
        <v/>
      </c>
      <c r="C59">
        <f>IF(ISNUMBER(B59),B59,"")</f>
        <v/>
      </c>
      <c r="D59">
        <f>IF(ISNUMBER(C59),_xlfn.RANK.EQ(C59,$C$2:$C$1031),"")</f>
        <v/>
      </c>
      <c r="E59">
        <f>Sheet1!C59+Sheet1!D59+Sheet1!E59+Sheet1!F59+Sheet1!J59+Sheet1!K59+Sheet1!L59+Sheet1!M59+Sheet1!Q59+Sheet1!R59+Sheet1!S59+Sheet1!T59</f>
        <v/>
      </c>
      <c r="F59">
        <f>IF(ISNUMBER(E59),E59,"")</f>
        <v/>
      </c>
      <c r="G59">
        <f>IF(ISNUMBER(F59),_xlfn.RANK.EQ(F59,$F$2:$F$1031),"")</f>
        <v/>
      </c>
      <c r="H59">
        <f>INDEX(Sheet1!AH:AH,MATCH(A59,Sheet1!A:A,0))</f>
        <v/>
      </c>
    </row>
    <row r="60">
      <c r="A60" t="n">
        <v>130</v>
      </c>
      <c r="B60">
        <f>Sheet1!C60+Sheet1!D60+Sheet1!E60+Sheet1!F60+Sheet1!J60+Sheet1!K60+Sheet1!L60+Sheet1!M60</f>
        <v/>
      </c>
      <c r="C60">
        <f>IF(ISNUMBER(B60),B60,"")</f>
        <v/>
      </c>
      <c r="D60">
        <f>IF(ISNUMBER(C60),_xlfn.RANK.EQ(C60,$C$2:$C$1031),"")</f>
        <v/>
      </c>
      <c r="E60">
        <f>Sheet1!C60+Sheet1!D60+Sheet1!E60+Sheet1!F60+Sheet1!J60+Sheet1!K60+Sheet1!L60+Sheet1!M60+Sheet1!Q60+Sheet1!R60+Sheet1!S60+Sheet1!T60</f>
        <v/>
      </c>
      <c r="F60">
        <f>IF(ISNUMBER(E60),E60,"")</f>
        <v/>
      </c>
      <c r="G60">
        <f>IF(ISNUMBER(F60),_xlfn.RANK.EQ(F60,$F$2:$F$1031),"")</f>
        <v/>
      </c>
      <c r="H60">
        <f>INDEX(Sheet1!AH:AH,MATCH(A60,Sheet1!A:A,0))</f>
        <v/>
      </c>
    </row>
    <row r="61">
      <c r="A61" t="n">
        <v>132</v>
      </c>
      <c r="B61">
        <f>Sheet1!C61+Sheet1!D61+Sheet1!E61+Sheet1!F61+Sheet1!J61+Sheet1!K61+Sheet1!L61+Sheet1!M61</f>
        <v/>
      </c>
      <c r="C61">
        <f>IF(ISNUMBER(B61),B61,"")</f>
        <v/>
      </c>
      <c r="D61">
        <f>IF(ISNUMBER(C61),_xlfn.RANK.EQ(C61,$C$2:$C$1031),"")</f>
        <v/>
      </c>
      <c r="E61">
        <f>Sheet1!C61+Sheet1!D61+Sheet1!E61+Sheet1!F61+Sheet1!J61+Sheet1!K61+Sheet1!L61+Sheet1!M61+Sheet1!Q61+Sheet1!R61+Sheet1!S61+Sheet1!T61</f>
        <v/>
      </c>
      <c r="F61">
        <f>IF(ISNUMBER(E61),E61,"")</f>
        <v/>
      </c>
      <c r="G61">
        <f>IF(ISNUMBER(F61),_xlfn.RANK.EQ(F61,$F$2:$F$1031),"")</f>
        <v/>
      </c>
      <c r="H61">
        <f>INDEX(Sheet1!AH:AH,MATCH(A61,Sheet1!A:A,0))</f>
        <v/>
      </c>
    </row>
    <row r="62">
      <c r="A62" t="n">
        <v>133</v>
      </c>
      <c r="B62">
        <f>Sheet1!C62+Sheet1!D62+Sheet1!E62+Sheet1!F62+Sheet1!J62+Sheet1!K62+Sheet1!L62+Sheet1!M62</f>
        <v/>
      </c>
      <c r="C62">
        <f>IF(ISNUMBER(B62),B62,"")</f>
        <v/>
      </c>
      <c r="D62">
        <f>IF(ISNUMBER(C62),_xlfn.RANK.EQ(C62,$C$2:$C$1031),"")</f>
        <v/>
      </c>
      <c r="E62">
        <f>Sheet1!C62+Sheet1!D62+Sheet1!E62+Sheet1!F62+Sheet1!J62+Sheet1!K62+Sheet1!L62+Sheet1!M62+Sheet1!Q62+Sheet1!R62+Sheet1!S62+Sheet1!T62</f>
        <v/>
      </c>
      <c r="F62">
        <f>IF(ISNUMBER(E62),E62,"")</f>
        <v/>
      </c>
      <c r="G62">
        <f>IF(ISNUMBER(F62),_xlfn.RANK.EQ(F62,$F$2:$F$1031),"")</f>
        <v/>
      </c>
      <c r="H62">
        <f>INDEX(Sheet1!AH:AH,MATCH(A62,Sheet1!A:A,0))</f>
        <v/>
      </c>
    </row>
    <row r="63">
      <c r="A63" t="n">
        <v>135</v>
      </c>
      <c r="B63">
        <f>Sheet1!C63+Sheet1!D63+Sheet1!E63+Sheet1!F63+Sheet1!J63+Sheet1!K63+Sheet1!L63+Sheet1!M63</f>
        <v/>
      </c>
      <c r="C63">
        <f>IF(ISNUMBER(B63),B63,"")</f>
        <v/>
      </c>
      <c r="D63">
        <f>IF(ISNUMBER(C63),_xlfn.RANK.EQ(C63,$C$2:$C$1031),"")</f>
        <v/>
      </c>
      <c r="E63">
        <f>Sheet1!C63+Sheet1!D63+Sheet1!E63+Sheet1!F63+Sheet1!J63+Sheet1!K63+Sheet1!L63+Sheet1!M63+Sheet1!Q63+Sheet1!R63+Sheet1!S63+Sheet1!T63</f>
        <v/>
      </c>
      <c r="F63">
        <f>IF(ISNUMBER(E63),E63,"")</f>
        <v/>
      </c>
      <c r="G63">
        <f>IF(ISNUMBER(F63),_xlfn.RANK.EQ(F63,$F$2:$F$1031),"")</f>
        <v/>
      </c>
      <c r="H63">
        <f>INDEX(Sheet1!AH:AH,MATCH(A63,Sheet1!A:A,0))</f>
        <v/>
      </c>
    </row>
    <row r="64">
      <c r="A64" t="n">
        <v>136</v>
      </c>
      <c r="B64">
        <f>Sheet1!C64+Sheet1!D64+Sheet1!E64+Sheet1!F64+Sheet1!J64+Sheet1!K64+Sheet1!L64+Sheet1!M64</f>
        <v/>
      </c>
      <c r="C64">
        <f>IF(ISNUMBER(B64),B64,"")</f>
        <v/>
      </c>
      <c r="D64">
        <f>IF(ISNUMBER(C64),_xlfn.RANK.EQ(C64,$C$2:$C$1031),"")</f>
        <v/>
      </c>
      <c r="E64">
        <f>Sheet1!C64+Sheet1!D64+Sheet1!E64+Sheet1!F64+Sheet1!J64+Sheet1!K64+Sheet1!L64+Sheet1!M64+Sheet1!Q64+Sheet1!R64+Sheet1!S64+Sheet1!T64</f>
        <v/>
      </c>
      <c r="F64">
        <f>IF(ISNUMBER(E64),E64,"")</f>
        <v/>
      </c>
      <c r="G64">
        <f>IF(ISNUMBER(F64),_xlfn.RANK.EQ(F64,$F$2:$F$1031),"")</f>
        <v/>
      </c>
      <c r="H64">
        <f>INDEX(Sheet1!AH:AH,MATCH(A64,Sheet1!A:A,0))</f>
        <v/>
      </c>
    </row>
    <row r="65">
      <c r="A65" t="n">
        <v>140</v>
      </c>
      <c r="B65">
        <f>Sheet1!C65+Sheet1!D65+Sheet1!E65+Sheet1!F65+Sheet1!J65+Sheet1!K65+Sheet1!L65+Sheet1!M65</f>
        <v/>
      </c>
      <c r="C65">
        <f>IF(ISNUMBER(B65),B65,"")</f>
        <v/>
      </c>
      <c r="D65">
        <f>IF(ISNUMBER(C65),_xlfn.RANK.EQ(C65,$C$2:$C$1031),"")</f>
        <v/>
      </c>
      <c r="E65">
        <f>Sheet1!C65+Sheet1!D65+Sheet1!E65+Sheet1!F65+Sheet1!J65+Sheet1!K65+Sheet1!L65+Sheet1!M65+Sheet1!Q65+Sheet1!R65+Sheet1!S65+Sheet1!T65</f>
        <v/>
      </c>
      <c r="F65">
        <f>IF(ISNUMBER(E65),E65,"")</f>
        <v/>
      </c>
      <c r="G65">
        <f>IF(ISNUMBER(F65),_xlfn.RANK.EQ(F65,$F$2:$F$1031),"")</f>
        <v/>
      </c>
      <c r="H65">
        <f>INDEX(Sheet1!AH:AH,MATCH(A65,Sheet1!A:A,0))</f>
        <v/>
      </c>
    </row>
    <row r="66">
      <c r="A66" t="n">
        <v>141</v>
      </c>
      <c r="B66">
        <f>Sheet1!C66+Sheet1!D66+Sheet1!E66+Sheet1!F66+Sheet1!J66+Sheet1!K66+Sheet1!L66+Sheet1!M66</f>
        <v/>
      </c>
      <c r="C66">
        <f>IF(ISNUMBER(B66),B66,"")</f>
        <v/>
      </c>
      <c r="D66">
        <f>IF(ISNUMBER(C66),_xlfn.RANK.EQ(C66,$C$2:$C$1031),"")</f>
        <v/>
      </c>
      <c r="E66">
        <f>Sheet1!C66+Sheet1!D66+Sheet1!E66+Sheet1!F66+Sheet1!J66+Sheet1!K66+Sheet1!L66+Sheet1!M66+Sheet1!Q66+Sheet1!R66+Sheet1!S66+Sheet1!T66</f>
        <v/>
      </c>
      <c r="F66">
        <f>IF(ISNUMBER(E66),E66,"")</f>
        <v/>
      </c>
      <c r="G66">
        <f>IF(ISNUMBER(F66),_xlfn.RANK.EQ(F66,$F$2:$F$1031),"")</f>
        <v/>
      </c>
      <c r="H66">
        <f>INDEX(Sheet1!AH:AH,MATCH(A66,Sheet1!A:A,0))</f>
        <v/>
      </c>
    </row>
    <row r="67">
      <c r="A67" t="n">
        <v>142</v>
      </c>
      <c r="B67">
        <f>Sheet1!C67+Sheet1!D67+Sheet1!E67+Sheet1!F67+Sheet1!J67+Sheet1!K67+Sheet1!L67+Sheet1!M67</f>
        <v/>
      </c>
      <c r="C67">
        <f>IF(ISNUMBER(B67),B67,"")</f>
        <v/>
      </c>
      <c r="D67">
        <f>IF(ISNUMBER(C67),_xlfn.RANK.EQ(C67,$C$2:$C$1031),"")</f>
        <v/>
      </c>
      <c r="E67">
        <f>Sheet1!C67+Sheet1!D67+Sheet1!E67+Sheet1!F67+Sheet1!J67+Sheet1!K67+Sheet1!L67+Sheet1!M67+Sheet1!Q67+Sheet1!R67+Sheet1!S67+Sheet1!T67</f>
        <v/>
      </c>
      <c r="F67">
        <f>IF(ISNUMBER(E67),E67,"")</f>
        <v/>
      </c>
      <c r="G67">
        <f>IF(ISNUMBER(F67),_xlfn.RANK.EQ(F67,$F$2:$F$1031),"")</f>
        <v/>
      </c>
      <c r="H67">
        <f>INDEX(Sheet1!AH:AH,MATCH(A67,Sheet1!A:A,0))</f>
        <v/>
      </c>
    </row>
    <row r="68">
      <c r="A68" t="n">
        <v>143</v>
      </c>
      <c r="B68">
        <f>Sheet1!C68+Sheet1!D68+Sheet1!E68+Sheet1!F68+Sheet1!J68+Sheet1!K68+Sheet1!L68+Sheet1!M68</f>
        <v/>
      </c>
      <c r="C68">
        <f>IF(ISNUMBER(B68),B68,"")</f>
        <v/>
      </c>
      <c r="D68">
        <f>IF(ISNUMBER(C68),_xlfn.RANK.EQ(C68,$C$2:$C$1031),"")</f>
        <v/>
      </c>
      <c r="E68">
        <f>Sheet1!C68+Sheet1!D68+Sheet1!E68+Sheet1!F68+Sheet1!J68+Sheet1!K68+Sheet1!L68+Sheet1!M68+Sheet1!Q68+Sheet1!R68+Sheet1!S68+Sheet1!T68</f>
        <v/>
      </c>
      <c r="F68">
        <f>IF(ISNUMBER(E68),E68,"")</f>
        <v/>
      </c>
      <c r="G68">
        <f>IF(ISNUMBER(F68),_xlfn.RANK.EQ(F68,$F$2:$F$1031),"")</f>
        <v/>
      </c>
      <c r="H68">
        <f>INDEX(Sheet1!AH:AH,MATCH(A68,Sheet1!A:A,0))</f>
        <v/>
      </c>
    </row>
    <row r="69">
      <c r="A69" t="n">
        <v>144</v>
      </c>
      <c r="B69">
        <f>Sheet1!C69+Sheet1!D69+Sheet1!E69+Sheet1!F69+Sheet1!J69+Sheet1!K69+Sheet1!L69+Sheet1!M69</f>
        <v/>
      </c>
      <c r="C69">
        <f>IF(ISNUMBER(B69),B69,"")</f>
        <v/>
      </c>
      <c r="D69">
        <f>IF(ISNUMBER(C69),_xlfn.RANK.EQ(C69,$C$2:$C$1031),"")</f>
        <v/>
      </c>
      <c r="E69">
        <f>Sheet1!C69+Sheet1!D69+Sheet1!E69+Sheet1!F69+Sheet1!J69+Sheet1!K69+Sheet1!L69+Sheet1!M69+Sheet1!Q69+Sheet1!R69+Sheet1!S69+Sheet1!T69</f>
        <v/>
      </c>
      <c r="F69">
        <f>IF(ISNUMBER(E69),E69,"")</f>
        <v/>
      </c>
      <c r="G69">
        <f>IF(ISNUMBER(F69),_xlfn.RANK.EQ(F69,$F$2:$F$1031),"")</f>
        <v/>
      </c>
      <c r="H69">
        <f>INDEX(Sheet1!AH:AH,MATCH(A69,Sheet1!A:A,0))</f>
        <v/>
      </c>
    </row>
    <row r="70">
      <c r="A70" t="n">
        <v>146</v>
      </c>
      <c r="B70">
        <f>Sheet1!C70+Sheet1!D70+Sheet1!E70+Sheet1!F70+Sheet1!J70+Sheet1!K70+Sheet1!L70+Sheet1!M70</f>
        <v/>
      </c>
      <c r="C70">
        <f>IF(ISNUMBER(B70),B70,"")</f>
        <v/>
      </c>
      <c r="D70">
        <f>IF(ISNUMBER(C70),_xlfn.RANK.EQ(C70,$C$2:$C$1031),"")</f>
        <v/>
      </c>
      <c r="E70">
        <f>Sheet1!C70+Sheet1!D70+Sheet1!E70+Sheet1!F70+Sheet1!J70+Sheet1!K70+Sheet1!L70+Sheet1!M70+Sheet1!Q70+Sheet1!R70+Sheet1!S70+Sheet1!T70</f>
        <v/>
      </c>
      <c r="F70">
        <f>IF(ISNUMBER(E70),E70,"")</f>
        <v/>
      </c>
      <c r="G70">
        <f>IF(ISNUMBER(F70),_xlfn.RANK.EQ(F70,$F$2:$F$1031),"")</f>
        <v/>
      </c>
      <c r="H70">
        <f>INDEX(Sheet1!AH:AH,MATCH(A70,Sheet1!A:A,0))</f>
        <v/>
      </c>
    </row>
    <row r="71">
      <c r="A71" t="n">
        <v>148</v>
      </c>
      <c r="B71">
        <f>Sheet1!C71+Sheet1!D71+Sheet1!E71+Sheet1!F71+Sheet1!J71+Sheet1!K71+Sheet1!L71+Sheet1!M71</f>
        <v/>
      </c>
      <c r="C71">
        <f>IF(ISNUMBER(B71),B71,"")</f>
        <v/>
      </c>
      <c r="D71">
        <f>IF(ISNUMBER(C71),_xlfn.RANK.EQ(C71,$C$2:$C$1031),"")</f>
        <v/>
      </c>
      <c r="E71">
        <f>Sheet1!C71+Sheet1!D71+Sheet1!E71+Sheet1!F71+Sheet1!J71+Sheet1!K71+Sheet1!L71+Sheet1!M71+Sheet1!Q71+Sheet1!R71+Sheet1!S71+Sheet1!T71</f>
        <v/>
      </c>
      <c r="F71">
        <f>IF(ISNUMBER(E71),E71,"")</f>
        <v/>
      </c>
      <c r="G71">
        <f>IF(ISNUMBER(F71),_xlfn.RANK.EQ(F71,$F$2:$F$1031),"")</f>
        <v/>
      </c>
      <c r="H71">
        <f>INDEX(Sheet1!AH:AH,MATCH(A71,Sheet1!A:A,0))</f>
        <v/>
      </c>
    </row>
    <row r="72">
      <c r="A72" t="n">
        <v>151</v>
      </c>
      <c r="B72">
        <f>Sheet1!C72+Sheet1!D72+Sheet1!E72+Sheet1!F72+Sheet1!J72+Sheet1!K72+Sheet1!L72+Sheet1!M72</f>
        <v/>
      </c>
      <c r="C72">
        <f>IF(ISNUMBER(B72),B72,"")</f>
        <v/>
      </c>
      <c r="D72">
        <f>IF(ISNUMBER(C72),_xlfn.RANK.EQ(C72,$C$2:$C$1031),"")</f>
        <v/>
      </c>
      <c r="E72">
        <f>Sheet1!C72+Sheet1!D72+Sheet1!E72+Sheet1!F72+Sheet1!J72+Sheet1!K72+Sheet1!L72+Sheet1!M72+Sheet1!Q72+Sheet1!R72+Sheet1!S72+Sheet1!T72</f>
        <v/>
      </c>
      <c r="F72">
        <f>IF(ISNUMBER(E72),E72,"")</f>
        <v/>
      </c>
      <c r="G72">
        <f>IF(ISNUMBER(F72),_xlfn.RANK.EQ(F72,$F$2:$F$1031),"")</f>
        <v/>
      </c>
      <c r="H72">
        <f>INDEX(Sheet1!AH:AH,MATCH(A72,Sheet1!A:A,0))</f>
        <v/>
      </c>
    </row>
    <row r="73">
      <c r="A73" t="n">
        <v>152</v>
      </c>
      <c r="B73">
        <f>Sheet1!C73+Sheet1!D73+Sheet1!E73+Sheet1!F73+Sheet1!J73+Sheet1!K73+Sheet1!L73+Sheet1!M73</f>
        <v/>
      </c>
      <c r="C73">
        <f>IF(ISNUMBER(B73),B73,"")</f>
        <v/>
      </c>
      <c r="D73">
        <f>IF(ISNUMBER(C73),_xlfn.RANK.EQ(C73,$C$2:$C$1031),"")</f>
        <v/>
      </c>
      <c r="E73">
        <f>Sheet1!C73+Sheet1!D73+Sheet1!E73+Sheet1!F73+Sheet1!J73+Sheet1!K73+Sheet1!L73+Sheet1!M73+Sheet1!Q73+Sheet1!R73+Sheet1!S73+Sheet1!T73</f>
        <v/>
      </c>
      <c r="F73">
        <f>IF(ISNUMBER(E73),E73,"")</f>
        <v/>
      </c>
      <c r="G73">
        <f>IF(ISNUMBER(F73),_xlfn.RANK.EQ(F73,$F$2:$F$1031),"")</f>
        <v/>
      </c>
      <c r="H73">
        <f>INDEX(Sheet1!AH:AH,MATCH(A73,Sheet1!A:A,0))</f>
        <v/>
      </c>
    </row>
    <row r="74">
      <c r="A74" t="n">
        <v>155</v>
      </c>
      <c r="B74">
        <f>Sheet1!C74+Sheet1!D74+Sheet1!E74+Sheet1!F74+Sheet1!J74+Sheet1!K74+Sheet1!L74+Sheet1!M74</f>
        <v/>
      </c>
      <c r="C74">
        <f>IF(ISNUMBER(B74),B74,"")</f>
        <v/>
      </c>
      <c r="D74">
        <f>IF(ISNUMBER(C74),_xlfn.RANK.EQ(C74,$C$2:$C$1031),"")</f>
        <v/>
      </c>
      <c r="E74">
        <f>Sheet1!C74+Sheet1!D74+Sheet1!E74+Sheet1!F74+Sheet1!J74+Sheet1!K74+Sheet1!L74+Sheet1!M74+Sheet1!Q74+Sheet1!R74+Sheet1!S74+Sheet1!T74</f>
        <v/>
      </c>
      <c r="F74">
        <f>IF(ISNUMBER(E74),E74,"")</f>
        <v/>
      </c>
      <c r="G74">
        <f>IF(ISNUMBER(F74),_xlfn.RANK.EQ(F74,$F$2:$F$1031),"")</f>
        <v/>
      </c>
      <c r="H74">
        <f>INDEX(Sheet1!AH:AH,MATCH(A74,Sheet1!A:A,0))</f>
        <v/>
      </c>
    </row>
    <row r="75">
      <c r="A75" t="n">
        <v>156</v>
      </c>
      <c r="B75">
        <f>Sheet1!C75+Sheet1!D75+Sheet1!E75+Sheet1!F75+Sheet1!J75+Sheet1!K75+Sheet1!L75+Sheet1!M75</f>
        <v/>
      </c>
      <c r="C75">
        <f>IF(ISNUMBER(B75),B75,"")</f>
        <v/>
      </c>
      <c r="D75">
        <f>IF(ISNUMBER(C75),_xlfn.RANK.EQ(C75,$C$2:$C$1031),"")</f>
        <v/>
      </c>
      <c r="E75">
        <f>Sheet1!C75+Sheet1!D75+Sheet1!E75+Sheet1!F75+Sheet1!J75+Sheet1!K75+Sheet1!L75+Sheet1!M75+Sheet1!Q75+Sheet1!R75+Sheet1!S75+Sheet1!T75</f>
        <v/>
      </c>
      <c r="F75">
        <f>IF(ISNUMBER(E75),E75,"")</f>
        <v/>
      </c>
      <c r="G75">
        <f>IF(ISNUMBER(F75),_xlfn.RANK.EQ(F75,$F$2:$F$1031),"")</f>
        <v/>
      </c>
      <c r="H75">
        <f>INDEX(Sheet1!AH:AH,MATCH(A75,Sheet1!A:A,0))</f>
        <v/>
      </c>
    </row>
    <row r="76">
      <c r="A76" t="n">
        <v>157</v>
      </c>
      <c r="B76">
        <f>Sheet1!C76+Sheet1!D76+Sheet1!E76+Sheet1!F76+Sheet1!J76+Sheet1!K76+Sheet1!L76+Sheet1!M76</f>
        <v/>
      </c>
      <c r="C76">
        <f>IF(ISNUMBER(B76),B76,"")</f>
        <v/>
      </c>
      <c r="D76">
        <f>IF(ISNUMBER(C76),_xlfn.RANK.EQ(C76,$C$2:$C$1031),"")</f>
        <v/>
      </c>
      <c r="E76">
        <f>Sheet1!C76+Sheet1!D76+Sheet1!E76+Sheet1!F76+Sheet1!J76+Sheet1!K76+Sheet1!L76+Sheet1!M76+Sheet1!Q76+Sheet1!R76+Sheet1!S76+Sheet1!T76</f>
        <v/>
      </c>
      <c r="F76">
        <f>IF(ISNUMBER(E76),E76,"")</f>
        <v/>
      </c>
      <c r="G76">
        <f>IF(ISNUMBER(F76),_xlfn.RANK.EQ(F76,$F$2:$F$1031),"")</f>
        <v/>
      </c>
      <c r="H76">
        <f>INDEX(Sheet1!AH:AH,MATCH(A76,Sheet1!A:A,0))</f>
        <v/>
      </c>
    </row>
    <row r="77">
      <c r="A77" t="n">
        <v>160</v>
      </c>
      <c r="B77">
        <f>Sheet1!C77+Sheet1!D77+Sheet1!E77+Sheet1!F77+Sheet1!J77+Sheet1!K77+Sheet1!L77+Sheet1!M77</f>
        <v/>
      </c>
      <c r="C77">
        <f>IF(ISNUMBER(B77),B77,"")</f>
        <v/>
      </c>
      <c r="D77">
        <f>IF(ISNUMBER(C77),_xlfn.RANK.EQ(C77,$C$2:$C$1031),"")</f>
        <v/>
      </c>
      <c r="E77">
        <f>Sheet1!C77+Sheet1!D77+Sheet1!E77+Sheet1!F77+Sheet1!J77+Sheet1!K77+Sheet1!L77+Sheet1!M77+Sheet1!Q77+Sheet1!R77+Sheet1!S77+Sheet1!T77</f>
        <v/>
      </c>
      <c r="F77">
        <f>IF(ISNUMBER(E77),E77,"")</f>
        <v/>
      </c>
      <c r="G77">
        <f>IF(ISNUMBER(F77),_xlfn.RANK.EQ(F77,$F$2:$F$1031),"")</f>
        <v/>
      </c>
      <c r="H77">
        <f>INDEX(Sheet1!AH:AH,MATCH(A77,Sheet1!A:A,0))</f>
        <v/>
      </c>
    </row>
    <row r="78">
      <c r="A78" t="n">
        <v>162</v>
      </c>
      <c r="B78">
        <f>Sheet1!C78+Sheet1!D78+Sheet1!E78+Sheet1!F78+Sheet1!J78+Sheet1!K78+Sheet1!L78+Sheet1!M78</f>
        <v/>
      </c>
      <c r="C78">
        <f>IF(ISNUMBER(B78),B78,"")</f>
        <v/>
      </c>
      <c r="D78">
        <f>IF(ISNUMBER(C78),_xlfn.RANK.EQ(C78,$C$2:$C$1031),"")</f>
        <v/>
      </c>
      <c r="E78">
        <f>Sheet1!C78+Sheet1!D78+Sheet1!E78+Sheet1!F78+Sheet1!J78+Sheet1!K78+Sheet1!L78+Sheet1!M78+Sheet1!Q78+Sheet1!R78+Sheet1!S78+Sheet1!T78</f>
        <v/>
      </c>
      <c r="F78">
        <f>IF(ISNUMBER(E78),E78,"")</f>
        <v/>
      </c>
      <c r="G78">
        <f>IF(ISNUMBER(F78),_xlfn.RANK.EQ(F78,$F$2:$F$1031),"")</f>
        <v/>
      </c>
      <c r="H78">
        <f>INDEX(Sheet1!AH:AH,MATCH(A78,Sheet1!A:A,0))</f>
        <v/>
      </c>
    </row>
    <row r="79">
      <c r="A79" t="n">
        <v>163</v>
      </c>
      <c r="B79">
        <f>Sheet1!C79+Sheet1!D79+Sheet1!E79+Sheet1!F79+Sheet1!J79+Sheet1!K79+Sheet1!L79+Sheet1!M79</f>
        <v/>
      </c>
      <c r="C79">
        <f>IF(ISNUMBER(B79),B79,"")</f>
        <v/>
      </c>
      <c r="D79">
        <f>IF(ISNUMBER(C79),_xlfn.RANK.EQ(C79,$C$2:$C$1031),"")</f>
        <v/>
      </c>
      <c r="E79">
        <f>Sheet1!C79+Sheet1!D79+Sheet1!E79+Sheet1!F79+Sheet1!J79+Sheet1!K79+Sheet1!L79+Sheet1!M79+Sheet1!Q79+Sheet1!R79+Sheet1!S79+Sheet1!T79</f>
        <v/>
      </c>
      <c r="F79">
        <f>IF(ISNUMBER(E79),E79,"")</f>
        <v/>
      </c>
      <c r="G79">
        <f>IF(ISNUMBER(F79),_xlfn.RANK.EQ(F79,$F$2:$F$1031),"")</f>
        <v/>
      </c>
      <c r="H79">
        <f>INDEX(Sheet1!AH:AH,MATCH(A79,Sheet1!A:A,0))</f>
        <v/>
      </c>
    </row>
    <row r="80">
      <c r="A80" t="n">
        <v>164</v>
      </c>
      <c r="B80">
        <f>Sheet1!C80+Sheet1!D80+Sheet1!E80+Sheet1!F80+Sheet1!J80+Sheet1!K80+Sheet1!L80+Sheet1!M80</f>
        <v/>
      </c>
      <c r="C80">
        <f>IF(ISNUMBER(B80),B80,"")</f>
        <v/>
      </c>
      <c r="D80">
        <f>IF(ISNUMBER(C80),_xlfn.RANK.EQ(C80,$C$2:$C$1031),"")</f>
        <v/>
      </c>
      <c r="E80">
        <f>Sheet1!C80+Sheet1!D80+Sheet1!E80+Sheet1!F80+Sheet1!J80+Sheet1!K80+Sheet1!L80+Sheet1!M80+Sheet1!Q80+Sheet1!R80+Sheet1!S80+Sheet1!T80</f>
        <v/>
      </c>
      <c r="F80">
        <f>IF(ISNUMBER(E80),E80,"")</f>
        <v/>
      </c>
      <c r="G80">
        <f>IF(ISNUMBER(F80),_xlfn.RANK.EQ(F80,$F$2:$F$1031),"")</f>
        <v/>
      </c>
      <c r="H80">
        <f>INDEX(Sheet1!AH:AH,MATCH(A80,Sheet1!A:A,0))</f>
        <v/>
      </c>
    </row>
    <row r="81">
      <c r="A81" t="n">
        <v>166</v>
      </c>
      <c r="B81">
        <f>Sheet1!C81+Sheet1!D81+Sheet1!E81+Sheet1!F81+Sheet1!J81+Sheet1!K81+Sheet1!L81+Sheet1!M81</f>
        <v/>
      </c>
      <c r="C81">
        <f>IF(ISNUMBER(B81),B81,"")</f>
        <v/>
      </c>
      <c r="D81">
        <f>IF(ISNUMBER(C81),_xlfn.RANK.EQ(C81,$C$2:$C$1031),"")</f>
        <v/>
      </c>
      <c r="E81">
        <f>Sheet1!C81+Sheet1!D81+Sheet1!E81+Sheet1!F81+Sheet1!J81+Sheet1!K81+Sheet1!L81+Sheet1!M81+Sheet1!Q81+Sheet1!R81+Sheet1!S81+Sheet1!T81</f>
        <v/>
      </c>
      <c r="F81">
        <f>IF(ISNUMBER(E81),E81,"")</f>
        <v/>
      </c>
      <c r="G81">
        <f>IF(ISNUMBER(F81),_xlfn.RANK.EQ(F81,$F$2:$F$1031),"")</f>
        <v/>
      </c>
      <c r="H81">
        <f>INDEX(Sheet1!AH:AH,MATCH(A81,Sheet1!A:A,0))</f>
        <v/>
      </c>
    </row>
    <row r="82">
      <c r="A82" t="n">
        <v>167</v>
      </c>
      <c r="B82">
        <f>Sheet1!C82+Sheet1!D82+Sheet1!E82+Sheet1!F82+Sheet1!J82+Sheet1!K82+Sheet1!L82+Sheet1!M82</f>
        <v/>
      </c>
      <c r="C82">
        <f>IF(ISNUMBER(B82),B82,"")</f>
        <v/>
      </c>
      <c r="D82">
        <f>IF(ISNUMBER(C82),_xlfn.RANK.EQ(C82,$C$2:$C$1031),"")</f>
        <v/>
      </c>
      <c r="E82">
        <f>Sheet1!C82+Sheet1!D82+Sheet1!E82+Sheet1!F82+Sheet1!J82+Sheet1!K82+Sheet1!L82+Sheet1!M82+Sheet1!Q82+Sheet1!R82+Sheet1!S82+Sheet1!T82</f>
        <v/>
      </c>
      <c r="F82">
        <f>IF(ISNUMBER(E82),E82,"")</f>
        <v/>
      </c>
      <c r="G82">
        <f>IF(ISNUMBER(F82),_xlfn.RANK.EQ(F82,$F$2:$F$1031),"")</f>
        <v/>
      </c>
      <c r="H82">
        <f>INDEX(Sheet1!AH:AH,MATCH(A82,Sheet1!A:A,0))</f>
        <v/>
      </c>
    </row>
    <row r="83">
      <c r="A83" t="n">
        <v>168</v>
      </c>
      <c r="B83">
        <f>Sheet1!C83+Sheet1!D83+Sheet1!E83+Sheet1!F83+Sheet1!J83+Sheet1!K83+Sheet1!L83+Sheet1!M83</f>
        <v/>
      </c>
      <c r="C83">
        <f>IF(ISNUMBER(B83),B83,"")</f>
        <v/>
      </c>
      <c r="D83">
        <f>IF(ISNUMBER(C83),_xlfn.RANK.EQ(C83,$C$2:$C$1031),"")</f>
        <v/>
      </c>
      <c r="E83">
        <f>Sheet1!C83+Sheet1!D83+Sheet1!E83+Sheet1!F83+Sheet1!J83+Sheet1!K83+Sheet1!L83+Sheet1!M83+Sheet1!Q83+Sheet1!R83+Sheet1!S83+Sheet1!T83</f>
        <v/>
      </c>
      <c r="F83">
        <f>IF(ISNUMBER(E83),E83,"")</f>
        <v/>
      </c>
      <c r="G83">
        <f>IF(ISNUMBER(F83),_xlfn.RANK.EQ(F83,$F$2:$F$1031),"")</f>
        <v/>
      </c>
      <c r="H83">
        <f>INDEX(Sheet1!AH:AH,MATCH(A83,Sheet1!A:A,0))</f>
        <v/>
      </c>
    </row>
    <row r="84">
      <c r="A84" t="n">
        <v>171</v>
      </c>
      <c r="B84">
        <f>Sheet1!C84+Sheet1!D84+Sheet1!E84+Sheet1!F84+Sheet1!J84+Sheet1!K84+Sheet1!L84+Sheet1!M84</f>
        <v/>
      </c>
      <c r="C84">
        <f>IF(ISNUMBER(B84),B84,"")</f>
        <v/>
      </c>
      <c r="D84">
        <f>IF(ISNUMBER(C84),_xlfn.RANK.EQ(C84,$C$2:$C$1031),"")</f>
        <v/>
      </c>
      <c r="E84">
        <f>Sheet1!C84+Sheet1!D84+Sheet1!E84+Sheet1!F84+Sheet1!J84+Sheet1!K84+Sheet1!L84+Sheet1!M84+Sheet1!Q84+Sheet1!R84+Sheet1!S84+Sheet1!T84</f>
        <v/>
      </c>
      <c r="F84">
        <f>IF(ISNUMBER(E84),E84,"")</f>
        <v/>
      </c>
      <c r="G84">
        <f>IF(ISNUMBER(F84),_xlfn.RANK.EQ(F84,$F$2:$F$1031),"")</f>
        <v/>
      </c>
      <c r="H84">
        <f>INDEX(Sheet1!AH:AH,MATCH(A84,Sheet1!A:A,0))</f>
        <v/>
      </c>
    </row>
    <row r="85">
      <c r="A85" t="n">
        <v>174</v>
      </c>
      <c r="B85">
        <f>Sheet1!C85+Sheet1!D85+Sheet1!E85+Sheet1!F85+Sheet1!J85+Sheet1!K85+Sheet1!L85+Sheet1!M85</f>
        <v/>
      </c>
      <c r="C85">
        <f>IF(ISNUMBER(B85),B85,"")</f>
        <v/>
      </c>
      <c r="D85">
        <f>IF(ISNUMBER(C85),_xlfn.RANK.EQ(C85,$C$2:$C$1031),"")</f>
        <v/>
      </c>
      <c r="E85">
        <f>Sheet1!C85+Sheet1!D85+Sheet1!E85+Sheet1!F85+Sheet1!J85+Sheet1!K85+Sheet1!L85+Sheet1!M85+Sheet1!Q85+Sheet1!R85+Sheet1!S85+Sheet1!T85</f>
        <v/>
      </c>
      <c r="F85">
        <f>IF(ISNUMBER(E85),E85,"")</f>
        <v/>
      </c>
      <c r="G85">
        <f>IF(ISNUMBER(F85),_xlfn.RANK.EQ(F85,$F$2:$F$1031),"")</f>
        <v/>
      </c>
      <c r="H85">
        <f>INDEX(Sheet1!AH:AH,MATCH(A85,Sheet1!A:A,0))</f>
        <v/>
      </c>
    </row>
    <row r="86">
      <c r="A86" t="n">
        <v>175</v>
      </c>
      <c r="B86">
        <f>Sheet1!C86+Sheet1!D86+Sheet1!E86+Sheet1!F86+Sheet1!J86+Sheet1!K86+Sheet1!L86+Sheet1!M86</f>
        <v/>
      </c>
      <c r="C86">
        <f>IF(ISNUMBER(B86),B86,"")</f>
        <v/>
      </c>
      <c r="D86">
        <f>IF(ISNUMBER(C86),_xlfn.RANK.EQ(C86,$C$2:$C$1031),"")</f>
        <v/>
      </c>
      <c r="E86">
        <f>Sheet1!C86+Sheet1!D86+Sheet1!E86+Sheet1!F86+Sheet1!J86+Sheet1!K86+Sheet1!L86+Sheet1!M86+Sheet1!Q86+Sheet1!R86+Sheet1!S86+Sheet1!T86</f>
        <v/>
      </c>
      <c r="F86">
        <f>IF(ISNUMBER(E86),E86,"")</f>
        <v/>
      </c>
      <c r="G86">
        <f>IF(ISNUMBER(F86),_xlfn.RANK.EQ(F86,$F$2:$F$1031),"")</f>
        <v/>
      </c>
      <c r="H86">
        <f>INDEX(Sheet1!AH:AH,MATCH(A86,Sheet1!A:A,0))</f>
        <v/>
      </c>
    </row>
    <row r="87">
      <c r="A87" t="n">
        <v>176</v>
      </c>
      <c r="B87">
        <f>Sheet1!C87+Sheet1!D87+Sheet1!E87+Sheet1!F87+Sheet1!J87+Sheet1!K87+Sheet1!L87+Sheet1!M87</f>
        <v/>
      </c>
      <c r="C87">
        <f>IF(ISNUMBER(B87),B87,"")</f>
        <v/>
      </c>
      <c r="D87">
        <f>IF(ISNUMBER(C87),_xlfn.RANK.EQ(C87,$C$2:$C$1031),"")</f>
        <v/>
      </c>
      <c r="E87">
        <f>Sheet1!C87+Sheet1!D87+Sheet1!E87+Sheet1!F87+Sheet1!J87+Sheet1!K87+Sheet1!L87+Sheet1!M87+Sheet1!Q87+Sheet1!R87+Sheet1!S87+Sheet1!T87</f>
        <v/>
      </c>
      <c r="F87">
        <f>IF(ISNUMBER(E87),E87,"")</f>
        <v/>
      </c>
      <c r="G87">
        <f>IF(ISNUMBER(F87),_xlfn.RANK.EQ(F87,$F$2:$F$1031),"")</f>
        <v/>
      </c>
      <c r="H87">
        <f>INDEX(Sheet1!AH:AH,MATCH(A87,Sheet1!A:A,0))</f>
        <v/>
      </c>
    </row>
    <row r="88">
      <c r="A88" t="n">
        <v>178</v>
      </c>
      <c r="B88">
        <f>Sheet1!C88+Sheet1!D88+Sheet1!E88+Sheet1!F88+Sheet1!J88+Sheet1!K88+Sheet1!L88+Sheet1!M88</f>
        <v/>
      </c>
      <c r="C88">
        <f>IF(ISNUMBER(B88),B88,"")</f>
        <v/>
      </c>
      <c r="D88">
        <f>IF(ISNUMBER(C88),_xlfn.RANK.EQ(C88,$C$2:$C$1031),"")</f>
        <v/>
      </c>
      <c r="E88">
        <f>Sheet1!C88+Sheet1!D88+Sheet1!E88+Sheet1!F88+Sheet1!J88+Sheet1!K88+Sheet1!L88+Sheet1!M88+Sheet1!Q88+Sheet1!R88+Sheet1!S88+Sheet1!T88</f>
        <v/>
      </c>
      <c r="F88">
        <f>IF(ISNUMBER(E88),E88,"")</f>
        <v/>
      </c>
      <c r="G88">
        <f>IF(ISNUMBER(F88),_xlfn.RANK.EQ(F88,$F$2:$F$1031),"")</f>
        <v/>
      </c>
      <c r="H88">
        <f>INDEX(Sheet1!AH:AH,MATCH(A88,Sheet1!A:A,0))</f>
        <v/>
      </c>
    </row>
    <row r="89">
      <c r="A89" t="n">
        <v>182</v>
      </c>
      <c r="B89">
        <f>Sheet1!C89+Sheet1!D89+Sheet1!E89+Sheet1!F89+Sheet1!J89+Sheet1!K89+Sheet1!L89+Sheet1!M89</f>
        <v/>
      </c>
      <c r="C89">
        <f>IF(ISNUMBER(B89),B89,"")</f>
        <v/>
      </c>
      <c r="D89">
        <f>IF(ISNUMBER(C89),_xlfn.RANK.EQ(C89,$C$2:$C$1031),"")</f>
        <v/>
      </c>
      <c r="E89">
        <f>Sheet1!C89+Sheet1!D89+Sheet1!E89+Sheet1!F89+Sheet1!J89+Sheet1!K89+Sheet1!L89+Sheet1!M89+Sheet1!Q89+Sheet1!R89+Sheet1!S89+Sheet1!T89</f>
        <v/>
      </c>
      <c r="F89">
        <f>IF(ISNUMBER(E89),E89,"")</f>
        <v/>
      </c>
      <c r="G89">
        <f>IF(ISNUMBER(F89),_xlfn.RANK.EQ(F89,$F$2:$F$1031),"")</f>
        <v/>
      </c>
      <c r="H89">
        <f>INDEX(Sheet1!AH:AH,MATCH(A89,Sheet1!A:A,0))</f>
        <v/>
      </c>
    </row>
    <row r="90">
      <c r="A90" t="n">
        <v>183</v>
      </c>
      <c r="B90">
        <f>Sheet1!C90+Sheet1!D90+Sheet1!E90+Sheet1!F90+Sheet1!J90+Sheet1!K90+Sheet1!L90+Sheet1!M90</f>
        <v/>
      </c>
      <c r="C90">
        <f>IF(ISNUMBER(B90),B90,"")</f>
        <v/>
      </c>
      <c r="D90">
        <f>IF(ISNUMBER(C90),_xlfn.RANK.EQ(C90,$C$2:$C$1031),"")</f>
        <v/>
      </c>
      <c r="E90">
        <f>Sheet1!C90+Sheet1!D90+Sheet1!E90+Sheet1!F90+Sheet1!J90+Sheet1!K90+Sheet1!L90+Sheet1!M90+Sheet1!Q90+Sheet1!R90+Sheet1!S90+Sheet1!T90</f>
        <v/>
      </c>
      <c r="F90">
        <f>IF(ISNUMBER(E90),E90,"")</f>
        <v/>
      </c>
      <c r="G90">
        <f>IF(ISNUMBER(F90),_xlfn.RANK.EQ(F90,$F$2:$F$1031),"")</f>
        <v/>
      </c>
      <c r="H90">
        <f>INDEX(Sheet1!AH:AH,MATCH(A90,Sheet1!A:A,0))</f>
        <v/>
      </c>
    </row>
    <row r="91">
      <c r="A91" t="n">
        <v>184</v>
      </c>
      <c r="B91">
        <f>Sheet1!C91+Sheet1!D91+Sheet1!E91+Sheet1!F91+Sheet1!J91+Sheet1!K91+Sheet1!L91+Sheet1!M91</f>
        <v/>
      </c>
      <c r="C91">
        <f>IF(ISNUMBER(B91),B91,"")</f>
        <v/>
      </c>
      <c r="D91">
        <f>IF(ISNUMBER(C91),_xlfn.RANK.EQ(C91,$C$2:$C$1031),"")</f>
        <v/>
      </c>
      <c r="E91">
        <f>Sheet1!C91+Sheet1!D91+Sheet1!E91+Sheet1!F91+Sheet1!J91+Sheet1!K91+Sheet1!L91+Sheet1!M91+Sheet1!Q91+Sheet1!R91+Sheet1!S91+Sheet1!T91</f>
        <v/>
      </c>
      <c r="F91">
        <f>IF(ISNUMBER(E91),E91,"")</f>
        <v/>
      </c>
      <c r="G91">
        <f>IF(ISNUMBER(F91),_xlfn.RANK.EQ(F91,$F$2:$F$1031),"")</f>
        <v/>
      </c>
      <c r="H91">
        <f>INDEX(Sheet1!AH:AH,MATCH(A91,Sheet1!A:A,0))</f>
        <v/>
      </c>
    </row>
    <row r="92">
      <c r="A92" t="n">
        <v>185</v>
      </c>
      <c r="B92">
        <f>Sheet1!C92+Sheet1!D92+Sheet1!E92+Sheet1!F92+Sheet1!J92+Sheet1!K92+Sheet1!L92+Sheet1!M92</f>
        <v/>
      </c>
      <c r="C92">
        <f>IF(ISNUMBER(B92),B92,"")</f>
        <v/>
      </c>
      <c r="D92">
        <f>IF(ISNUMBER(C92),_xlfn.RANK.EQ(C92,$C$2:$C$1031),"")</f>
        <v/>
      </c>
      <c r="E92">
        <f>Sheet1!C92+Sheet1!D92+Sheet1!E92+Sheet1!F92+Sheet1!J92+Sheet1!K92+Sheet1!L92+Sheet1!M92+Sheet1!Q92+Sheet1!R92+Sheet1!S92+Sheet1!T92</f>
        <v/>
      </c>
      <c r="F92">
        <f>IF(ISNUMBER(E92),E92,"")</f>
        <v/>
      </c>
      <c r="G92">
        <f>IF(ISNUMBER(F92),_xlfn.RANK.EQ(F92,$F$2:$F$1031),"")</f>
        <v/>
      </c>
      <c r="H92">
        <f>INDEX(Sheet1!AH:AH,MATCH(A92,Sheet1!A:A,0))</f>
        <v/>
      </c>
    </row>
    <row r="93">
      <c r="A93" t="n">
        <v>186</v>
      </c>
      <c r="B93">
        <f>Sheet1!C93+Sheet1!D93+Sheet1!E93+Sheet1!F93+Sheet1!J93+Sheet1!K93+Sheet1!L93+Sheet1!M93</f>
        <v/>
      </c>
      <c r="C93">
        <f>IF(ISNUMBER(B93),B93,"")</f>
        <v/>
      </c>
      <c r="D93">
        <f>IF(ISNUMBER(C93),_xlfn.RANK.EQ(C93,$C$2:$C$1031),"")</f>
        <v/>
      </c>
      <c r="E93">
        <f>Sheet1!C93+Sheet1!D93+Sheet1!E93+Sheet1!F93+Sheet1!J93+Sheet1!K93+Sheet1!L93+Sheet1!M93+Sheet1!Q93+Sheet1!R93+Sheet1!S93+Sheet1!T93</f>
        <v/>
      </c>
      <c r="F93">
        <f>IF(ISNUMBER(E93),E93,"")</f>
        <v/>
      </c>
      <c r="G93">
        <f>IF(ISNUMBER(F93),_xlfn.RANK.EQ(F93,$F$2:$F$1031),"")</f>
        <v/>
      </c>
      <c r="H93">
        <f>INDEX(Sheet1!AH:AH,MATCH(A93,Sheet1!A:A,0))</f>
        <v/>
      </c>
    </row>
    <row r="94">
      <c r="A94" t="n">
        <v>187</v>
      </c>
      <c r="B94">
        <f>Sheet1!C94+Sheet1!D94+Sheet1!E94+Sheet1!F94+Sheet1!J94+Sheet1!K94+Sheet1!L94+Sheet1!M94</f>
        <v/>
      </c>
      <c r="C94">
        <f>IF(ISNUMBER(B94),B94,"")</f>
        <v/>
      </c>
      <c r="D94">
        <f>IF(ISNUMBER(C94),_xlfn.RANK.EQ(C94,$C$2:$C$1031),"")</f>
        <v/>
      </c>
      <c r="E94">
        <f>Sheet1!C94+Sheet1!D94+Sheet1!E94+Sheet1!F94+Sheet1!J94+Sheet1!K94+Sheet1!L94+Sheet1!M94+Sheet1!Q94+Sheet1!R94+Sheet1!S94+Sheet1!T94</f>
        <v/>
      </c>
      <c r="F94">
        <f>IF(ISNUMBER(E94),E94,"")</f>
        <v/>
      </c>
      <c r="G94">
        <f>IF(ISNUMBER(F94),_xlfn.RANK.EQ(F94,$F$2:$F$1031),"")</f>
        <v/>
      </c>
      <c r="H94">
        <f>INDEX(Sheet1!AH:AH,MATCH(A94,Sheet1!A:A,0))</f>
        <v/>
      </c>
    </row>
    <row r="95">
      <c r="A95" t="n">
        <v>189</v>
      </c>
      <c r="B95">
        <f>Sheet1!C95+Sheet1!D95+Sheet1!E95+Sheet1!F95+Sheet1!J95+Sheet1!K95+Sheet1!L95+Sheet1!M95</f>
        <v/>
      </c>
      <c r="C95">
        <f>IF(ISNUMBER(B95),B95,"")</f>
        <v/>
      </c>
      <c r="D95">
        <f>IF(ISNUMBER(C95),_xlfn.RANK.EQ(C95,$C$2:$C$1031),"")</f>
        <v/>
      </c>
      <c r="E95">
        <f>Sheet1!C95+Sheet1!D95+Sheet1!E95+Sheet1!F95+Sheet1!J95+Sheet1!K95+Sheet1!L95+Sheet1!M95+Sheet1!Q95+Sheet1!R95+Sheet1!S95+Sheet1!T95</f>
        <v/>
      </c>
      <c r="F95">
        <f>IF(ISNUMBER(E95),E95,"")</f>
        <v/>
      </c>
      <c r="G95">
        <f>IF(ISNUMBER(F95),_xlfn.RANK.EQ(F95,$F$2:$F$1031),"")</f>
        <v/>
      </c>
      <c r="H95">
        <f>INDEX(Sheet1!AH:AH,MATCH(A95,Sheet1!A:A,0))</f>
        <v/>
      </c>
    </row>
    <row r="96">
      <c r="A96" t="n">
        <v>191</v>
      </c>
      <c r="B96">
        <f>Sheet1!C96+Sheet1!D96+Sheet1!E96+Sheet1!F96+Sheet1!J96+Sheet1!K96+Sheet1!L96+Sheet1!M96</f>
        <v/>
      </c>
      <c r="C96">
        <f>IF(ISNUMBER(B96),B96,"")</f>
        <v/>
      </c>
      <c r="D96">
        <f>IF(ISNUMBER(C96),_xlfn.RANK.EQ(C96,$C$2:$C$1031),"")</f>
        <v/>
      </c>
      <c r="E96">
        <f>Sheet1!C96+Sheet1!D96+Sheet1!E96+Sheet1!F96+Sheet1!J96+Sheet1!K96+Sheet1!L96+Sheet1!M96+Sheet1!Q96+Sheet1!R96+Sheet1!S96+Sheet1!T96</f>
        <v/>
      </c>
      <c r="F96">
        <f>IF(ISNUMBER(E96),E96,"")</f>
        <v/>
      </c>
      <c r="G96">
        <f>IF(ISNUMBER(F96),_xlfn.RANK.EQ(F96,$F$2:$F$1031),"")</f>
        <v/>
      </c>
      <c r="H96">
        <f>INDEX(Sheet1!AH:AH,MATCH(A96,Sheet1!A:A,0))</f>
        <v/>
      </c>
    </row>
    <row r="97">
      <c r="A97" t="n">
        <v>192</v>
      </c>
      <c r="B97">
        <f>Sheet1!C97+Sheet1!D97+Sheet1!E97+Sheet1!F97+Sheet1!J97+Sheet1!K97+Sheet1!L97+Sheet1!M97</f>
        <v/>
      </c>
      <c r="C97">
        <f>IF(ISNUMBER(B97),B97,"")</f>
        <v/>
      </c>
      <c r="D97">
        <f>IF(ISNUMBER(C97),_xlfn.RANK.EQ(C97,$C$2:$C$1031),"")</f>
        <v/>
      </c>
      <c r="E97">
        <f>Sheet1!C97+Sheet1!D97+Sheet1!E97+Sheet1!F97+Sheet1!J97+Sheet1!K97+Sheet1!L97+Sheet1!M97+Sheet1!Q97+Sheet1!R97+Sheet1!S97+Sheet1!T97</f>
        <v/>
      </c>
      <c r="F97">
        <f>IF(ISNUMBER(E97),E97,"")</f>
        <v/>
      </c>
      <c r="G97">
        <f>IF(ISNUMBER(F97),_xlfn.RANK.EQ(F97,$F$2:$F$1031),"")</f>
        <v/>
      </c>
      <c r="H97">
        <f>INDEX(Sheet1!AH:AH,MATCH(A97,Sheet1!A:A,0))</f>
        <v/>
      </c>
    </row>
    <row r="98">
      <c r="A98" t="n">
        <v>196</v>
      </c>
      <c r="B98">
        <f>Sheet1!C98+Sheet1!D98+Sheet1!E98+Sheet1!F98+Sheet1!J98+Sheet1!K98+Sheet1!L98+Sheet1!M98</f>
        <v/>
      </c>
      <c r="C98">
        <f>IF(ISNUMBER(B98),B98,"")</f>
        <v/>
      </c>
      <c r="D98">
        <f>IF(ISNUMBER(C98),_xlfn.RANK.EQ(C98,$C$2:$C$1031),"")</f>
        <v/>
      </c>
      <c r="E98">
        <f>Sheet1!C98+Sheet1!D98+Sheet1!E98+Sheet1!F98+Sheet1!J98+Sheet1!K98+Sheet1!L98+Sheet1!M98+Sheet1!Q98+Sheet1!R98+Sheet1!S98+Sheet1!T98</f>
        <v/>
      </c>
      <c r="F98">
        <f>IF(ISNUMBER(E98),E98,"")</f>
        <v/>
      </c>
      <c r="G98">
        <f>IF(ISNUMBER(F98),_xlfn.RANK.EQ(F98,$F$2:$F$1031),"")</f>
        <v/>
      </c>
      <c r="H98">
        <f>INDEX(Sheet1!AH:AH,MATCH(A98,Sheet1!A:A,0))</f>
        <v/>
      </c>
    </row>
    <row r="99">
      <c r="A99" t="n">
        <v>198</v>
      </c>
      <c r="B99">
        <f>Sheet1!C99+Sheet1!D99+Sheet1!E99+Sheet1!F99+Sheet1!J99+Sheet1!K99+Sheet1!L99+Sheet1!M99</f>
        <v/>
      </c>
      <c r="C99">
        <f>IF(ISNUMBER(B99),B99,"")</f>
        <v/>
      </c>
      <c r="D99">
        <f>IF(ISNUMBER(C99),_xlfn.RANK.EQ(C99,$C$2:$C$1031),"")</f>
        <v/>
      </c>
      <c r="E99">
        <f>Sheet1!C99+Sheet1!D99+Sheet1!E99+Sheet1!F99+Sheet1!J99+Sheet1!K99+Sheet1!L99+Sheet1!M99+Sheet1!Q99+Sheet1!R99+Sheet1!S99+Sheet1!T99</f>
        <v/>
      </c>
      <c r="F99">
        <f>IF(ISNUMBER(E99),E99,"")</f>
        <v/>
      </c>
      <c r="G99">
        <f>IF(ISNUMBER(F99),_xlfn.RANK.EQ(F99,$F$2:$F$1031),"")</f>
        <v/>
      </c>
      <c r="H99">
        <f>INDEX(Sheet1!AH:AH,MATCH(A99,Sheet1!A:A,0))</f>
        <v/>
      </c>
    </row>
    <row r="100">
      <c r="A100" t="n">
        <v>200</v>
      </c>
      <c r="B100">
        <f>Sheet1!C100+Sheet1!D100+Sheet1!E100+Sheet1!F100+Sheet1!J100+Sheet1!K100+Sheet1!L100+Sheet1!M100</f>
        <v/>
      </c>
      <c r="C100">
        <f>IF(ISNUMBER(B100),B100,"")</f>
        <v/>
      </c>
      <c r="D100">
        <f>IF(ISNUMBER(C100),_xlfn.RANK.EQ(C100,$C$2:$C$1031),"")</f>
        <v/>
      </c>
      <c r="E100">
        <f>Sheet1!C100+Sheet1!D100+Sheet1!E100+Sheet1!F100+Sheet1!J100+Sheet1!K100+Sheet1!L100+Sheet1!M100+Sheet1!Q100+Sheet1!R100+Sheet1!S100+Sheet1!T100</f>
        <v/>
      </c>
      <c r="F100">
        <f>IF(ISNUMBER(E100),E100,"")</f>
        <v/>
      </c>
      <c r="G100">
        <f>IF(ISNUMBER(F100),_xlfn.RANK.EQ(F100,$F$2:$F$1031),"")</f>
        <v/>
      </c>
      <c r="H100">
        <f>INDEX(Sheet1!AH:AH,MATCH(A100,Sheet1!A:A,0))</f>
        <v/>
      </c>
    </row>
    <row r="101">
      <c r="A101" t="n">
        <v>201</v>
      </c>
      <c r="B101">
        <f>Sheet1!C101+Sheet1!D101+Sheet1!E101+Sheet1!F101+Sheet1!J101+Sheet1!K101+Sheet1!L101+Sheet1!M101</f>
        <v/>
      </c>
      <c r="C101">
        <f>IF(ISNUMBER(B101),B101,"")</f>
        <v/>
      </c>
      <c r="D101">
        <f>IF(ISNUMBER(C101),_xlfn.RANK.EQ(C101,$C$2:$C$1031),"")</f>
        <v/>
      </c>
      <c r="E101">
        <f>Sheet1!C101+Sheet1!D101+Sheet1!E101+Sheet1!F101+Sheet1!J101+Sheet1!K101+Sheet1!L101+Sheet1!M101+Sheet1!Q101+Sheet1!R101+Sheet1!S101+Sheet1!T101</f>
        <v/>
      </c>
      <c r="F101">
        <f>IF(ISNUMBER(E101),E101,"")</f>
        <v/>
      </c>
      <c r="G101">
        <f>IF(ISNUMBER(F101),_xlfn.RANK.EQ(F101,$F$2:$F$1031),"")</f>
        <v/>
      </c>
      <c r="H101">
        <f>INDEX(Sheet1!AH:AH,MATCH(A101,Sheet1!A:A,0))</f>
        <v/>
      </c>
    </row>
    <row r="102">
      <c r="A102" t="n">
        <v>205</v>
      </c>
      <c r="B102">
        <f>Sheet1!C102+Sheet1!D102+Sheet1!E102+Sheet1!F102+Sheet1!J102+Sheet1!K102+Sheet1!L102+Sheet1!M102</f>
        <v/>
      </c>
      <c r="C102">
        <f>IF(ISNUMBER(B102),B102,"")</f>
        <v/>
      </c>
      <c r="D102">
        <f>IF(ISNUMBER(C102),_xlfn.RANK.EQ(C102,$C$2:$C$1031),"")</f>
        <v/>
      </c>
      <c r="E102">
        <f>Sheet1!C102+Sheet1!D102+Sheet1!E102+Sheet1!F102+Sheet1!J102+Sheet1!K102+Sheet1!L102+Sheet1!M102+Sheet1!Q102+Sheet1!R102+Sheet1!S102+Sheet1!T102</f>
        <v/>
      </c>
      <c r="F102">
        <f>IF(ISNUMBER(E102),E102,"")</f>
        <v/>
      </c>
      <c r="G102">
        <f>IF(ISNUMBER(F102),_xlfn.RANK.EQ(F102,$F$2:$F$1031),"")</f>
        <v/>
      </c>
      <c r="H102">
        <f>INDEX(Sheet1!AH:AH,MATCH(A102,Sheet1!A:A,0))</f>
        <v/>
      </c>
    </row>
    <row r="103">
      <c r="A103" t="n">
        <v>208</v>
      </c>
      <c r="B103">
        <f>Sheet1!C103+Sheet1!D103+Sheet1!E103+Sheet1!F103+Sheet1!J103+Sheet1!K103+Sheet1!L103+Sheet1!M103</f>
        <v/>
      </c>
      <c r="C103">
        <f>IF(ISNUMBER(B103),B103,"")</f>
        <v/>
      </c>
      <c r="D103">
        <f>IF(ISNUMBER(C103),_xlfn.RANK.EQ(C103,$C$2:$C$1031),"")</f>
        <v/>
      </c>
      <c r="E103">
        <f>Sheet1!C103+Sheet1!D103+Sheet1!E103+Sheet1!F103+Sheet1!J103+Sheet1!K103+Sheet1!L103+Sheet1!M103+Sheet1!Q103+Sheet1!R103+Sheet1!S103+Sheet1!T103</f>
        <v/>
      </c>
      <c r="F103">
        <f>IF(ISNUMBER(E103),E103,"")</f>
        <v/>
      </c>
      <c r="G103">
        <f>IF(ISNUMBER(F103),_xlfn.RANK.EQ(F103,$F$2:$F$1031),"")</f>
        <v/>
      </c>
      <c r="H103">
        <f>INDEX(Sheet1!AH:AH,MATCH(A103,Sheet1!A:A,0))</f>
        <v/>
      </c>
    </row>
    <row r="104">
      <c r="A104" t="n">
        <v>210</v>
      </c>
      <c r="B104">
        <f>Sheet1!C104+Sheet1!D104+Sheet1!E104+Sheet1!F104+Sheet1!J104+Sheet1!K104+Sheet1!L104+Sheet1!M104</f>
        <v/>
      </c>
      <c r="C104">
        <f>IF(ISNUMBER(B104),B104,"")</f>
        <v/>
      </c>
      <c r="D104">
        <f>IF(ISNUMBER(C104),_xlfn.RANK.EQ(C104,$C$2:$C$1031),"")</f>
        <v/>
      </c>
      <c r="E104">
        <f>Sheet1!C104+Sheet1!D104+Sheet1!E104+Sheet1!F104+Sheet1!J104+Sheet1!K104+Sheet1!L104+Sheet1!M104+Sheet1!Q104+Sheet1!R104+Sheet1!S104+Sheet1!T104</f>
        <v/>
      </c>
      <c r="F104">
        <f>IF(ISNUMBER(E104),E104,"")</f>
        <v/>
      </c>
      <c r="G104">
        <f>IF(ISNUMBER(F104),_xlfn.RANK.EQ(F104,$F$2:$F$1031),"")</f>
        <v/>
      </c>
      <c r="H104">
        <f>INDEX(Sheet1!AH:AH,MATCH(A104,Sheet1!A:A,0))</f>
        <v/>
      </c>
    </row>
    <row r="105">
      <c r="A105" t="n">
        <v>211</v>
      </c>
      <c r="B105">
        <f>Sheet1!C105+Sheet1!D105+Sheet1!E105+Sheet1!F105+Sheet1!J105+Sheet1!K105+Sheet1!L105+Sheet1!M105</f>
        <v/>
      </c>
      <c r="C105">
        <f>IF(ISNUMBER(B105),B105,"")</f>
        <v/>
      </c>
      <c r="D105">
        <f>IF(ISNUMBER(C105),_xlfn.RANK.EQ(C105,$C$2:$C$1031),"")</f>
        <v/>
      </c>
      <c r="E105">
        <f>Sheet1!C105+Sheet1!D105+Sheet1!E105+Sheet1!F105+Sheet1!J105+Sheet1!K105+Sheet1!L105+Sheet1!M105+Sheet1!Q105+Sheet1!R105+Sheet1!S105+Sheet1!T105</f>
        <v/>
      </c>
      <c r="F105">
        <f>IF(ISNUMBER(E105),E105,"")</f>
        <v/>
      </c>
      <c r="G105">
        <f>IF(ISNUMBER(F105),_xlfn.RANK.EQ(F105,$F$2:$F$1031),"")</f>
        <v/>
      </c>
      <c r="H105">
        <f>INDEX(Sheet1!AH:AH,MATCH(A105,Sheet1!A:A,0))</f>
        <v/>
      </c>
    </row>
    <row r="106">
      <c r="A106" t="n">
        <v>212</v>
      </c>
      <c r="B106">
        <f>Sheet1!C106+Sheet1!D106+Sheet1!E106+Sheet1!F106+Sheet1!J106+Sheet1!K106+Sheet1!L106+Sheet1!M106</f>
        <v/>
      </c>
      <c r="C106">
        <f>IF(ISNUMBER(B106),B106,"")</f>
        <v/>
      </c>
      <c r="D106">
        <f>IF(ISNUMBER(C106),_xlfn.RANK.EQ(C106,$C$2:$C$1031),"")</f>
        <v/>
      </c>
      <c r="E106">
        <f>Sheet1!C106+Sheet1!D106+Sheet1!E106+Sheet1!F106+Sheet1!J106+Sheet1!K106+Sheet1!L106+Sheet1!M106+Sheet1!Q106+Sheet1!R106+Sheet1!S106+Sheet1!T106</f>
        <v/>
      </c>
      <c r="F106">
        <f>IF(ISNUMBER(E106),E106,"")</f>
        <v/>
      </c>
      <c r="G106">
        <f>IF(ISNUMBER(F106),_xlfn.RANK.EQ(F106,$F$2:$F$1031),"")</f>
        <v/>
      </c>
      <c r="H106">
        <f>INDEX(Sheet1!AH:AH,MATCH(A106,Sheet1!A:A,0))</f>
        <v/>
      </c>
    </row>
    <row r="107">
      <c r="A107" t="n">
        <v>215</v>
      </c>
      <c r="B107">
        <f>Sheet1!C107+Sheet1!D107+Sheet1!E107+Sheet1!F107+Sheet1!J107+Sheet1!K107+Sheet1!L107+Sheet1!M107</f>
        <v/>
      </c>
      <c r="C107">
        <f>IF(ISNUMBER(B107),B107,"")</f>
        <v/>
      </c>
      <c r="D107">
        <f>IF(ISNUMBER(C107),_xlfn.RANK.EQ(C107,$C$2:$C$1031),"")</f>
        <v/>
      </c>
      <c r="E107">
        <f>Sheet1!C107+Sheet1!D107+Sheet1!E107+Sheet1!F107+Sheet1!J107+Sheet1!K107+Sheet1!L107+Sheet1!M107+Sheet1!Q107+Sheet1!R107+Sheet1!S107+Sheet1!T107</f>
        <v/>
      </c>
      <c r="F107">
        <f>IF(ISNUMBER(E107),E107,"")</f>
        <v/>
      </c>
      <c r="G107">
        <f>IF(ISNUMBER(F107),_xlfn.RANK.EQ(F107,$F$2:$F$1031),"")</f>
        <v/>
      </c>
      <c r="H107">
        <f>INDEX(Sheet1!AH:AH,MATCH(A107,Sheet1!A:A,0))</f>
        <v/>
      </c>
    </row>
    <row r="108">
      <c r="A108" t="n">
        <v>216</v>
      </c>
      <c r="B108">
        <f>Sheet1!C108+Sheet1!D108+Sheet1!E108+Sheet1!F108+Sheet1!J108+Sheet1!K108+Sheet1!L108+Sheet1!M108</f>
        <v/>
      </c>
      <c r="C108">
        <f>IF(ISNUMBER(B108),B108,"")</f>
        <v/>
      </c>
      <c r="D108">
        <f>IF(ISNUMBER(C108),_xlfn.RANK.EQ(C108,$C$2:$C$1031),"")</f>
        <v/>
      </c>
      <c r="E108">
        <f>Sheet1!C108+Sheet1!D108+Sheet1!E108+Sheet1!F108+Sheet1!J108+Sheet1!K108+Sheet1!L108+Sheet1!M108+Sheet1!Q108+Sheet1!R108+Sheet1!S108+Sheet1!T108</f>
        <v/>
      </c>
      <c r="F108">
        <f>IF(ISNUMBER(E108),E108,"")</f>
        <v/>
      </c>
      <c r="G108">
        <f>IF(ISNUMBER(F108),_xlfn.RANK.EQ(F108,$F$2:$F$1031),"")</f>
        <v/>
      </c>
      <c r="H108">
        <f>INDEX(Sheet1!AH:AH,MATCH(A108,Sheet1!A:A,0))</f>
        <v/>
      </c>
    </row>
    <row r="109">
      <c r="A109" t="n">
        <v>217</v>
      </c>
      <c r="B109">
        <f>Sheet1!C109+Sheet1!D109+Sheet1!E109+Sheet1!F109+Sheet1!J109+Sheet1!K109+Sheet1!L109+Sheet1!M109</f>
        <v/>
      </c>
      <c r="C109">
        <f>IF(ISNUMBER(B109),B109,"")</f>
        <v/>
      </c>
      <c r="D109">
        <f>IF(ISNUMBER(C109),_xlfn.RANK.EQ(C109,$C$2:$C$1031),"")</f>
        <v/>
      </c>
      <c r="E109">
        <f>Sheet1!C109+Sheet1!D109+Sheet1!E109+Sheet1!F109+Sheet1!J109+Sheet1!K109+Sheet1!L109+Sheet1!M109+Sheet1!Q109+Sheet1!R109+Sheet1!S109+Sheet1!T109</f>
        <v/>
      </c>
      <c r="F109">
        <f>IF(ISNUMBER(E109),E109,"")</f>
        <v/>
      </c>
      <c r="G109">
        <f>IF(ISNUMBER(F109),_xlfn.RANK.EQ(F109,$F$2:$F$1031),"")</f>
        <v/>
      </c>
      <c r="H109">
        <f>INDEX(Sheet1!AH:AH,MATCH(A109,Sheet1!A:A,0))</f>
        <v/>
      </c>
    </row>
    <row r="110">
      <c r="A110" t="n">
        <v>219</v>
      </c>
      <c r="B110">
        <f>Sheet1!C110+Sheet1!D110+Sheet1!E110+Sheet1!F110+Sheet1!J110+Sheet1!K110+Sheet1!L110+Sheet1!M110</f>
        <v/>
      </c>
      <c r="C110">
        <f>IF(ISNUMBER(B110),B110,"")</f>
        <v/>
      </c>
      <c r="D110">
        <f>IF(ISNUMBER(C110),_xlfn.RANK.EQ(C110,$C$2:$C$1031),"")</f>
        <v/>
      </c>
      <c r="E110">
        <f>Sheet1!C110+Sheet1!D110+Sheet1!E110+Sheet1!F110+Sheet1!J110+Sheet1!K110+Sheet1!L110+Sheet1!M110+Sheet1!Q110+Sheet1!R110+Sheet1!S110+Sheet1!T110</f>
        <v/>
      </c>
      <c r="F110">
        <f>IF(ISNUMBER(E110),E110,"")</f>
        <v/>
      </c>
      <c r="G110">
        <f>IF(ISNUMBER(F110),_xlfn.RANK.EQ(F110,$F$2:$F$1031),"")</f>
        <v/>
      </c>
      <c r="H110">
        <f>INDEX(Sheet1!AH:AH,MATCH(A110,Sheet1!A:A,0))</f>
        <v/>
      </c>
    </row>
    <row r="111">
      <c r="A111" t="n">
        <v>220</v>
      </c>
      <c r="B111">
        <f>Sheet1!C111+Sheet1!D111+Sheet1!E111+Sheet1!F111+Sheet1!J111+Sheet1!K111+Sheet1!L111+Sheet1!M111</f>
        <v/>
      </c>
      <c r="C111">
        <f>IF(ISNUMBER(B111),B111,"")</f>
        <v/>
      </c>
      <c r="D111">
        <f>IF(ISNUMBER(C111),_xlfn.RANK.EQ(C111,$C$2:$C$1031),"")</f>
        <v/>
      </c>
      <c r="E111">
        <f>Sheet1!C111+Sheet1!D111+Sheet1!E111+Sheet1!F111+Sheet1!J111+Sheet1!K111+Sheet1!L111+Sheet1!M111+Sheet1!Q111+Sheet1!R111+Sheet1!S111+Sheet1!T111</f>
        <v/>
      </c>
      <c r="F111">
        <f>IF(ISNUMBER(E111),E111,"")</f>
        <v/>
      </c>
      <c r="G111">
        <f>IF(ISNUMBER(F111),_xlfn.RANK.EQ(F111,$F$2:$F$1031),"")</f>
        <v/>
      </c>
      <c r="H111">
        <f>INDEX(Sheet1!AH:AH,MATCH(A111,Sheet1!A:A,0))</f>
        <v/>
      </c>
    </row>
    <row r="112">
      <c r="A112" t="n">
        <v>221</v>
      </c>
      <c r="B112">
        <f>Sheet1!C112+Sheet1!D112+Sheet1!E112+Sheet1!F112+Sheet1!J112+Sheet1!K112+Sheet1!L112+Sheet1!M112</f>
        <v/>
      </c>
      <c r="C112">
        <f>IF(ISNUMBER(B112),B112,"")</f>
        <v/>
      </c>
      <c r="D112">
        <f>IF(ISNUMBER(C112),_xlfn.RANK.EQ(C112,$C$2:$C$1031),"")</f>
        <v/>
      </c>
      <c r="E112">
        <f>Sheet1!C112+Sheet1!D112+Sheet1!E112+Sheet1!F112+Sheet1!J112+Sheet1!K112+Sheet1!L112+Sheet1!M112+Sheet1!Q112+Sheet1!R112+Sheet1!S112+Sheet1!T112</f>
        <v/>
      </c>
      <c r="F112">
        <f>IF(ISNUMBER(E112),E112,"")</f>
        <v/>
      </c>
      <c r="G112">
        <f>IF(ISNUMBER(F112),_xlfn.RANK.EQ(F112,$F$2:$F$1031),"")</f>
        <v/>
      </c>
      <c r="H112">
        <f>INDEX(Sheet1!AH:AH,MATCH(A112,Sheet1!A:A,0))</f>
        <v/>
      </c>
    </row>
    <row r="113">
      <c r="A113" t="n">
        <v>223</v>
      </c>
      <c r="B113">
        <f>Sheet1!C113+Sheet1!D113+Sheet1!E113+Sheet1!F113+Sheet1!J113+Sheet1!K113+Sheet1!L113+Sheet1!M113</f>
        <v/>
      </c>
      <c r="C113">
        <f>IF(ISNUMBER(B113),B113,"")</f>
        <v/>
      </c>
      <c r="D113">
        <f>IF(ISNUMBER(C113),_xlfn.RANK.EQ(C113,$C$2:$C$1031),"")</f>
        <v/>
      </c>
      <c r="E113">
        <f>Sheet1!C113+Sheet1!D113+Sheet1!E113+Sheet1!F113+Sheet1!J113+Sheet1!K113+Sheet1!L113+Sheet1!M113+Sheet1!Q113+Sheet1!R113+Sheet1!S113+Sheet1!T113</f>
        <v/>
      </c>
      <c r="F113">
        <f>IF(ISNUMBER(E113),E113,"")</f>
        <v/>
      </c>
      <c r="G113">
        <f>IF(ISNUMBER(F113),_xlfn.RANK.EQ(F113,$F$2:$F$1031),"")</f>
        <v/>
      </c>
      <c r="H113">
        <f>INDEX(Sheet1!AH:AH,MATCH(A113,Sheet1!A:A,0))</f>
        <v/>
      </c>
    </row>
    <row r="114">
      <c r="A114" t="n">
        <v>225</v>
      </c>
      <c r="B114">
        <f>Sheet1!C114+Sheet1!D114+Sheet1!E114+Sheet1!F114+Sheet1!J114+Sheet1!K114+Sheet1!L114+Sheet1!M114</f>
        <v/>
      </c>
      <c r="C114">
        <f>IF(ISNUMBER(B114),B114,"")</f>
        <v/>
      </c>
      <c r="D114">
        <f>IF(ISNUMBER(C114),_xlfn.RANK.EQ(C114,$C$2:$C$1031),"")</f>
        <v/>
      </c>
      <c r="E114">
        <f>Sheet1!C114+Sheet1!D114+Sheet1!E114+Sheet1!F114+Sheet1!J114+Sheet1!K114+Sheet1!L114+Sheet1!M114+Sheet1!Q114+Sheet1!R114+Sheet1!S114+Sheet1!T114</f>
        <v/>
      </c>
      <c r="F114">
        <f>IF(ISNUMBER(E114),E114,"")</f>
        <v/>
      </c>
      <c r="G114">
        <f>IF(ISNUMBER(F114),_xlfn.RANK.EQ(F114,$F$2:$F$1031),"")</f>
        <v/>
      </c>
      <c r="H114">
        <f>INDEX(Sheet1!AH:AH,MATCH(A114,Sheet1!A:A,0))</f>
        <v/>
      </c>
    </row>
    <row r="115">
      <c r="A115" t="n">
        <v>227</v>
      </c>
      <c r="B115">
        <f>Sheet1!C115+Sheet1!D115+Sheet1!E115+Sheet1!F115+Sheet1!J115+Sheet1!K115+Sheet1!L115+Sheet1!M115</f>
        <v/>
      </c>
      <c r="C115">
        <f>IF(ISNUMBER(B115),B115,"")</f>
        <v/>
      </c>
      <c r="D115">
        <f>IF(ISNUMBER(C115),_xlfn.RANK.EQ(C115,$C$2:$C$1031),"")</f>
        <v/>
      </c>
      <c r="E115">
        <f>Sheet1!C115+Sheet1!D115+Sheet1!E115+Sheet1!F115+Sheet1!J115+Sheet1!K115+Sheet1!L115+Sheet1!M115+Sheet1!Q115+Sheet1!R115+Sheet1!S115+Sheet1!T115</f>
        <v/>
      </c>
      <c r="F115">
        <f>IF(ISNUMBER(E115),E115,"")</f>
        <v/>
      </c>
      <c r="G115">
        <f>IF(ISNUMBER(F115),_xlfn.RANK.EQ(F115,$F$2:$F$1031),"")</f>
        <v/>
      </c>
      <c r="H115">
        <f>INDEX(Sheet1!AH:AH,MATCH(A115,Sheet1!A:A,0))</f>
        <v/>
      </c>
    </row>
    <row r="116">
      <c r="A116" t="n">
        <v>228</v>
      </c>
      <c r="B116">
        <f>Sheet1!C116+Sheet1!D116+Sheet1!E116+Sheet1!F116+Sheet1!J116+Sheet1!K116+Sheet1!L116+Sheet1!M116</f>
        <v/>
      </c>
      <c r="C116">
        <f>IF(ISNUMBER(B116),B116,"")</f>
        <v/>
      </c>
      <c r="D116">
        <f>IF(ISNUMBER(C116),_xlfn.RANK.EQ(C116,$C$2:$C$1031),"")</f>
        <v/>
      </c>
      <c r="E116">
        <f>Sheet1!C116+Sheet1!D116+Sheet1!E116+Sheet1!F116+Sheet1!J116+Sheet1!K116+Sheet1!L116+Sheet1!M116+Sheet1!Q116+Sheet1!R116+Sheet1!S116+Sheet1!T116</f>
        <v/>
      </c>
      <c r="F116">
        <f>IF(ISNUMBER(E116),E116,"")</f>
        <v/>
      </c>
      <c r="G116">
        <f>IF(ISNUMBER(F116),_xlfn.RANK.EQ(F116,$F$2:$F$1031),"")</f>
        <v/>
      </c>
      <c r="H116">
        <f>INDEX(Sheet1!AH:AH,MATCH(A116,Sheet1!A:A,0))</f>
        <v/>
      </c>
    </row>
    <row r="117">
      <c r="A117" t="n">
        <v>229</v>
      </c>
      <c r="B117">
        <f>Sheet1!C117+Sheet1!D117+Sheet1!E117+Sheet1!F117+Sheet1!J117+Sheet1!K117+Sheet1!L117+Sheet1!M117</f>
        <v/>
      </c>
      <c r="C117">
        <f>IF(ISNUMBER(B117),B117,"")</f>
        <v/>
      </c>
      <c r="D117">
        <f>IF(ISNUMBER(C117),_xlfn.RANK.EQ(C117,$C$2:$C$1031),"")</f>
        <v/>
      </c>
      <c r="E117">
        <f>Sheet1!C117+Sheet1!D117+Sheet1!E117+Sheet1!F117+Sheet1!J117+Sheet1!K117+Sheet1!L117+Sheet1!M117+Sheet1!Q117+Sheet1!R117+Sheet1!S117+Sheet1!T117</f>
        <v/>
      </c>
      <c r="F117">
        <f>IF(ISNUMBER(E117),E117,"")</f>
        <v/>
      </c>
      <c r="G117">
        <f>IF(ISNUMBER(F117),_xlfn.RANK.EQ(F117,$F$2:$F$1031),"")</f>
        <v/>
      </c>
      <c r="H117">
        <f>INDEX(Sheet1!AH:AH,MATCH(A117,Sheet1!A:A,0))</f>
        <v/>
      </c>
    </row>
    <row r="118">
      <c r="A118" t="n">
        <v>231</v>
      </c>
      <c r="B118">
        <f>Sheet1!C118+Sheet1!D118+Sheet1!E118+Sheet1!F118+Sheet1!J118+Sheet1!K118+Sheet1!L118+Sheet1!M118</f>
        <v/>
      </c>
      <c r="C118">
        <f>IF(ISNUMBER(B118),B118,"")</f>
        <v/>
      </c>
      <c r="D118">
        <f>IF(ISNUMBER(C118),_xlfn.RANK.EQ(C118,$C$2:$C$1031),"")</f>
        <v/>
      </c>
      <c r="E118">
        <f>Sheet1!C118+Sheet1!D118+Sheet1!E118+Sheet1!F118+Sheet1!J118+Sheet1!K118+Sheet1!L118+Sheet1!M118+Sheet1!Q118+Sheet1!R118+Sheet1!S118+Sheet1!T118</f>
        <v/>
      </c>
      <c r="F118">
        <f>IF(ISNUMBER(E118),E118,"")</f>
        <v/>
      </c>
      <c r="G118">
        <f>IF(ISNUMBER(F118),_xlfn.RANK.EQ(F118,$F$2:$F$1031),"")</f>
        <v/>
      </c>
      <c r="H118">
        <f>INDEX(Sheet1!AH:AH,MATCH(A118,Sheet1!A:A,0))</f>
        <v/>
      </c>
    </row>
    <row r="119">
      <c r="A119" t="n">
        <v>232</v>
      </c>
      <c r="B119">
        <f>Sheet1!C119+Sheet1!D119+Sheet1!E119+Sheet1!F119+Sheet1!J119+Sheet1!K119+Sheet1!L119+Sheet1!M119</f>
        <v/>
      </c>
      <c r="C119">
        <f>IF(ISNUMBER(B119),B119,"")</f>
        <v/>
      </c>
      <c r="D119">
        <f>IF(ISNUMBER(C119),_xlfn.RANK.EQ(C119,$C$2:$C$1031),"")</f>
        <v/>
      </c>
      <c r="E119">
        <f>Sheet1!C119+Sheet1!D119+Sheet1!E119+Sheet1!F119+Sheet1!J119+Sheet1!K119+Sheet1!L119+Sheet1!M119+Sheet1!Q119+Sheet1!R119+Sheet1!S119+Sheet1!T119</f>
        <v/>
      </c>
      <c r="F119">
        <f>IF(ISNUMBER(E119),E119,"")</f>
        <v/>
      </c>
      <c r="G119">
        <f>IF(ISNUMBER(F119),_xlfn.RANK.EQ(F119,$F$2:$F$1031),"")</f>
        <v/>
      </c>
      <c r="H119">
        <f>INDEX(Sheet1!AH:AH,MATCH(A119,Sheet1!A:A,0))</f>
        <v/>
      </c>
    </row>
    <row r="120">
      <c r="A120" t="n">
        <v>233</v>
      </c>
      <c r="B120">
        <f>Sheet1!C120+Sheet1!D120+Sheet1!E120+Sheet1!F120+Sheet1!J120+Sheet1!K120+Sheet1!L120+Sheet1!M120</f>
        <v/>
      </c>
      <c r="C120">
        <f>IF(ISNUMBER(B120),B120,"")</f>
        <v/>
      </c>
      <c r="D120">
        <f>IF(ISNUMBER(C120),_xlfn.RANK.EQ(C120,$C$2:$C$1031),"")</f>
        <v/>
      </c>
      <c r="E120">
        <f>Sheet1!C120+Sheet1!D120+Sheet1!E120+Sheet1!F120+Sheet1!J120+Sheet1!K120+Sheet1!L120+Sheet1!M120+Sheet1!Q120+Sheet1!R120+Sheet1!S120+Sheet1!T120</f>
        <v/>
      </c>
      <c r="F120">
        <f>IF(ISNUMBER(E120),E120,"")</f>
        <v/>
      </c>
      <c r="G120">
        <f>IF(ISNUMBER(F120),_xlfn.RANK.EQ(F120,$F$2:$F$1031),"")</f>
        <v/>
      </c>
      <c r="H120">
        <f>INDEX(Sheet1!AH:AH,MATCH(A120,Sheet1!A:A,0))</f>
        <v/>
      </c>
    </row>
    <row r="121">
      <c r="A121" t="n">
        <v>234</v>
      </c>
      <c r="B121">
        <f>Sheet1!C121+Sheet1!D121+Sheet1!E121+Sheet1!F121+Sheet1!J121+Sheet1!K121+Sheet1!L121+Sheet1!M121</f>
        <v/>
      </c>
      <c r="C121">
        <f>IF(ISNUMBER(B121),B121,"")</f>
        <v/>
      </c>
      <c r="D121">
        <f>IF(ISNUMBER(C121),_xlfn.RANK.EQ(C121,$C$2:$C$1031),"")</f>
        <v/>
      </c>
      <c r="E121">
        <f>Sheet1!C121+Sheet1!D121+Sheet1!E121+Sheet1!F121+Sheet1!J121+Sheet1!K121+Sheet1!L121+Sheet1!M121+Sheet1!Q121+Sheet1!R121+Sheet1!S121+Sheet1!T121</f>
        <v/>
      </c>
      <c r="F121">
        <f>IF(ISNUMBER(E121),E121,"")</f>
        <v/>
      </c>
      <c r="G121">
        <f>IF(ISNUMBER(F121),_xlfn.RANK.EQ(F121,$F$2:$F$1031),"")</f>
        <v/>
      </c>
      <c r="H121">
        <f>INDEX(Sheet1!AH:AH,MATCH(A121,Sheet1!A:A,0))</f>
        <v/>
      </c>
    </row>
    <row r="122">
      <c r="A122" t="n">
        <v>235</v>
      </c>
      <c r="B122">
        <f>Sheet1!C122+Sheet1!D122+Sheet1!E122+Sheet1!F122+Sheet1!J122+Sheet1!K122+Sheet1!L122+Sheet1!M122</f>
        <v/>
      </c>
      <c r="C122">
        <f>IF(ISNUMBER(B122),B122,"")</f>
        <v/>
      </c>
      <c r="D122">
        <f>IF(ISNUMBER(C122),_xlfn.RANK.EQ(C122,$C$2:$C$1031),"")</f>
        <v/>
      </c>
      <c r="E122">
        <f>Sheet1!C122+Sheet1!D122+Sheet1!E122+Sheet1!F122+Sheet1!J122+Sheet1!K122+Sheet1!L122+Sheet1!M122+Sheet1!Q122+Sheet1!R122+Sheet1!S122+Sheet1!T122</f>
        <v/>
      </c>
      <c r="F122">
        <f>IF(ISNUMBER(E122),E122,"")</f>
        <v/>
      </c>
      <c r="G122">
        <f>IF(ISNUMBER(F122),_xlfn.RANK.EQ(F122,$F$2:$F$1031),"")</f>
        <v/>
      </c>
      <c r="H122">
        <f>INDEX(Sheet1!AH:AH,MATCH(A122,Sheet1!A:A,0))</f>
        <v/>
      </c>
    </row>
    <row r="123">
      <c r="A123" t="n">
        <v>236</v>
      </c>
      <c r="B123">
        <f>Sheet1!C123+Sheet1!D123+Sheet1!E123+Sheet1!F123+Sheet1!J123+Sheet1!K123+Sheet1!L123+Sheet1!M123</f>
        <v/>
      </c>
      <c r="C123">
        <f>IF(ISNUMBER(B123),B123,"")</f>
        <v/>
      </c>
      <c r="D123">
        <f>IF(ISNUMBER(C123),_xlfn.RANK.EQ(C123,$C$2:$C$1031),"")</f>
        <v/>
      </c>
      <c r="E123">
        <f>Sheet1!C123+Sheet1!D123+Sheet1!E123+Sheet1!F123+Sheet1!J123+Sheet1!K123+Sheet1!L123+Sheet1!M123+Sheet1!Q123+Sheet1!R123+Sheet1!S123+Sheet1!T123</f>
        <v/>
      </c>
      <c r="F123">
        <f>IF(ISNUMBER(E123),E123,"")</f>
        <v/>
      </c>
      <c r="G123">
        <f>IF(ISNUMBER(F123),_xlfn.RANK.EQ(F123,$F$2:$F$1031),"")</f>
        <v/>
      </c>
      <c r="H123">
        <f>INDEX(Sheet1!AH:AH,MATCH(A123,Sheet1!A:A,0))</f>
        <v/>
      </c>
    </row>
    <row r="124">
      <c r="A124" t="n">
        <v>237</v>
      </c>
      <c r="B124">
        <f>Sheet1!C124+Sheet1!D124+Sheet1!E124+Sheet1!F124+Sheet1!J124+Sheet1!K124+Sheet1!L124+Sheet1!M124</f>
        <v/>
      </c>
      <c r="C124">
        <f>IF(ISNUMBER(B124),B124,"")</f>
        <v/>
      </c>
      <c r="D124">
        <f>IF(ISNUMBER(C124),_xlfn.RANK.EQ(C124,$C$2:$C$1031),"")</f>
        <v/>
      </c>
      <c r="E124">
        <f>Sheet1!C124+Sheet1!D124+Sheet1!E124+Sheet1!F124+Sheet1!J124+Sheet1!K124+Sheet1!L124+Sheet1!M124+Sheet1!Q124+Sheet1!R124+Sheet1!S124+Sheet1!T124</f>
        <v/>
      </c>
      <c r="F124">
        <f>IF(ISNUMBER(E124),E124,"")</f>
        <v/>
      </c>
      <c r="G124">
        <f>IF(ISNUMBER(F124),_xlfn.RANK.EQ(F124,$F$2:$F$1031),"")</f>
        <v/>
      </c>
      <c r="H124">
        <f>INDEX(Sheet1!AH:AH,MATCH(A124,Sheet1!A:A,0))</f>
        <v/>
      </c>
    </row>
    <row r="125">
      <c r="A125" t="n">
        <v>238</v>
      </c>
      <c r="B125">
        <f>Sheet1!C125+Sheet1!D125+Sheet1!E125+Sheet1!F125+Sheet1!J125+Sheet1!K125+Sheet1!L125+Sheet1!M125</f>
        <v/>
      </c>
      <c r="C125">
        <f>IF(ISNUMBER(B125),B125,"")</f>
        <v/>
      </c>
      <c r="D125">
        <f>IF(ISNUMBER(C125),_xlfn.RANK.EQ(C125,$C$2:$C$1031),"")</f>
        <v/>
      </c>
      <c r="E125">
        <f>Sheet1!C125+Sheet1!D125+Sheet1!E125+Sheet1!F125+Sheet1!J125+Sheet1!K125+Sheet1!L125+Sheet1!M125+Sheet1!Q125+Sheet1!R125+Sheet1!S125+Sheet1!T125</f>
        <v/>
      </c>
      <c r="F125">
        <f>IF(ISNUMBER(E125),E125,"")</f>
        <v/>
      </c>
      <c r="G125">
        <f>IF(ISNUMBER(F125),_xlfn.RANK.EQ(F125,$F$2:$F$1031),"")</f>
        <v/>
      </c>
      <c r="H125">
        <f>INDEX(Sheet1!AH:AH,MATCH(A125,Sheet1!A:A,0))</f>
        <v/>
      </c>
    </row>
    <row r="126">
      <c r="A126" t="n">
        <v>239</v>
      </c>
      <c r="B126">
        <f>Sheet1!C126+Sheet1!D126+Sheet1!E126+Sheet1!F126+Sheet1!J126+Sheet1!K126+Sheet1!L126+Sheet1!M126</f>
        <v/>
      </c>
      <c r="C126">
        <f>IF(ISNUMBER(B126),B126,"")</f>
        <v/>
      </c>
      <c r="D126">
        <f>IF(ISNUMBER(C126),_xlfn.RANK.EQ(C126,$C$2:$C$1031),"")</f>
        <v/>
      </c>
      <c r="E126">
        <f>Sheet1!C126+Sheet1!D126+Sheet1!E126+Sheet1!F126+Sheet1!J126+Sheet1!K126+Sheet1!L126+Sheet1!M126+Sheet1!Q126+Sheet1!R126+Sheet1!S126+Sheet1!T126</f>
        <v/>
      </c>
      <c r="F126">
        <f>IF(ISNUMBER(E126),E126,"")</f>
        <v/>
      </c>
      <c r="G126">
        <f>IF(ISNUMBER(F126),_xlfn.RANK.EQ(F126,$F$2:$F$1031),"")</f>
        <v/>
      </c>
      <c r="H126">
        <f>INDEX(Sheet1!AH:AH,MATCH(A126,Sheet1!A:A,0))</f>
        <v/>
      </c>
    </row>
    <row r="127">
      <c r="A127" t="n">
        <v>240</v>
      </c>
      <c r="B127">
        <f>Sheet1!C127+Sheet1!D127+Sheet1!E127+Sheet1!F127+Sheet1!J127+Sheet1!K127+Sheet1!L127+Sheet1!M127</f>
        <v/>
      </c>
      <c r="C127">
        <f>IF(ISNUMBER(B127),B127,"")</f>
        <v/>
      </c>
      <c r="D127">
        <f>IF(ISNUMBER(C127),_xlfn.RANK.EQ(C127,$C$2:$C$1031),"")</f>
        <v/>
      </c>
      <c r="E127">
        <f>Sheet1!C127+Sheet1!D127+Sheet1!E127+Sheet1!F127+Sheet1!J127+Sheet1!K127+Sheet1!L127+Sheet1!M127+Sheet1!Q127+Sheet1!R127+Sheet1!S127+Sheet1!T127</f>
        <v/>
      </c>
      <c r="F127">
        <f>IF(ISNUMBER(E127),E127,"")</f>
        <v/>
      </c>
      <c r="G127">
        <f>IF(ISNUMBER(F127),_xlfn.RANK.EQ(F127,$F$2:$F$1031),"")</f>
        <v/>
      </c>
      <c r="H127">
        <f>INDEX(Sheet1!AH:AH,MATCH(A127,Sheet1!A:A,0))</f>
        <v/>
      </c>
    </row>
    <row r="128">
      <c r="A128" t="n">
        <v>241</v>
      </c>
      <c r="B128">
        <f>Sheet1!C128+Sheet1!D128+Sheet1!E128+Sheet1!F128+Sheet1!J128+Sheet1!K128+Sheet1!L128+Sheet1!M128</f>
        <v/>
      </c>
      <c r="C128">
        <f>IF(ISNUMBER(B128),B128,"")</f>
        <v/>
      </c>
      <c r="D128">
        <f>IF(ISNUMBER(C128),_xlfn.RANK.EQ(C128,$C$2:$C$1031),"")</f>
        <v/>
      </c>
      <c r="E128">
        <f>Sheet1!C128+Sheet1!D128+Sheet1!E128+Sheet1!F128+Sheet1!J128+Sheet1!K128+Sheet1!L128+Sheet1!M128+Sheet1!Q128+Sheet1!R128+Sheet1!S128+Sheet1!T128</f>
        <v/>
      </c>
      <c r="F128">
        <f>IF(ISNUMBER(E128),E128,"")</f>
        <v/>
      </c>
      <c r="G128">
        <f>IF(ISNUMBER(F128),_xlfn.RANK.EQ(F128,$F$2:$F$1031),"")</f>
        <v/>
      </c>
      <c r="H128">
        <f>INDEX(Sheet1!AH:AH,MATCH(A128,Sheet1!A:A,0))</f>
        <v/>
      </c>
    </row>
    <row r="129">
      <c r="A129" t="n">
        <v>243</v>
      </c>
      <c r="B129">
        <f>Sheet1!C129+Sheet1!D129+Sheet1!E129+Sheet1!F129+Sheet1!J129+Sheet1!K129+Sheet1!L129+Sheet1!M129</f>
        <v/>
      </c>
      <c r="C129">
        <f>IF(ISNUMBER(B129),B129,"")</f>
        <v/>
      </c>
      <c r="D129">
        <f>IF(ISNUMBER(C129),_xlfn.RANK.EQ(C129,$C$2:$C$1031),"")</f>
        <v/>
      </c>
      <c r="E129">
        <f>Sheet1!C129+Sheet1!D129+Sheet1!E129+Sheet1!F129+Sheet1!J129+Sheet1!K129+Sheet1!L129+Sheet1!M129+Sheet1!Q129+Sheet1!R129+Sheet1!S129+Sheet1!T129</f>
        <v/>
      </c>
      <c r="F129">
        <f>IF(ISNUMBER(E129),E129,"")</f>
        <v/>
      </c>
      <c r="G129">
        <f>IF(ISNUMBER(F129),_xlfn.RANK.EQ(F129,$F$2:$F$1031),"")</f>
        <v/>
      </c>
      <c r="H129">
        <f>INDEX(Sheet1!AH:AH,MATCH(A129,Sheet1!A:A,0))</f>
        <v/>
      </c>
    </row>
    <row r="130">
      <c r="A130" t="n">
        <v>244</v>
      </c>
      <c r="B130">
        <f>Sheet1!C130+Sheet1!D130+Sheet1!E130+Sheet1!F130+Sheet1!J130+Sheet1!K130+Sheet1!L130+Sheet1!M130</f>
        <v/>
      </c>
      <c r="C130">
        <f>IF(ISNUMBER(B130),B130,"")</f>
        <v/>
      </c>
      <c r="D130">
        <f>IF(ISNUMBER(C130),_xlfn.RANK.EQ(C130,$C$2:$C$1031),"")</f>
        <v/>
      </c>
      <c r="E130">
        <f>Sheet1!C130+Sheet1!D130+Sheet1!E130+Sheet1!F130+Sheet1!J130+Sheet1!K130+Sheet1!L130+Sheet1!M130+Sheet1!Q130+Sheet1!R130+Sheet1!S130+Sheet1!T130</f>
        <v/>
      </c>
      <c r="F130">
        <f>IF(ISNUMBER(E130),E130,"")</f>
        <v/>
      </c>
      <c r="G130">
        <f>IF(ISNUMBER(F130),_xlfn.RANK.EQ(F130,$F$2:$F$1031),"")</f>
        <v/>
      </c>
      <c r="H130">
        <f>INDEX(Sheet1!AH:AH,MATCH(A130,Sheet1!A:A,0))</f>
        <v/>
      </c>
    </row>
    <row r="131">
      <c r="A131" t="n">
        <v>246</v>
      </c>
      <c r="B131">
        <f>Sheet1!C131+Sheet1!D131+Sheet1!E131+Sheet1!F131+Sheet1!J131+Sheet1!K131+Sheet1!L131+Sheet1!M131</f>
        <v/>
      </c>
      <c r="C131">
        <f>IF(ISNUMBER(B131),B131,"")</f>
        <v/>
      </c>
      <c r="D131">
        <f>IF(ISNUMBER(C131),_xlfn.RANK.EQ(C131,$C$2:$C$1031),"")</f>
        <v/>
      </c>
      <c r="E131">
        <f>Sheet1!C131+Sheet1!D131+Sheet1!E131+Sheet1!F131+Sheet1!J131+Sheet1!K131+Sheet1!L131+Sheet1!M131+Sheet1!Q131+Sheet1!R131+Sheet1!S131+Sheet1!T131</f>
        <v/>
      </c>
      <c r="F131">
        <f>IF(ISNUMBER(E131),E131,"")</f>
        <v/>
      </c>
      <c r="G131">
        <f>IF(ISNUMBER(F131),_xlfn.RANK.EQ(F131,$F$2:$F$1031),"")</f>
        <v/>
      </c>
      <c r="H131">
        <f>INDEX(Sheet1!AH:AH,MATCH(A131,Sheet1!A:A,0))</f>
        <v/>
      </c>
    </row>
    <row r="132">
      <c r="A132" t="n">
        <v>248</v>
      </c>
      <c r="B132">
        <f>Sheet1!C132+Sheet1!D132+Sheet1!E132+Sheet1!F132+Sheet1!J132+Sheet1!K132+Sheet1!L132+Sheet1!M132</f>
        <v/>
      </c>
      <c r="C132">
        <f>IF(ISNUMBER(B132),B132,"")</f>
        <v/>
      </c>
      <c r="D132">
        <f>IF(ISNUMBER(C132),_xlfn.RANK.EQ(C132,$C$2:$C$1031),"")</f>
        <v/>
      </c>
      <c r="E132">
        <f>Sheet1!C132+Sheet1!D132+Sheet1!E132+Sheet1!F132+Sheet1!J132+Sheet1!K132+Sheet1!L132+Sheet1!M132+Sheet1!Q132+Sheet1!R132+Sheet1!S132+Sheet1!T132</f>
        <v/>
      </c>
      <c r="F132">
        <f>IF(ISNUMBER(E132),E132,"")</f>
        <v/>
      </c>
      <c r="G132">
        <f>IF(ISNUMBER(F132),_xlfn.RANK.EQ(F132,$F$2:$F$1031),"")</f>
        <v/>
      </c>
      <c r="H132">
        <f>INDEX(Sheet1!AH:AH,MATCH(A132,Sheet1!A:A,0))</f>
        <v/>
      </c>
    </row>
    <row r="133">
      <c r="A133" t="n">
        <v>255</v>
      </c>
      <c r="B133">
        <f>Sheet1!C133+Sheet1!D133+Sheet1!E133+Sheet1!F133+Sheet1!J133+Sheet1!K133+Sheet1!L133+Sheet1!M133</f>
        <v/>
      </c>
      <c r="C133">
        <f>IF(ISNUMBER(B133),B133,"")</f>
        <v/>
      </c>
      <c r="D133">
        <f>IF(ISNUMBER(C133),_xlfn.RANK.EQ(C133,$C$2:$C$1031),"")</f>
        <v/>
      </c>
      <c r="E133">
        <f>Sheet1!C133+Sheet1!D133+Sheet1!E133+Sheet1!F133+Sheet1!J133+Sheet1!K133+Sheet1!L133+Sheet1!M133+Sheet1!Q133+Sheet1!R133+Sheet1!S133+Sheet1!T133</f>
        <v/>
      </c>
      <c r="F133">
        <f>IF(ISNUMBER(E133),E133,"")</f>
        <v/>
      </c>
      <c r="G133">
        <f>IF(ISNUMBER(F133),_xlfn.RANK.EQ(F133,$F$2:$F$1031),"")</f>
        <v/>
      </c>
      <c r="H133">
        <f>INDEX(Sheet1!AH:AH,MATCH(A133,Sheet1!A:A,0))</f>
        <v/>
      </c>
    </row>
    <row r="134">
      <c r="A134" t="n">
        <v>260</v>
      </c>
      <c r="B134">
        <f>Sheet1!C134+Sheet1!D134+Sheet1!E134+Sheet1!F134+Sheet1!J134+Sheet1!K134+Sheet1!L134+Sheet1!M134</f>
        <v/>
      </c>
      <c r="C134">
        <f>IF(ISNUMBER(B134),B134,"")</f>
        <v/>
      </c>
      <c r="D134">
        <f>IF(ISNUMBER(C134),_xlfn.RANK.EQ(C134,$C$2:$C$1031),"")</f>
        <v/>
      </c>
      <c r="E134">
        <f>Sheet1!C134+Sheet1!D134+Sheet1!E134+Sheet1!F134+Sheet1!J134+Sheet1!K134+Sheet1!L134+Sheet1!M134+Sheet1!Q134+Sheet1!R134+Sheet1!S134+Sheet1!T134</f>
        <v/>
      </c>
      <c r="F134">
        <f>IF(ISNUMBER(E134),E134,"")</f>
        <v/>
      </c>
      <c r="G134">
        <f>IF(ISNUMBER(F134),_xlfn.RANK.EQ(F134,$F$2:$F$1031),"")</f>
        <v/>
      </c>
      <c r="H134">
        <f>INDEX(Sheet1!AH:AH,MATCH(A134,Sheet1!A:A,0))</f>
        <v/>
      </c>
    </row>
    <row r="135">
      <c r="A135" t="n">
        <v>264</v>
      </c>
      <c r="B135">
        <f>Sheet1!C135+Sheet1!D135+Sheet1!E135+Sheet1!F135+Sheet1!J135+Sheet1!K135+Sheet1!L135+Sheet1!M135</f>
        <v/>
      </c>
      <c r="C135">
        <f>IF(ISNUMBER(B135),B135,"")</f>
        <v/>
      </c>
      <c r="D135">
        <f>IF(ISNUMBER(C135),_xlfn.RANK.EQ(C135,$C$2:$C$1031),"")</f>
        <v/>
      </c>
      <c r="E135">
        <f>Sheet1!C135+Sheet1!D135+Sheet1!E135+Sheet1!F135+Sheet1!J135+Sheet1!K135+Sheet1!L135+Sheet1!M135+Sheet1!Q135+Sheet1!R135+Sheet1!S135+Sheet1!T135</f>
        <v/>
      </c>
      <c r="F135">
        <f>IF(ISNUMBER(E135),E135,"")</f>
        <v/>
      </c>
      <c r="G135">
        <f>IF(ISNUMBER(F135),_xlfn.RANK.EQ(F135,$F$2:$F$1031),"")</f>
        <v/>
      </c>
      <c r="H135">
        <f>INDEX(Sheet1!AH:AH,MATCH(A135,Sheet1!A:A,0))</f>
        <v/>
      </c>
    </row>
    <row r="136">
      <c r="A136" t="n">
        <v>265</v>
      </c>
      <c r="B136">
        <f>Sheet1!C136+Sheet1!D136+Sheet1!E136+Sheet1!F136+Sheet1!J136+Sheet1!K136+Sheet1!L136+Sheet1!M136</f>
        <v/>
      </c>
      <c r="C136">
        <f>IF(ISNUMBER(B136),B136,"")</f>
        <v/>
      </c>
      <c r="D136">
        <f>IF(ISNUMBER(C136),_xlfn.RANK.EQ(C136,$C$2:$C$1031),"")</f>
        <v/>
      </c>
      <c r="E136">
        <f>Sheet1!C136+Sheet1!D136+Sheet1!E136+Sheet1!F136+Sheet1!J136+Sheet1!K136+Sheet1!L136+Sheet1!M136+Sheet1!Q136+Sheet1!R136+Sheet1!S136+Sheet1!T136</f>
        <v/>
      </c>
      <c r="F136">
        <f>IF(ISNUMBER(E136),E136,"")</f>
        <v/>
      </c>
      <c r="G136">
        <f>IF(ISNUMBER(F136),_xlfn.RANK.EQ(F136,$F$2:$F$1031),"")</f>
        <v/>
      </c>
      <c r="H136">
        <f>INDEX(Sheet1!AH:AH,MATCH(A136,Sheet1!A:A,0))</f>
        <v/>
      </c>
    </row>
    <row r="137">
      <c r="A137" t="n">
        <v>266</v>
      </c>
      <c r="B137">
        <f>Sheet1!C137+Sheet1!D137+Sheet1!E137+Sheet1!F137+Sheet1!J137+Sheet1!K137+Sheet1!L137+Sheet1!M137</f>
        <v/>
      </c>
      <c r="C137">
        <f>IF(ISNUMBER(B137),B137,"")</f>
        <v/>
      </c>
      <c r="D137">
        <f>IF(ISNUMBER(C137),_xlfn.RANK.EQ(C137,$C$2:$C$1031),"")</f>
        <v/>
      </c>
      <c r="E137">
        <f>Sheet1!C137+Sheet1!D137+Sheet1!E137+Sheet1!F137+Sheet1!J137+Sheet1!K137+Sheet1!L137+Sheet1!M137+Sheet1!Q137+Sheet1!R137+Sheet1!S137+Sheet1!T137</f>
        <v/>
      </c>
      <c r="F137">
        <f>IF(ISNUMBER(E137),E137,"")</f>
        <v/>
      </c>
      <c r="G137">
        <f>IF(ISNUMBER(F137),_xlfn.RANK.EQ(F137,$F$2:$F$1031),"")</f>
        <v/>
      </c>
      <c r="H137">
        <f>INDEX(Sheet1!AH:AH,MATCH(A137,Sheet1!A:A,0))</f>
        <v/>
      </c>
    </row>
    <row r="138">
      <c r="A138" t="n">
        <v>268</v>
      </c>
      <c r="B138">
        <f>Sheet1!C138+Sheet1!D138+Sheet1!E138+Sheet1!F138+Sheet1!J138+Sheet1!K138+Sheet1!L138+Sheet1!M138</f>
        <v/>
      </c>
      <c r="C138">
        <f>IF(ISNUMBER(B138),B138,"")</f>
        <v/>
      </c>
      <c r="D138">
        <f>IF(ISNUMBER(C138),_xlfn.RANK.EQ(C138,$C$2:$C$1031),"")</f>
        <v/>
      </c>
      <c r="E138">
        <f>Sheet1!C138+Sheet1!D138+Sheet1!E138+Sheet1!F138+Sheet1!J138+Sheet1!K138+Sheet1!L138+Sheet1!M138+Sheet1!Q138+Sheet1!R138+Sheet1!S138+Sheet1!T138</f>
        <v/>
      </c>
      <c r="F138">
        <f>IF(ISNUMBER(E138),E138,"")</f>
        <v/>
      </c>
      <c r="G138">
        <f>IF(ISNUMBER(F138),_xlfn.RANK.EQ(F138,$F$2:$F$1031),"")</f>
        <v/>
      </c>
      <c r="H138">
        <f>INDEX(Sheet1!AH:AH,MATCH(A138,Sheet1!A:A,0))</f>
        <v/>
      </c>
    </row>
    <row r="139">
      <c r="A139" t="n">
        <v>270</v>
      </c>
      <c r="B139">
        <f>Sheet1!C139+Sheet1!D139+Sheet1!E139+Sheet1!F139+Sheet1!J139+Sheet1!K139+Sheet1!L139+Sheet1!M139</f>
        <v/>
      </c>
      <c r="C139">
        <f>IF(ISNUMBER(B139),B139,"")</f>
        <v/>
      </c>
      <c r="D139">
        <f>IF(ISNUMBER(C139),_xlfn.RANK.EQ(C139,$C$2:$C$1031),"")</f>
        <v/>
      </c>
      <c r="E139">
        <f>Sheet1!C139+Sheet1!D139+Sheet1!E139+Sheet1!F139+Sheet1!J139+Sheet1!K139+Sheet1!L139+Sheet1!M139+Sheet1!Q139+Sheet1!R139+Sheet1!S139+Sheet1!T139</f>
        <v/>
      </c>
      <c r="F139">
        <f>IF(ISNUMBER(E139),E139,"")</f>
        <v/>
      </c>
      <c r="G139">
        <f>IF(ISNUMBER(F139),_xlfn.RANK.EQ(F139,$F$2:$F$1031),"")</f>
        <v/>
      </c>
      <c r="H139">
        <f>INDEX(Sheet1!AH:AH,MATCH(A139,Sheet1!A:A,0))</f>
        <v/>
      </c>
    </row>
    <row r="140">
      <c r="A140" t="n">
        <v>271</v>
      </c>
      <c r="B140">
        <f>Sheet1!C140+Sheet1!D140+Sheet1!E140+Sheet1!F140+Sheet1!J140+Sheet1!K140+Sheet1!L140+Sheet1!M140</f>
        <v/>
      </c>
      <c r="C140">
        <f>IF(ISNUMBER(B140),B140,"")</f>
        <v/>
      </c>
      <c r="D140">
        <f>IF(ISNUMBER(C140),_xlfn.RANK.EQ(C140,$C$2:$C$1031),"")</f>
        <v/>
      </c>
      <c r="E140">
        <f>Sheet1!C140+Sheet1!D140+Sheet1!E140+Sheet1!F140+Sheet1!J140+Sheet1!K140+Sheet1!L140+Sheet1!M140+Sheet1!Q140+Sheet1!R140+Sheet1!S140+Sheet1!T140</f>
        <v/>
      </c>
      <c r="F140">
        <f>IF(ISNUMBER(E140),E140,"")</f>
        <v/>
      </c>
      <c r="G140">
        <f>IF(ISNUMBER(F140),_xlfn.RANK.EQ(F140,$F$2:$F$1031),"")</f>
        <v/>
      </c>
      <c r="H140">
        <f>INDEX(Sheet1!AH:AH,MATCH(A140,Sheet1!A:A,0))</f>
        <v/>
      </c>
    </row>
    <row r="141">
      <c r="A141" t="n">
        <v>274</v>
      </c>
      <c r="B141">
        <f>Sheet1!C141+Sheet1!D141+Sheet1!E141+Sheet1!F141+Sheet1!J141+Sheet1!K141+Sheet1!L141+Sheet1!M141</f>
        <v/>
      </c>
      <c r="C141">
        <f>IF(ISNUMBER(B141),B141,"")</f>
        <v/>
      </c>
      <c r="D141">
        <f>IF(ISNUMBER(C141),_xlfn.RANK.EQ(C141,$C$2:$C$1031),"")</f>
        <v/>
      </c>
      <c r="E141">
        <f>Sheet1!C141+Sheet1!D141+Sheet1!E141+Sheet1!F141+Sheet1!J141+Sheet1!K141+Sheet1!L141+Sheet1!M141+Sheet1!Q141+Sheet1!R141+Sheet1!S141+Sheet1!T141</f>
        <v/>
      </c>
      <c r="F141">
        <f>IF(ISNUMBER(E141),E141,"")</f>
        <v/>
      </c>
      <c r="G141">
        <f>IF(ISNUMBER(F141),_xlfn.RANK.EQ(F141,$F$2:$F$1031),"")</f>
        <v/>
      </c>
      <c r="H141">
        <f>INDEX(Sheet1!AH:AH,MATCH(A141,Sheet1!A:A,0))</f>
        <v/>
      </c>
    </row>
    <row r="142">
      <c r="A142" t="n">
        <v>275</v>
      </c>
      <c r="B142">
        <f>Sheet1!C142+Sheet1!D142+Sheet1!E142+Sheet1!F142+Sheet1!J142+Sheet1!K142+Sheet1!L142+Sheet1!M142</f>
        <v/>
      </c>
      <c r="C142">
        <f>IF(ISNUMBER(B142),B142,"")</f>
        <v/>
      </c>
      <c r="D142">
        <f>IF(ISNUMBER(C142),_xlfn.RANK.EQ(C142,$C$2:$C$1031),"")</f>
        <v/>
      </c>
      <c r="E142">
        <f>Sheet1!C142+Sheet1!D142+Sheet1!E142+Sheet1!F142+Sheet1!J142+Sheet1!K142+Sheet1!L142+Sheet1!M142+Sheet1!Q142+Sheet1!R142+Sheet1!S142+Sheet1!T142</f>
        <v/>
      </c>
      <c r="F142">
        <f>IF(ISNUMBER(E142),E142,"")</f>
        <v/>
      </c>
      <c r="G142">
        <f>IF(ISNUMBER(F142),_xlfn.RANK.EQ(F142,$F$2:$F$1031),"")</f>
        <v/>
      </c>
      <c r="H142">
        <f>INDEX(Sheet1!AH:AH,MATCH(A142,Sheet1!A:A,0))</f>
        <v/>
      </c>
    </row>
    <row r="143">
      <c r="A143" t="n">
        <v>277</v>
      </c>
      <c r="B143">
        <f>Sheet1!C143+Sheet1!D143+Sheet1!E143+Sheet1!F143+Sheet1!J143+Sheet1!K143+Sheet1!L143+Sheet1!M143</f>
        <v/>
      </c>
      <c r="C143">
        <f>IF(ISNUMBER(B143),B143,"")</f>
        <v/>
      </c>
      <c r="D143">
        <f>IF(ISNUMBER(C143),_xlfn.RANK.EQ(C143,$C$2:$C$1031),"")</f>
        <v/>
      </c>
      <c r="E143">
        <f>Sheet1!C143+Sheet1!D143+Sheet1!E143+Sheet1!F143+Sheet1!J143+Sheet1!K143+Sheet1!L143+Sheet1!M143+Sheet1!Q143+Sheet1!R143+Sheet1!S143+Sheet1!T143</f>
        <v/>
      </c>
      <c r="F143">
        <f>IF(ISNUMBER(E143),E143,"")</f>
        <v/>
      </c>
      <c r="G143">
        <f>IF(ISNUMBER(F143),_xlfn.RANK.EQ(F143,$F$2:$F$1031),"")</f>
        <v/>
      </c>
      <c r="H143">
        <f>INDEX(Sheet1!AH:AH,MATCH(A143,Sheet1!A:A,0))</f>
        <v/>
      </c>
    </row>
    <row r="144">
      <c r="A144" t="n">
        <v>279</v>
      </c>
      <c r="B144">
        <f>Sheet1!C144+Sheet1!D144+Sheet1!E144+Sheet1!F144+Sheet1!J144+Sheet1!K144+Sheet1!L144+Sheet1!M144</f>
        <v/>
      </c>
      <c r="C144">
        <f>IF(ISNUMBER(B144),B144,"")</f>
        <v/>
      </c>
      <c r="D144">
        <f>IF(ISNUMBER(C144),_xlfn.RANK.EQ(C144,$C$2:$C$1031),"")</f>
        <v/>
      </c>
      <c r="E144">
        <f>Sheet1!C144+Sheet1!D144+Sheet1!E144+Sheet1!F144+Sheet1!J144+Sheet1!K144+Sheet1!L144+Sheet1!M144+Sheet1!Q144+Sheet1!R144+Sheet1!S144+Sheet1!T144</f>
        <v/>
      </c>
      <c r="F144">
        <f>IF(ISNUMBER(E144),E144,"")</f>
        <v/>
      </c>
      <c r="G144">
        <f>IF(ISNUMBER(F144),_xlfn.RANK.EQ(F144,$F$2:$F$1031),"")</f>
        <v/>
      </c>
      <c r="H144">
        <f>INDEX(Sheet1!AH:AH,MATCH(A144,Sheet1!A:A,0))</f>
        <v/>
      </c>
    </row>
    <row r="145">
      <c r="A145" t="n">
        <v>280</v>
      </c>
      <c r="B145">
        <f>Sheet1!C145+Sheet1!D145+Sheet1!E145+Sheet1!F145+Sheet1!J145+Sheet1!K145+Sheet1!L145+Sheet1!M145</f>
        <v/>
      </c>
      <c r="C145">
        <f>IF(ISNUMBER(B145),B145,"")</f>
        <v/>
      </c>
      <c r="D145">
        <f>IF(ISNUMBER(C145),_xlfn.RANK.EQ(C145,$C$2:$C$1031),"")</f>
        <v/>
      </c>
      <c r="E145">
        <f>Sheet1!C145+Sheet1!D145+Sheet1!E145+Sheet1!F145+Sheet1!J145+Sheet1!K145+Sheet1!L145+Sheet1!M145+Sheet1!Q145+Sheet1!R145+Sheet1!S145+Sheet1!T145</f>
        <v/>
      </c>
      <c r="F145">
        <f>IF(ISNUMBER(E145),E145,"")</f>
        <v/>
      </c>
      <c r="G145">
        <f>IF(ISNUMBER(F145),_xlfn.RANK.EQ(F145,$F$2:$F$1031),"")</f>
        <v/>
      </c>
      <c r="H145">
        <f>INDEX(Sheet1!AH:AH,MATCH(A145,Sheet1!A:A,0))</f>
        <v/>
      </c>
    </row>
    <row r="146">
      <c r="A146" t="n">
        <v>288</v>
      </c>
      <c r="B146">
        <f>Sheet1!C146+Sheet1!D146+Sheet1!E146+Sheet1!F146+Sheet1!J146+Sheet1!K146+Sheet1!L146+Sheet1!M146</f>
        <v/>
      </c>
      <c r="C146">
        <f>IF(ISNUMBER(B146),B146,"")</f>
        <v/>
      </c>
      <c r="D146">
        <f>IF(ISNUMBER(C146),_xlfn.RANK.EQ(C146,$C$2:$C$1031),"")</f>
        <v/>
      </c>
      <c r="E146">
        <f>Sheet1!C146+Sheet1!D146+Sheet1!E146+Sheet1!F146+Sheet1!J146+Sheet1!K146+Sheet1!L146+Sheet1!M146+Sheet1!Q146+Sheet1!R146+Sheet1!S146+Sheet1!T146</f>
        <v/>
      </c>
      <c r="F146">
        <f>IF(ISNUMBER(E146),E146,"")</f>
        <v/>
      </c>
      <c r="G146">
        <f>IF(ISNUMBER(F146),_xlfn.RANK.EQ(F146,$F$2:$F$1031),"")</f>
        <v/>
      </c>
      <c r="H146">
        <f>INDEX(Sheet1!AH:AH,MATCH(A146,Sheet1!A:A,0))</f>
        <v/>
      </c>
    </row>
    <row r="147">
      <c r="A147" t="n">
        <v>301</v>
      </c>
      <c r="B147">
        <f>Sheet1!C147+Sheet1!D147+Sheet1!E147+Sheet1!F147+Sheet1!J147+Sheet1!K147+Sheet1!L147+Sheet1!M147</f>
        <v/>
      </c>
      <c r="C147">
        <f>IF(ISNUMBER(B147),B147,"")</f>
        <v/>
      </c>
      <c r="D147">
        <f>IF(ISNUMBER(C147),_xlfn.RANK.EQ(C147,$C$2:$C$1031),"")</f>
        <v/>
      </c>
      <c r="E147">
        <f>Sheet1!C147+Sheet1!D147+Sheet1!E147+Sheet1!F147+Sheet1!J147+Sheet1!K147+Sheet1!L147+Sheet1!M147+Sheet1!Q147+Sheet1!R147+Sheet1!S147+Sheet1!T147</f>
        <v/>
      </c>
      <c r="F147">
        <f>IF(ISNUMBER(E147),E147,"")</f>
        <v/>
      </c>
      <c r="G147">
        <f>IF(ISNUMBER(F147),_xlfn.RANK.EQ(F147,$F$2:$F$1031),"")</f>
        <v/>
      </c>
      <c r="H147">
        <f>INDEX(Sheet1!AH:AH,MATCH(A147,Sheet1!A:A,0))</f>
        <v/>
      </c>
    </row>
    <row r="148">
      <c r="A148" t="n">
        <v>305</v>
      </c>
      <c r="B148">
        <f>Sheet1!C148+Sheet1!D148+Sheet1!E148+Sheet1!F148+Sheet1!J148+Sheet1!K148+Sheet1!L148+Sheet1!M148</f>
        <v/>
      </c>
      <c r="C148">
        <f>IF(ISNUMBER(B148),B148,"")</f>
        <v/>
      </c>
      <c r="D148">
        <f>IF(ISNUMBER(C148),_xlfn.RANK.EQ(C148,$C$2:$C$1031),"")</f>
        <v/>
      </c>
      <c r="E148">
        <f>Sheet1!C148+Sheet1!D148+Sheet1!E148+Sheet1!F148+Sheet1!J148+Sheet1!K148+Sheet1!L148+Sheet1!M148+Sheet1!Q148+Sheet1!R148+Sheet1!S148+Sheet1!T148</f>
        <v/>
      </c>
      <c r="F148">
        <f>IF(ISNUMBER(E148),E148,"")</f>
        <v/>
      </c>
      <c r="G148">
        <f>IF(ISNUMBER(F148),_xlfn.RANK.EQ(F148,$F$2:$F$1031),"")</f>
        <v/>
      </c>
      <c r="H148">
        <f>INDEX(Sheet1!AH:AH,MATCH(A148,Sheet1!A:A,0))</f>
        <v/>
      </c>
    </row>
    <row r="149">
      <c r="A149" t="n">
        <v>307</v>
      </c>
      <c r="B149">
        <f>Sheet1!C149+Sheet1!D149+Sheet1!E149+Sheet1!F149+Sheet1!J149+Sheet1!K149+Sheet1!L149+Sheet1!M149</f>
        <v/>
      </c>
      <c r="C149">
        <f>IF(ISNUMBER(B149),B149,"")</f>
        <v/>
      </c>
      <c r="D149">
        <f>IF(ISNUMBER(C149),_xlfn.RANK.EQ(C149,$C$2:$C$1031),"")</f>
        <v/>
      </c>
      <c r="E149">
        <f>Sheet1!C149+Sheet1!D149+Sheet1!E149+Sheet1!F149+Sheet1!J149+Sheet1!K149+Sheet1!L149+Sheet1!M149+Sheet1!Q149+Sheet1!R149+Sheet1!S149+Sheet1!T149</f>
        <v/>
      </c>
      <c r="F149">
        <f>IF(ISNUMBER(E149),E149,"")</f>
        <v/>
      </c>
      <c r="G149">
        <f>IF(ISNUMBER(F149),_xlfn.RANK.EQ(F149,$F$2:$F$1031),"")</f>
        <v/>
      </c>
      <c r="H149">
        <f>INDEX(Sheet1!AH:AH,MATCH(A149,Sheet1!A:A,0))</f>
        <v/>
      </c>
    </row>
    <row r="150">
      <c r="A150" t="n">
        <v>308</v>
      </c>
      <c r="B150">
        <f>Sheet1!C150+Sheet1!D150+Sheet1!E150+Sheet1!F150+Sheet1!J150+Sheet1!K150+Sheet1!L150+Sheet1!M150</f>
        <v/>
      </c>
      <c r="C150">
        <f>IF(ISNUMBER(B150),B150,"")</f>
        <v/>
      </c>
      <c r="D150">
        <f>IF(ISNUMBER(C150),_xlfn.RANK.EQ(C150,$C$2:$C$1031),"")</f>
        <v/>
      </c>
      <c r="E150">
        <f>Sheet1!C150+Sheet1!D150+Sheet1!E150+Sheet1!F150+Sheet1!J150+Sheet1!K150+Sheet1!L150+Sheet1!M150+Sheet1!Q150+Sheet1!R150+Sheet1!S150+Sheet1!T150</f>
        <v/>
      </c>
      <c r="F150">
        <f>IF(ISNUMBER(E150),E150,"")</f>
        <v/>
      </c>
      <c r="G150">
        <f>IF(ISNUMBER(F150),_xlfn.RANK.EQ(F150,$F$2:$F$1031),"")</f>
        <v/>
      </c>
      <c r="H150">
        <f>INDEX(Sheet1!AH:AH,MATCH(A150,Sheet1!A:A,0))</f>
        <v/>
      </c>
    </row>
    <row r="151">
      <c r="A151" t="n">
        <v>309</v>
      </c>
      <c r="B151">
        <f>Sheet1!C151+Sheet1!D151+Sheet1!E151+Sheet1!F151+Sheet1!J151+Sheet1!K151+Sheet1!L151+Sheet1!M151</f>
        <v/>
      </c>
      <c r="C151">
        <f>IF(ISNUMBER(B151),B151,"")</f>
        <v/>
      </c>
      <c r="D151">
        <f>IF(ISNUMBER(C151),_xlfn.RANK.EQ(C151,$C$2:$C$1031),"")</f>
        <v/>
      </c>
      <c r="E151">
        <f>Sheet1!C151+Sheet1!D151+Sheet1!E151+Sheet1!F151+Sheet1!J151+Sheet1!K151+Sheet1!L151+Sheet1!M151+Sheet1!Q151+Sheet1!R151+Sheet1!S151+Sheet1!T151</f>
        <v/>
      </c>
      <c r="F151">
        <f>IF(ISNUMBER(E151),E151,"")</f>
        <v/>
      </c>
      <c r="G151">
        <f>IF(ISNUMBER(F151),_xlfn.RANK.EQ(F151,$F$2:$F$1031),"")</f>
        <v/>
      </c>
      <c r="H151">
        <f>INDEX(Sheet1!AH:AH,MATCH(A151,Sheet1!A:A,0))</f>
        <v/>
      </c>
    </row>
    <row r="152">
      <c r="A152" t="n">
        <v>310</v>
      </c>
      <c r="B152">
        <f>Sheet1!C152+Sheet1!D152+Sheet1!E152+Sheet1!F152+Sheet1!J152+Sheet1!K152+Sheet1!L152+Sheet1!M152</f>
        <v/>
      </c>
      <c r="C152">
        <f>IF(ISNUMBER(B152),B152,"")</f>
        <v/>
      </c>
      <c r="D152">
        <f>IF(ISNUMBER(C152),_xlfn.RANK.EQ(C152,$C$2:$C$1031),"")</f>
        <v/>
      </c>
      <c r="E152">
        <f>Sheet1!C152+Sheet1!D152+Sheet1!E152+Sheet1!F152+Sheet1!J152+Sheet1!K152+Sheet1!L152+Sheet1!M152+Sheet1!Q152+Sheet1!R152+Sheet1!S152+Sheet1!T152</f>
        <v/>
      </c>
      <c r="F152">
        <f>IF(ISNUMBER(E152),E152,"")</f>
        <v/>
      </c>
      <c r="G152">
        <f>IF(ISNUMBER(F152),_xlfn.RANK.EQ(F152,$F$2:$F$1031),"")</f>
        <v/>
      </c>
      <c r="H152">
        <f>INDEX(Sheet1!AH:AH,MATCH(A152,Sheet1!A:A,0))</f>
        <v/>
      </c>
    </row>
    <row r="153">
      <c r="A153" t="n">
        <v>314</v>
      </c>
      <c r="B153">
        <f>Sheet1!C153+Sheet1!D153+Sheet1!E153+Sheet1!F153+Sheet1!J153+Sheet1!K153+Sheet1!L153+Sheet1!M153</f>
        <v/>
      </c>
      <c r="C153">
        <f>IF(ISNUMBER(B153),B153,"")</f>
        <v/>
      </c>
      <c r="D153">
        <f>IF(ISNUMBER(C153),_xlfn.RANK.EQ(C153,$C$2:$C$1031),"")</f>
        <v/>
      </c>
      <c r="E153">
        <f>Sheet1!C153+Sheet1!D153+Sheet1!E153+Sheet1!F153+Sheet1!J153+Sheet1!K153+Sheet1!L153+Sheet1!M153+Sheet1!Q153+Sheet1!R153+Sheet1!S153+Sheet1!T153</f>
        <v/>
      </c>
      <c r="F153">
        <f>IF(ISNUMBER(E153),E153,"")</f>
        <v/>
      </c>
      <c r="G153">
        <f>IF(ISNUMBER(F153),_xlfn.RANK.EQ(F153,$F$2:$F$1031),"")</f>
        <v/>
      </c>
      <c r="H153">
        <f>INDEX(Sheet1!AH:AH,MATCH(A153,Sheet1!A:A,0))</f>
        <v/>
      </c>
    </row>
    <row r="154">
      <c r="A154" t="n">
        <v>316</v>
      </c>
      <c r="B154">
        <f>Sheet1!C154+Sheet1!D154+Sheet1!E154+Sheet1!F154+Sheet1!J154+Sheet1!K154+Sheet1!L154+Sheet1!M154</f>
        <v/>
      </c>
      <c r="C154">
        <f>IF(ISNUMBER(B154),B154,"")</f>
        <v/>
      </c>
      <c r="D154">
        <f>IF(ISNUMBER(C154),_xlfn.RANK.EQ(C154,$C$2:$C$1031),"")</f>
        <v/>
      </c>
      <c r="E154">
        <f>Sheet1!C154+Sheet1!D154+Sheet1!E154+Sheet1!F154+Sheet1!J154+Sheet1!K154+Sheet1!L154+Sheet1!M154+Sheet1!Q154+Sheet1!R154+Sheet1!S154+Sheet1!T154</f>
        <v/>
      </c>
      <c r="F154">
        <f>IF(ISNUMBER(E154),E154,"")</f>
        <v/>
      </c>
      <c r="G154">
        <f>IF(ISNUMBER(F154),_xlfn.RANK.EQ(F154,$F$2:$F$1031),"")</f>
        <v/>
      </c>
      <c r="H154">
        <f>INDEX(Sheet1!AH:AH,MATCH(A154,Sheet1!A:A,0))</f>
        <v/>
      </c>
    </row>
    <row r="155">
      <c r="A155" t="n">
        <v>317</v>
      </c>
      <c r="B155">
        <f>Sheet1!C155+Sheet1!D155+Sheet1!E155+Sheet1!F155+Sheet1!J155+Sheet1!K155+Sheet1!L155+Sheet1!M155</f>
        <v/>
      </c>
      <c r="C155">
        <f>IF(ISNUMBER(B155),B155,"")</f>
        <v/>
      </c>
      <c r="D155">
        <f>IF(ISNUMBER(C155),_xlfn.RANK.EQ(C155,$C$2:$C$1031),"")</f>
        <v/>
      </c>
      <c r="E155">
        <f>Sheet1!C155+Sheet1!D155+Sheet1!E155+Sheet1!F155+Sheet1!J155+Sheet1!K155+Sheet1!L155+Sheet1!M155+Sheet1!Q155+Sheet1!R155+Sheet1!S155+Sheet1!T155</f>
        <v/>
      </c>
      <c r="F155">
        <f>IF(ISNUMBER(E155),E155,"")</f>
        <v/>
      </c>
      <c r="G155">
        <f>IF(ISNUMBER(F155),_xlfn.RANK.EQ(F155,$F$2:$F$1031),"")</f>
        <v/>
      </c>
      <c r="H155">
        <f>INDEX(Sheet1!AH:AH,MATCH(A155,Sheet1!A:A,0))</f>
        <v/>
      </c>
    </row>
    <row r="156">
      <c r="A156" t="n">
        <v>319</v>
      </c>
      <c r="B156">
        <f>Sheet1!C156+Sheet1!D156+Sheet1!E156+Sheet1!F156+Sheet1!J156+Sheet1!K156+Sheet1!L156+Sheet1!M156</f>
        <v/>
      </c>
      <c r="C156">
        <f>IF(ISNUMBER(B156),B156,"")</f>
        <v/>
      </c>
      <c r="D156">
        <f>IF(ISNUMBER(C156),_xlfn.RANK.EQ(C156,$C$2:$C$1031),"")</f>
        <v/>
      </c>
      <c r="E156">
        <f>Sheet1!C156+Sheet1!D156+Sheet1!E156+Sheet1!F156+Sheet1!J156+Sheet1!K156+Sheet1!L156+Sheet1!M156+Sheet1!Q156+Sheet1!R156+Sheet1!S156+Sheet1!T156</f>
        <v/>
      </c>
      <c r="F156">
        <f>IF(ISNUMBER(E156),E156,"")</f>
        <v/>
      </c>
      <c r="G156">
        <f>IF(ISNUMBER(F156),_xlfn.RANK.EQ(F156,$F$2:$F$1031),"")</f>
        <v/>
      </c>
      <c r="H156">
        <f>INDEX(Sheet1!AH:AH,MATCH(A156,Sheet1!A:A,0))</f>
        <v/>
      </c>
    </row>
    <row r="157">
      <c r="A157" t="n">
        <v>321</v>
      </c>
      <c r="B157">
        <f>Sheet1!C157+Sheet1!D157+Sheet1!E157+Sheet1!F157+Sheet1!J157+Sheet1!K157+Sheet1!L157+Sheet1!M157</f>
        <v/>
      </c>
      <c r="C157">
        <f>IF(ISNUMBER(B157),B157,"")</f>
        <v/>
      </c>
      <c r="D157">
        <f>IF(ISNUMBER(C157),_xlfn.RANK.EQ(C157,$C$2:$C$1031),"")</f>
        <v/>
      </c>
      <c r="E157">
        <f>Sheet1!C157+Sheet1!D157+Sheet1!E157+Sheet1!F157+Sheet1!J157+Sheet1!K157+Sheet1!L157+Sheet1!M157+Sheet1!Q157+Sheet1!R157+Sheet1!S157+Sheet1!T157</f>
        <v/>
      </c>
      <c r="F157">
        <f>IF(ISNUMBER(E157),E157,"")</f>
        <v/>
      </c>
      <c r="G157">
        <f>IF(ISNUMBER(F157),_xlfn.RANK.EQ(F157,$F$2:$F$1031),"")</f>
        <v/>
      </c>
      <c r="H157">
        <f>INDEX(Sheet1!AH:AH,MATCH(A157,Sheet1!A:A,0))</f>
        <v/>
      </c>
    </row>
    <row r="158">
      <c r="A158" t="n">
        <v>323</v>
      </c>
      <c r="B158">
        <f>Sheet1!C158+Sheet1!D158+Sheet1!E158+Sheet1!F158+Sheet1!J158+Sheet1!K158+Sheet1!L158+Sheet1!M158</f>
        <v/>
      </c>
      <c r="C158">
        <f>IF(ISNUMBER(B158),B158,"")</f>
        <v/>
      </c>
      <c r="D158">
        <f>IF(ISNUMBER(C158),_xlfn.RANK.EQ(C158,$C$2:$C$1031),"")</f>
        <v/>
      </c>
      <c r="E158">
        <f>Sheet1!C158+Sheet1!D158+Sheet1!E158+Sheet1!F158+Sheet1!J158+Sheet1!K158+Sheet1!L158+Sheet1!M158+Sheet1!Q158+Sheet1!R158+Sheet1!S158+Sheet1!T158</f>
        <v/>
      </c>
      <c r="F158">
        <f>IF(ISNUMBER(E158),E158,"")</f>
        <v/>
      </c>
      <c r="G158">
        <f>IF(ISNUMBER(F158),_xlfn.RANK.EQ(F158,$F$2:$F$1031),"")</f>
        <v/>
      </c>
      <c r="H158">
        <f>INDEX(Sheet1!AH:AH,MATCH(A158,Sheet1!A:A,0))</f>
        <v/>
      </c>
    </row>
    <row r="159">
      <c r="A159" t="n">
        <v>324</v>
      </c>
      <c r="B159">
        <f>Sheet1!C159+Sheet1!D159+Sheet1!E159+Sheet1!F159+Sheet1!J159+Sheet1!K159+Sheet1!L159+Sheet1!M159</f>
        <v/>
      </c>
      <c r="C159">
        <f>IF(ISNUMBER(B159),B159,"")</f>
        <v/>
      </c>
      <c r="D159">
        <f>IF(ISNUMBER(C159),_xlfn.RANK.EQ(C159,$C$2:$C$1031),"")</f>
        <v/>
      </c>
      <c r="E159">
        <f>Sheet1!C159+Sheet1!D159+Sheet1!E159+Sheet1!F159+Sheet1!J159+Sheet1!K159+Sheet1!L159+Sheet1!M159+Sheet1!Q159+Sheet1!R159+Sheet1!S159+Sheet1!T159</f>
        <v/>
      </c>
      <c r="F159">
        <f>IF(ISNUMBER(E159),E159,"")</f>
        <v/>
      </c>
      <c r="G159">
        <f>IF(ISNUMBER(F159),_xlfn.RANK.EQ(F159,$F$2:$F$1031),"")</f>
        <v/>
      </c>
      <c r="H159">
        <f>INDEX(Sheet1!AH:AH,MATCH(A159,Sheet1!A:A,0))</f>
        <v/>
      </c>
    </row>
    <row r="160">
      <c r="A160" t="n">
        <v>327</v>
      </c>
      <c r="B160">
        <f>Sheet1!C160+Sheet1!D160+Sheet1!E160+Sheet1!F160+Sheet1!J160+Sheet1!K160+Sheet1!L160+Sheet1!M160</f>
        <v/>
      </c>
      <c r="C160">
        <f>IF(ISNUMBER(B160),B160,"")</f>
        <v/>
      </c>
      <c r="D160">
        <f>IF(ISNUMBER(C160),_xlfn.RANK.EQ(C160,$C$2:$C$1031),"")</f>
        <v/>
      </c>
      <c r="E160">
        <f>Sheet1!C160+Sheet1!D160+Sheet1!E160+Sheet1!F160+Sheet1!J160+Sheet1!K160+Sheet1!L160+Sheet1!M160+Sheet1!Q160+Sheet1!R160+Sheet1!S160+Sheet1!T160</f>
        <v/>
      </c>
      <c r="F160">
        <f>IF(ISNUMBER(E160),E160,"")</f>
        <v/>
      </c>
      <c r="G160">
        <f>IF(ISNUMBER(F160),_xlfn.RANK.EQ(F160,$F$2:$F$1031),"")</f>
        <v/>
      </c>
      <c r="H160">
        <f>INDEX(Sheet1!AH:AH,MATCH(A160,Sheet1!A:A,0))</f>
        <v/>
      </c>
    </row>
    <row r="161">
      <c r="A161" t="n">
        <v>328</v>
      </c>
      <c r="B161">
        <f>Sheet1!C161+Sheet1!D161+Sheet1!E161+Sheet1!F161+Sheet1!J161+Sheet1!K161+Sheet1!L161+Sheet1!M161</f>
        <v/>
      </c>
      <c r="C161">
        <f>IF(ISNUMBER(B161),B161,"")</f>
        <v/>
      </c>
      <c r="D161">
        <f>IF(ISNUMBER(C161),_xlfn.RANK.EQ(C161,$C$2:$C$1031),"")</f>
        <v/>
      </c>
      <c r="E161">
        <f>Sheet1!C161+Sheet1!D161+Sheet1!E161+Sheet1!F161+Sheet1!J161+Sheet1!K161+Sheet1!L161+Sheet1!M161+Sheet1!Q161+Sheet1!R161+Sheet1!S161+Sheet1!T161</f>
        <v/>
      </c>
      <c r="F161">
        <f>IF(ISNUMBER(E161),E161,"")</f>
        <v/>
      </c>
      <c r="G161">
        <f>IF(ISNUMBER(F161),_xlfn.RANK.EQ(F161,$F$2:$F$1031),"")</f>
        <v/>
      </c>
      <c r="H161">
        <f>INDEX(Sheet1!AH:AH,MATCH(A161,Sheet1!A:A,0))</f>
        <v/>
      </c>
    </row>
    <row r="162">
      <c r="A162" t="n">
        <v>329</v>
      </c>
      <c r="B162">
        <f>Sheet1!C162+Sheet1!D162+Sheet1!E162+Sheet1!F162+Sheet1!J162+Sheet1!K162+Sheet1!L162+Sheet1!M162</f>
        <v/>
      </c>
      <c r="C162">
        <f>IF(ISNUMBER(B162),B162,"")</f>
        <v/>
      </c>
      <c r="D162">
        <f>IF(ISNUMBER(C162),_xlfn.RANK.EQ(C162,$C$2:$C$1031),"")</f>
        <v/>
      </c>
      <c r="E162">
        <f>Sheet1!C162+Sheet1!D162+Sheet1!E162+Sheet1!F162+Sheet1!J162+Sheet1!K162+Sheet1!L162+Sheet1!M162+Sheet1!Q162+Sheet1!R162+Sheet1!S162+Sheet1!T162</f>
        <v/>
      </c>
      <c r="F162">
        <f>IF(ISNUMBER(E162),E162,"")</f>
        <v/>
      </c>
      <c r="G162">
        <f>IF(ISNUMBER(F162),_xlfn.RANK.EQ(F162,$F$2:$F$1031),"")</f>
        <v/>
      </c>
      <c r="H162">
        <f>INDEX(Sheet1!AH:AH,MATCH(A162,Sheet1!A:A,0))</f>
        <v/>
      </c>
    </row>
    <row r="163">
      <c r="A163" t="n">
        <v>330</v>
      </c>
      <c r="B163">
        <f>Sheet1!C163+Sheet1!D163+Sheet1!E163+Sheet1!F163+Sheet1!J163+Sheet1!K163+Sheet1!L163+Sheet1!M163</f>
        <v/>
      </c>
      <c r="C163">
        <f>IF(ISNUMBER(B163),B163,"")</f>
        <v/>
      </c>
      <c r="D163">
        <f>IF(ISNUMBER(C163),_xlfn.RANK.EQ(C163,$C$2:$C$1031),"")</f>
        <v/>
      </c>
      <c r="E163">
        <f>Sheet1!C163+Sheet1!D163+Sheet1!E163+Sheet1!F163+Sheet1!J163+Sheet1!K163+Sheet1!L163+Sheet1!M163+Sheet1!Q163+Sheet1!R163+Sheet1!S163+Sheet1!T163</f>
        <v/>
      </c>
      <c r="F163">
        <f>IF(ISNUMBER(E163),E163,"")</f>
        <v/>
      </c>
      <c r="G163">
        <f>IF(ISNUMBER(F163),_xlfn.RANK.EQ(F163,$F$2:$F$1031),"")</f>
        <v/>
      </c>
      <c r="H163">
        <f>INDEX(Sheet1!AH:AH,MATCH(A163,Sheet1!A:A,0))</f>
        <v/>
      </c>
    </row>
    <row r="164">
      <c r="A164" t="n">
        <v>331</v>
      </c>
      <c r="B164">
        <f>Sheet1!C164+Sheet1!D164+Sheet1!E164+Sheet1!F164+Sheet1!J164+Sheet1!K164+Sheet1!L164+Sheet1!M164</f>
        <v/>
      </c>
      <c r="C164">
        <f>IF(ISNUMBER(B164),B164,"")</f>
        <v/>
      </c>
      <c r="D164">
        <f>IF(ISNUMBER(C164),_xlfn.RANK.EQ(C164,$C$2:$C$1031),"")</f>
        <v/>
      </c>
      <c r="E164">
        <f>Sheet1!C164+Sheet1!D164+Sheet1!E164+Sheet1!F164+Sheet1!J164+Sheet1!K164+Sheet1!L164+Sheet1!M164+Sheet1!Q164+Sheet1!R164+Sheet1!S164+Sheet1!T164</f>
        <v/>
      </c>
      <c r="F164">
        <f>IF(ISNUMBER(E164),E164,"")</f>
        <v/>
      </c>
      <c r="G164">
        <f>IF(ISNUMBER(F164),_xlfn.RANK.EQ(F164,$F$2:$F$1031),"")</f>
        <v/>
      </c>
      <c r="H164">
        <f>INDEX(Sheet1!AH:AH,MATCH(A164,Sheet1!A:A,0))</f>
        <v/>
      </c>
    </row>
    <row r="165">
      <c r="A165" t="n">
        <v>332</v>
      </c>
      <c r="B165">
        <f>Sheet1!C165+Sheet1!D165+Sheet1!E165+Sheet1!F165+Sheet1!J165+Sheet1!K165+Sheet1!L165+Sheet1!M165</f>
        <v/>
      </c>
      <c r="C165">
        <f>IF(ISNUMBER(B165),B165,"")</f>
        <v/>
      </c>
      <c r="D165">
        <f>IF(ISNUMBER(C165),_xlfn.RANK.EQ(C165,$C$2:$C$1031),"")</f>
        <v/>
      </c>
      <c r="E165">
        <f>Sheet1!C165+Sheet1!D165+Sheet1!E165+Sheet1!F165+Sheet1!J165+Sheet1!K165+Sheet1!L165+Sheet1!M165+Sheet1!Q165+Sheet1!R165+Sheet1!S165+Sheet1!T165</f>
        <v/>
      </c>
      <c r="F165">
        <f>IF(ISNUMBER(E165),E165,"")</f>
        <v/>
      </c>
      <c r="G165">
        <f>IF(ISNUMBER(F165),_xlfn.RANK.EQ(F165,$F$2:$F$1031),"")</f>
        <v/>
      </c>
      <c r="H165">
        <f>INDEX(Sheet1!AH:AH,MATCH(A165,Sheet1!A:A,0))</f>
        <v/>
      </c>
    </row>
    <row r="166">
      <c r="A166" t="n">
        <v>333</v>
      </c>
      <c r="B166">
        <f>Sheet1!C166+Sheet1!D166+Sheet1!E166+Sheet1!F166+Sheet1!J166+Sheet1!K166+Sheet1!L166+Sheet1!M166</f>
        <v/>
      </c>
      <c r="C166">
        <f>IF(ISNUMBER(B166),B166,"")</f>
        <v/>
      </c>
      <c r="D166">
        <f>IF(ISNUMBER(C166),_xlfn.RANK.EQ(C166,$C$2:$C$1031),"")</f>
        <v/>
      </c>
      <c r="E166">
        <f>Sheet1!C166+Sheet1!D166+Sheet1!E166+Sheet1!F166+Sheet1!J166+Sheet1!K166+Sheet1!L166+Sheet1!M166+Sheet1!Q166+Sheet1!R166+Sheet1!S166+Sheet1!T166</f>
        <v/>
      </c>
      <c r="F166">
        <f>IF(ISNUMBER(E166),E166,"")</f>
        <v/>
      </c>
      <c r="G166">
        <f>IF(ISNUMBER(F166),_xlfn.RANK.EQ(F166,$F$2:$F$1031),"")</f>
        <v/>
      </c>
      <c r="H166">
        <f>INDEX(Sheet1!AH:AH,MATCH(A166,Sheet1!A:A,0))</f>
        <v/>
      </c>
    </row>
    <row r="167">
      <c r="A167" t="n">
        <v>334</v>
      </c>
      <c r="B167">
        <f>Sheet1!C167+Sheet1!D167+Sheet1!E167+Sheet1!F167+Sheet1!J167+Sheet1!K167+Sheet1!L167+Sheet1!M167</f>
        <v/>
      </c>
      <c r="C167">
        <f>IF(ISNUMBER(B167),B167,"")</f>
        <v/>
      </c>
      <c r="D167">
        <f>IF(ISNUMBER(C167),_xlfn.RANK.EQ(C167,$C$2:$C$1031),"")</f>
        <v/>
      </c>
      <c r="E167">
        <f>Sheet1!C167+Sheet1!D167+Sheet1!E167+Sheet1!F167+Sheet1!J167+Sheet1!K167+Sheet1!L167+Sheet1!M167+Sheet1!Q167+Sheet1!R167+Sheet1!S167+Sheet1!T167</f>
        <v/>
      </c>
      <c r="F167">
        <f>IF(ISNUMBER(E167),E167,"")</f>
        <v/>
      </c>
      <c r="G167">
        <f>IF(ISNUMBER(F167),_xlfn.RANK.EQ(F167,$F$2:$F$1031),"")</f>
        <v/>
      </c>
      <c r="H167">
        <f>INDEX(Sheet1!AH:AH,MATCH(A167,Sheet1!A:A,0))</f>
        <v/>
      </c>
    </row>
    <row r="168">
      <c r="A168" t="n">
        <v>340</v>
      </c>
      <c r="B168">
        <f>Sheet1!C168+Sheet1!D168+Sheet1!E168+Sheet1!F168+Sheet1!J168+Sheet1!K168+Sheet1!L168+Sheet1!M168</f>
        <v/>
      </c>
      <c r="C168">
        <f>IF(ISNUMBER(B168),B168,"")</f>
        <v/>
      </c>
      <c r="D168">
        <f>IF(ISNUMBER(C168),_xlfn.RANK.EQ(C168,$C$2:$C$1031),"")</f>
        <v/>
      </c>
      <c r="E168">
        <f>Sheet1!C168+Sheet1!D168+Sheet1!E168+Sheet1!F168+Sheet1!J168+Sheet1!K168+Sheet1!L168+Sheet1!M168+Sheet1!Q168+Sheet1!R168+Sheet1!S168+Sheet1!T168</f>
        <v/>
      </c>
      <c r="F168">
        <f>IF(ISNUMBER(E168),E168,"")</f>
        <v/>
      </c>
      <c r="G168">
        <f>IF(ISNUMBER(F168),_xlfn.RANK.EQ(F168,$F$2:$F$1031),"")</f>
        <v/>
      </c>
      <c r="H168">
        <f>INDEX(Sheet1!AH:AH,MATCH(A168,Sheet1!A:A,0))</f>
        <v/>
      </c>
    </row>
    <row r="169">
      <c r="A169" t="n">
        <v>351</v>
      </c>
      <c r="B169">
        <f>Sheet1!C169+Sheet1!D169+Sheet1!E169+Sheet1!F169+Sheet1!J169+Sheet1!K169+Sheet1!L169+Sheet1!M169</f>
        <v/>
      </c>
      <c r="C169">
        <f>IF(ISNUMBER(B169),B169,"")</f>
        <v/>
      </c>
      <c r="D169">
        <f>IF(ISNUMBER(C169),_xlfn.RANK.EQ(C169,$C$2:$C$1031),"")</f>
        <v/>
      </c>
      <c r="E169">
        <f>Sheet1!C169+Sheet1!D169+Sheet1!E169+Sheet1!F169+Sheet1!J169+Sheet1!K169+Sheet1!L169+Sheet1!M169+Sheet1!Q169+Sheet1!R169+Sheet1!S169+Sheet1!T169</f>
        <v/>
      </c>
      <c r="F169">
        <f>IF(ISNUMBER(E169),E169,"")</f>
        <v/>
      </c>
      <c r="G169">
        <f>IF(ISNUMBER(F169),_xlfn.RANK.EQ(F169,$F$2:$F$1031),"")</f>
        <v/>
      </c>
      <c r="H169">
        <f>INDEX(Sheet1!AH:AH,MATCH(A169,Sheet1!A:A,0))</f>
        <v/>
      </c>
    </row>
    <row r="170">
      <c r="A170" t="n">
        <v>357</v>
      </c>
      <c r="B170">
        <f>Sheet1!C170+Sheet1!D170+Sheet1!E170+Sheet1!F170+Sheet1!J170+Sheet1!K170+Sheet1!L170+Sheet1!M170</f>
        <v/>
      </c>
      <c r="C170">
        <f>IF(ISNUMBER(B170),B170,"")</f>
        <v/>
      </c>
      <c r="D170">
        <f>IF(ISNUMBER(C170),_xlfn.RANK.EQ(C170,$C$2:$C$1031),"")</f>
        <v/>
      </c>
      <c r="E170">
        <f>Sheet1!C170+Sheet1!D170+Sheet1!E170+Sheet1!F170+Sheet1!J170+Sheet1!K170+Sheet1!L170+Sheet1!M170+Sheet1!Q170+Sheet1!R170+Sheet1!S170+Sheet1!T170</f>
        <v/>
      </c>
      <c r="F170">
        <f>IF(ISNUMBER(E170),E170,"")</f>
        <v/>
      </c>
      <c r="G170">
        <f>IF(ISNUMBER(F170),_xlfn.RANK.EQ(F170,$F$2:$F$1031),"")</f>
        <v/>
      </c>
      <c r="H170">
        <f>INDEX(Sheet1!AH:AH,MATCH(A170,Sheet1!A:A,0))</f>
        <v/>
      </c>
    </row>
    <row r="171">
      <c r="A171" t="n">
        <v>358</v>
      </c>
      <c r="B171">
        <f>Sheet1!C171+Sheet1!D171+Sheet1!E171+Sheet1!F171+Sheet1!J171+Sheet1!K171+Sheet1!L171+Sheet1!M171</f>
        <v/>
      </c>
      <c r="C171">
        <f>IF(ISNUMBER(B171),B171,"")</f>
        <v/>
      </c>
      <c r="D171">
        <f>IF(ISNUMBER(C171),_xlfn.RANK.EQ(C171,$C$2:$C$1031),"")</f>
        <v/>
      </c>
      <c r="E171">
        <f>Sheet1!C171+Sheet1!D171+Sheet1!E171+Sheet1!F171+Sheet1!J171+Sheet1!K171+Sheet1!L171+Sheet1!M171+Sheet1!Q171+Sheet1!R171+Sheet1!S171+Sheet1!T171</f>
        <v/>
      </c>
      <c r="F171">
        <f>IF(ISNUMBER(E171),E171,"")</f>
        <v/>
      </c>
      <c r="G171">
        <f>IF(ISNUMBER(F171),_xlfn.RANK.EQ(F171,$F$2:$F$1031),"")</f>
        <v/>
      </c>
      <c r="H171">
        <f>INDEX(Sheet1!AH:AH,MATCH(A171,Sheet1!A:A,0))</f>
        <v/>
      </c>
    </row>
    <row r="172">
      <c r="A172" t="n">
        <v>361</v>
      </c>
      <c r="B172">
        <f>Sheet1!C172+Sheet1!D172+Sheet1!E172+Sheet1!F172+Sheet1!J172+Sheet1!K172+Sheet1!L172+Sheet1!M172</f>
        <v/>
      </c>
      <c r="C172">
        <f>IF(ISNUMBER(B172),B172,"")</f>
        <v/>
      </c>
      <c r="D172">
        <f>IF(ISNUMBER(C172),_xlfn.RANK.EQ(C172,$C$2:$C$1031),"")</f>
        <v/>
      </c>
      <c r="E172">
        <f>Sheet1!C172+Sheet1!D172+Sheet1!E172+Sheet1!F172+Sheet1!J172+Sheet1!K172+Sheet1!L172+Sheet1!M172+Sheet1!Q172+Sheet1!R172+Sheet1!S172+Sheet1!T172</f>
        <v/>
      </c>
      <c r="F172">
        <f>IF(ISNUMBER(E172),E172,"")</f>
        <v/>
      </c>
      <c r="G172">
        <f>IF(ISNUMBER(F172),_xlfn.RANK.EQ(F172,$F$2:$F$1031),"")</f>
        <v/>
      </c>
      <c r="H172">
        <f>INDEX(Sheet1!AH:AH,MATCH(A172,Sheet1!A:A,0))</f>
        <v/>
      </c>
    </row>
    <row r="173">
      <c r="A173" t="n">
        <v>362</v>
      </c>
      <c r="B173">
        <f>Sheet1!C173+Sheet1!D173+Sheet1!E173+Sheet1!F173+Sheet1!J173+Sheet1!K173+Sheet1!L173+Sheet1!M173</f>
        <v/>
      </c>
      <c r="C173">
        <f>IF(ISNUMBER(B173),B173,"")</f>
        <v/>
      </c>
      <c r="D173">
        <f>IF(ISNUMBER(C173),_xlfn.RANK.EQ(C173,$C$2:$C$1031),"")</f>
        <v/>
      </c>
      <c r="E173">
        <f>Sheet1!C173+Sheet1!D173+Sheet1!E173+Sheet1!F173+Sheet1!J173+Sheet1!K173+Sheet1!L173+Sheet1!M173+Sheet1!Q173+Sheet1!R173+Sheet1!S173+Sheet1!T173</f>
        <v/>
      </c>
      <c r="F173">
        <f>IF(ISNUMBER(E173),E173,"")</f>
        <v/>
      </c>
      <c r="G173">
        <f>IF(ISNUMBER(F173),_xlfn.RANK.EQ(F173,$F$2:$F$1031),"")</f>
        <v/>
      </c>
      <c r="H173">
        <f>INDEX(Sheet1!AH:AH,MATCH(A173,Sheet1!A:A,0))</f>
        <v/>
      </c>
    </row>
    <row r="174">
      <c r="A174" t="n">
        <v>365</v>
      </c>
      <c r="B174">
        <f>Sheet1!C174+Sheet1!D174+Sheet1!E174+Sheet1!F174+Sheet1!J174+Sheet1!K174+Sheet1!L174+Sheet1!M174</f>
        <v/>
      </c>
      <c r="C174">
        <f>IF(ISNUMBER(B174),B174,"")</f>
        <v/>
      </c>
      <c r="D174">
        <f>IF(ISNUMBER(C174),_xlfn.RANK.EQ(C174,$C$2:$C$1031),"")</f>
        <v/>
      </c>
      <c r="E174">
        <f>Sheet1!C174+Sheet1!D174+Sheet1!E174+Sheet1!F174+Sheet1!J174+Sheet1!K174+Sheet1!L174+Sheet1!M174+Sheet1!Q174+Sheet1!R174+Sheet1!S174+Sheet1!T174</f>
        <v/>
      </c>
      <c r="F174">
        <f>IF(ISNUMBER(E174),E174,"")</f>
        <v/>
      </c>
      <c r="G174">
        <f>IF(ISNUMBER(F174),_xlfn.RANK.EQ(F174,$F$2:$F$1031),"")</f>
        <v/>
      </c>
      <c r="H174">
        <f>INDEX(Sheet1!AH:AH,MATCH(A174,Sheet1!A:A,0))</f>
        <v/>
      </c>
    </row>
    <row r="175">
      <c r="A175" t="n">
        <v>369</v>
      </c>
      <c r="B175">
        <f>Sheet1!C175+Sheet1!D175+Sheet1!E175+Sheet1!F175+Sheet1!J175+Sheet1!K175+Sheet1!L175+Sheet1!M175</f>
        <v/>
      </c>
      <c r="C175">
        <f>IF(ISNUMBER(B175),B175,"")</f>
        <v/>
      </c>
      <c r="D175">
        <f>IF(ISNUMBER(C175),_xlfn.RANK.EQ(C175,$C$2:$C$1031),"")</f>
        <v/>
      </c>
      <c r="E175">
        <f>Sheet1!C175+Sheet1!D175+Sheet1!E175+Sheet1!F175+Sheet1!J175+Sheet1!K175+Sheet1!L175+Sheet1!M175+Sheet1!Q175+Sheet1!R175+Sheet1!S175+Sheet1!T175</f>
        <v/>
      </c>
      <c r="F175">
        <f>IF(ISNUMBER(E175),E175,"")</f>
        <v/>
      </c>
      <c r="G175">
        <f>IF(ISNUMBER(F175),_xlfn.RANK.EQ(F175,$F$2:$F$1031),"")</f>
        <v/>
      </c>
      <c r="H175">
        <f>INDEX(Sheet1!AH:AH,MATCH(A175,Sheet1!A:A,0))</f>
        <v/>
      </c>
    </row>
    <row r="176">
      <c r="A176" t="n">
        <v>370</v>
      </c>
      <c r="B176">
        <f>Sheet1!C176+Sheet1!D176+Sheet1!E176+Sheet1!F176+Sheet1!J176+Sheet1!K176+Sheet1!L176+Sheet1!M176</f>
        <v/>
      </c>
      <c r="C176">
        <f>IF(ISNUMBER(B176),B176,"")</f>
        <v/>
      </c>
      <c r="D176">
        <f>IF(ISNUMBER(C176),_xlfn.RANK.EQ(C176,$C$2:$C$1031),"")</f>
        <v/>
      </c>
      <c r="E176">
        <f>Sheet1!C176+Sheet1!D176+Sheet1!E176+Sheet1!F176+Sheet1!J176+Sheet1!K176+Sheet1!L176+Sheet1!M176+Sheet1!Q176+Sheet1!R176+Sheet1!S176+Sheet1!T176</f>
        <v/>
      </c>
      <c r="F176">
        <f>IF(ISNUMBER(E176),E176,"")</f>
        <v/>
      </c>
      <c r="G176">
        <f>IF(ISNUMBER(F176),_xlfn.RANK.EQ(F176,$F$2:$F$1031),"")</f>
        <v/>
      </c>
      <c r="H176">
        <f>INDEX(Sheet1!AH:AH,MATCH(A176,Sheet1!A:A,0))</f>
        <v/>
      </c>
    </row>
    <row r="177">
      <c r="A177" t="n">
        <v>371</v>
      </c>
      <c r="B177">
        <f>Sheet1!C177+Sheet1!D177+Sheet1!E177+Sheet1!F177+Sheet1!J177+Sheet1!K177+Sheet1!L177+Sheet1!M177</f>
        <v/>
      </c>
      <c r="C177">
        <f>IF(ISNUMBER(B177),B177,"")</f>
        <v/>
      </c>
      <c r="D177">
        <f>IF(ISNUMBER(C177),_xlfn.RANK.EQ(C177,$C$2:$C$1031),"")</f>
        <v/>
      </c>
      <c r="E177">
        <f>Sheet1!C177+Sheet1!D177+Sheet1!E177+Sheet1!F177+Sheet1!J177+Sheet1!K177+Sheet1!L177+Sheet1!M177+Sheet1!Q177+Sheet1!R177+Sheet1!S177+Sheet1!T177</f>
        <v/>
      </c>
      <c r="F177">
        <f>IF(ISNUMBER(E177),E177,"")</f>
        <v/>
      </c>
      <c r="G177">
        <f>IF(ISNUMBER(F177),_xlfn.RANK.EQ(F177,$F$2:$F$1031),"")</f>
        <v/>
      </c>
      <c r="H177">
        <f>INDEX(Sheet1!AH:AH,MATCH(A177,Sheet1!A:A,0))</f>
        <v/>
      </c>
    </row>
    <row r="178">
      <c r="A178" t="n">
        <v>372</v>
      </c>
      <c r="B178">
        <f>Sheet1!C178+Sheet1!D178+Sheet1!E178+Sheet1!F178+Sheet1!J178+Sheet1!K178+Sheet1!L178+Sheet1!M178</f>
        <v/>
      </c>
      <c r="C178">
        <f>IF(ISNUMBER(B178),B178,"")</f>
        <v/>
      </c>
      <c r="D178">
        <f>IF(ISNUMBER(C178),_xlfn.RANK.EQ(C178,$C$2:$C$1031),"")</f>
        <v/>
      </c>
      <c r="E178">
        <f>Sheet1!C178+Sheet1!D178+Sheet1!E178+Sheet1!F178+Sheet1!J178+Sheet1!K178+Sheet1!L178+Sheet1!M178+Sheet1!Q178+Sheet1!R178+Sheet1!S178+Sheet1!T178</f>
        <v/>
      </c>
      <c r="F178">
        <f>IF(ISNUMBER(E178),E178,"")</f>
        <v/>
      </c>
      <c r="G178">
        <f>IF(ISNUMBER(F178),_xlfn.RANK.EQ(F178,$F$2:$F$1031),"")</f>
        <v/>
      </c>
      <c r="H178">
        <f>INDEX(Sheet1!AH:AH,MATCH(A178,Sheet1!A:A,0))</f>
        <v/>
      </c>
    </row>
    <row r="179">
      <c r="A179" t="n">
        <v>374</v>
      </c>
      <c r="B179">
        <f>Sheet1!C179+Sheet1!D179+Sheet1!E179+Sheet1!F179+Sheet1!J179+Sheet1!K179+Sheet1!L179+Sheet1!M179</f>
        <v/>
      </c>
      <c r="C179">
        <f>IF(ISNUMBER(B179),B179,"")</f>
        <v/>
      </c>
      <c r="D179">
        <f>IF(ISNUMBER(C179),_xlfn.RANK.EQ(C179,$C$2:$C$1031),"")</f>
        <v/>
      </c>
      <c r="E179">
        <f>Sheet1!C179+Sheet1!D179+Sheet1!E179+Sheet1!F179+Sheet1!J179+Sheet1!K179+Sheet1!L179+Sheet1!M179+Sheet1!Q179+Sheet1!R179+Sheet1!S179+Sheet1!T179</f>
        <v/>
      </c>
      <c r="F179">
        <f>IF(ISNUMBER(E179),E179,"")</f>
        <v/>
      </c>
      <c r="G179">
        <f>IF(ISNUMBER(F179),_xlfn.RANK.EQ(F179,$F$2:$F$1031),"")</f>
        <v/>
      </c>
      <c r="H179">
        <f>INDEX(Sheet1!AH:AH,MATCH(A179,Sheet1!A:A,0))</f>
        <v/>
      </c>
    </row>
    <row r="180">
      <c r="A180" t="n">
        <v>375</v>
      </c>
      <c r="B180">
        <f>Sheet1!C180+Sheet1!D180+Sheet1!E180+Sheet1!F180+Sheet1!J180+Sheet1!K180+Sheet1!L180+Sheet1!M180</f>
        <v/>
      </c>
      <c r="C180">
        <f>IF(ISNUMBER(B180),B180,"")</f>
        <v/>
      </c>
      <c r="D180">
        <f>IF(ISNUMBER(C180),_xlfn.RANK.EQ(C180,$C$2:$C$1031),"")</f>
        <v/>
      </c>
      <c r="E180">
        <f>Sheet1!C180+Sheet1!D180+Sheet1!E180+Sheet1!F180+Sheet1!J180+Sheet1!K180+Sheet1!L180+Sheet1!M180+Sheet1!Q180+Sheet1!R180+Sheet1!S180+Sheet1!T180</f>
        <v/>
      </c>
      <c r="F180">
        <f>IF(ISNUMBER(E180),E180,"")</f>
        <v/>
      </c>
      <c r="G180">
        <f>IF(ISNUMBER(F180),_xlfn.RANK.EQ(F180,$F$2:$F$1031),"")</f>
        <v/>
      </c>
      <c r="H180">
        <f>INDEX(Sheet1!AH:AH,MATCH(A180,Sheet1!A:A,0))</f>
        <v/>
      </c>
    </row>
    <row r="181">
      <c r="A181" t="n">
        <v>376</v>
      </c>
      <c r="B181">
        <f>Sheet1!C181+Sheet1!D181+Sheet1!E181+Sheet1!F181+Sheet1!J181+Sheet1!K181+Sheet1!L181+Sheet1!M181</f>
        <v/>
      </c>
      <c r="C181">
        <f>IF(ISNUMBER(B181),B181,"")</f>
        <v/>
      </c>
      <c r="D181">
        <f>IF(ISNUMBER(C181),_xlfn.RANK.EQ(C181,$C$2:$C$1031),"")</f>
        <v/>
      </c>
      <c r="E181">
        <f>Sheet1!C181+Sheet1!D181+Sheet1!E181+Sheet1!F181+Sheet1!J181+Sheet1!K181+Sheet1!L181+Sheet1!M181+Sheet1!Q181+Sheet1!R181+Sheet1!S181+Sheet1!T181</f>
        <v/>
      </c>
      <c r="F181">
        <f>IF(ISNUMBER(E181),E181,"")</f>
        <v/>
      </c>
      <c r="G181">
        <f>IF(ISNUMBER(F181),_xlfn.RANK.EQ(F181,$F$2:$F$1031),"")</f>
        <v/>
      </c>
      <c r="H181">
        <f>INDEX(Sheet1!AH:AH,MATCH(A181,Sheet1!A:A,0))</f>
        <v/>
      </c>
    </row>
    <row r="182">
      <c r="A182" t="n">
        <v>377</v>
      </c>
      <c r="B182">
        <f>Sheet1!C182+Sheet1!D182+Sheet1!E182+Sheet1!F182+Sheet1!J182+Sheet1!K182+Sheet1!L182+Sheet1!M182</f>
        <v/>
      </c>
      <c r="C182">
        <f>IF(ISNUMBER(B182),B182,"")</f>
        <v/>
      </c>
      <c r="D182">
        <f>IF(ISNUMBER(C182),_xlfn.RANK.EQ(C182,$C$2:$C$1031),"")</f>
        <v/>
      </c>
      <c r="E182">
        <f>Sheet1!C182+Sheet1!D182+Sheet1!E182+Sheet1!F182+Sheet1!J182+Sheet1!K182+Sheet1!L182+Sheet1!M182+Sheet1!Q182+Sheet1!R182+Sheet1!S182+Sheet1!T182</f>
        <v/>
      </c>
      <c r="F182">
        <f>IF(ISNUMBER(E182),E182,"")</f>
        <v/>
      </c>
      <c r="G182">
        <f>IF(ISNUMBER(F182),_xlfn.RANK.EQ(F182,$F$2:$F$1031),"")</f>
        <v/>
      </c>
      <c r="H182">
        <f>INDEX(Sheet1!AH:AH,MATCH(A182,Sheet1!A:A,0))</f>
        <v/>
      </c>
    </row>
    <row r="183">
      <c r="A183" t="n">
        <v>378</v>
      </c>
      <c r="B183">
        <f>Sheet1!C183+Sheet1!D183+Sheet1!E183+Sheet1!F183+Sheet1!J183+Sheet1!K183+Sheet1!L183+Sheet1!M183</f>
        <v/>
      </c>
      <c r="C183">
        <f>IF(ISNUMBER(B183),B183,"")</f>
        <v/>
      </c>
      <c r="D183">
        <f>IF(ISNUMBER(C183),_xlfn.RANK.EQ(C183,$C$2:$C$1031),"")</f>
        <v/>
      </c>
      <c r="E183">
        <f>Sheet1!C183+Sheet1!D183+Sheet1!E183+Sheet1!F183+Sheet1!J183+Sheet1!K183+Sheet1!L183+Sheet1!M183+Sheet1!Q183+Sheet1!R183+Sheet1!S183+Sheet1!T183</f>
        <v/>
      </c>
      <c r="F183">
        <f>IF(ISNUMBER(E183),E183,"")</f>
        <v/>
      </c>
      <c r="G183">
        <f>IF(ISNUMBER(F183),_xlfn.RANK.EQ(F183,$F$2:$F$1031),"")</f>
        <v/>
      </c>
      <c r="H183">
        <f>INDEX(Sheet1!AH:AH,MATCH(A183,Sheet1!A:A,0))</f>
        <v/>
      </c>
    </row>
    <row r="184">
      <c r="A184" t="n">
        <v>379</v>
      </c>
      <c r="B184">
        <f>Sheet1!C184+Sheet1!D184+Sheet1!E184+Sheet1!F184+Sheet1!J184+Sheet1!K184+Sheet1!L184+Sheet1!M184</f>
        <v/>
      </c>
      <c r="C184">
        <f>IF(ISNUMBER(B184),B184,"")</f>
        <v/>
      </c>
      <c r="D184">
        <f>IF(ISNUMBER(C184),_xlfn.RANK.EQ(C184,$C$2:$C$1031),"")</f>
        <v/>
      </c>
      <c r="E184">
        <f>Sheet1!C184+Sheet1!D184+Sheet1!E184+Sheet1!F184+Sheet1!J184+Sheet1!K184+Sheet1!L184+Sheet1!M184+Sheet1!Q184+Sheet1!R184+Sheet1!S184+Sheet1!T184</f>
        <v/>
      </c>
      <c r="F184">
        <f>IF(ISNUMBER(E184),E184,"")</f>
        <v/>
      </c>
      <c r="G184">
        <f>IF(ISNUMBER(F184),_xlfn.RANK.EQ(F184,$F$2:$F$1031),"")</f>
        <v/>
      </c>
      <c r="H184">
        <f>INDEX(Sheet1!AH:AH,MATCH(A184,Sheet1!A:A,0))</f>
        <v/>
      </c>
    </row>
    <row r="185">
      <c r="A185" t="n">
        <v>380</v>
      </c>
      <c r="B185">
        <f>Sheet1!C185+Sheet1!D185+Sheet1!E185+Sheet1!F185+Sheet1!J185+Sheet1!K185+Sheet1!L185+Sheet1!M185</f>
        <v/>
      </c>
      <c r="C185">
        <f>IF(ISNUMBER(B185),B185,"")</f>
        <v/>
      </c>
      <c r="D185">
        <f>IF(ISNUMBER(C185),_xlfn.RANK.EQ(C185,$C$2:$C$1031),"")</f>
        <v/>
      </c>
      <c r="E185">
        <f>Sheet1!C185+Sheet1!D185+Sheet1!E185+Sheet1!F185+Sheet1!J185+Sheet1!K185+Sheet1!L185+Sheet1!M185+Sheet1!Q185+Sheet1!R185+Sheet1!S185+Sheet1!T185</f>
        <v/>
      </c>
      <c r="F185">
        <f>IF(ISNUMBER(E185),E185,"")</f>
        <v/>
      </c>
      <c r="G185">
        <f>IF(ISNUMBER(F185),_xlfn.RANK.EQ(F185,$F$2:$F$1031),"")</f>
        <v/>
      </c>
      <c r="H185">
        <f>INDEX(Sheet1!AH:AH,MATCH(A185,Sheet1!A:A,0))</f>
        <v/>
      </c>
    </row>
    <row r="186">
      <c r="A186" t="n">
        <v>384</v>
      </c>
      <c r="B186">
        <f>Sheet1!C186+Sheet1!D186+Sheet1!E186+Sheet1!F186+Sheet1!J186+Sheet1!K186+Sheet1!L186+Sheet1!M186</f>
        <v/>
      </c>
      <c r="C186">
        <f>IF(ISNUMBER(B186),B186,"")</f>
        <v/>
      </c>
      <c r="D186">
        <f>IF(ISNUMBER(C186),_xlfn.RANK.EQ(C186,$C$2:$C$1031),"")</f>
        <v/>
      </c>
      <c r="E186">
        <f>Sheet1!C186+Sheet1!D186+Sheet1!E186+Sheet1!F186+Sheet1!J186+Sheet1!K186+Sheet1!L186+Sheet1!M186+Sheet1!Q186+Sheet1!R186+Sheet1!S186+Sheet1!T186</f>
        <v/>
      </c>
      <c r="F186">
        <f>IF(ISNUMBER(E186),E186,"")</f>
        <v/>
      </c>
      <c r="G186">
        <f>IF(ISNUMBER(F186),_xlfn.RANK.EQ(F186,$F$2:$F$1031),"")</f>
        <v/>
      </c>
      <c r="H186">
        <f>INDEX(Sheet1!AH:AH,MATCH(A186,Sheet1!A:A,0))</f>
        <v/>
      </c>
    </row>
    <row r="187">
      <c r="A187" t="n">
        <v>387</v>
      </c>
      <c r="B187">
        <f>Sheet1!C187+Sheet1!D187+Sheet1!E187+Sheet1!F187+Sheet1!J187+Sheet1!K187+Sheet1!L187+Sheet1!M187</f>
        <v/>
      </c>
      <c r="C187">
        <f>IF(ISNUMBER(B187),B187,"")</f>
        <v/>
      </c>
      <c r="D187">
        <f>IF(ISNUMBER(C187),_xlfn.RANK.EQ(C187,$C$2:$C$1031),"")</f>
        <v/>
      </c>
      <c r="E187">
        <f>Sheet1!C187+Sheet1!D187+Sheet1!E187+Sheet1!F187+Sheet1!J187+Sheet1!K187+Sheet1!L187+Sheet1!M187+Sheet1!Q187+Sheet1!R187+Sheet1!S187+Sheet1!T187</f>
        <v/>
      </c>
      <c r="F187">
        <f>IF(ISNUMBER(E187),E187,"")</f>
        <v/>
      </c>
      <c r="G187">
        <f>IF(ISNUMBER(F187),_xlfn.RANK.EQ(F187,$F$2:$F$1031),"")</f>
        <v/>
      </c>
      <c r="H187">
        <f>INDEX(Sheet1!AH:AH,MATCH(A187,Sheet1!A:A,0))</f>
        <v/>
      </c>
    </row>
    <row r="188">
      <c r="A188" t="n">
        <v>389</v>
      </c>
      <c r="B188">
        <f>Sheet1!C188+Sheet1!D188+Sheet1!E188+Sheet1!F188+Sheet1!J188+Sheet1!K188+Sheet1!L188+Sheet1!M188</f>
        <v/>
      </c>
      <c r="C188">
        <f>IF(ISNUMBER(B188),B188,"")</f>
        <v/>
      </c>
      <c r="D188">
        <f>IF(ISNUMBER(C188),_xlfn.RANK.EQ(C188,$C$2:$C$1031),"")</f>
        <v/>
      </c>
      <c r="E188">
        <f>Sheet1!C188+Sheet1!D188+Sheet1!E188+Sheet1!F188+Sheet1!J188+Sheet1!K188+Sheet1!L188+Sheet1!M188+Sheet1!Q188+Sheet1!R188+Sheet1!S188+Sheet1!T188</f>
        <v/>
      </c>
      <c r="F188">
        <f>IF(ISNUMBER(E188),E188,"")</f>
        <v/>
      </c>
      <c r="G188">
        <f>IF(ISNUMBER(F188),_xlfn.RANK.EQ(F188,$F$2:$F$1031),"")</f>
        <v/>
      </c>
      <c r="H188">
        <f>INDEX(Sheet1!AH:AH,MATCH(A188,Sheet1!A:A,0))</f>
        <v/>
      </c>
    </row>
    <row r="189">
      <c r="A189" t="n">
        <v>391</v>
      </c>
      <c r="B189">
        <f>Sheet1!C189+Sheet1!D189+Sheet1!E189+Sheet1!F189+Sheet1!J189+Sheet1!K189+Sheet1!L189+Sheet1!M189</f>
        <v/>
      </c>
      <c r="C189">
        <f>IF(ISNUMBER(B189),B189,"")</f>
        <v/>
      </c>
      <c r="D189">
        <f>IF(ISNUMBER(C189),_xlfn.RANK.EQ(C189,$C$2:$C$1031),"")</f>
        <v/>
      </c>
      <c r="E189">
        <f>Sheet1!C189+Sheet1!D189+Sheet1!E189+Sheet1!F189+Sheet1!J189+Sheet1!K189+Sheet1!L189+Sheet1!M189+Sheet1!Q189+Sheet1!R189+Sheet1!S189+Sheet1!T189</f>
        <v/>
      </c>
      <c r="F189">
        <f>IF(ISNUMBER(E189),E189,"")</f>
        <v/>
      </c>
      <c r="G189">
        <f>IF(ISNUMBER(F189),_xlfn.RANK.EQ(F189,$F$2:$F$1031),"")</f>
        <v/>
      </c>
      <c r="H189">
        <f>INDEX(Sheet1!AH:AH,MATCH(A189,Sheet1!A:A,0))</f>
        <v/>
      </c>
    </row>
    <row r="190">
      <c r="A190" t="n">
        <v>392</v>
      </c>
      <c r="B190">
        <f>Sheet1!C190+Sheet1!D190+Sheet1!E190+Sheet1!F190+Sheet1!J190+Sheet1!K190+Sheet1!L190+Sheet1!M190</f>
        <v/>
      </c>
      <c r="C190">
        <f>IF(ISNUMBER(B190),B190,"")</f>
        <v/>
      </c>
      <c r="D190">
        <f>IF(ISNUMBER(C190),_xlfn.RANK.EQ(C190,$C$2:$C$1031),"")</f>
        <v/>
      </c>
      <c r="E190">
        <f>Sheet1!C190+Sheet1!D190+Sheet1!E190+Sheet1!F190+Sheet1!J190+Sheet1!K190+Sheet1!L190+Sheet1!M190+Sheet1!Q190+Sheet1!R190+Sheet1!S190+Sheet1!T190</f>
        <v/>
      </c>
      <c r="F190">
        <f>IF(ISNUMBER(E190),E190,"")</f>
        <v/>
      </c>
      <c r="G190">
        <f>IF(ISNUMBER(F190),_xlfn.RANK.EQ(F190,$F$2:$F$1031),"")</f>
        <v/>
      </c>
      <c r="H190">
        <f>INDEX(Sheet1!AH:AH,MATCH(A190,Sheet1!A:A,0))</f>
        <v/>
      </c>
    </row>
    <row r="191">
      <c r="A191" t="n">
        <v>393</v>
      </c>
      <c r="B191">
        <f>Sheet1!C191+Sheet1!D191+Sheet1!E191+Sheet1!F191+Sheet1!J191+Sheet1!K191+Sheet1!L191+Sheet1!M191</f>
        <v/>
      </c>
      <c r="C191">
        <f>IF(ISNUMBER(B191),B191,"")</f>
        <v/>
      </c>
      <c r="D191">
        <f>IF(ISNUMBER(C191),_xlfn.RANK.EQ(C191,$C$2:$C$1031),"")</f>
        <v/>
      </c>
      <c r="E191">
        <f>Sheet1!C191+Sheet1!D191+Sheet1!E191+Sheet1!F191+Sheet1!J191+Sheet1!K191+Sheet1!L191+Sheet1!M191+Sheet1!Q191+Sheet1!R191+Sheet1!S191+Sheet1!T191</f>
        <v/>
      </c>
      <c r="F191">
        <f>IF(ISNUMBER(E191),E191,"")</f>
        <v/>
      </c>
      <c r="G191">
        <f>IF(ISNUMBER(F191),_xlfn.RANK.EQ(F191,$F$2:$F$1031),"")</f>
        <v/>
      </c>
      <c r="H191">
        <f>INDEX(Sheet1!AH:AH,MATCH(A191,Sheet1!A:A,0))</f>
        <v/>
      </c>
    </row>
    <row r="192">
      <c r="A192" t="n">
        <v>394</v>
      </c>
      <c r="B192">
        <f>Sheet1!C192+Sheet1!D192+Sheet1!E192+Sheet1!F192+Sheet1!J192+Sheet1!K192+Sheet1!L192+Sheet1!M192</f>
        <v/>
      </c>
      <c r="C192">
        <f>IF(ISNUMBER(B192),B192,"")</f>
        <v/>
      </c>
      <c r="D192">
        <f>IF(ISNUMBER(C192),_xlfn.RANK.EQ(C192,$C$2:$C$1031),"")</f>
        <v/>
      </c>
      <c r="E192">
        <f>Sheet1!C192+Sheet1!D192+Sheet1!E192+Sheet1!F192+Sheet1!J192+Sheet1!K192+Sheet1!L192+Sheet1!M192+Sheet1!Q192+Sheet1!R192+Sheet1!S192+Sheet1!T192</f>
        <v/>
      </c>
      <c r="F192">
        <f>IF(ISNUMBER(E192),E192,"")</f>
        <v/>
      </c>
      <c r="G192">
        <f>IF(ISNUMBER(F192),_xlfn.RANK.EQ(F192,$F$2:$F$1031),"")</f>
        <v/>
      </c>
      <c r="H192">
        <f>INDEX(Sheet1!AH:AH,MATCH(A192,Sheet1!A:A,0))</f>
        <v/>
      </c>
    </row>
    <row r="193">
      <c r="A193" t="n">
        <v>396</v>
      </c>
      <c r="B193">
        <f>Sheet1!C193+Sheet1!D193+Sheet1!E193+Sheet1!F193+Sheet1!J193+Sheet1!K193+Sheet1!L193+Sheet1!M193</f>
        <v/>
      </c>
      <c r="C193">
        <f>IF(ISNUMBER(B193),B193,"")</f>
        <v/>
      </c>
      <c r="D193">
        <f>IF(ISNUMBER(C193),_xlfn.RANK.EQ(C193,$C$2:$C$1031),"")</f>
        <v/>
      </c>
      <c r="E193">
        <f>Sheet1!C193+Sheet1!D193+Sheet1!E193+Sheet1!F193+Sheet1!J193+Sheet1!K193+Sheet1!L193+Sheet1!M193+Sheet1!Q193+Sheet1!R193+Sheet1!S193+Sheet1!T193</f>
        <v/>
      </c>
      <c r="F193">
        <f>IF(ISNUMBER(E193),E193,"")</f>
        <v/>
      </c>
      <c r="G193">
        <f>IF(ISNUMBER(F193),_xlfn.RANK.EQ(F193,$F$2:$F$1031),"")</f>
        <v/>
      </c>
      <c r="H193">
        <f>INDEX(Sheet1!AH:AH,MATCH(A193,Sheet1!A:A,0))</f>
        <v/>
      </c>
    </row>
    <row r="194">
      <c r="A194" t="n">
        <v>399</v>
      </c>
      <c r="B194">
        <f>Sheet1!C194+Sheet1!D194+Sheet1!E194+Sheet1!F194+Sheet1!J194+Sheet1!K194+Sheet1!L194+Sheet1!M194</f>
        <v/>
      </c>
      <c r="C194">
        <f>IF(ISNUMBER(B194),B194,"")</f>
        <v/>
      </c>
      <c r="D194">
        <f>IF(ISNUMBER(C194),_xlfn.RANK.EQ(C194,$C$2:$C$1031),"")</f>
        <v/>
      </c>
      <c r="E194">
        <f>Sheet1!C194+Sheet1!D194+Sheet1!E194+Sheet1!F194+Sheet1!J194+Sheet1!K194+Sheet1!L194+Sheet1!M194+Sheet1!Q194+Sheet1!R194+Sheet1!S194+Sheet1!T194</f>
        <v/>
      </c>
      <c r="F194">
        <f>IF(ISNUMBER(E194),E194,"")</f>
        <v/>
      </c>
      <c r="G194">
        <f>IF(ISNUMBER(F194),_xlfn.RANK.EQ(F194,$F$2:$F$1031),"")</f>
        <v/>
      </c>
      <c r="H194">
        <f>INDEX(Sheet1!AH:AH,MATCH(A194,Sheet1!A:A,0))</f>
        <v/>
      </c>
    </row>
    <row r="195">
      <c r="A195" t="n">
        <v>400</v>
      </c>
      <c r="B195">
        <f>Sheet1!C195+Sheet1!D195+Sheet1!E195+Sheet1!F195+Sheet1!J195+Sheet1!K195+Sheet1!L195+Sheet1!M195</f>
        <v/>
      </c>
      <c r="C195">
        <f>IF(ISNUMBER(B195),B195,"")</f>
        <v/>
      </c>
      <c r="D195">
        <f>IF(ISNUMBER(C195),_xlfn.RANK.EQ(C195,$C$2:$C$1031),"")</f>
        <v/>
      </c>
      <c r="E195">
        <f>Sheet1!C195+Sheet1!D195+Sheet1!E195+Sheet1!F195+Sheet1!J195+Sheet1!K195+Sheet1!L195+Sheet1!M195+Sheet1!Q195+Sheet1!R195+Sheet1!S195+Sheet1!T195</f>
        <v/>
      </c>
      <c r="F195">
        <f>IF(ISNUMBER(E195),E195,"")</f>
        <v/>
      </c>
      <c r="G195">
        <f>IF(ISNUMBER(F195),_xlfn.RANK.EQ(F195,$F$2:$F$1031),"")</f>
        <v/>
      </c>
      <c r="H195">
        <f>INDEX(Sheet1!AH:AH,MATCH(A195,Sheet1!A:A,0))</f>
        <v/>
      </c>
    </row>
    <row r="196">
      <c r="A196" t="n">
        <v>403</v>
      </c>
      <c r="B196">
        <f>Sheet1!C196+Sheet1!D196+Sheet1!E196+Sheet1!F196+Sheet1!J196+Sheet1!K196+Sheet1!L196+Sheet1!M196</f>
        <v/>
      </c>
      <c r="C196">
        <f>IF(ISNUMBER(B196),B196,"")</f>
        <v/>
      </c>
      <c r="D196">
        <f>IF(ISNUMBER(C196),_xlfn.RANK.EQ(C196,$C$2:$C$1031),"")</f>
        <v/>
      </c>
      <c r="E196">
        <f>Sheet1!C196+Sheet1!D196+Sheet1!E196+Sheet1!F196+Sheet1!J196+Sheet1!K196+Sheet1!L196+Sheet1!M196+Sheet1!Q196+Sheet1!R196+Sheet1!S196+Sheet1!T196</f>
        <v/>
      </c>
      <c r="F196">
        <f>IF(ISNUMBER(E196),E196,"")</f>
        <v/>
      </c>
      <c r="G196">
        <f>IF(ISNUMBER(F196),_xlfn.RANK.EQ(F196,$F$2:$F$1031),"")</f>
        <v/>
      </c>
      <c r="H196">
        <f>INDEX(Sheet1!AH:AH,MATCH(A196,Sheet1!A:A,0))</f>
        <v/>
      </c>
    </row>
    <row r="197">
      <c r="A197" t="n">
        <v>415</v>
      </c>
      <c r="B197">
        <f>Sheet1!C197+Sheet1!D197+Sheet1!E197+Sheet1!F197+Sheet1!J197+Sheet1!K197+Sheet1!L197+Sheet1!M197</f>
        <v/>
      </c>
      <c r="C197">
        <f>IF(ISNUMBER(B197),B197,"")</f>
        <v/>
      </c>
      <c r="D197">
        <f>IF(ISNUMBER(C197),_xlfn.RANK.EQ(C197,$C$2:$C$1031),"")</f>
        <v/>
      </c>
      <c r="E197">
        <f>Sheet1!C197+Sheet1!D197+Sheet1!E197+Sheet1!F197+Sheet1!J197+Sheet1!K197+Sheet1!L197+Sheet1!M197+Sheet1!Q197+Sheet1!R197+Sheet1!S197+Sheet1!T197</f>
        <v/>
      </c>
      <c r="F197">
        <f>IF(ISNUMBER(E197),E197,"")</f>
        <v/>
      </c>
      <c r="G197">
        <f>IF(ISNUMBER(F197),_xlfn.RANK.EQ(F197,$F$2:$F$1031),"")</f>
        <v/>
      </c>
      <c r="H197">
        <f>INDEX(Sheet1!AH:AH,MATCH(A197,Sheet1!A:A,0))</f>
        <v/>
      </c>
    </row>
    <row r="198">
      <c r="A198" t="n">
        <v>416</v>
      </c>
      <c r="B198">
        <f>Sheet1!C198+Sheet1!D198+Sheet1!E198+Sheet1!F198+Sheet1!J198+Sheet1!K198+Sheet1!L198+Sheet1!M198</f>
        <v/>
      </c>
      <c r="C198">
        <f>IF(ISNUMBER(B198),B198,"")</f>
        <v/>
      </c>
      <c r="D198">
        <f>IF(ISNUMBER(C198),_xlfn.RANK.EQ(C198,$C$2:$C$1031),"")</f>
        <v/>
      </c>
      <c r="E198">
        <f>Sheet1!C198+Sheet1!D198+Sheet1!E198+Sheet1!F198+Sheet1!J198+Sheet1!K198+Sheet1!L198+Sheet1!M198+Sheet1!Q198+Sheet1!R198+Sheet1!S198+Sheet1!T198</f>
        <v/>
      </c>
      <c r="F198">
        <f>IF(ISNUMBER(E198),E198,"")</f>
        <v/>
      </c>
      <c r="G198">
        <f>IF(ISNUMBER(F198),_xlfn.RANK.EQ(F198,$F$2:$F$1031),"")</f>
        <v/>
      </c>
      <c r="H198">
        <f>INDEX(Sheet1!AH:AH,MATCH(A198,Sheet1!A:A,0))</f>
        <v/>
      </c>
    </row>
    <row r="199">
      <c r="A199" t="n">
        <v>423</v>
      </c>
      <c r="B199">
        <f>Sheet1!C199+Sheet1!D199+Sheet1!E199+Sheet1!F199+Sheet1!J199+Sheet1!K199+Sheet1!L199+Sheet1!M199</f>
        <v/>
      </c>
      <c r="C199">
        <f>IF(ISNUMBER(B199),B199,"")</f>
        <v/>
      </c>
      <c r="D199">
        <f>IF(ISNUMBER(C199),_xlfn.RANK.EQ(C199,$C$2:$C$1031),"")</f>
        <v/>
      </c>
      <c r="E199">
        <f>Sheet1!C199+Sheet1!D199+Sheet1!E199+Sheet1!F199+Sheet1!J199+Sheet1!K199+Sheet1!L199+Sheet1!M199+Sheet1!Q199+Sheet1!R199+Sheet1!S199+Sheet1!T199</f>
        <v/>
      </c>
      <c r="F199">
        <f>IF(ISNUMBER(E199),E199,"")</f>
        <v/>
      </c>
      <c r="G199">
        <f>IF(ISNUMBER(F199),_xlfn.RANK.EQ(F199,$F$2:$F$1031),"")</f>
        <v/>
      </c>
      <c r="H199">
        <f>INDEX(Sheet1!AH:AH,MATCH(A199,Sheet1!A:A,0))</f>
        <v/>
      </c>
    </row>
    <row r="200">
      <c r="A200" t="n">
        <v>424</v>
      </c>
      <c r="B200">
        <f>Sheet1!C200+Sheet1!D200+Sheet1!E200+Sheet1!F200+Sheet1!J200+Sheet1!K200+Sheet1!L200+Sheet1!M200</f>
        <v/>
      </c>
      <c r="C200">
        <f>IF(ISNUMBER(B200),B200,"")</f>
        <v/>
      </c>
      <c r="D200">
        <f>IF(ISNUMBER(C200),_xlfn.RANK.EQ(C200,$C$2:$C$1031),"")</f>
        <v/>
      </c>
      <c r="E200">
        <f>Sheet1!C200+Sheet1!D200+Sheet1!E200+Sheet1!F200+Sheet1!J200+Sheet1!K200+Sheet1!L200+Sheet1!M200+Sheet1!Q200+Sheet1!R200+Sheet1!S200+Sheet1!T200</f>
        <v/>
      </c>
      <c r="F200">
        <f>IF(ISNUMBER(E200),E200,"")</f>
        <v/>
      </c>
      <c r="G200">
        <f>IF(ISNUMBER(F200),_xlfn.RANK.EQ(F200,$F$2:$F$1031),"")</f>
        <v/>
      </c>
      <c r="H200">
        <f>INDEX(Sheet1!AH:AH,MATCH(A200,Sheet1!A:A,0))</f>
        <v/>
      </c>
    </row>
    <row r="201">
      <c r="A201" t="n">
        <v>425</v>
      </c>
      <c r="B201">
        <f>Sheet1!C201+Sheet1!D201+Sheet1!E201+Sheet1!F201+Sheet1!J201+Sheet1!K201+Sheet1!L201+Sheet1!M201</f>
        <v/>
      </c>
      <c r="C201">
        <f>IF(ISNUMBER(B201),B201,"")</f>
        <v/>
      </c>
      <c r="D201">
        <f>IF(ISNUMBER(C201),_xlfn.RANK.EQ(C201,$C$2:$C$1031),"")</f>
        <v/>
      </c>
      <c r="E201">
        <f>Sheet1!C201+Sheet1!D201+Sheet1!E201+Sheet1!F201+Sheet1!J201+Sheet1!K201+Sheet1!L201+Sheet1!M201+Sheet1!Q201+Sheet1!R201+Sheet1!S201+Sheet1!T201</f>
        <v/>
      </c>
      <c r="F201">
        <f>IF(ISNUMBER(E201),E201,"")</f>
        <v/>
      </c>
      <c r="G201">
        <f>IF(ISNUMBER(F201),_xlfn.RANK.EQ(F201,$F$2:$F$1031),"")</f>
        <v/>
      </c>
      <c r="H201">
        <f>INDEX(Sheet1!AH:AH,MATCH(A201,Sheet1!A:A,0))</f>
        <v/>
      </c>
    </row>
    <row r="202">
      <c r="A202" t="n">
        <v>426</v>
      </c>
      <c r="B202">
        <f>Sheet1!C202+Sheet1!D202+Sheet1!E202+Sheet1!F202+Sheet1!J202+Sheet1!K202+Sheet1!L202+Sheet1!M202</f>
        <v/>
      </c>
      <c r="C202">
        <f>IF(ISNUMBER(B202),B202,"")</f>
        <v/>
      </c>
      <c r="D202">
        <f>IF(ISNUMBER(C202),_xlfn.RANK.EQ(C202,$C$2:$C$1031),"")</f>
        <v/>
      </c>
      <c r="E202">
        <f>Sheet1!C202+Sheet1!D202+Sheet1!E202+Sheet1!F202+Sheet1!J202+Sheet1!K202+Sheet1!L202+Sheet1!M202+Sheet1!Q202+Sheet1!R202+Sheet1!S202+Sheet1!T202</f>
        <v/>
      </c>
      <c r="F202">
        <f>IF(ISNUMBER(E202),E202,"")</f>
        <v/>
      </c>
      <c r="G202">
        <f>IF(ISNUMBER(F202),_xlfn.RANK.EQ(F202,$F$2:$F$1031),"")</f>
        <v/>
      </c>
      <c r="H202">
        <f>INDEX(Sheet1!AH:AH,MATCH(A202,Sheet1!A:A,0))</f>
        <v/>
      </c>
    </row>
    <row r="203">
      <c r="A203" t="n">
        <v>428</v>
      </c>
      <c r="B203">
        <f>Sheet1!C203+Sheet1!D203+Sheet1!E203+Sheet1!F203+Sheet1!J203+Sheet1!K203+Sheet1!L203+Sheet1!M203</f>
        <v/>
      </c>
      <c r="C203">
        <f>IF(ISNUMBER(B203),B203,"")</f>
        <v/>
      </c>
      <c r="D203">
        <f>IF(ISNUMBER(C203),_xlfn.RANK.EQ(C203,$C$2:$C$1031),"")</f>
        <v/>
      </c>
      <c r="E203">
        <f>Sheet1!C203+Sheet1!D203+Sheet1!E203+Sheet1!F203+Sheet1!J203+Sheet1!K203+Sheet1!L203+Sheet1!M203+Sheet1!Q203+Sheet1!R203+Sheet1!S203+Sheet1!T203</f>
        <v/>
      </c>
      <c r="F203">
        <f>IF(ISNUMBER(E203),E203,"")</f>
        <v/>
      </c>
      <c r="G203">
        <f>IF(ISNUMBER(F203),_xlfn.RANK.EQ(F203,$F$2:$F$1031),"")</f>
        <v/>
      </c>
      <c r="H203">
        <f>INDEX(Sheet1!AH:AH,MATCH(A203,Sheet1!A:A,0))</f>
        <v/>
      </c>
    </row>
    <row r="204">
      <c r="A204" t="n">
        <v>429</v>
      </c>
      <c r="B204">
        <f>Sheet1!C204+Sheet1!D204+Sheet1!E204+Sheet1!F204+Sheet1!J204+Sheet1!K204+Sheet1!L204+Sheet1!M204</f>
        <v/>
      </c>
      <c r="C204">
        <f>IF(ISNUMBER(B204),B204,"")</f>
        <v/>
      </c>
      <c r="D204">
        <f>IF(ISNUMBER(C204),_xlfn.RANK.EQ(C204,$C$2:$C$1031),"")</f>
        <v/>
      </c>
      <c r="E204">
        <f>Sheet1!C204+Sheet1!D204+Sheet1!E204+Sheet1!F204+Sheet1!J204+Sheet1!K204+Sheet1!L204+Sheet1!M204+Sheet1!Q204+Sheet1!R204+Sheet1!S204+Sheet1!T204</f>
        <v/>
      </c>
      <c r="F204">
        <f>IF(ISNUMBER(E204),E204,"")</f>
        <v/>
      </c>
      <c r="G204">
        <f>IF(ISNUMBER(F204),_xlfn.RANK.EQ(F204,$F$2:$F$1031),"")</f>
        <v/>
      </c>
      <c r="H204">
        <f>INDEX(Sheet1!AH:AH,MATCH(A204,Sheet1!A:A,0))</f>
        <v/>
      </c>
    </row>
    <row r="205">
      <c r="A205" t="n">
        <v>430</v>
      </c>
      <c r="B205">
        <f>Sheet1!C205+Sheet1!D205+Sheet1!E205+Sheet1!F205+Sheet1!J205+Sheet1!K205+Sheet1!L205+Sheet1!M205</f>
        <v/>
      </c>
      <c r="C205">
        <f>IF(ISNUMBER(B205),B205,"")</f>
        <v/>
      </c>
      <c r="D205">
        <f>IF(ISNUMBER(C205),_xlfn.RANK.EQ(C205,$C$2:$C$1031),"")</f>
        <v/>
      </c>
      <c r="E205">
        <f>Sheet1!C205+Sheet1!D205+Sheet1!E205+Sheet1!F205+Sheet1!J205+Sheet1!K205+Sheet1!L205+Sheet1!M205+Sheet1!Q205+Sheet1!R205+Sheet1!S205+Sheet1!T205</f>
        <v/>
      </c>
      <c r="F205">
        <f>IF(ISNUMBER(E205),E205,"")</f>
        <v/>
      </c>
      <c r="G205">
        <f>IF(ISNUMBER(F205),_xlfn.RANK.EQ(F205,$F$2:$F$1031),"")</f>
        <v/>
      </c>
      <c r="H205">
        <f>INDEX(Sheet1!AH:AH,MATCH(A205,Sheet1!A:A,0))</f>
        <v/>
      </c>
    </row>
    <row r="206">
      <c r="A206" t="n">
        <v>431</v>
      </c>
      <c r="B206">
        <f>Sheet1!C206+Sheet1!D206+Sheet1!E206+Sheet1!F206+Sheet1!J206+Sheet1!K206+Sheet1!L206+Sheet1!M206</f>
        <v/>
      </c>
      <c r="C206">
        <f>IF(ISNUMBER(B206),B206,"")</f>
        <v/>
      </c>
      <c r="D206">
        <f>IF(ISNUMBER(C206),_xlfn.RANK.EQ(C206,$C$2:$C$1031),"")</f>
        <v/>
      </c>
      <c r="E206">
        <f>Sheet1!C206+Sheet1!D206+Sheet1!E206+Sheet1!F206+Sheet1!J206+Sheet1!K206+Sheet1!L206+Sheet1!M206+Sheet1!Q206+Sheet1!R206+Sheet1!S206+Sheet1!T206</f>
        <v/>
      </c>
      <c r="F206">
        <f>IF(ISNUMBER(E206),E206,"")</f>
        <v/>
      </c>
      <c r="G206">
        <f>IF(ISNUMBER(F206),_xlfn.RANK.EQ(F206,$F$2:$F$1031),"")</f>
        <v/>
      </c>
      <c r="H206">
        <f>INDEX(Sheet1!AH:AH,MATCH(A206,Sheet1!A:A,0))</f>
        <v/>
      </c>
    </row>
    <row r="207">
      <c r="A207" t="n">
        <v>432</v>
      </c>
      <c r="B207">
        <f>Sheet1!C207+Sheet1!D207+Sheet1!E207+Sheet1!F207+Sheet1!J207+Sheet1!K207+Sheet1!L207+Sheet1!M207</f>
        <v/>
      </c>
      <c r="C207">
        <f>IF(ISNUMBER(B207),B207,"")</f>
        <v/>
      </c>
      <c r="D207">
        <f>IF(ISNUMBER(C207),_xlfn.RANK.EQ(C207,$C$2:$C$1031),"")</f>
        <v/>
      </c>
      <c r="E207">
        <f>Sheet1!C207+Sheet1!D207+Sheet1!E207+Sheet1!F207+Sheet1!J207+Sheet1!K207+Sheet1!L207+Sheet1!M207+Sheet1!Q207+Sheet1!R207+Sheet1!S207+Sheet1!T207</f>
        <v/>
      </c>
      <c r="F207">
        <f>IF(ISNUMBER(E207),E207,"")</f>
        <v/>
      </c>
      <c r="G207">
        <f>IF(ISNUMBER(F207),_xlfn.RANK.EQ(F207,$F$2:$F$1031),"")</f>
        <v/>
      </c>
      <c r="H207">
        <f>INDEX(Sheet1!AH:AH,MATCH(A207,Sheet1!A:A,0))</f>
        <v/>
      </c>
    </row>
    <row r="208">
      <c r="A208" t="n">
        <v>433</v>
      </c>
      <c r="B208">
        <f>Sheet1!C208+Sheet1!D208+Sheet1!E208+Sheet1!F208+Sheet1!J208+Sheet1!K208+Sheet1!L208+Sheet1!M208</f>
        <v/>
      </c>
      <c r="C208">
        <f>IF(ISNUMBER(B208),B208,"")</f>
        <v/>
      </c>
      <c r="D208">
        <f>IF(ISNUMBER(C208),_xlfn.RANK.EQ(C208,$C$2:$C$1031),"")</f>
        <v/>
      </c>
      <c r="E208">
        <f>Sheet1!C208+Sheet1!D208+Sheet1!E208+Sheet1!F208+Sheet1!J208+Sheet1!K208+Sheet1!L208+Sheet1!M208+Sheet1!Q208+Sheet1!R208+Sheet1!S208+Sheet1!T208</f>
        <v/>
      </c>
      <c r="F208">
        <f>IF(ISNUMBER(E208),E208,"")</f>
        <v/>
      </c>
      <c r="G208">
        <f>IF(ISNUMBER(F208),_xlfn.RANK.EQ(F208,$F$2:$F$1031),"")</f>
        <v/>
      </c>
      <c r="H208">
        <f>INDEX(Sheet1!AH:AH,MATCH(A208,Sheet1!A:A,0))</f>
        <v/>
      </c>
    </row>
    <row r="209">
      <c r="A209" t="n">
        <v>434</v>
      </c>
      <c r="B209">
        <f>Sheet1!C209+Sheet1!D209+Sheet1!E209+Sheet1!F209+Sheet1!J209+Sheet1!K209+Sheet1!L209+Sheet1!M209</f>
        <v/>
      </c>
      <c r="C209">
        <f>IF(ISNUMBER(B209),B209,"")</f>
        <v/>
      </c>
      <c r="D209">
        <f>IF(ISNUMBER(C209),_xlfn.RANK.EQ(C209,$C$2:$C$1031),"")</f>
        <v/>
      </c>
      <c r="E209">
        <f>Sheet1!C209+Sheet1!D209+Sheet1!E209+Sheet1!F209+Sheet1!J209+Sheet1!K209+Sheet1!L209+Sheet1!M209+Sheet1!Q209+Sheet1!R209+Sheet1!S209+Sheet1!T209</f>
        <v/>
      </c>
      <c r="F209">
        <f>IF(ISNUMBER(E209),E209,"")</f>
        <v/>
      </c>
      <c r="G209">
        <f>IF(ISNUMBER(F209),_xlfn.RANK.EQ(F209,$F$2:$F$1031),"")</f>
        <v/>
      </c>
      <c r="H209">
        <f>INDEX(Sheet1!AH:AH,MATCH(A209,Sheet1!A:A,0))</f>
        <v/>
      </c>
    </row>
    <row r="210">
      <c r="A210" t="n">
        <v>435</v>
      </c>
      <c r="B210">
        <f>Sheet1!C210+Sheet1!D210+Sheet1!E210+Sheet1!F210+Sheet1!J210+Sheet1!K210+Sheet1!L210+Sheet1!M210</f>
        <v/>
      </c>
      <c r="C210">
        <f>IF(ISNUMBER(B210),B210,"")</f>
        <v/>
      </c>
      <c r="D210">
        <f>IF(ISNUMBER(C210),_xlfn.RANK.EQ(C210,$C$2:$C$1031),"")</f>
        <v/>
      </c>
      <c r="E210">
        <f>Sheet1!C210+Sheet1!D210+Sheet1!E210+Sheet1!F210+Sheet1!J210+Sheet1!K210+Sheet1!L210+Sheet1!M210+Sheet1!Q210+Sheet1!R210+Sheet1!S210+Sheet1!T210</f>
        <v/>
      </c>
      <c r="F210">
        <f>IF(ISNUMBER(E210),E210,"")</f>
        <v/>
      </c>
      <c r="G210">
        <f>IF(ISNUMBER(F210),_xlfn.RANK.EQ(F210,$F$2:$F$1031),"")</f>
        <v/>
      </c>
      <c r="H210">
        <f>INDEX(Sheet1!AH:AH,MATCH(A210,Sheet1!A:A,0))</f>
        <v/>
      </c>
    </row>
    <row r="211">
      <c r="A211" t="n">
        <v>436</v>
      </c>
      <c r="B211">
        <f>Sheet1!C211+Sheet1!D211+Sheet1!E211+Sheet1!F211+Sheet1!J211+Sheet1!K211+Sheet1!L211+Sheet1!M211</f>
        <v/>
      </c>
      <c r="C211">
        <f>IF(ISNUMBER(B211),B211,"")</f>
        <v/>
      </c>
      <c r="D211">
        <f>IF(ISNUMBER(C211),_xlfn.RANK.EQ(C211,$C$2:$C$1031),"")</f>
        <v/>
      </c>
      <c r="E211">
        <f>Sheet1!C211+Sheet1!D211+Sheet1!E211+Sheet1!F211+Sheet1!J211+Sheet1!K211+Sheet1!L211+Sheet1!M211+Sheet1!Q211+Sheet1!R211+Sheet1!S211+Sheet1!T211</f>
        <v/>
      </c>
      <c r="F211">
        <f>IF(ISNUMBER(E211),E211,"")</f>
        <v/>
      </c>
      <c r="G211">
        <f>IF(ISNUMBER(F211),_xlfn.RANK.EQ(F211,$F$2:$F$1031),"")</f>
        <v/>
      </c>
      <c r="H211">
        <f>INDEX(Sheet1!AH:AH,MATCH(A211,Sheet1!A:A,0))</f>
        <v/>
      </c>
    </row>
    <row r="212">
      <c r="A212" t="n">
        <v>437</v>
      </c>
      <c r="B212">
        <f>Sheet1!C212+Sheet1!D212+Sheet1!E212+Sheet1!F212+Sheet1!J212+Sheet1!K212+Sheet1!L212+Sheet1!M212</f>
        <v/>
      </c>
      <c r="C212">
        <f>IF(ISNUMBER(B212),B212,"")</f>
        <v/>
      </c>
      <c r="D212">
        <f>IF(ISNUMBER(C212),_xlfn.RANK.EQ(C212,$C$2:$C$1031),"")</f>
        <v/>
      </c>
      <c r="E212">
        <f>Sheet1!C212+Sheet1!D212+Sheet1!E212+Sheet1!F212+Sheet1!J212+Sheet1!K212+Sheet1!L212+Sheet1!M212+Sheet1!Q212+Sheet1!R212+Sheet1!S212+Sheet1!T212</f>
        <v/>
      </c>
      <c r="F212">
        <f>IF(ISNUMBER(E212),E212,"")</f>
        <v/>
      </c>
      <c r="G212">
        <f>IF(ISNUMBER(F212),_xlfn.RANK.EQ(F212,$F$2:$F$1031),"")</f>
        <v/>
      </c>
      <c r="H212">
        <f>INDEX(Sheet1!AH:AH,MATCH(A212,Sheet1!A:A,0))</f>
        <v/>
      </c>
    </row>
    <row r="213">
      <c r="A213" t="n">
        <v>438</v>
      </c>
      <c r="B213">
        <f>Sheet1!C213+Sheet1!D213+Sheet1!E213+Sheet1!F213+Sheet1!J213+Sheet1!K213+Sheet1!L213+Sheet1!M213</f>
        <v/>
      </c>
      <c r="C213">
        <f>IF(ISNUMBER(B213),B213,"")</f>
        <v/>
      </c>
      <c r="D213">
        <f>IF(ISNUMBER(C213),_xlfn.RANK.EQ(C213,$C$2:$C$1031),"")</f>
        <v/>
      </c>
      <c r="E213">
        <f>Sheet1!C213+Sheet1!D213+Sheet1!E213+Sheet1!F213+Sheet1!J213+Sheet1!K213+Sheet1!L213+Sheet1!M213+Sheet1!Q213+Sheet1!R213+Sheet1!S213+Sheet1!T213</f>
        <v/>
      </c>
      <c r="F213">
        <f>IF(ISNUMBER(E213),E213,"")</f>
        <v/>
      </c>
      <c r="G213">
        <f>IF(ISNUMBER(F213),_xlfn.RANK.EQ(F213,$F$2:$F$1031),"")</f>
        <v/>
      </c>
      <c r="H213">
        <f>INDEX(Sheet1!AH:AH,MATCH(A213,Sheet1!A:A,0))</f>
        <v/>
      </c>
    </row>
    <row r="214">
      <c r="A214" t="n">
        <v>439</v>
      </c>
      <c r="B214">
        <f>Sheet1!C214+Sheet1!D214+Sheet1!E214+Sheet1!F214+Sheet1!J214+Sheet1!K214+Sheet1!L214+Sheet1!M214</f>
        <v/>
      </c>
      <c r="C214">
        <f>IF(ISNUMBER(B214),B214,"")</f>
        <v/>
      </c>
      <c r="D214">
        <f>IF(ISNUMBER(C214),_xlfn.RANK.EQ(C214,$C$2:$C$1031),"")</f>
        <v/>
      </c>
      <c r="E214">
        <f>Sheet1!C214+Sheet1!D214+Sheet1!E214+Sheet1!F214+Sheet1!J214+Sheet1!K214+Sheet1!L214+Sheet1!M214+Sheet1!Q214+Sheet1!R214+Sheet1!S214+Sheet1!T214</f>
        <v/>
      </c>
      <c r="F214">
        <f>IF(ISNUMBER(E214),E214,"")</f>
        <v/>
      </c>
      <c r="G214">
        <f>IF(ISNUMBER(F214),_xlfn.RANK.EQ(F214,$F$2:$F$1031),"")</f>
        <v/>
      </c>
      <c r="H214">
        <f>INDEX(Sheet1!AH:AH,MATCH(A214,Sheet1!A:A,0))</f>
        <v/>
      </c>
    </row>
    <row r="215">
      <c r="A215" t="n">
        <v>448</v>
      </c>
      <c r="B215">
        <f>Sheet1!C215+Sheet1!D215+Sheet1!E215+Sheet1!F215+Sheet1!J215+Sheet1!K215+Sheet1!L215+Sheet1!M215</f>
        <v/>
      </c>
      <c r="C215">
        <f>IF(ISNUMBER(B215),B215,"")</f>
        <v/>
      </c>
      <c r="D215">
        <f>IF(ISNUMBER(C215),_xlfn.RANK.EQ(C215,$C$2:$C$1031),"")</f>
        <v/>
      </c>
      <c r="E215">
        <f>Sheet1!C215+Sheet1!D215+Sheet1!E215+Sheet1!F215+Sheet1!J215+Sheet1!K215+Sheet1!L215+Sheet1!M215+Sheet1!Q215+Sheet1!R215+Sheet1!S215+Sheet1!T215</f>
        <v/>
      </c>
      <c r="F215">
        <f>IF(ISNUMBER(E215),E215,"")</f>
        <v/>
      </c>
      <c r="G215">
        <f>IF(ISNUMBER(F215),_xlfn.RANK.EQ(F215,$F$2:$F$1031),"")</f>
        <v/>
      </c>
      <c r="H215">
        <f>INDEX(Sheet1!AH:AH,MATCH(A215,Sheet1!A:A,0))</f>
        <v/>
      </c>
    </row>
    <row r="216">
      <c r="A216" t="n">
        <v>450</v>
      </c>
      <c r="B216">
        <f>Sheet1!C216+Sheet1!D216+Sheet1!E216+Sheet1!F216+Sheet1!J216+Sheet1!K216+Sheet1!L216+Sheet1!M216</f>
        <v/>
      </c>
      <c r="C216">
        <f>IF(ISNUMBER(B216),B216,"")</f>
        <v/>
      </c>
      <c r="D216">
        <f>IF(ISNUMBER(C216),_xlfn.RANK.EQ(C216,$C$2:$C$1031),"")</f>
        <v/>
      </c>
      <c r="E216">
        <f>Sheet1!C216+Sheet1!D216+Sheet1!E216+Sheet1!F216+Sheet1!J216+Sheet1!K216+Sheet1!L216+Sheet1!M216+Sheet1!Q216+Sheet1!R216+Sheet1!S216+Sheet1!T216</f>
        <v/>
      </c>
      <c r="F216">
        <f>IF(ISNUMBER(E216),E216,"")</f>
        <v/>
      </c>
      <c r="G216">
        <f>IF(ISNUMBER(F216),_xlfn.RANK.EQ(F216,$F$2:$F$1031),"")</f>
        <v/>
      </c>
      <c r="H216">
        <f>INDEX(Sheet1!AH:AH,MATCH(A216,Sheet1!A:A,0))</f>
        <v/>
      </c>
    </row>
    <row r="217">
      <c r="A217" t="n">
        <v>459</v>
      </c>
      <c r="B217">
        <f>Sheet1!C217+Sheet1!D217+Sheet1!E217+Sheet1!F217+Sheet1!J217+Sheet1!K217+Sheet1!L217+Sheet1!M217</f>
        <v/>
      </c>
      <c r="C217">
        <f>IF(ISNUMBER(B217),B217,"")</f>
        <v/>
      </c>
      <c r="D217">
        <f>IF(ISNUMBER(C217),_xlfn.RANK.EQ(C217,$C$2:$C$1031),"")</f>
        <v/>
      </c>
      <c r="E217">
        <f>Sheet1!C217+Sheet1!D217+Sheet1!E217+Sheet1!F217+Sheet1!J217+Sheet1!K217+Sheet1!L217+Sheet1!M217+Sheet1!Q217+Sheet1!R217+Sheet1!S217+Sheet1!T217</f>
        <v/>
      </c>
      <c r="F217">
        <f>IF(ISNUMBER(E217),E217,"")</f>
        <v/>
      </c>
      <c r="G217">
        <f>IF(ISNUMBER(F217),_xlfn.RANK.EQ(F217,$F$2:$F$1031),"")</f>
        <v/>
      </c>
      <c r="H217">
        <f>INDEX(Sheet1!AH:AH,MATCH(A217,Sheet1!A:A,0))</f>
        <v/>
      </c>
    </row>
    <row r="218">
      <c r="A218" t="n">
        <v>460</v>
      </c>
      <c r="B218">
        <f>Sheet1!C218+Sheet1!D218+Sheet1!E218+Sheet1!F218+Sheet1!J218+Sheet1!K218+Sheet1!L218+Sheet1!M218</f>
        <v/>
      </c>
      <c r="C218">
        <f>IF(ISNUMBER(B218),B218,"")</f>
        <v/>
      </c>
      <c r="D218">
        <f>IF(ISNUMBER(C218),_xlfn.RANK.EQ(C218,$C$2:$C$1031),"")</f>
        <v/>
      </c>
      <c r="E218">
        <f>Sheet1!C218+Sheet1!D218+Sheet1!E218+Sheet1!F218+Sheet1!J218+Sheet1!K218+Sheet1!L218+Sheet1!M218+Sheet1!Q218+Sheet1!R218+Sheet1!S218+Sheet1!T218</f>
        <v/>
      </c>
      <c r="F218">
        <f>IF(ISNUMBER(E218),E218,"")</f>
        <v/>
      </c>
      <c r="G218">
        <f>IF(ISNUMBER(F218),_xlfn.RANK.EQ(F218,$F$2:$F$1031),"")</f>
        <v/>
      </c>
      <c r="H218">
        <f>INDEX(Sheet1!AH:AH,MATCH(A218,Sheet1!A:A,0))</f>
        <v/>
      </c>
    </row>
    <row r="219">
      <c r="A219" t="n">
        <v>475</v>
      </c>
      <c r="B219">
        <f>Sheet1!C219+Sheet1!D219+Sheet1!E219+Sheet1!F219+Sheet1!J219+Sheet1!K219+Sheet1!L219+Sheet1!M219</f>
        <v/>
      </c>
      <c r="C219">
        <f>IF(ISNUMBER(B219),B219,"")</f>
        <v/>
      </c>
      <c r="D219">
        <f>IF(ISNUMBER(C219),_xlfn.RANK.EQ(C219,$C$2:$C$1031),"")</f>
        <v/>
      </c>
      <c r="E219">
        <f>Sheet1!C219+Sheet1!D219+Sheet1!E219+Sheet1!F219+Sheet1!J219+Sheet1!K219+Sheet1!L219+Sheet1!M219+Sheet1!Q219+Sheet1!R219+Sheet1!S219+Sheet1!T219</f>
        <v/>
      </c>
      <c r="F219">
        <f>IF(ISNUMBER(E219),E219,"")</f>
        <v/>
      </c>
      <c r="G219">
        <f>IF(ISNUMBER(F219),_xlfn.RANK.EQ(F219,$F$2:$F$1031),"")</f>
        <v/>
      </c>
      <c r="H219">
        <f>INDEX(Sheet1!AH:AH,MATCH(A219,Sheet1!A:A,0))</f>
        <v/>
      </c>
    </row>
    <row r="220">
      <c r="A220" t="n">
        <v>476</v>
      </c>
      <c r="B220">
        <f>Sheet1!C220+Sheet1!D220+Sheet1!E220+Sheet1!F220+Sheet1!J220+Sheet1!K220+Sheet1!L220+Sheet1!M220</f>
        <v/>
      </c>
      <c r="C220">
        <f>IF(ISNUMBER(B220),B220,"")</f>
        <v/>
      </c>
      <c r="D220">
        <f>IF(ISNUMBER(C220),_xlfn.RANK.EQ(C220,$C$2:$C$1031),"")</f>
        <v/>
      </c>
      <c r="E220">
        <f>Sheet1!C220+Sheet1!D220+Sheet1!E220+Sheet1!F220+Sheet1!J220+Sheet1!K220+Sheet1!L220+Sheet1!M220+Sheet1!Q220+Sheet1!R220+Sheet1!S220+Sheet1!T220</f>
        <v/>
      </c>
      <c r="F220">
        <f>IF(ISNUMBER(E220),E220,"")</f>
        <v/>
      </c>
      <c r="G220">
        <f>IF(ISNUMBER(F220),_xlfn.RANK.EQ(F220,$F$2:$F$1031),"")</f>
        <v/>
      </c>
      <c r="H220">
        <f>INDEX(Sheet1!AH:AH,MATCH(A220,Sheet1!A:A,0))</f>
        <v/>
      </c>
    </row>
    <row r="221">
      <c r="A221" t="n">
        <v>477</v>
      </c>
      <c r="B221">
        <f>Sheet1!C221+Sheet1!D221+Sheet1!E221+Sheet1!F221+Sheet1!J221+Sheet1!K221+Sheet1!L221+Sheet1!M221</f>
        <v/>
      </c>
      <c r="C221">
        <f>IF(ISNUMBER(B221),B221,"")</f>
        <v/>
      </c>
      <c r="D221">
        <f>IF(ISNUMBER(C221),_xlfn.RANK.EQ(C221,$C$2:$C$1031),"")</f>
        <v/>
      </c>
      <c r="E221">
        <f>Sheet1!C221+Sheet1!D221+Sheet1!E221+Sheet1!F221+Sheet1!J221+Sheet1!K221+Sheet1!L221+Sheet1!M221+Sheet1!Q221+Sheet1!R221+Sheet1!S221+Sheet1!T221</f>
        <v/>
      </c>
      <c r="F221">
        <f>IF(ISNUMBER(E221),E221,"")</f>
        <v/>
      </c>
      <c r="G221">
        <f>IF(ISNUMBER(F221),_xlfn.RANK.EQ(F221,$F$2:$F$1031),"")</f>
        <v/>
      </c>
      <c r="H221">
        <f>INDEX(Sheet1!AH:AH,MATCH(A221,Sheet1!A:A,0))</f>
        <v/>
      </c>
    </row>
    <row r="222">
      <c r="A222" t="n">
        <v>479</v>
      </c>
      <c r="B222">
        <f>Sheet1!C222+Sheet1!D222+Sheet1!E222+Sheet1!F222+Sheet1!J222+Sheet1!K222+Sheet1!L222+Sheet1!M222</f>
        <v/>
      </c>
      <c r="C222">
        <f>IF(ISNUMBER(B222),B222,"")</f>
        <v/>
      </c>
      <c r="D222">
        <f>IF(ISNUMBER(C222),_xlfn.RANK.EQ(C222,$C$2:$C$1031),"")</f>
        <v/>
      </c>
      <c r="E222">
        <f>Sheet1!C222+Sheet1!D222+Sheet1!E222+Sheet1!F222+Sheet1!J222+Sheet1!K222+Sheet1!L222+Sheet1!M222+Sheet1!Q222+Sheet1!R222+Sheet1!S222+Sheet1!T222</f>
        <v/>
      </c>
      <c r="F222">
        <f>IF(ISNUMBER(E222),E222,"")</f>
        <v/>
      </c>
      <c r="G222">
        <f>IF(ISNUMBER(F222),_xlfn.RANK.EQ(F222,$F$2:$F$1031),"")</f>
        <v/>
      </c>
      <c r="H222">
        <f>INDEX(Sheet1!AH:AH,MATCH(A222,Sheet1!A:A,0))</f>
        <v/>
      </c>
    </row>
    <row r="223">
      <c r="A223" t="n">
        <v>481</v>
      </c>
      <c r="B223">
        <f>Sheet1!C223+Sheet1!D223+Sheet1!E223+Sheet1!F223+Sheet1!J223+Sheet1!K223+Sheet1!L223+Sheet1!M223</f>
        <v/>
      </c>
      <c r="C223">
        <f>IF(ISNUMBER(B223),B223,"")</f>
        <v/>
      </c>
      <c r="D223">
        <f>IF(ISNUMBER(C223),_xlfn.RANK.EQ(C223,$C$2:$C$1031),"")</f>
        <v/>
      </c>
      <c r="E223">
        <f>Sheet1!C223+Sheet1!D223+Sheet1!E223+Sheet1!F223+Sheet1!J223+Sheet1!K223+Sheet1!L223+Sheet1!M223+Sheet1!Q223+Sheet1!R223+Sheet1!S223+Sheet1!T223</f>
        <v/>
      </c>
      <c r="F223">
        <f>IF(ISNUMBER(E223),E223,"")</f>
        <v/>
      </c>
      <c r="G223">
        <f>IF(ISNUMBER(F223),_xlfn.RANK.EQ(F223,$F$2:$F$1031),"")</f>
        <v/>
      </c>
      <c r="H223">
        <f>INDEX(Sheet1!AH:AH,MATCH(A223,Sheet1!A:A,0))</f>
        <v/>
      </c>
    </row>
    <row r="224">
      <c r="A224" t="n">
        <v>483</v>
      </c>
      <c r="B224">
        <f>Sheet1!C224+Sheet1!D224+Sheet1!E224+Sheet1!F224+Sheet1!J224+Sheet1!K224+Sheet1!L224+Sheet1!M224</f>
        <v/>
      </c>
      <c r="C224">
        <f>IF(ISNUMBER(B224),B224,"")</f>
        <v/>
      </c>
      <c r="D224">
        <f>IF(ISNUMBER(C224),_xlfn.RANK.EQ(C224,$C$2:$C$1031),"")</f>
        <v/>
      </c>
      <c r="E224">
        <f>Sheet1!C224+Sheet1!D224+Sheet1!E224+Sheet1!F224+Sheet1!J224+Sheet1!K224+Sheet1!L224+Sheet1!M224+Sheet1!Q224+Sheet1!R224+Sheet1!S224+Sheet1!T224</f>
        <v/>
      </c>
      <c r="F224">
        <f>IF(ISNUMBER(E224),E224,"")</f>
        <v/>
      </c>
      <c r="G224">
        <f>IF(ISNUMBER(F224),_xlfn.RANK.EQ(F224,$F$2:$F$1031),"")</f>
        <v/>
      </c>
      <c r="H224">
        <f>INDEX(Sheet1!AH:AH,MATCH(A224,Sheet1!A:A,0))</f>
        <v/>
      </c>
    </row>
    <row r="225">
      <c r="A225" t="n">
        <v>484</v>
      </c>
      <c r="B225">
        <f>Sheet1!C225+Sheet1!D225+Sheet1!E225+Sheet1!F225+Sheet1!J225+Sheet1!K225+Sheet1!L225+Sheet1!M225</f>
        <v/>
      </c>
      <c r="C225">
        <f>IF(ISNUMBER(B225),B225,"")</f>
        <v/>
      </c>
      <c r="D225">
        <f>IF(ISNUMBER(C225),_xlfn.RANK.EQ(C225,$C$2:$C$1031),"")</f>
        <v/>
      </c>
      <c r="E225">
        <f>Sheet1!C225+Sheet1!D225+Sheet1!E225+Sheet1!F225+Sheet1!J225+Sheet1!K225+Sheet1!L225+Sheet1!M225+Sheet1!Q225+Sheet1!R225+Sheet1!S225+Sheet1!T225</f>
        <v/>
      </c>
      <c r="F225">
        <f>IF(ISNUMBER(E225),E225,"")</f>
        <v/>
      </c>
      <c r="G225">
        <f>IF(ISNUMBER(F225),_xlfn.RANK.EQ(F225,$F$2:$F$1031),"")</f>
        <v/>
      </c>
      <c r="H225">
        <f>INDEX(Sheet1!AH:AH,MATCH(A225,Sheet1!A:A,0))</f>
        <v/>
      </c>
    </row>
    <row r="226">
      <c r="A226" t="n">
        <v>485</v>
      </c>
      <c r="B226">
        <f>Sheet1!C226+Sheet1!D226+Sheet1!E226+Sheet1!F226+Sheet1!J226+Sheet1!K226+Sheet1!L226+Sheet1!M226</f>
        <v/>
      </c>
      <c r="C226">
        <f>IF(ISNUMBER(B226),B226,"")</f>
        <v/>
      </c>
      <c r="D226">
        <f>IF(ISNUMBER(C226),_xlfn.RANK.EQ(C226,$C$2:$C$1031),"")</f>
        <v/>
      </c>
      <c r="E226">
        <f>Sheet1!C226+Sheet1!D226+Sheet1!E226+Sheet1!F226+Sheet1!J226+Sheet1!K226+Sheet1!L226+Sheet1!M226+Sheet1!Q226+Sheet1!R226+Sheet1!S226+Sheet1!T226</f>
        <v/>
      </c>
      <c r="F226">
        <f>IF(ISNUMBER(E226),E226,"")</f>
        <v/>
      </c>
      <c r="G226">
        <f>IF(ISNUMBER(F226),_xlfn.RANK.EQ(F226,$F$2:$F$1031),"")</f>
        <v/>
      </c>
      <c r="H226">
        <f>INDEX(Sheet1!AH:AH,MATCH(A226,Sheet1!A:A,0))</f>
        <v/>
      </c>
    </row>
    <row r="227">
      <c r="A227" t="n">
        <v>486</v>
      </c>
      <c r="B227">
        <f>Sheet1!C227+Sheet1!D227+Sheet1!E227+Sheet1!F227+Sheet1!J227+Sheet1!K227+Sheet1!L227+Sheet1!M227</f>
        <v/>
      </c>
      <c r="C227">
        <f>IF(ISNUMBER(B227),B227,"")</f>
        <v/>
      </c>
      <c r="D227">
        <f>IF(ISNUMBER(C227),_xlfn.RANK.EQ(C227,$C$2:$C$1031),"")</f>
        <v/>
      </c>
      <c r="E227">
        <f>Sheet1!C227+Sheet1!D227+Sheet1!E227+Sheet1!F227+Sheet1!J227+Sheet1!K227+Sheet1!L227+Sheet1!M227+Sheet1!Q227+Sheet1!R227+Sheet1!S227+Sheet1!T227</f>
        <v/>
      </c>
      <c r="F227">
        <f>IF(ISNUMBER(E227),E227,"")</f>
        <v/>
      </c>
      <c r="G227">
        <f>IF(ISNUMBER(F227),_xlfn.RANK.EQ(F227,$F$2:$F$1031),"")</f>
        <v/>
      </c>
      <c r="H227">
        <f>INDEX(Sheet1!AH:AH,MATCH(A227,Sheet1!A:A,0))</f>
        <v/>
      </c>
    </row>
    <row r="228">
      <c r="A228" t="n">
        <v>493</v>
      </c>
      <c r="B228">
        <f>Sheet1!C228+Sheet1!D228+Sheet1!E228+Sheet1!F228+Sheet1!J228+Sheet1!K228+Sheet1!L228+Sheet1!M228</f>
        <v/>
      </c>
      <c r="C228">
        <f>IF(ISNUMBER(B228),B228,"")</f>
        <v/>
      </c>
      <c r="D228">
        <f>IF(ISNUMBER(C228),_xlfn.RANK.EQ(C228,$C$2:$C$1031),"")</f>
        <v/>
      </c>
      <c r="E228">
        <f>Sheet1!C228+Sheet1!D228+Sheet1!E228+Sheet1!F228+Sheet1!J228+Sheet1!K228+Sheet1!L228+Sheet1!M228+Sheet1!Q228+Sheet1!R228+Sheet1!S228+Sheet1!T228</f>
        <v/>
      </c>
      <c r="F228">
        <f>IF(ISNUMBER(E228),E228,"")</f>
        <v/>
      </c>
      <c r="G228">
        <f>IF(ISNUMBER(F228),_xlfn.RANK.EQ(F228,$F$2:$F$1031),"")</f>
        <v/>
      </c>
      <c r="H228">
        <f>INDEX(Sheet1!AH:AH,MATCH(A228,Sheet1!A:A,0))</f>
        <v/>
      </c>
    </row>
    <row r="229">
      <c r="A229" t="n">
        <v>494</v>
      </c>
      <c r="B229">
        <f>Sheet1!C229+Sheet1!D229+Sheet1!E229+Sheet1!F229+Sheet1!J229+Sheet1!K229+Sheet1!L229+Sheet1!M229</f>
        <v/>
      </c>
      <c r="C229">
        <f>IF(ISNUMBER(B229),B229,"")</f>
        <v/>
      </c>
      <c r="D229">
        <f>IF(ISNUMBER(C229),_xlfn.RANK.EQ(C229,$C$2:$C$1031),"")</f>
        <v/>
      </c>
      <c r="E229">
        <f>Sheet1!C229+Sheet1!D229+Sheet1!E229+Sheet1!F229+Sheet1!J229+Sheet1!K229+Sheet1!L229+Sheet1!M229+Sheet1!Q229+Sheet1!R229+Sheet1!S229+Sheet1!T229</f>
        <v/>
      </c>
      <c r="F229">
        <f>IF(ISNUMBER(E229),E229,"")</f>
        <v/>
      </c>
      <c r="G229">
        <f>IF(ISNUMBER(F229),_xlfn.RANK.EQ(F229,$F$2:$F$1031),"")</f>
        <v/>
      </c>
      <c r="H229">
        <f>INDEX(Sheet1!AH:AH,MATCH(A229,Sheet1!A:A,0))</f>
        <v/>
      </c>
    </row>
    <row r="230">
      <c r="A230" t="n">
        <v>496</v>
      </c>
      <c r="B230">
        <f>Sheet1!C230+Sheet1!D230+Sheet1!E230+Sheet1!F230+Sheet1!J230+Sheet1!K230+Sheet1!L230+Sheet1!M230</f>
        <v/>
      </c>
      <c r="C230">
        <f>IF(ISNUMBER(B230),B230,"")</f>
        <v/>
      </c>
      <c r="D230">
        <f>IF(ISNUMBER(C230),_xlfn.RANK.EQ(C230,$C$2:$C$1031),"")</f>
        <v/>
      </c>
      <c r="E230">
        <f>Sheet1!C230+Sheet1!D230+Sheet1!E230+Sheet1!F230+Sheet1!J230+Sheet1!K230+Sheet1!L230+Sheet1!M230+Sheet1!Q230+Sheet1!R230+Sheet1!S230+Sheet1!T230</f>
        <v/>
      </c>
      <c r="F230">
        <f>IF(ISNUMBER(E230),E230,"")</f>
        <v/>
      </c>
      <c r="G230">
        <f>IF(ISNUMBER(F230),_xlfn.RANK.EQ(F230,$F$2:$F$1031),"")</f>
        <v/>
      </c>
      <c r="H230">
        <f>INDEX(Sheet1!AH:AH,MATCH(A230,Sheet1!A:A,0))</f>
        <v/>
      </c>
    </row>
    <row r="231">
      <c r="A231" t="n">
        <v>501</v>
      </c>
      <c r="B231">
        <f>Sheet1!C231+Sheet1!D231+Sheet1!E231+Sheet1!F231+Sheet1!J231+Sheet1!K231+Sheet1!L231+Sheet1!M231</f>
        <v/>
      </c>
      <c r="C231">
        <f>IF(ISNUMBER(B231),B231,"")</f>
        <v/>
      </c>
      <c r="D231">
        <f>IF(ISNUMBER(C231),_xlfn.RANK.EQ(C231,$C$2:$C$1031),"")</f>
        <v/>
      </c>
      <c r="E231">
        <f>Sheet1!C231+Sheet1!D231+Sheet1!E231+Sheet1!F231+Sheet1!J231+Sheet1!K231+Sheet1!L231+Sheet1!M231+Sheet1!Q231+Sheet1!R231+Sheet1!S231+Sheet1!T231</f>
        <v/>
      </c>
      <c r="F231">
        <f>IF(ISNUMBER(E231),E231,"")</f>
        <v/>
      </c>
      <c r="G231">
        <f>IF(ISNUMBER(F231),_xlfn.RANK.EQ(F231,$F$2:$F$1031),"")</f>
        <v/>
      </c>
      <c r="H231">
        <f>INDEX(Sheet1!AH:AH,MATCH(A231,Sheet1!A:A,0))</f>
        <v/>
      </c>
    </row>
    <row r="232">
      <c r="A232" t="n">
        <v>502</v>
      </c>
      <c r="B232">
        <f>Sheet1!C232+Sheet1!D232+Sheet1!E232+Sheet1!F232+Sheet1!J232+Sheet1!K232+Sheet1!L232+Sheet1!M232</f>
        <v/>
      </c>
      <c r="C232">
        <f>IF(ISNUMBER(B232),B232,"")</f>
        <v/>
      </c>
      <c r="D232">
        <f>IF(ISNUMBER(C232),_xlfn.RANK.EQ(C232,$C$2:$C$1031),"")</f>
        <v/>
      </c>
      <c r="E232">
        <f>Sheet1!C232+Sheet1!D232+Sheet1!E232+Sheet1!F232+Sheet1!J232+Sheet1!K232+Sheet1!L232+Sheet1!M232+Sheet1!Q232+Sheet1!R232+Sheet1!S232+Sheet1!T232</f>
        <v/>
      </c>
      <c r="F232">
        <f>IF(ISNUMBER(E232),E232,"")</f>
        <v/>
      </c>
      <c r="G232">
        <f>IF(ISNUMBER(F232),_xlfn.RANK.EQ(F232,$F$2:$F$1031),"")</f>
        <v/>
      </c>
      <c r="H232">
        <f>INDEX(Sheet1!AH:AH,MATCH(A232,Sheet1!A:A,0))</f>
        <v/>
      </c>
    </row>
    <row r="233">
      <c r="A233" t="n">
        <v>503</v>
      </c>
      <c r="B233">
        <f>Sheet1!C233+Sheet1!D233+Sheet1!E233+Sheet1!F233+Sheet1!J233+Sheet1!K233+Sheet1!L233+Sheet1!M233</f>
        <v/>
      </c>
      <c r="C233">
        <f>IF(ISNUMBER(B233),B233,"")</f>
        <v/>
      </c>
      <c r="D233">
        <f>IF(ISNUMBER(C233),_xlfn.RANK.EQ(C233,$C$2:$C$1031),"")</f>
        <v/>
      </c>
      <c r="E233">
        <f>Sheet1!C233+Sheet1!D233+Sheet1!E233+Sheet1!F233+Sheet1!J233+Sheet1!K233+Sheet1!L233+Sheet1!M233+Sheet1!Q233+Sheet1!R233+Sheet1!S233+Sheet1!T233</f>
        <v/>
      </c>
      <c r="F233">
        <f>IF(ISNUMBER(E233),E233,"")</f>
        <v/>
      </c>
      <c r="G233">
        <f>IF(ISNUMBER(F233),_xlfn.RANK.EQ(F233,$F$2:$F$1031),"")</f>
        <v/>
      </c>
      <c r="H233">
        <f>INDEX(Sheet1!AH:AH,MATCH(A233,Sheet1!A:A,0))</f>
        <v/>
      </c>
    </row>
    <row r="234">
      <c r="A234" t="n">
        <v>504</v>
      </c>
      <c r="B234">
        <f>Sheet1!C234+Sheet1!D234+Sheet1!E234+Sheet1!F234+Sheet1!J234+Sheet1!K234+Sheet1!L234+Sheet1!M234</f>
        <v/>
      </c>
      <c r="C234">
        <f>IF(ISNUMBER(B234),B234,"")</f>
        <v/>
      </c>
      <c r="D234">
        <f>IF(ISNUMBER(C234),_xlfn.RANK.EQ(C234,$C$2:$C$1031),"")</f>
        <v/>
      </c>
      <c r="E234">
        <f>Sheet1!C234+Sheet1!D234+Sheet1!E234+Sheet1!F234+Sheet1!J234+Sheet1!K234+Sheet1!L234+Sheet1!M234+Sheet1!Q234+Sheet1!R234+Sheet1!S234+Sheet1!T234</f>
        <v/>
      </c>
      <c r="F234">
        <f>IF(ISNUMBER(E234),E234,"")</f>
        <v/>
      </c>
      <c r="G234">
        <f>IF(ISNUMBER(F234),_xlfn.RANK.EQ(F234,$F$2:$F$1031),"")</f>
        <v/>
      </c>
      <c r="H234">
        <f>INDEX(Sheet1!AH:AH,MATCH(A234,Sheet1!A:A,0))</f>
        <v/>
      </c>
    </row>
    <row r="235">
      <c r="A235" t="n">
        <v>506</v>
      </c>
      <c r="B235">
        <f>Sheet1!C235+Sheet1!D235+Sheet1!E235+Sheet1!F235+Sheet1!J235+Sheet1!K235+Sheet1!L235+Sheet1!M235</f>
        <v/>
      </c>
      <c r="C235">
        <f>IF(ISNUMBER(B235),B235,"")</f>
        <v/>
      </c>
      <c r="D235">
        <f>IF(ISNUMBER(C235),_xlfn.RANK.EQ(C235,$C$2:$C$1031),"")</f>
        <v/>
      </c>
      <c r="E235">
        <f>Sheet1!C235+Sheet1!D235+Sheet1!E235+Sheet1!F235+Sheet1!J235+Sheet1!K235+Sheet1!L235+Sheet1!M235+Sheet1!Q235+Sheet1!R235+Sheet1!S235+Sheet1!T235</f>
        <v/>
      </c>
      <c r="F235">
        <f>IF(ISNUMBER(E235),E235,"")</f>
        <v/>
      </c>
      <c r="G235">
        <f>IF(ISNUMBER(F235),_xlfn.RANK.EQ(F235,$F$2:$F$1031),"")</f>
        <v/>
      </c>
      <c r="H235">
        <f>INDEX(Sheet1!AH:AH,MATCH(A235,Sheet1!A:A,0))</f>
        <v/>
      </c>
    </row>
    <row r="236">
      <c r="A236" t="n">
        <v>507</v>
      </c>
      <c r="B236">
        <f>Sheet1!C236+Sheet1!D236+Sheet1!E236+Sheet1!F236+Sheet1!J236+Sheet1!K236+Sheet1!L236+Sheet1!M236</f>
        <v/>
      </c>
      <c r="C236">
        <f>IF(ISNUMBER(B236),B236,"")</f>
        <v/>
      </c>
      <c r="D236">
        <f>IF(ISNUMBER(C236),_xlfn.RANK.EQ(C236,$C$2:$C$1031),"")</f>
        <v/>
      </c>
      <c r="E236">
        <f>Sheet1!C236+Sheet1!D236+Sheet1!E236+Sheet1!F236+Sheet1!J236+Sheet1!K236+Sheet1!L236+Sheet1!M236+Sheet1!Q236+Sheet1!R236+Sheet1!S236+Sheet1!T236</f>
        <v/>
      </c>
      <c r="F236">
        <f>IF(ISNUMBER(E236),E236,"")</f>
        <v/>
      </c>
      <c r="G236">
        <f>IF(ISNUMBER(F236),_xlfn.RANK.EQ(F236,$F$2:$F$1031),"")</f>
        <v/>
      </c>
      <c r="H236">
        <f>INDEX(Sheet1!AH:AH,MATCH(A236,Sheet1!A:A,0))</f>
        <v/>
      </c>
    </row>
    <row r="237">
      <c r="A237" t="n">
        <v>508</v>
      </c>
      <c r="B237">
        <f>Sheet1!C237+Sheet1!D237+Sheet1!E237+Sheet1!F237+Sheet1!J237+Sheet1!K237+Sheet1!L237+Sheet1!M237</f>
        <v/>
      </c>
      <c r="C237">
        <f>IF(ISNUMBER(B237),B237,"")</f>
        <v/>
      </c>
      <c r="D237">
        <f>IF(ISNUMBER(C237),_xlfn.RANK.EQ(C237,$C$2:$C$1031),"")</f>
        <v/>
      </c>
      <c r="E237">
        <f>Sheet1!C237+Sheet1!D237+Sheet1!E237+Sheet1!F237+Sheet1!J237+Sheet1!K237+Sheet1!L237+Sheet1!M237+Sheet1!Q237+Sheet1!R237+Sheet1!S237+Sheet1!T237</f>
        <v/>
      </c>
      <c r="F237">
        <f>IF(ISNUMBER(E237),E237,"")</f>
        <v/>
      </c>
      <c r="G237">
        <f>IF(ISNUMBER(F237),_xlfn.RANK.EQ(F237,$F$2:$F$1031),"")</f>
        <v/>
      </c>
      <c r="H237">
        <f>INDEX(Sheet1!AH:AH,MATCH(A237,Sheet1!A:A,0))</f>
        <v/>
      </c>
    </row>
    <row r="238">
      <c r="A238" t="n">
        <v>509</v>
      </c>
      <c r="B238">
        <f>Sheet1!C238+Sheet1!D238+Sheet1!E238+Sheet1!F238+Sheet1!J238+Sheet1!K238+Sheet1!L238+Sheet1!M238</f>
        <v/>
      </c>
      <c r="C238">
        <f>IF(ISNUMBER(B238),B238,"")</f>
        <v/>
      </c>
      <c r="D238">
        <f>IF(ISNUMBER(C238),_xlfn.RANK.EQ(C238,$C$2:$C$1031),"")</f>
        <v/>
      </c>
      <c r="E238">
        <f>Sheet1!C238+Sheet1!D238+Sheet1!E238+Sheet1!F238+Sheet1!J238+Sheet1!K238+Sheet1!L238+Sheet1!M238+Sheet1!Q238+Sheet1!R238+Sheet1!S238+Sheet1!T238</f>
        <v/>
      </c>
      <c r="F238">
        <f>IF(ISNUMBER(E238),E238,"")</f>
        <v/>
      </c>
      <c r="G238">
        <f>IF(ISNUMBER(F238),_xlfn.RANK.EQ(F238,$F$2:$F$1031),"")</f>
        <v/>
      </c>
      <c r="H238">
        <f>INDEX(Sheet1!AH:AH,MATCH(A238,Sheet1!A:A,0))</f>
        <v/>
      </c>
    </row>
    <row r="239">
      <c r="A239" t="n">
        <v>513</v>
      </c>
      <c r="B239">
        <f>Sheet1!C239+Sheet1!D239+Sheet1!E239+Sheet1!F239+Sheet1!J239+Sheet1!K239+Sheet1!L239+Sheet1!M239</f>
        <v/>
      </c>
      <c r="C239">
        <f>IF(ISNUMBER(B239),B239,"")</f>
        <v/>
      </c>
      <c r="D239">
        <f>IF(ISNUMBER(C239),_xlfn.RANK.EQ(C239,$C$2:$C$1031),"")</f>
        <v/>
      </c>
      <c r="E239">
        <f>Sheet1!C239+Sheet1!D239+Sheet1!E239+Sheet1!F239+Sheet1!J239+Sheet1!K239+Sheet1!L239+Sheet1!M239+Sheet1!Q239+Sheet1!R239+Sheet1!S239+Sheet1!T239</f>
        <v/>
      </c>
      <c r="F239">
        <f>IF(ISNUMBER(E239),E239,"")</f>
        <v/>
      </c>
      <c r="G239">
        <f>IF(ISNUMBER(F239),_xlfn.RANK.EQ(F239,$F$2:$F$1031),"")</f>
        <v/>
      </c>
      <c r="H239">
        <f>INDEX(Sheet1!AH:AH,MATCH(A239,Sheet1!A:A,0))</f>
        <v/>
      </c>
    </row>
    <row r="240">
      <c r="A240" t="n">
        <v>515</v>
      </c>
      <c r="B240">
        <f>Sheet1!C240+Sheet1!D240+Sheet1!E240+Sheet1!F240+Sheet1!J240+Sheet1!K240+Sheet1!L240+Sheet1!M240</f>
        <v/>
      </c>
      <c r="C240">
        <f>IF(ISNUMBER(B240),B240,"")</f>
        <v/>
      </c>
      <c r="D240">
        <f>IF(ISNUMBER(C240),_xlfn.RANK.EQ(C240,$C$2:$C$1031),"")</f>
        <v/>
      </c>
      <c r="E240">
        <f>Sheet1!C240+Sheet1!D240+Sheet1!E240+Sheet1!F240+Sheet1!J240+Sheet1!K240+Sheet1!L240+Sheet1!M240+Sheet1!Q240+Sheet1!R240+Sheet1!S240+Sheet1!T240</f>
        <v/>
      </c>
      <c r="F240">
        <f>IF(ISNUMBER(E240),E240,"")</f>
        <v/>
      </c>
      <c r="G240">
        <f>IF(ISNUMBER(F240),_xlfn.RANK.EQ(F240,$F$2:$F$1031),"")</f>
        <v/>
      </c>
      <c r="H240">
        <f>INDEX(Sheet1!AH:AH,MATCH(A240,Sheet1!A:A,0))</f>
        <v/>
      </c>
    </row>
    <row r="241">
      <c r="A241" t="n">
        <v>519</v>
      </c>
      <c r="B241">
        <f>Sheet1!C241+Sheet1!D241+Sheet1!E241+Sheet1!F241+Sheet1!J241+Sheet1!K241+Sheet1!L241+Sheet1!M241</f>
        <v/>
      </c>
      <c r="C241">
        <f>IF(ISNUMBER(B241),B241,"")</f>
        <v/>
      </c>
      <c r="D241">
        <f>IF(ISNUMBER(C241),_xlfn.RANK.EQ(C241,$C$2:$C$1031),"")</f>
        <v/>
      </c>
      <c r="E241">
        <f>Sheet1!C241+Sheet1!D241+Sheet1!E241+Sheet1!F241+Sheet1!J241+Sheet1!K241+Sheet1!L241+Sheet1!M241+Sheet1!Q241+Sheet1!R241+Sheet1!S241+Sheet1!T241</f>
        <v/>
      </c>
      <c r="F241">
        <f>IF(ISNUMBER(E241),E241,"")</f>
        <v/>
      </c>
      <c r="G241">
        <f>IF(ISNUMBER(F241),_xlfn.RANK.EQ(F241,$F$2:$F$1031),"")</f>
        <v/>
      </c>
      <c r="H241">
        <f>INDEX(Sheet1!AH:AH,MATCH(A241,Sheet1!A:A,0))</f>
        <v/>
      </c>
    </row>
    <row r="242">
      <c r="A242" t="n">
        <v>522</v>
      </c>
      <c r="B242">
        <f>Sheet1!C242+Sheet1!D242+Sheet1!E242+Sheet1!F242+Sheet1!J242+Sheet1!K242+Sheet1!L242+Sheet1!M242</f>
        <v/>
      </c>
      <c r="C242">
        <f>IF(ISNUMBER(B242),B242,"")</f>
        <v/>
      </c>
      <c r="D242">
        <f>IF(ISNUMBER(C242),_xlfn.RANK.EQ(C242,$C$2:$C$1031),"")</f>
        <v/>
      </c>
      <c r="E242">
        <f>Sheet1!C242+Sheet1!D242+Sheet1!E242+Sheet1!F242+Sheet1!J242+Sheet1!K242+Sheet1!L242+Sheet1!M242+Sheet1!Q242+Sheet1!R242+Sheet1!S242+Sheet1!T242</f>
        <v/>
      </c>
      <c r="F242">
        <f>IF(ISNUMBER(E242),E242,"")</f>
        <v/>
      </c>
      <c r="G242">
        <f>IF(ISNUMBER(F242),_xlfn.RANK.EQ(F242,$F$2:$F$1031),"")</f>
        <v/>
      </c>
      <c r="H242">
        <f>INDEX(Sheet1!AH:AH,MATCH(A242,Sheet1!A:A,0))</f>
        <v/>
      </c>
    </row>
    <row r="243">
      <c r="A243" t="n">
        <v>523</v>
      </c>
      <c r="B243">
        <f>Sheet1!C243+Sheet1!D243+Sheet1!E243+Sheet1!F243+Sheet1!J243+Sheet1!K243+Sheet1!L243+Sheet1!M243</f>
        <v/>
      </c>
      <c r="C243">
        <f>IF(ISNUMBER(B243),B243,"")</f>
        <v/>
      </c>
      <c r="D243">
        <f>IF(ISNUMBER(C243),_xlfn.RANK.EQ(C243,$C$2:$C$1031),"")</f>
        <v/>
      </c>
      <c r="E243">
        <f>Sheet1!C243+Sheet1!D243+Sheet1!E243+Sheet1!F243+Sheet1!J243+Sheet1!K243+Sheet1!L243+Sheet1!M243+Sheet1!Q243+Sheet1!R243+Sheet1!S243+Sheet1!T243</f>
        <v/>
      </c>
      <c r="F243">
        <f>IF(ISNUMBER(E243),E243,"")</f>
        <v/>
      </c>
      <c r="G243">
        <f>IF(ISNUMBER(F243),_xlfn.RANK.EQ(F243,$F$2:$F$1031),"")</f>
        <v/>
      </c>
      <c r="H243">
        <f>INDEX(Sheet1!AH:AH,MATCH(A243,Sheet1!A:A,0))</f>
        <v/>
      </c>
    </row>
    <row r="244">
      <c r="A244" t="n">
        <v>524</v>
      </c>
      <c r="B244">
        <f>Sheet1!C244+Sheet1!D244+Sheet1!E244+Sheet1!F244+Sheet1!J244+Sheet1!K244+Sheet1!L244+Sheet1!M244</f>
        <v/>
      </c>
      <c r="C244">
        <f>IF(ISNUMBER(B244),B244,"")</f>
        <v/>
      </c>
      <c r="D244">
        <f>IF(ISNUMBER(C244),_xlfn.RANK.EQ(C244,$C$2:$C$1031),"")</f>
        <v/>
      </c>
      <c r="E244">
        <f>Sheet1!C244+Sheet1!D244+Sheet1!E244+Sheet1!F244+Sheet1!J244+Sheet1!K244+Sheet1!L244+Sheet1!M244+Sheet1!Q244+Sheet1!R244+Sheet1!S244+Sheet1!T244</f>
        <v/>
      </c>
      <c r="F244">
        <f>IF(ISNUMBER(E244),E244,"")</f>
        <v/>
      </c>
      <c r="G244">
        <f>IF(ISNUMBER(F244),_xlfn.RANK.EQ(F244,$F$2:$F$1031),"")</f>
        <v/>
      </c>
      <c r="H244">
        <f>INDEX(Sheet1!AH:AH,MATCH(A244,Sheet1!A:A,0))</f>
        <v/>
      </c>
    </row>
    <row r="245">
      <c r="A245" t="n">
        <v>526</v>
      </c>
      <c r="B245">
        <f>Sheet1!C245+Sheet1!D245+Sheet1!E245+Sheet1!F245+Sheet1!J245+Sheet1!K245+Sheet1!L245+Sheet1!M245</f>
        <v/>
      </c>
      <c r="C245">
        <f>IF(ISNUMBER(B245),B245,"")</f>
        <v/>
      </c>
      <c r="D245">
        <f>IF(ISNUMBER(C245),_xlfn.RANK.EQ(C245,$C$2:$C$1031),"")</f>
        <v/>
      </c>
      <c r="E245">
        <f>Sheet1!C245+Sheet1!D245+Sheet1!E245+Sheet1!F245+Sheet1!J245+Sheet1!K245+Sheet1!L245+Sheet1!M245+Sheet1!Q245+Sheet1!R245+Sheet1!S245+Sheet1!T245</f>
        <v/>
      </c>
      <c r="F245">
        <f>IF(ISNUMBER(E245),E245,"")</f>
        <v/>
      </c>
      <c r="G245">
        <f>IF(ISNUMBER(F245),_xlfn.RANK.EQ(F245,$F$2:$F$1031),"")</f>
        <v/>
      </c>
      <c r="H245">
        <f>INDEX(Sheet1!AH:AH,MATCH(A245,Sheet1!A:A,0))</f>
        <v/>
      </c>
    </row>
    <row r="246">
      <c r="A246" t="n">
        <v>527</v>
      </c>
      <c r="B246">
        <f>Sheet1!C246+Sheet1!D246+Sheet1!E246+Sheet1!F246+Sheet1!J246+Sheet1!K246+Sheet1!L246+Sheet1!M246</f>
        <v/>
      </c>
      <c r="C246">
        <f>IF(ISNUMBER(B246),B246,"")</f>
        <v/>
      </c>
      <c r="D246">
        <f>IF(ISNUMBER(C246),_xlfn.RANK.EQ(C246,$C$2:$C$1031),"")</f>
        <v/>
      </c>
      <c r="E246">
        <f>Sheet1!C246+Sheet1!D246+Sheet1!E246+Sheet1!F246+Sheet1!J246+Sheet1!K246+Sheet1!L246+Sheet1!M246+Sheet1!Q246+Sheet1!R246+Sheet1!S246+Sheet1!T246</f>
        <v/>
      </c>
      <c r="F246">
        <f>IF(ISNUMBER(E246),E246,"")</f>
        <v/>
      </c>
      <c r="G246">
        <f>IF(ISNUMBER(F246),_xlfn.RANK.EQ(F246,$F$2:$F$1031),"")</f>
        <v/>
      </c>
      <c r="H246">
        <f>INDEX(Sheet1!AH:AH,MATCH(A246,Sheet1!A:A,0))</f>
        <v/>
      </c>
    </row>
    <row r="247">
      <c r="A247" t="n">
        <v>528</v>
      </c>
      <c r="B247">
        <f>Sheet1!C247+Sheet1!D247+Sheet1!E247+Sheet1!F247+Sheet1!J247+Sheet1!K247+Sheet1!L247+Sheet1!M247</f>
        <v/>
      </c>
      <c r="C247">
        <f>IF(ISNUMBER(B247),B247,"")</f>
        <v/>
      </c>
      <c r="D247">
        <f>IF(ISNUMBER(C247),_xlfn.RANK.EQ(C247,$C$2:$C$1031),"")</f>
        <v/>
      </c>
      <c r="E247">
        <f>Sheet1!C247+Sheet1!D247+Sheet1!E247+Sheet1!F247+Sheet1!J247+Sheet1!K247+Sheet1!L247+Sheet1!M247+Sheet1!Q247+Sheet1!R247+Sheet1!S247+Sheet1!T247</f>
        <v/>
      </c>
      <c r="F247">
        <f>IF(ISNUMBER(E247),E247,"")</f>
        <v/>
      </c>
      <c r="G247">
        <f>IF(ISNUMBER(F247),_xlfn.RANK.EQ(F247,$F$2:$F$1031),"")</f>
        <v/>
      </c>
      <c r="H247">
        <f>INDEX(Sheet1!AH:AH,MATCH(A247,Sheet1!A:A,0))</f>
        <v/>
      </c>
    </row>
    <row r="248">
      <c r="A248" t="n">
        <v>529</v>
      </c>
      <c r="B248">
        <f>Sheet1!C248+Sheet1!D248+Sheet1!E248+Sheet1!F248+Sheet1!J248+Sheet1!K248+Sheet1!L248+Sheet1!M248</f>
        <v/>
      </c>
      <c r="C248">
        <f>IF(ISNUMBER(B248),B248,"")</f>
        <v/>
      </c>
      <c r="D248">
        <f>IF(ISNUMBER(C248),_xlfn.RANK.EQ(C248,$C$2:$C$1031),"")</f>
        <v/>
      </c>
      <c r="E248">
        <f>Sheet1!C248+Sheet1!D248+Sheet1!E248+Sheet1!F248+Sheet1!J248+Sheet1!K248+Sheet1!L248+Sheet1!M248+Sheet1!Q248+Sheet1!R248+Sheet1!S248+Sheet1!T248</f>
        <v/>
      </c>
      <c r="F248">
        <f>IF(ISNUMBER(E248),E248,"")</f>
        <v/>
      </c>
      <c r="G248">
        <f>IF(ISNUMBER(F248),_xlfn.RANK.EQ(F248,$F$2:$F$1031),"")</f>
        <v/>
      </c>
      <c r="H248">
        <f>INDEX(Sheet1!AH:AH,MATCH(A248,Sheet1!A:A,0))</f>
        <v/>
      </c>
    </row>
    <row r="249">
      <c r="A249" t="n">
        <v>530</v>
      </c>
      <c r="B249">
        <f>Sheet1!C249+Sheet1!D249+Sheet1!E249+Sheet1!F249+Sheet1!J249+Sheet1!K249+Sheet1!L249+Sheet1!M249</f>
        <v/>
      </c>
      <c r="C249">
        <f>IF(ISNUMBER(B249),B249,"")</f>
        <v/>
      </c>
      <c r="D249">
        <f>IF(ISNUMBER(C249),_xlfn.RANK.EQ(C249,$C$2:$C$1031),"")</f>
        <v/>
      </c>
      <c r="E249">
        <f>Sheet1!C249+Sheet1!D249+Sheet1!E249+Sheet1!F249+Sheet1!J249+Sheet1!K249+Sheet1!L249+Sheet1!M249+Sheet1!Q249+Sheet1!R249+Sheet1!S249+Sheet1!T249</f>
        <v/>
      </c>
      <c r="F249">
        <f>IF(ISNUMBER(E249),E249,"")</f>
        <v/>
      </c>
      <c r="G249">
        <f>IF(ISNUMBER(F249),_xlfn.RANK.EQ(F249,$F$2:$F$1031),"")</f>
        <v/>
      </c>
      <c r="H249">
        <f>INDEX(Sheet1!AH:AH,MATCH(A249,Sheet1!A:A,0))</f>
        <v/>
      </c>
    </row>
    <row r="250">
      <c r="A250" t="n">
        <v>531</v>
      </c>
      <c r="B250">
        <f>Sheet1!C250+Sheet1!D250+Sheet1!E250+Sheet1!F250+Sheet1!J250+Sheet1!K250+Sheet1!L250+Sheet1!M250</f>
        <v/>
      </c>
      <c r="C250">
        <f>IF(ISNUMBER(B250),B250,"")</f>
        <v/>
      </c>
      <c r="D250">
        <f>IF(ISNUMBER(C250),_xlfn.RANK.EQ(C250,$C$2:$C$1031),"")</f>
        <v/>
      </c>
      <c r="E250">
        <f>Sheet1!C250+Sheet1!D250+Sheet1!E250+Sheet1!F250+Sheet1!J250+Sheet1!K250+Sheet1!L250+Sheet1!M250+Sheet1!Q250+Sheet1!R250+Sheet1!S250+Sheet1!T250</f>
        <v/>
      </c>
      <c r="F250">
        <f>IF(ISNUMBER(E250),E250,"")</f>
        <v/>
      </c>
      <c r="G250">
        <f>IF(ISNUMBER(F250),_xlfn.RANK.EQ(F250,$F$2:$F$1031),"")</f>
        <v/>
      </c>
      <c r="H250">
        <f>INDEX(Sheet1!AH:AH,MATCH(A250,Sheet1!A:A,0))</f>
        <v/>
      </c>
    </row>
    <row r="251">
      <c r="A251" t="n">
        <v>532</v>
      </c>
      <c r="B251">
        <f>Sheet1!C251+Sheet1!D251+Sheet1!E251+Sheet1!F251+Sheet1!J251+Sheet1!K251+Sheet1!L251+Sheet1!M251</f>
        <v/>
      </c>
      <c r="C251">
        <f>IF(ISNUMBER(B251),B251,"")</f>
        <v/>
      </c>
      <c r="D251">
        <f>IF(ISNUMBER(C251),_xlfn.RANK.EQ(C251,$C$2:$C$1031),"")</f>
        <v/>
      </c>
      <c r="E251">
        <f>Sheet1!C251+Sheet1!D251+Sheet1!E251+Sheet1!F251+Sheet1!J251+Sheet1!K251+Sheet1!L251+Sheet1!M251+Sheet1!Q251+Sheet1!R251+Sheet1!S251+Sheet1!T251</f>
        <v/>
      </c>
      <c r="F251">
        <f>IF(ISNUMBER(E251),E251,"")</f>
        <v/>
      </c>
      <c r="G251">
        <f>IF(ISNUMBER(F251),_xlfn.RANK.EQ(F251,$F$2:$F$1031),"")</f>
        <v/>
      </c>
      <c r="H251">
        <f>INDEX(Sheet1!AH:AH,MATCH(A251,Sheet1!A:A,0))</f>
        <v/>
      </c>
    </row>
    <row r="252">
      <c r="A252" t="n">
        <v>533</v>
      </c>
      <c r="B252">
        <f>Sheet1!C252+Sheet1!D252+Sheet1!E252+Sheet1!F252+Sheet1!J252+Sheet1!K252+Sheet1!L252+Sheet1!M252</f>
        <v/>
      </c>
      <c r="C252">
        <f>IF(ISNUMBER(B252),B252,"")</f>
        <v/>
      </c>
      <c r="D252">
        <f>IF(ISNUMBER(C252),_xlfn.RANK.EQ(C252,$C$2:$C$1031),"")</f>
        <v/>
      </c>
      <c r="E252">
        <f>Sheet1!C252+Sheet1!D252+Sheet1!E252+Sheet1!F252+Sheet1!J252+Sheet1!K252+Sheet1!L252+Sheet1!M252+Sheet1!Q252+Sheet1!R252+Sheet1!S252+Sheet1!T252</f>
        <v/>
      </c>
      <c r="F252">
        <f>IF(ISNUMBER(E252),E252,"")</f>
        <v/>
      </c>
      <c r="G252">
        <f>IF(ISNUMBER(F252),_xlfn.RANK.EQ(F252,$F$2:$F$1031),"")</f>
        <v/>
      </c>
      <c r="H252">
        <f>INDEX(Sheet1!AH:AH,MATCH(A252,Sheet1!A:A,0))</f>
        <v/>
      </c>
    </row>
    <row r="253">
      <c r="A253" t="n">
        <v>535</v>
      </c>
      <c r="B253">
        <f>Sheet1!C253+Sheet1!D253+Sheet1!E253+Sheet1!F253+Sheet1!J253+Sheet1!K253+Sheet1!L253+Sheet1!M253</f>
        <v/>
      </c>
      <c r="C253">
        <f>IF(ISNUMBER(B253),B253,"")</f>
        <v/>
      </c>
      <c r="D253">
        <f>IF(ISNUMBER(C253),_xlfn.RANK.EQ(C253,$C$2:$C$1031),"")</f>
        <v/>
      </c>
      <c r="E253">
        <f>Sheet1!C253+Sheet1!D253+Sheet1!E253+Sheet1!F253+Sheet1!J253+Sheet1!K253+Sheet1!L253+Sheet1!M253+Sheet1!Q253+Sheet1!R253+Sheet1!S253+Sheet1!T253</f>
        <v/>
      </c>
      <c r="F253">
        <f>IF(ISNUMBER(E253),E253,"")</f>
        <v/>
      </c>
      <c r="G253">
        <f>IF(ISNUMBER(F253),_xlfn.RANK.EQ(F253,$F$2:$F$1031),"")</f>
        <v/>
      </c>
      <c r="H253">
        <f>INDEX(Sheet1!AH:AH,MATCH(A253,Sheet1!A:A,0))</f>
        <v/>
      </c>
    </row>
    <row r="254">
      <c r="A254" t="n">
        <v>536</v>
      </c>
      <c r="B254">
        <f>Sheet1!C254+Sheet1!D254+Sheet1!E254+Sheet1!F254+Sheet1!J254+Sheet1!K254+Sheet1!L254+Sheet1!M254</f>
        <v/>
      </c>
      <c r="C254">
        <f>IF(ISNUMBER(B254),B254,"")</f>
        <v/>
      </c>
      <c r="D254">
        <f>IF(ISNUMBER(C254),_xlfn.RANK.EQ(C254,$C$2:$C$1031),"")</f>
        <v/>
      </c>
      <c r="E254">
        <f>Sheet1!C254+Sheet1!D254+Sheet1!E254+Sheet1!F254+Sheet1!J254+Sheet1!K254+Sheet1!L254+Sheet1!M254+Sheet1!Q254+Sheet1!R254+Sheet1!S254+Sheet1!T254</f>
        <v/>
      </c>
      <c r="F254">
        <f>IF(ISNUMBER(E254),E254,"")</f>
        <v/>
      </c>
      <c r="G254">
        <f>IF(ISNUMBER(F254),_xlfn.RANK.EQ(F254,$F$2:$F$1031),"")</f>
        <v/>
      </c>
      <c r="H254">
        <f>INDEX(Sheet1!AH:AH,MATCH(A254,Sheet1!A:A,0))</f>
        <v/>
      </c>
    </row>
    <row r="255">
      <c r="A255" t="n">
        <v>538</v>
      </c>
      <c r="B255">
        <f>Sheet1!C255+Sheet1!D255+Sheet1!E255+Sheet1!F255+Sheet1!J255+Sheet1!K255+Sheet1!L255+Sheet1!M255</f>
        <v/>
      </c>
      <c r="C255">
        <f>IF(ISNUMBER(B255),B255,"")</f>
        <v/>
      </c>
      <c r="D255">
        <f>IF(ISNUMBER(C255),_xlfn.RANK.EQ(C255,$C$2:$C$1031),"")</f>
        <v/>
      </c>
      <c r="E255">
        <f>Sheet1!C255+Sheet1!D255+Sheet1!E255+Sheet1!F255+Sheet1!J255+Sheet1!K255+Sheet1!L255+Sheet1!M255+Sheet1!Q255+Sheet1!R255+Sheet1!S255+Sheet1!T255</f>
        <v/>
      </c>
      <c r="F255">
        <f>IF(ISNUMBER(E255),E255,"")</f>
        <v/>
      </c>
      <c r="G255">
        <f>IF(ISNUMBER(F255),_xlfn.RANK.EQ(F255,$F$2:$F$1031),"")</f>
        <v/>
      </c>
      <c r="H255">
        <f>INDEX(Sheet1!AH:AH,MATCH(A255,Sheet1!A:A,0))</f>
        <v/>
      </c>
    </row>
    <row r="256">
      <c r="A256" t="n">
        <v>540</v>
      </c>
      <c r="B256">
        <f>Sheet1!C256+Sheet1!D256+Sheet1!E256+Sheet1!F256+Sheet1!J256+Sheet1!K256+Sheet1!L256+Sheet1!M256</f>
        <v/>
      </c>
      <c r="C256">
        <f>IF(ISNUMBER(B256),B256,"")</f>
        <v/>
      </c>
      <c r="D256">
        <f>IF(ISNUMBER(C256),_xlfn.RANK.EQ(C256,$C$2:$C$1031),"")</f>
        <v/>
      </c>
      <c r="E256">
        <f>Sheet1!C256+Sheet1!D256+Sheet1!E256+Sheet1!F256+Sheet1!J256+Sheet1!K256+Sheet1!L256+Sheet1!M256+Sheet1!Q256+Sheet1!R256+Sheet1!S256+Sheet1!T256</f>
        <v/>
      </c>
      <c r="F256">
        <f>IF(ISNUMBER(E256),E256,"")</f>
        <v/>
      </c>
      <c r="G256">
        <f>IF(ISNUMBER(F256),_xlfn.RANK.EQ(F256,$F$2:$F$1031),"")</f>
        <v/>
      </c>
      <c r="H256">
        <f>INDEX(Sheet1!AH:AH,MATCH(A256,Sheet1!A:A,0))</f>
        <v/>
      </c>
    </row>
    <row r="257">
      <c r="A257" t="n">
        <v>541</v>
      </c>
      <c r="B257">
        <f>Sheet1!C257+Sheet1!D257+Sheet1!E257+Sheet1!F257+Sheet1!J257+Sheet1!K257+Sheet1!L257+Sheet1!M257</f>
        <v/>
      </c>
      <c r="C257">
        <f>IF(ISNUMBER(B257),B257,"")</f>
        <v/>
      </c>
      <c r="D257">
        <f>IF(ISNUMBER(C257),_xlfn.RANK.EQ(C257,$C$2:$C$1031),"")</f>
        <v/>
      </c>
      <c r="E257">
        <f>Sheet1!C257+Sheet1!D257+Sheet1!E257+Sheet1!F257+Sheet1!J257+Sheet1!K257+Sheet1!L257+Sheet1!M257+Sheet1!Q257+Sheet1!R257+Sheet1!S257+Sheet1!T257</f>
        <v/>
      </c>
      <c r="F257">
        <f>IF(ISNUMBER(E257),E257,"")</f>
        <v/>
      </c>
      <c r="G257">
        <f>IF(ISNUMBER(F257),_xlfn.RANK.EQ(F257,$F$2:$F$1031),"")</f>
        <v/>
      </c>
      <c r="H257">
        <f>INDEX(Sheet1!AH:AH,MATCH(A257,Sheet1!A:A,0))</f>
        <v/>
      </c>
    </row>
    <row r="258">
      <c r="A258" t="n">
        <v>544</v>
      </c>
      <c r="B258">
        <f>Sheet1!C258+Sheet1!D258+Sheet1!E258+Sheet1!F258+Sheet1!J258+Sheet1!K258+Sheet1!L258+Sheet1!M258</f>
        <v/>
      </c>
      <c r="C258">
        <f>IF(ISNUMBER(B258),B258,"")</f>
        <v/>
      </c>
      <c r="D258">
        <f>IF(ISNUMBER(C258),_xlfn.RANK.EQ(C258,$C$2:$C$1031),"")</f>
        <v/>
      </c>
      <c r="E258">
        <f>Sheet1!C258+Sheet1!D258+Sheet1!E258+Sheet1!F258+Sheet1!J258+Sheet1!K258+Sheet1!L258+Sheet1!M258+Sheet1!Q258+Sheet1!R258+Sheet1!S258+Sheet1!T258</f>
        <v/>
      </c>
      <c r="F258">
        <f>IF(ISNUMBER(E258),E258,"")</f>
        <v/>
      </c>
      <c r="G258">
        <f>IF(ISNUMBER(F258),_xlfn.RANK.EQ(F258,$F$2:$F$1031),"")</f>
        <v/>
      </c>
      <c r="H258">
        <f>INDEX(Sheet1!AH:AH,MATCH(A258,Sheet1!A:A,0))</f>
        <v/>
      </c>
    </row>
    <row r="259">
      <c r="A259" t="n">
        <v>545</v>
      </c>
      <c r="B259">
        <f>Sheet1!C259+Sheet1!D259+Sheet1!E259+Sheet1!F259+Sheet1!J259+Sheet1!K259+Sheet1!L259+Sheet1!M259</f>
        <v/>
      </c>
      <c r="C259">
        <f>IF(ISNUMBER(B259),B259,"")</f>
        <v/>
      </c>
      <c r="D259">
        <f>IF(ISNUMBER(C259),_xlfn.RANK.EQ(C259,$C$2:$C$1031),"")</f>
        <v/>
      </c>
      <c r="E259">
        <f>Sheet1!C259+Sheet1!D259+Sheet1!E259+Sheet1!F259+Sheet1!J259+Sheet1!K259+Sheet1!L259+Sheet1!M259+Sheet1!Q259+Sheet1!R259+Sheet1!S259+Sheet1!T259</f>
        <v/>
      </c>
      <c r="F259">
        <f>IF(ISNUMBER(E259),E259,"")</f>
        <v/>
      </c>
      <c r="G259">
        <f>IF(ISNUMBER(F259),_xlfn.RANK.EQ(F259,$F$2:$F$1031),"")</f>
        <v/>
      </c>
      <c r="H259">
        <f>INDEX(Sheet1!AH:AH,MATCH(A259,Sheet1!A:A,0))</f>
        <v/>
      </c>
    </row>
    <row r="260">
      <c r="A260" t="n">
        <v>546</v>
      </c>
      <c r="B260">
        <f>Sheet1!C260+Sheet1!D260+Sheet1!E260+Sheet1!F260+Sheet1!J260+Sheet1!K260+Sheet1!L260+Sheet1!M260</f>
        <v/>
      </c>
      <c r="C260">
        <f>IF(ISNUMBER(B260),B260,"")</f>
        <v/>
      </c>
      <c r="D260">
        <f>IF(ISNUMBER(C260),_xlfn.RANK.EQ(C260,$C$2:$C$1031),"")</f>
        <v/>
      </c>
      <c r="E260">
        <f>Sheet1!C260+Sheet1!D260+Sheet1!E260+Sheet1!F260+Sheet1!J260+Sheet1!K260+Sheet1!L260+Sheet1!M260+Sheet1!Q260+Sheet1!R260+Sheet1!S260+Sheet1!T260</f>
        <v/>
      </c>
      <c r="F260">
        <f>IF(ISNUMBER(E260),E260,"")</f>
        <v/>
      </c>
      <c r="G260">
        <f>IF(ISNUMBER(F260),_xlfn.RANK.EQ(F260,$F$2:$F$1031),"")</f>
        <v/>
      </c>
      <c r="H260">
        <f>INDEX(Sheet1!AH:AH,MATCH(A260,Sheet1!A:A,0))</f>
        <v/>
      </c>
    </row>
    <row r="261">
      <c r="A261" t="n">
        <v>547</v>
      </c>
      <c r="B261">
        <f>Sheet1!C261+Sheet1!D261+Sheet1!E261+Sheet1!F261+Sheet1!J261+Sheet1!K261+Sheet1!L261+Sheet1!M261</f>
        <v/>
      </c>
      <c r="C261">
        <f>IF(ISNUMBER(B261),B261,"")</f>
        <v/>
      </c>
      <c r="D261">
        <f>IF(ISNUMBER(C261),_xlfn.RANK.EQ(C261,$C$2:$C$1031),"")</f>
        <v/>
      </c>
      <c r="E261">
        <f>Sheet1!C261+Sheet1!D261+Sheet1!E261+Sheet1!F261+Sheet1!J261+Sheet1!K261+Sheet1!L261+Sheet1!M261+Sheet1!Q261+Sheet1!R261+Sheet1!S261+Sheet1!T261</f>
        <v/>
      </c>
      <c r="F261">
        <f>IF(ISNUMBER(E261),E261,"")</f>
        <v/>
      </c>
      <c r="G261">
        <f>IF(ISNUMBER(F261),_xlfn.RANK.EQ(F261,$F$2:$F$1031),"")</f>
        <v/>
      </c>
      <c r="H261">
        <f>INDEX(Sheet1!AH:AH,MATCH(A261,Sheet1!A:A,0))</f>
        <v/>
      </c>
    </row>
    <row r="262">
      <c r="A262" t="n">
        <v>548</v>
      </c>
      <c r="B262">
        <f>Sheet1!C262+Sheet1!D262+Sheet1!E262+Sheet1!F262+Sheet1!J262+Sheet1!K262+Sheet1!L262+Sheet1!M262</f>
        <v/>
      </c>
      <c r="C262">
        <f>IF(ISNUMBER(B262),B262,"")</f>
        <v/>
      </c>
      <c r="D262">
        <f>IF(ISNUMBER(C262),_xlfn.RANK.EQ(C262,$C$2:$C$1031),"")</f>
        <v/>
      </c>
      <c r="E262">
        <f>Sheet1!C262+Sheet1!D262+Sheet1!E262+Sheet1!F262+Sheet1!J262+Sheet1!K262+Sheet1!L262+Sheet1!M262+Sheet1!Q262+Sheet1!R262+Sheet1!S262+Sheet1!T262</f>
        <v/>
      </c>
      <c r="F262">
        <f>IF(ISNUMBER(E262),E262,"")</f>
        <v/>
      </c>
      <c r="G262">
        <f>IF(ISNUMBER(F262),_xlfn.RANK.EQ(F262,$F$2:$F$1031),"")</f>
        <v/>
      </c>
      <c r="H262">
        <f>INDEX(Sheet1!AH:AH,MATCH(A262,Sheet1!A:A,0))</f>
        <v/>
      </c>
    </row>
    <row r="263">
      <c r="A263" t="n">
        <v>549</v>
      </c>
      <c r="B263">
        <f>Sheet1!C263+Sheet1!D263+Sheet1!E263+Sheet1!F263+Sheet1!J263+Sheet1!K263+Sheet1!L263+Sheet1!M263</f>
        <v/>
      </c>
      <c r="C263">
        <f>IF(ISNUMBER(B263),B263,"")</f>
        <v/>
      </c>
      <c r="D263">
        <f>IF(ISNUMBER(C263),_xlfn.RANK.EQ(C263,$C$2:$C$1031),"")</f>
        <v/>
      </c>
      <c r="E263">
        <f>Sheet1!C263+Sheet1!D263+Sheet1!E263+Sheet1!F263+Sheet1!J263+Sheet1!K263+Sheet1!L263+Sheet1!M263+Sheet1!Q263+Sheet1!R263+Sheet1!S263+Sheet1!T263</f>
        <v/>
      </c>
      <c r="F263">
        <f>IF(ISNUMBER(E263),E263,"")</f>
        <v/>
      </c>
      <c r="G263">
        <f>IF(ISNUMBER(F263),_xlfn.RANK.EQ(F263,$F$2:$F$1031),"")</f>
        <v/>
      </c>
      <c r="H263">
        <f>INDEX(Sheet1!AH:AH,MATCH(A263,Sheet1!A:A,0))</f>
        <v/>
      </c>
    </row>
    <row r="264">
      <c r="A264" t="n">
        <v>550</v>
      </c>
      <c r="B264">
        <f>Sheet1!C264+Sheet1!D264+Sheet1!E264+Sheet1!F264+Sheet1!J264+Sheet1!K264+Sheet1!L264+Sheet1!M264</f>
        <v/>
      </c>
      <c r="C264">
        <f>IF(ISNUMBER(B264),B264,"")</f>
        <v/>
      </c>
      <c r="D264">
        <f>IF(ISNUMBER(C264),_xlfn.RANK.EQ(C264,$C$2:$C$1031),"")</f>
        <v/>
      </c>
      <c r="E264">
        <f>Sheet1!C264+Sheet1!D264+Sheet1!E264+Sheet1!F264+Sheet1!J264+Sheet1!K264+Sheet1!L264+Sheet1!M264+Sheet1!Q264+Sheet1!R264+Sheet1!S264+Sheet1!T264</f>
        <v/>
      </c>
      <c r="F264">
        <f>IF(ISNUMBER(E264),E264,"")</f>
        <v/>
      </c>
      <c r="G264">
        <f>IF(ISNUMBER(F264),_xlfn.RANK.EQ(F264,$F$2:$F$1031),"")</f>
        <v/>
      </c>
      <c r="H264">
        <f>INDEX(Sheet1!AH:AH,MATCH(A264,Sheet1!A:A,0))</f>
        <v/>
      </c>
    </row>
    <row r="265">
      <c r="A265" t="n">
        <v>551</v>
      </c>
      <c r="B265">
        <f>Sheet1!C265+Sheet1!D265+Sheet1!E265+Sheet1!F265+Sheet1!J265+Sheet1!K265+Sheet1!L265+Sheet1!M265</f>
        <v/>
      </c>
      <c r="C265">
        <f>IF(ISNUMBER(B265),B265,"")</f>
        <v/>
      </c>
      <c r="D265">
        <f>IF(ISNUMBER(C265),_xlfn.RANK.EQ(C265,$C$2:$C$1031),"")</f>
        <v/>
      </c>
      <c r="E265">
        <f>Sheet1!C265+Sheet1!D265+Sheet1!E265+Sheet1!F265+Sheet1!J265+Sheet1!K265+Sheet1!L265+Sheet1!M265+Sheet1!Q265+Sheet1!R265+Sheet1!S265+Sheet1!T265</f>
        <v/>
      </c>
      <c r="F265">
        <f>IF(ISNUMBER(E265),E265,"")</f>
        <v/>
      </c>
      <c r="G265">
        <f>IF(ISNUMBER(F265),_xlfn.RANK.EQ(F265,$F$2:$F$1031),"")</f>
        <v/>
      </c>
      <c r="H265">
        <f>INDEX(Sheet1!AH:AH,MATCH(A265,Sheet1!A:A,0))</f>
        <v/>
      </c>
    </row>
    <row r="266">
      <c r="A266" t="n">
        <v>552</v>
      </c>
      <c r="B266">
        <f>Sheet1!C266+Sheet1!D266+Sheet1!E266+Sheet1!F266+Sheet1!J266+Sheet1!K266+Sheet1!L266+Sheet1!M266</f>
        <v/>
      </c>
      <c r="C266">
        <f>IF(ISNUMBER(B266),B266,"")</f>
        <v/>
      </c>
      <c r="D266">
        <f>IF(ISNUMBER(C266),_xlfn.RANK.EQ(C266,$C$2:$C$1031),"")</f>
        <v/>
      </c>
      <c r="E266">
        <f>Sheet1!C266+Sheet1!D266+Sheet1!E266+Sheet1!F266+Sheet1!J266+Sheet1!K266+Sheet1!L266+Sheet1!M266+Sheet1!Q266+Sheet1!R266+Sheet1!S266+Sheet1!T266</f>
        <v/>
      </c>
      <c r="F266">
        <f>IF(ISNUMBER(E266),E266,"")</f>
        <v/>
      </c>
      <c r="G266">
        <f>IF(ISNUMBER(F266),_xlfn.RANK.EQ(F266,$F$2:$F$1031),"")</f>
        <v/>
      </c>
      <c r="H266">
        <f>INDEX(Sheet1!AH:AH,MATCH(A266,Sheet1!A:A,0))</f>
        <v/>
      </c>
    </row>
    <row r="267">
      <c r="A267" t="n">
        <v>553</v>
      </c>
      <c r="B267">
        <f>Sheet1!C267+Sheet1!D267+Sheet1!E267+Sheet1!F267+Sheet1!J267+Sheet1!K267+Sheet1!L267+Sheet1!M267</f>
        <v/>
      </c>
      <c r="C267">
        <f>IF(ISNUMBER(B267),B267,"")</f>
        <v/>
      </c>
      <c r="D267">
        <f>IF(ISNUMBER(C267),_xlfn.RANK.EQ(C267,$C$2:$C$1031),"")</f>
        <v/>
      </c>
      <c r="E267">
        <f>Sheet1!C267+Sheet1!D267+Sheet1!E267+Sheet1!F267+Sheet1!J267+Sheet1!K267+Sheet1!L267+Sheet1!M267+Sheet1!Q267+Sheet1!R267+Sheet1!S267+Sheet1!T267</f>
        <v/>
      </c>
      <c r="F267">
        <f>IF(ISNUMBER(E267),E267,"")</f>
        <v/>
      </c>
      <c r="G267">
        <f>IF(ISNUMBER(F267),_xlfn.RANK.EQ(F267,$F$2:$F$1031),"")</f>
        <v/>
      </c>
      <c r="H267">
        <f>INDEX(Sheet1!AH:AH,MATCH(A267,Sheet1!A:A,0))</f>
        <v/>
      </c>
    </row>
    <row r="268">
      <c r="A268" t="n">
        <v>563</v>
      </c>
      <c r="B268">
        <f>Sheet1!C268+Sheet1!D268+Sheet1!E268+Sheet1!F268+Sheet1!J268+Sheet1!K268+Sheet1!L268+Sheet1!M268</f>
        <v/>
      </c>
      <c r="C268">
        <f>IF(ISNUMBER(B268),B268,"")</f>
        <v/>
      </c>
      <c r="D268">
        <f>IF(ISNUMBER(C268),_xlfn.RANK.EQ(C268,$C$2:$C$1031),"")</f>
        <v/>
      </c>
      <c r="E268">
        <f>Sheet1!C268+Sheet1!D268+Sheet1!E268+Sheet1!F268+Sheet1!J268+Sheet1!K268+Sheet1!L268+Sheet1!M268+Sheet1!Q268+Sheet1!R268+Sheet1!S268+Sheet1!T268</f>
        <v/>
      </c>
      <c r="F268">
        <f>IF(ISNUMBER(E268),E268,"")</f>
        <v/>
      </c>
      <c r="G268">
        <f>IF(ISNUMBER(F268),_xlfn.RANK.EQ(F268,$F$2:$F$1031),"")</f>
        <v/>
      </c>
      <c r="H268">
        <f>INDEX(Sheet1!AH:AH,MATCH(A268,Sheet1!A:A,0))</f>
        <v/>
      </c>
    </row>
    <row r="269">
      <c r="A269" t="n">
        <v>564</v>
      </c>
      <c r="B269">
        <f>Sheet1!C269+Sheet1!D269+Sheet1!E269+Sheet1!F269+Sheet1!J269+Sheet1!K269+Sheet1!L269+Sheet1!M269</f>
        <v/>
      </c>
      <c r="C269">
        <f>IF(ISNUMBER(B269),B269,"")</f>
        <v/>
      </c>
      <c r="D269">
        <f>IF(ISNUMBER(C269),_xlfn.RANK.EQ(C269,$C$2:$C$1031),"")</f>
        <v/>
      </c>
      <c r="E269">
        <f>Sheet1!C269+Sheet1!D269+Sheet1!E269+Sheet1!F269+Sheet1!J269+Sheet1!K269+Sheet1!L269+Sheet1!M269+Sheet1!Q269+Sheet1!R269+Sheet1!S269+Sheet1!T269</f>
        <v/>
      </c>
      <c r="F269">
        <f>IF(ISNUMBER(E269),E269,"")</f>
        <v/>
      </c>
      <c r="G269">
        <f>IF(ISNUMBER(F269),_xlfn.RANK.EQ(F269,$F$2:$F$1031),"")</f>
        <v/>
      </c>
      <c r="H269">
        <f>INDEX(Sheet1!AH:AH,MATCH(A269,Sheet1!A:A,0))</f>
        <v/>
      </c>
    </row>
    <row r="270">
      <c r="A270" t="n">
        <v>567</v>
      </c>
      <c r="B270">
        <f>Sheet1!C270+Sheet1!D270+Sheet1!E270+Sheet1!F270+Sheet1!J270+Sheet1!K270+Sheet1!L270+Sheet1!M270</f>
        <v/>
      </c>
      <c r="C270">
        <f>IF(ISNUMBER(B270),B270,"")</f>
        <v/>
      </c>
      <c r="D270">
        <f>IF(ISNUMBER(C270),_xlfn.RANK.EQ(C270,$C$2:$C$1031),"")</f>
        <v/>
      </c>
      <c r="E270">
        <f>Sheet1!C270+Sheet1!D270+Sheet1!E270+Sheet1!F270+Sheet1!J270+Sheet1!K270+Sheet1!L270+Sheet1!M270+Sheet1!Q270+Sheet1!R270+Sheet1!S270+Sheet1!T270</f>
        <v/>
      </c>
      <c r="F270">
        <f>IF(ISNUMBER(E270),E270,"")</f>
        <v/>
      </c>
      <c r="G270">
        <f>IF(ISNUMBER(F270),_xlfn.RANK.EQ(F270,$F$2:$F$1031),"")</f>
        <v/>
      </c>
      <c r="H270">
        <f>INDEX(Sheet1!AH:AH,MATCH(A270,Sheet1!A:A,0))</f>
        <v/>
      </c>
    </row>
    <row r="271">
      <c r="A271" t="n">
        <v>572</v>
      </c>
      <c r="B271">
        <f>Sheet1!C271+Sheet1!D271+Sheet1!E271+Sheet1!F271+Sheet1!J271+Sheet1!K271+Sheet1!L271+Sheet1!M271</f>
        <v/>
      </c>
      <c r="C271">
        <f>IF(ISNUMBER(B271),B271,"")</f>
        <v/>
      </c>
      <c r="D271">
        <f>IF(ISNUMBER(C271),_xlfn.RANK.EQ(C271,$C$2:$C$1031),"")</f>
        <v/>
      </c>
      <c r="E271">
        <f>Sheet1!C271+Sheet1!D271+Sheet1!E271+Sheet1!F271+Sheet1!J271+Sheet1!K271+Sheet1!L271+Sheet1!M271+Sheet1!Q271+Sheet1!R271+Sheet1!S271+Sheet1!T271</f>
        <v/>
      </c>
      <c r="F271">
        <f>IF(ISNUMBER(E271),E271,"")</f>
        <v/>
      </c>
      <c r="G271">
        <f>IF(ISNUMBER(F271),_xlfn.RANK.EQ(F271,$F$2:$F$1031),"")</f>
        <v/>
      </c>
      <c r="H271">
        <f>INDEX(Sheet1!AH:AH,MATCH(A271,Sheet1!A:A,0))</f>
        <v/>
      </c>
    </row>
    <row r="272">
      <c r="A272" t="n">
        <v>573</v>
      </c>
      <c r="B272">
        <f>Sheet1!C272+Sheet1!D272+Sheet1!E272+Sheet1!F272+Sheet1!J272+Sheet1!K272+Sheet1!L272+Sheet1!M272</f>
        <v/>
      </c>
      <c r="C272">
        <f>IF(ISNUMBER(B272),B272,"")</f>
        <v/>
      </c>
      <c r="D272">
        <f>IF(ISNUMBER(C272),_xlfn.RANK.EQ(C272,$C$2:$C$1031),"")</f>
        <v/>
      </c>
      <c r="E272">
        <f>Sheet1!C272+Sheet1!D272+Sheet1!E272+Sheet1!F272+Sheet1!J272+Sheet1!K272+Sheet1!L272+Sheet1!M272+Sheet1!Q272+Sheet1!R272+Sheet1!S272+Sheet1!T272</f>
        <v/>
      </c>
      <c r="F272">
        <f>IF(ISNUMBER(E272),E272,"")</f>
        <v/>
      </c>
      <c r="G272">
        <f>IF(ISNUMBER(F272),_xlfn.RANK.EQ(F272,$F$2:$F$1031),"")</f>
        <v/>
      </c>
      <c r="H272">
        <f>INDEX(Sheet1!AH:AH,MATCH(A272,Sheet1!A:A,0))</f>
        <v/>
      </c>
    </row>
    <row r="273">
      <c r="A273" t="n">
        <v>595</v>
      </c>
      <c r="B273">
        <f>Sheet1!C273+Sheet1!D273+Sheet1!E273+Sheet1!F273+Sheet1!J273+Sheet1!K273+Sheet1!L273+Sheet1!M273</f>
        <v/>
      </c>
      <c r="C273">
        <f>IF(ISNUMBER(B273),B273,"")</f>
        <v/>
      </c>
      <c r="D273">
        <f>IF(ISNUMBER(C273),_xlfn.RANK.EQ(C273,$C$2:$C$1031),"")</f>
        <v/>
      </c>
      <c r="E273">
        <f>Sheet1!C273+Sheet1!D273+Sheet1!E273+Sheet1!F273+Sheet1!J273+Sheet1!K273+Sheet1!L273+Sheet1!M273+Sheet1!Q273+Sheet1!R273+Sheet1!S273+Sheet1!T273</f>
        <v/>
      </c>
      <c r="F273">
        <f>IF(ISNUMBER(E273),E273,"")</f>
        <v/>
      </c>
      <c r="G273">
        <f>IF(ISNUMBER(F273),_xlfn.RANK.EQ(F273,$F$2:$F$1031),"")</f>
        <v/>
      </c>
      <c r="H273">
        <f>INDEX(Sheet1!AH:AH,MATCH(A273,Sheet1!A:A,0))</f>
        <v/>
      </c>
    </row>
    <row r="274">
      <c r="A274" t="n">
        <v>596</v>
      </c>
      <c r="B274">
        <f>Sheet1!C274+Sheet1!D274+Sheet1!E274+Sheet1!F274+Sheet1!J274+Sheet1!K274+Sheet1!L274+Sheet1!M274</f>
        <v/>
      </c>
      <c r="C274">
        <f>IF(ISNUMBER(B274),B274,"")</f>
        <v/>
      </c>
      <c r="D274">
        <f>IF(ISNUMBER(C274),_xlfn.RANK.EQ(C274,$C$2:$C$1031),"")</f>
        <v/>
      </c>
      <c r="E274">
        <f>Sheet1!C274+Sheet1!D274+Sheet1!E274+Sheet1!F274+Sheet1!J274+Sheet1!K274+Sheet1!L274+Sheet1!M274+Sheet1!Q274+Sheet1!R274+Sheet1!S274+Sheet1!T274</f>
        <v/>
      </c>
      <c r="F274">
        <f>IF(ISNUMBER(E274),E274,"")</f>
        <v/>
      </c>
      <c r="G274">
        <f>IF(ISNUMBER(F274),_xlfn.RANK.EQ(F274,$F$2:$F$1031),"")</f>
        <v/>
      </c>
      <c r="H274">
        <f>INDEX(Sheet1!AH:AH,MATCH(A274,Sheet1!A:A,0))</f>
        <v/>
      </c>
    </row>
    <row r="275">
      <c r="A275" t="n">
        <v>603</v>
      </c>
      <c r="B275">
        <f>Sheet1!C275+Sheet1!D275+Sheet1!E275+Sheet1!F275+Sheet1!J275+Sheet1!K275+Sheet1!L275+Sheet1!M275</f>
        <v/>
      </c>
      <c r="C275">
        <f>IF(ISNUMBER(B275),B275,"")</f>
        <v/>
      </c>
      <c r="D275">
        <f>IF(ISNUMBER(C275),_xlfn.RANK.EQ(C275,$C$2:$C$1031),"")</f>
        <v/>
      </c>
      <c r="E275">
        <f>Sheet1!C275+Sheet1!D275+Sheet1!E275+Sheet1!F275+Sheet1!J275+Sheet1!K275+Sheet1!L275+Sheet1!M275+Sheet1!Q275+Sheet1!R275+Sheet1!S275+Sheet1!T275</f>
        <v/>
      </c>
      <c r="F275">
        <f>IF(ISNUMBER(E275),E275,"")</f>
        <v/>
      </c>
      <c r="G275">
        <f>IF(ISNUMBER(F275),_xlfn.RANK.EQ(F275,$F$2:$F$1031),"")</f>
        <v/>
      </c>
      <c r="H275">
        <f>INDEX(Sheet1!AH:AH,MATCH(A275,Sheet1!A:A,0))</f>
        <v/>
      </c>
    </row>
    <row r="276">
      <c r="A276" t="n">
        <v>605</v>
      </c>
      <c r="B276">
        <f>Sheet1!C276+Sheet1!D276+Sheet1!E276+Sheet1!F276+Sheet1!J276+Sheet1!K276+Sheet1!L276+Sheet1!M276</f>
        <v/>
      </c>
      <c r="C276">
        <f>IF(ISNUMBER(B276),B276,"")</f>
        <v/>
      </c>
      <c r="D276">
        <f>IF(ISNUMBER(C276),_xlfn.RANK.EQ(C276,$C$2:$C$1031),"")</f>
        <v/>
      </c>
      <c r="E276">
        <f>Sheet1!C276+Sheet1!D276+Sheet1!E276+Sheet1!F276+Sheet1!J276+Sheet1!K276+Sheet1!L276+Sheet1!M276+Sheet1!Q276+Sheet1!R276+Sheet1!S276+Sheet1!T276</f>
        <v/>
      </c>
      <c r="F276">
        <f>IF(ISNUMBER(E276),E276,"")</f>
        <v/>
      </c>
      <c r="G276">
        <f>IF(ISNUMBER(F276),_xlfn.RANK.EQ(F276,$F$2:$F$1031),"")</f>
        <v/>
      </c>
      <c r="H276">
        <f>INDEX(Sheet1!AH:AH,MATCH(A276,Sheet1!A:A,0))</f>
        <v/>
      </c>
    </row>
    <row r="277">
      <c r="A277" t="n">
        <v>606</v>
      </c>
      <c r="B277">
        <f>Sheet1!C277+Sheet1!D277+Sheet1!E277+Sheet1!F277+Sheet1!J277+Sheet1!K277+Sheet1!L277+Sheet1!M277</f>
        <v/>
      </c>
      <c r="C277">
        <f>IF(ISNUMBER(B277),B277,"")</f>
        <v/>
      </c>
      <c r="D277">
        <f>IF(ISNUMBER(C277),_xlfn.RANK.EQ(C277,$C$2:$C$1031),"")</f>
        <v/>
      </c>
      <c r="E277">
        <f>Sheet1!C277+Sheet1!D277+Sheet1!E277+Sheet1!F277+Sheet1!J277+Sheet1!K277+Sheet1!L277+Sheet1!M277+Sheet1!Q277+Sheet1!R277+Sheet1!S277+Sheet1!T277</f>
        <v/>
      </c>
      <c r="F277">
        <f>IF(ISNUMBER(E277),E277,"")</f>
        <v/>
      </c>
      <c r="G277">
        <f>IF(ISNUMBER(F277),_xlfn.RANK.EQ(F277,$F$2:$F$1031),"")</f>
        <v/>
      </c>
      <c r="H277">
        <f>INDEX(Sheet1!AH:AH,MATCH(A277,Sheet1!A:A,0))</f>
        <v/>
      </c>
    </row>
    <row r="278">
      <c r="A278" t="n">
        <v>607</v>
      </c>
      <c r="B278">
        <f>Sheet1!C278+Sheet1!D278+Sheet1!E278+Sheet1!F278+Sheet1!J278+Sheet1!K278+Sheet1!L278+Sheet1!M278</f>
        <v/>
      </c>
      <c r="C278">
        <f>IF(ISNUMBER(B278),B278,"")</f>
        <v/>
      </c>
      <c r="D278">
        <f>IF(ISNUMBER(C278),_xlfn.RANK.EQ(C278,$C$2:$C$1031),"")</f>
        <v/>
      </c>
      <c r="E278">
        <f>Sheet1!C278+Sheet1!D278+Sheet1!E278+Sheet1!F278+Sheet1!J278+Sheet1!K278+Sheet1!L278+Sheet1!M278+Sheet1!Q278+Sheet1!R278+Sheet1!S278+Sheet1!T278</f>
        <v/>
      </c>
      <c r="F278">
        <f>IF(ISNUMBER(E278),E278,"")</f>
        <v/>
      </c>
      <c r="G278">
        <f>IF(ISNUMBER(F278),_xlfn.RANK.EQ(F278,$F$2:$F$1031),"")</f>
        <v/>
      </c>
      <c r="H278">
        <f>INDEX(Sheet1!AH:AH,MATCH(A278,Sheet1!A:A,0))</f>
        <v/>
      </c>
    </row>
    <row r="279">
      <c r="A279" t="n">
        <v>608</v>
      </c>
      <c r="B279">
        <f>Sheet1!C279+Sheet1!D279+Sheet1!E279+Sheet1!F279+Sheet1!J279+Sheet1!K279+Sheet1!L279+Sheet1!M279</f>
        <v/>
      </c>
      <c r="C279">
        <f>IF(ISNUMBER(B279),B279,"")</f>
        <v/>
      </c>
      <c r="D279">
        <f>IF(ISNUMBER(C279),_xlfn.RANK.EQ(C279,$C$2:$C$1031),"")</f>
        <v/>
      </c>
      <c r="E279">
        <f>Sheet1!C279+Sheet1!D279+Sheet1!E279+Sheet1!F279+Sheet1!J279+Sheet1!K279+Sheet1!L279+Sheet1!M279+Sheet1!Q279+Sheet1!R279+Sheet1!S279+Sheet1!T279</f>
        <v/>
      </c>
      <c r="F279">
        <f>IF(ISNUMBER(E279),E279,"")</f>
        <v/>
      </c>
      <c r="G279">
        <f>IF(ISNUMBER(F279),_xlfn.RANK.EQ(F279,$F$2:$F$1031),"")</f>
        <v/>
      </c>
      <c r="H279">
        <f>INDEX(Sheet1!AH:AH,MATCH(A279,Sheet1!A:A,0))</f>
        <v/>
      </c>
    </row>
    <row r="280">
      <c r="A280" t="n">
        <v>609</v>
      </c>
      <c r="B280">
        <f>Sheet1!C280+Sheet1!D280+Sheet1!E280+Sheet1!F280+Sheet1!J280+Sheet1!K280+Sheet1!L280+Sheet1!M280</f>
        <v/>
      </c>
      <c r="C280">
        <f>IF(ISNUMBER(B280),B280,"")</f>
        <v/>
      </c>
      <c r="D280">
        <f>IF(ISNUMBER(C280),_xlfn.RANK.EQ(C280,$C$2:$C$1031),"")</f>
        <v/>
      </c>
      <c r="E280">
        <f>Sheet1!C280+Sheet1!D280+Sheet1!E280+Sheet1!F280+Sheet1!J280+Sheet1!K280+Sheet1!L280+Sheet1!M280+Sheet1!Q280+Sheet1!R280+Sheet1!S280+Sheet1!T280</f>
        <v/>
      </c>
      <c r="F280">
        <f>IF(ISNUMBER(E280),E280,"")</f>
        <v/>
      </c>
      <c r="G280">
        <f>IF(ISNUMBER(F280),_xlfn.RANK.EQ(F280,$F$2:$F$1031),"")</f>
        <v/>
      </c>
      <c r="H280">
        <f>INDEX(Sheet1!AH:AH,MATCH(A280,Sheet1!A:A,0))</f>
        <v/>
      </c>
    </row>
    <row r="281">
      <c r="A281" t="n">
        <v>610</v>
      </c>
      <c r="B281">
        <f>Sheet1!C281+Sheet1!D281+Sheet1!E281+Sheet1!F281+Sheet1!J281+Sheet1!K281+Sheet1!L281+Sheet1!M281</f>
        <v/>
      </c>
      <c r="C281">
        <f>IF(ISNUMBER(B281),B281,"")</f>
        <v/>
      </c>
      <c r="D281">
        <f>IF(ISNUMBER(C281),_xlfn.RANK.EQ(C281,$C$2:$C$1031),"")</f>
        <v/>
      </c>
      <c r="E281">
        <f>Sheet1!C281+Sheet1!D281+Sheet1!E281+Sheet1!F281+Sheet1!J281+Sheet1!K281+Sheet1!L281+Sheet1!M281+Sheet1!Q281+Sheet1!R281+Sheet1!S281+Sheet1!T281</f>
        <v/>
      </c>
      <c r="F281">
        <f>IF(ISNUMBER(E281),E281,"")</f>
        <v/>
      </c>
      <c r="G281">
        <f>IF(ISNUMBER(F281),_xlfn.RANK.EQ(F281,$F$2:$F$1031),"")</f>
        <v/>
      </c>
      <c r="H281">
        <f>INDEX(Sheet1!AH:AH,MATCH(A281,Sheet1!A:A,0))</f>
        <v/>
      </c>
    </row>
    <row r="282">
      <c r="A282" t="n">
        <v>613</v>
      </c>
      <c r="B282">
        <f>Sheet1!C282+Sheet1!D282+Sheet1!E282+Sheet1!F282+Sheet1!J282+Sheet1!K282+Sheet1!L282+Sheet1!M282</f>
        <v/>
      </c>
      <c r="C282">
        <f>IF(ISNUMBER(B282),B282,"")</f>
        <v/>
      </c>
      <c r="D282">
        <f>IF(ISNUMBER(C282),_xlfn.RANK.EQ(C282,$C$2:$C$1031),"")</f>
        <v/>
      </c>
      <c r="E282">
        <f>Sheet1!C282+Sheet1!D282+Sheet1!E282+Sheet1!F282+Sheet1!J282+Sheet1!K282+Sheet1!L282+Sheet1!M282+Sheet1!Q282+Sheet1!R282+Sheet1!S282+Sheet1!T282</f>
        <v/>
      </c>
      <c r="F282">
        <f>IF(ISNUMBER(E282),E282,"")</f>
        <v/>
      </c>
      <c r="G282">
        <f>IF(ISNUMBER(F282),_xlfn.RANK.EQ(F282,$F$2:$F$1031),"")</f>
        <v/>
      </c>
      <c r="H282">
        <f>INDEX(Sheet1!AH:AH,MATCH(A282,Sheet1!A:A,0))</f>
        <v/>
      </c>
    </row>
    <row r="283">
      <c r="A283" t="n">
        <v>614</v>
      </c>
      <c r="B283">
        <f>Sheet1!C283+Sheet1!D283+Sheet1!E283+Sheet1!F283+Sheet1!J283+Sheet1!K283+Sheet1!L283+Sheet1!M283</f>
        <v/>
      </c>
      <c r="C283">
        <f>IF(ISNUMBER(B283),B283,"")</f>
        <v/>
      </c>
      <c r="D283">
        <f>IF(ISNUMBER(C283),_xlfn.RANK.EQ(C283,$C$2:$C$1031),"")</f>
        <v/>
      </c>
      <c r="E283">
        <f>Sheet1!C283+Sheet1!D283+Sheet1!E283+Sheet1!F283+Sheet1!J283+Sheet1!K283+Sheet1!L283+Sheet1!M283+Sheet1!Q283+Sheet1!R283+Sheet1!S283+Sheet1!T283</f>
        <v/>
      </c>
      <c r="F283">
        <f>IF(ISNUMBER(E283),E283,"")</f>
        <v/>
      </c>
      <c r="G283">
        <f>IF(ISNUMBER(F283),_xlfn.RANK.EQ(F283,$F$2:$F$1031),"")</f>
        <v/>
      </c>
      <c r="H283">
        <f>INDEX(Sheet1!AH:AH,MATCH(A283,Sheet1!A:A,0))</f>
        <v/>
      </c>
    </row>
    <row r="284">
      <c r="A284" t="n">
        <v>615</v>
      </c>
      <c r="B284">
        <f>Sheet1!C284+Sheet1!D284+Sheet1!E284+Sheet1!F284+Sheet1!J284+Sheet1!K284+Sheet1!L284+Sheet1!M284</f>
        <v/>
      </c>
      <c r="C284">
        <f>IF(ISNUMBER(B284),B284,"")</f>
        <v/>
      </c>
      <c r="D284">
        <f>IF(ISNUMBER(C284),_xlfn.RANK.EQ(C284,$C$2:$C$1031),"")</f>
        <v/>
      </c>
      <c r="E284">
        <f>Sheet1!C284+Sheet1!D284+Sheet1!E284+Sheet1!F284+Sheet1!J284+Sheet1!K284+Sheet1!L284+Sheet1!M284+Sheet1!Q284+Sheet1!R284+Sheet1!S284+Sheet1!T284</f>
        <v/>
      </c>
      <c r="F284">
        <f>IF(ISNUMBER(E284),E284,"")</f>
        <v/>
      </c>
      <c r="G284">
        <f>IF(ISNUMBER(F284),_xlfn.RANK.EQ(F284,$F$2:$F$1031),"")</f>
        <v/>
      </c>
      <c r="H284">
        <f>INDEX(Sheet1!AH:AH,MATCH(A284,Sheet1!A:A,0))</f>
        <v/>
      </c>
    </row>
    <row r="285">
      <c r="A285" t="n">
        <v>616</v>
      </c>
      <c r="B285">
        <f>Sheet1!C285+Sheet1!D285+Sheet1!E285+Sheet1!F285+Sheet1!J285+Sheet1!K285+Sheet1!L285+Sheet1!M285</f>
        <v/>
      </c>
      <c r="C285">
        <f>IF(ISNUMBER(B285),B285,"")</f>
        <v/>
      </c>
      <c r="D285">
        <f>IF(ISNUMBER(C285),_xlfn.RANK.EQ(C285,$C$2:$C$1031),"")</f>
        <v/>
      </c>
      <c r="E285">
        <f>Sheet1!C285+Sheet1!D285+Sheet1!E285+Sheet1!F285+Sheet1!J285+Sheet1!K285+Sheet1!L285+Sheet1!M285+Sheet1!Q285+Sheet1!R285+Sheet1!S285+Sheet1!T285</f>
        <v/>
      </c>
      <c r="F285">
        <f>IF(ISNUMBER(E285),E285,"")</f>
        <v/>
      </c>
      <c r="G285">
        <f>IF(ISNUMBER(F285),_xlfn.RANK.EQ(F285,$F$2:$F$1031),"")</f>
        <v/>
      </c>
      <c r="H285">
        <f>INDEX(Sheet1!AH:AH,MATCH(A285,Sheet1!A:A,0))</f>
        <v/>
      </c>
    </row>
    <row r="286">
      <c r="A286" t="n">
        <v>629</v>
      </c>
      <c r="B286">
        <f>Sheet1!C286+Sheet1!D286+Sheet1!E286+Sheet1!F286+Sheet1!J286+Sheet1!K286+Sheet1!L286+Sheet1!M286</f>
        <v/>
      </c>
      <c r="C286">
        <f>IF(ISNUMBER(B286),B286,"")</f>
        <v/>
      </c>
      <c r="D286">
        <f>IF(ISNUMBER(C286),_xlfn.RANK.EQ(C286,$C$2:$C$1031),"")</f>
        <v/>
      </c>
      <c r="E286">
        <f>Sheet1!C286+Sheet1!D286+Sheet1!E286+Sheet1!F286+Sheet1!J286+Sheet1!K286+Sheet1!L286+Sheet1!M286+Sheet1!Q286+Sheet1!R286+Sheet1!S286+Sheet1!T286</f>
        <v/>
      </c>
      <c r="F286">
        <f>IF(ISNUMBER(E286),E286,"")</f>
        <v/>
      </c>
      <c r="G286">
        <f>IF(ISNUMBER(F286),_xlfn.RANK.EQ(F286,$F$2:$F$1031),"")</f>
        <v/>
      </c>
      <c r="H286">
        <f>INDEX(Sheet1!AH:AH,MATCH(A286,Sheet1!A:A,0))</f>
        <v/>
      </c>
    </row>
    <row r="287">
      <c r="A287" t="n">
        <v>633</v>
      </c>
      <c r="B287">
        <f>Sheet1!C287+Sheet1!D287+Sheet1!E287+Sheet1!F287+Sheet1!J287+Sheet1!K287+Sheet1!L287+Sheet1!M287</f>
        <v/>
      </c>
      <c r="C287">
        <f>IF(ISNUMBER(B287),B287,"")</f>
        <v/>
      </c>
      <c r="D287">
        <f>IF(ISNUMBER(C287),_xlfn.RANK.EQ(C287,$C$2:$C$1031),"")</f>
        <v/>
      </c>
      <c r="E287">
        <f>Sheet1!C287+Sheet1!D287+Sheet1!E287+Sheet1!F287+Sheet1!J287+Sheet1!K287+Sheet1!L287+Sheet1!M287+Sheet1!Q287+Sheet1!R287+Sheet1!S287+Sheet1!T287</f>
        <v/>
      </c>
      <c r="F287">
        <f>IF(ISNUMBER(E287),E287,"")</f>
        <v/>
      </c>
      <c r="G287">
        <f>IF(ISNUMBER(F287),_xlfn.RANK.EQ(F287,$F$2:$F$1031),"")</f>
        <v/>
      </c>
      <c r="H287">
        <f>INDEX(Sheet1!AH:AH,MATCH(A287,Sheet1!A:A,0))</f>
        <v/>
      </c>
    </row>
    <row r="288">
      <c r="A288" t="n">
        <v>637</v>
      </c>
      <c r="B288">
        <f>Sheet1!C288+Sheet1!D288+Sheet1!E288+Sheet1!F288+Sheet1!J288+Sheet1!K288+Sheet1!L288+Sheet1!M288</f>
        <v/>
      </c>
      <c r="C288">
        <f>IF(ISNUMBER(B288),B288,"")</f>
        <v/>
      </c>
      <c r="D288">
        <f>IF(ISNUMBER(C288),_xlfn.RANK.EQ(C288,$C$2:$C$1031),"")</f>
        <v/>
      </c>
      <c r="E288">
        <f>Sheet1!C288+Sheet1!D288+Sheet1!E288+Sheet1!F288+Sheet1!J288+Sheet1!K288+Sheet1!L288+Sheet1!M288+Sheet1!Q288+Sheet1!R288+Sheet1!S288+Sheet1!T288</f>
        <v/>
      </c>
      <c r="F288">
        <f>IF(ISNUMBER(E288),E288,"")</f>
        <v/>
      </c>
      <c r="G288">
        <f>IF(ISNUMBER(F288),_xlfn.RANK.EQ(F288,$F$2:$F$1031),"")</f>
        <v/>
      </c>
      <c r="H288">
        <f>INDEX(Sheet1!AH:AH,MATCH(A288,Sheet1!A:A,0))</f>
        <v/>
      </c>
    </row>
    <row r="289">
      <c r="A289" t="n">
        <v>648</v>
      </c>
      <c r="B289">
        <f>Sheet1!C289+Sheet1!D289+Sheet1!E289+Sheet1!F289+Sheet1!J289+Sheet1!K289+Sheet1!L289+Sheet1!M289</f>
        <v/>
      </c>
      <c r="C289">
        <f>IF(ISNUMBER(B289),B289,"")</f>
        <v/>
      </c>
      <c r="D289">
        <f>IF(ISNUMBER(C289),_xlfn.RANK.EQ(C289,$C$2:$C$1031),"")</f>
        <v/>
      </c>
      <c r="E289">
        <f>Sheet1!C289+Sheet1!D289+Sheet1!E289+Sheet1!F289+Sheet1!J289+Sheet1!K289+Sheet1!L289+Sheet1!M289+Sheet1!Q289+Sheet1!R289+Sheet1!S289+Sheet1!T289</f>
        <v/>
      </c>
      <c r="F289">
        <f>IF(ISNUMBER(E289),E289,"")</f>
        <v/>
      </c>
      <c r="G289">
        <f>IF(ISNUMBER(F289),_xlfn.RANK.EQ(F289,$F$2:$F$1031),"")</f>
        <v/>
      </c>
      <c r="H289">
        <f>INDEX(Sheet1!AH:AH,MATCH(A289,Sheet1!A:A,0))</f>
        <v/>
      </c>
    </row>
    <row r="290">
      <c r="A290" t="n">
        <v>649</v>
      </c>
      <c r="B290">
        <f>Sheet1!C290+Sheet1!D290+Sheet1!E290+Sheet1!F290+Sheet1!J290+Sheet1!K290+Sheet1!L290+Sheet1!M290</f>
        <v/>
      </c>
      <c r="C290">
        <f>IF(ISNUMBER(B290),B290,"")</f>
        <v/>
      </c>
      <c r="D290">
        <f>IF(ISNUMBER(C290),_xlfn.RANK.EQ(C290,$C$2:$C$1031),"")</f>
        <v/>
      </c>
      <c r="E290">
        <f>Sheet1!C290+Sheet1!D290+Sheet1!E290+Sheet1!F290+Sheet1!J290+Sheet1!K290+Sheet1!L290+Sheet1!M290+Sheet1!Q290+Sheet1!R290+Sheet1!S290+Sheet1!T290</f>
        <v/>
      </c>
      <c r="F290">
        <f>IF(ISNUMBER(E290),E290,"")</f>
        <v/>
      </c>
      <c r="G290">
        <f>IF(ISNUMBER(F290),_xlfn.RANK.EQ(F290,$F$2:$F$1031),"")</f>
        <v/>
      </c>
      <c r="H290">
        <f>INDEX(Sheet1!AH:AH,MATCH(A290,Sheet1!A:A,0))</f>
        <v/>
      </c>
    </row>
    <row r="291">
      <c r="A291" t="n">
        <v>660</v>
      </c>
      <c r="B291">
        <f>Sheet1!C291+Sheet1!D291+Sheet1!E291+Sheet1!F291+Sheet1!J291+Sheet1!K291+Sheet1!L291+Sheet1!M291</f>
        <v/>
      </c>
      <c r="C291">
        <f>IF(ISNUMBER(B291),B291,"")</f>
        <v/>
      </c>
      <c r="D291">
        <f>IF(ISNUMBER(C291),_xlfn.RANK.EQ(C291,$C$2:$C$1031),"")</f>
        <v/>
      </c>
      <c r="E291">
        <f>Sheet1!C291+Sheet1!D291+Sheet1!E291+Sheet1!F291+Sheet1!J291+Sheet1!K291+Sheet1!L291+Sheet1!M291+Sheet1!Q291+Sheet1!R291+Sheet1!S291+Sheet1!T291</f>
        <v/>
      </c>
      <c r="F291">
        <f>IF(ISNUMBER(E291),E291,"")</f>
        <v/>
      </c>
      <c r="G291">
        <f>IF(ISNUMBER(F291),_xlfn.RANK.EQ(F291,$F$2:$F$1031),"")</f>
        <v/>
      </c>
      <c r="H291">
        <f>INDEX(Sheet1!AH:AH,MATCH(A291,Sheet1!A:A,0))</f>
        <v/>
      </c>
    </row>
    <row r="292">
      <c r="A292" t="n">
        <v>662</v>
      </c>
      <c r="B292">
        <f>Sheet1!C292+Sheet1!D292+Sheet1!E292+Sheet1!F292+Sheet1!J292+Sheet1!K292+Sheet1!L292+Sheet1!M292</f>
        <v/>
      </c>
      <c r="C292">
        <f>IF(ISNUMBER(B292),B292,"")</f>
        <v/>
      </c>
      <c r="D292">
        <f>IF(ISNUMBER(C292),_xlfn.RANK.EQ(C292,$C$2:$C$1031),"")</f>
        <v/>
      </c>
      <c r="E292">
        <f>Sheet1!C292+Sheet1!D292+Sheet1!E292+Sheet1!F292+Sheet1!J292+Sheet1!K292+Sheet1!L292+Sheet1!M292+Sheet1!Q292+Sheet1!R292+Sheet1!S292+Sheet1!T292</f>
        <v/>
      </c>
      <c r="F292">
        <f>IF(ISNUMBER(E292),E292,"")</f>
        <v/>
      </c>
      <c r="G292">
        <f>IF(ISNUMBER(F292),_xlfn.RANK.EQ(F292,$F$2:$F$1031),"")</f>
        <v/>
      </c>
      <c r="H292">
        <f>INDEX(Sheet1!AH:AH,MATCH(A292,Sheet1!A:A,0))</f>
        <v/>
      </c>
    </row>
    <row r="293">
      <c r="A293" t="n">
        <v>665</v>
      </c>
      <c r="B293">
        <f>Sheet1!C293+Sheet1!D293+Sheet1!E293+Sheet1!F293+Sheet1!J293+Sheet1!K293+Sheet1!L293+Sheet1!M293</f>
        <v/>
      </c>
      <c r="C293">
        <f>IF(ISNUMBER(B293),B293,"")</f>
        <v/>
      </c>
      <c r="D293">
        <f>IF(ISNUMBER(C293),_xlfn.RANK.EQ(C293,$C$2:$C$1031),"")</f>
        <v/>
      </c>
      <c r="E293">
        <f>Sheet1!C293+Sheet1!D293+Sheet1!E293+Sheet1!F293+Sheet1!J293+Sheet1!K293+Sheet1!L293+Sheet1!M293+Sheet1!Q293+Sheet1!R293+Sheet1!S293+Sheet1!T293</f>
        <v/>
      </c>
      <c r="F293">
        <f>IF(ISNUMBER(E293),E293,"")</f>
        <v/>
      </c>
      <c r="G293">
        <f>IF(ISNUMBER(F293),_xlfn.RANK.EQ(F293,$F$2:$F$1031),"")</f>
        <v/>
      </c>
      <c r="H293">
        <f>INDEX(Sheet1!AH:AH,MATCH(A293,Sheet1!A:A,0))</f>
        <v/>
      </c>
    </row>
    <row r="294">
      <c r="A294" t="n">
        <v>666</v>
      </c>
      <c r="B294">
        <f>Sheet1!C294+Sheet1!D294+Sheet1!E294+Sheet1!F294+Sheet1!J294+Sheet1!K294+Sheet1!L294+Sheet1!M294</f>
        <v/>
      </c>
      <c r="C294">
        <f>IF(ISNUMBER(B294),B294,"")</f>
        <v/>
      </c>
      <c r="D294">
        <f>IF(ISNUMBER(C294),_xlfn.RANK.EQ(C294,$C$2:$C$1031),"")</f>
        <v/>
      </c>
      <c r="E294">
        <f>Sheet1!C294+Sheet1!D294+Sheet1!E294+Sheet1!F294+Sheet1!J294+Sheet1!K294+Sheet1!L294+Sheet1!M294+Sheet1!Q294+Sheet1!R294+Sheet1!S294+Sheet1!T294</f>
        <v/>
      </c>
      <c r="F294">
        <f>IF(ISNUMBER(E294),E294,"")</f>
        <v/>
      </c>
      <c r="G294">
        <f>IF(ISNUMBER(F294),_xlfn.RANK.EQ(F294,$F$2:$F$1031),"")</f>
        <v/>
      </c>
      <c r="H294">
        <f>INDEX(Sheet1!AH:AH,MATCH(A294,Sheet1!A:A,0))</f>
        <v/>
      </c>
    </row>
    <row r="295">
      <c r="A295" t="n">
        <v>667</v>
      </c>
      <c r="B295">
        <f>Sheet1!C295+Sheet1!D295+Sheet1!E295+Sheet1!F295+Sheet1!J295+Sheet1!K295+Sheet1!L295+Sheet1!M295</f>
        <v/>
      </c>
      <c r="C295">
        <f>IF(ISNUMBER(B295),B295,"")</f>
        <v/>
      </c>
      <c r="D295">
        <f>IF(ISNUMBER(C295),_xlfn.RANK.EQ(C295,$C$2:$C$1031),"")</f>
        <v/>
      </c>
      <c r="E295">
        <f>Sheet1!C295+Sheet1!D295+Sheet1!E295+Sheet1!F295+Sheet1!J295+Sheet1!K295+Sheet1!L295+Sheet1!M295+Sheet1!Q295+Sheet1!R295+Sheet1!S295+Sheet1!T295</f>
        <v/>
      </c>
      <c r="F295">
        <f>IF(ISNUMBER(E295),E295,"")</f>
        <v/>
      </c>
      <c r="G295">
        <f>IF(ISNUMBER(F295),_xlfn.RANK.EQ(F295,$F$2:$F$1031),"")</f>
        <v/>
      </c>
      <c r="H295">
        <f>INDEX(Sheet1!AH:AH,MATCH(A295,Sheet1!A:A,0))</f>
        <v/>
      </c>
    </row>
    <row r="296">
      <c r="A296" t="n">
        <v>677</v>
      </c>
      <c r="B296">
        <f>Sheet1!C296+Sheet1!D296+Sheet1!E296+Sheet1!F296+Sheet1!J296+Sheet1!K296+Sheet1!L296+Sheet1!M296</f>
        <v/>
      </c>
      <c r="C296">
        <f>IF(ISNUMBER(B296),B296,"")</f>
        <v/>
      </c>
      <c r="D296">
        <f>IF(ISNUMBER(C296),_xlfn.RANK.EQ(C296,$C$2:$C$1031),"")</f>
        <v/>
      </c>
      <c r="E296">
        <f>Sheet1!C296+Sheet1!D296+Sheet1!E296+Sheet1!F296+Sheet1!J296+Sheet1!K296+Sheet1!L296+Sheet1!M296+Sheet1!Q296+Sheet1!R296+Sheet1!S296+Sheet1!T296</f>
        <v/>
      </c>
      <c r="F296">
        <f>IF(ISNUMBER(E296),E296,"")</f>
        <v/>
      </c>
      <c r="G296">
        <f>IF(ISNUMBER(F296),_xlfn.RANK.EQ(F296,$F$2:$F$1031),"")</f>
        <v/>
      </c>
      <c r="H296">
        <f>INDEX(Sheet1!AH:AH,MATCH(A296,Sheet1!A:A,0))</f>
        <v/>
      </c>
    </row>
    <row r="297">
      <c r="A297" t="n">
        <v>681</v>
      </c>
      <c r="B297">
        <f>Sheet1!C297+Sheet1!D297+Sheet1!E297+Sheet1!F297+Sheet1!J297+Sheet1!K297+Sheet1!L297+Sheet1!M297</f>
        <v/>
      </c>
      <c r="C297">
        <f>IF(ISNUMBER(B297),B297,"")</f>
        <v/>
      </c>
      <c r="D297">
        <f>IF(ISNUMBER(C297),_xlfn.RANK.EQ(C297,$C$2:$C$1031),"")</f>
        <v/>
      </c>
      <c r="E297">
        <f>Sheet1!C297+Sheet1!D297+Sheet1!E297+Sheet1!F297+Sheet1!J297+Sheet1!K297+Sheet1!L297+Sheet1!M297+Sheet1!Q297+Sheet1!R297+Sheet1!S297+Sheet1!T297</f>
        <v/>
      </c>
      <c r="F297">
        <f>IF(ISNUMBER(E297),E297,"")</f>
        <v/>
      </c>
      <c r="G297">
        <f>IF(ISNUMBER(F297),_xlfn.RANK.EQ(F297,$F$2:$F$1031),"")</f>
        <v/>
      </c>
      <c r="H297">
        <f>INDEX(Sheet1!AH:AH,MATCH(A297,Sheet1!A:A,0))</f>
        <v/>
      </c>
    </row>
    <row r="298">
      <c r="A298" t="n">
        <v>686</v>
      </c>
      <c r="B298">
        <f>Sheet1!C298+Sheet1!D298+Sheet1!E298+Sheet1!F298+Sheet1!J298+Sheet1!K298+Sheet1!L298+Sheet1!M298</f>
        <v/>
      </c>
      <c r="C298">
        <f>IF(ISNUMBER(B298),B298,"")</f>
        <v/>
      </c>
      <c r="D298">
        <f>IF(ISNUMBER(C298),_xlfn.RANK.EQ(C298,$C$2:$C$1031),"")</f>
        <v/>
      </c>
      <c r="E298">
        <f>Sheet1!C298+Sheet1!D298+Sheet1!E298+Sheet1!F298+Sheet1!J298+Sheet1!K298+Sheet1!L298+Sheet1!M298+Sheet1!Q298+Sheet1!R298+Sheet1!S298+Sheet1!T298</f>
        <v/>
      </c>
      <c r="F298">
        <f>IF(ISNUMBER(E298),E298,"")</f>
        <v/>
      </c>
      <c r="G298">
        <f>IF(ISNUMBER(F298),_xlfn.RANK.EQ(F298,$F$2:$F$1031),"")</f>
        <v/>
      </c>
      <c r="H298">
        <f>INDEX(Sheet1!AH:AH,MATCH(A298,Sheet1!A:A,0))</f>
        <v/>
      </c>
    </row>
    <row r="299">
      <c r="A299" t="n">
        <v>687</v>
      </c>
      <c r="B299">
        <f>Sheet1!C299+Sheet1!D299+Sheet1!E299+Sheet1!F299+Sheet1!J299+Sheet1!K299+Sheet1!L299+Sheet1!M299</f>
        <v/>
      </c>
      <c r="C299">
        <f>IF(ISNUMBER(B299),B299,"")</f>
        <v/>
      </c>
      <c r="D299">
        <f>IF(ISNUMBER(C299),_xlfn.RANK.EQ(C299,$C$2:$C$1031),"")</f>
        <v/>
      </c>
      <c r="E299">
        <f>Sheet1!C299+Sheet1!D299+Sheet1!E299+Sheet1!F299+Sheet1!J299+Sheet1!K299+Sheet1!L299+Sheet1!M299+Sheet1!Q299+Sheet1!R299+Sheet1!S299+Sheet1!T299</f>
        <v/>
      </c>
      <c r="F299">
        <f>IF(ISNUMBER(E299),E299,"")</f>
        <v/>
      </c>
      <c r="G299">
        <f>IF(ISNUMBER(F299),_xlfn.RANK.EQ(F299,$F$2:$F$1031),"")</f>
        <v/>
      </c>
      <c r="H299">
        <f>INDEX(Sheet1!AH:AH,MATCH(A299,Sheet1!A:A,0))</f>
        <v/>
      </c>
    </row>
    <row r="300">
      <c r="A300" t="n">
        <v>688</v>
      </c>
      <c r="B300">
        <f>Sheet1!C300+Sheet1!D300+Sheet1!E300+Sheet1!F300+Sheet1!J300+Sheet1!K300+Sheet1!L300+Sheet1!M300</f>
        <v/>
      </c>
      <c r="C300">
        <f>IF(ISNUMBER(B300),B300,"")</f>
        <v/>
      </c>
      <c r="D300">
        <f>IF(ISNUMBER(C300),_xlfn.RANK.EQ(C300,$C$2:$C$1031),"")</f>
        <v/>
      </c>
      <c r="E300">
        <f>Sheet1!C300+Sheet1!D300+Sheet1!E300+Sheet1!F300+Sheet1!J300+Sheet1!K300+Sheet1!L300+Sheet1!M300+Sheet1!Q300+Sheet1!R300+Sheet1!S300+Sheet1!T300</f>
        <v/>
      </c>
      <c r="F300">
        <f>IF(ISNUMBER(E300),E300,"")</f>
        <v/>
      </c>
      <c r="G300">
        <f>IF(ISNUMBER(F300),_xlfn.RANK.EQ(F300,$F$2:$F$1031),"")</f>
        <v/>
      </c>
      <c r="H300">
        <f>INDEX(Sheet1!AH:AH,MATCH(A300,Sheet1!A:A,0))</f>
        <v/>
      </c>
    </row>
    <row r="301">
      <c r="A301" t="n">
        <v>689</v>
      </c>
      <c r="B301">
        <f>Sheet1!C301+Sheet1!D301+Sheet1!E301+Sheet1!F301+Sheet1!J301+Sheet1!K301+Sheet1!L301+Sheet1!M301</f>
        <v/>
      </c>
      <c r="C301">
        <f>IF(ISNUMBER(B301),B301,"")</f>
        <v/>
      </c>
      <c r="D301">
        <f>IF(ISNUMBER(C301),_xlfn.RANK.EQ(C301,$C$2:$C$1031),"")</f>
        <v/>
      </c>
      <c r="E301">
        <f>Sheet1!C301+Sheet1!D301+Sheet1!E301+Sheet1!F301+Sheet1!J301+Sheet1!K301+Sheet1!L301+Sheet1!M301+Sheet1!Q301+Sheet1!R301+Sheet1!S301+Sheet1!T301</f>
        <v/>
      </c>
      <c r="F301">
        <f>IF(ISNUMBER(E301),E301,"")</f>
        <v/>
      </c>
      <c r="G301">
        <f>IF(ISNUMBER(F301),_xlfn.RANK.EQ(F301,$F$2:$F$1031),"")</f>
        <v/>
      </c>
      <c r="H301">
        <f>INDEX(Sheet1!AH:AH,MATCH(A301,Sheet1!A:A,0))</f>
        <v/>
      </c>
    </row>
    <row r="302">
      <c r="A302" t="n">
        <v>691</v>
      </c>
      <c r="B302">
        <f>Sheet1!C302+Sheet1!D302+Sheet1!E302+Sheet1!F302+Sheet1!J302+Sheet1!K302+Sheet1!L302+Sheet1!M302</f>
        <v/>
      </c>
      <c r="C302">
        <f>IF(ISNUMBER(B302),B302,"")</f>
        <v/>
      </c>
      <c r="D302">
        <f>IF(ISNUMBER(C302),_xlfn.RANK.EQ(C302,$C$2:$C$1031),"")</f>
        <v/>
      </c>
      <c r="E302">
        <f>Sheet1!C302+Sheet1!D302+Sheet1!E302+Sheet1!F302+Sheet1!J302+Sheet1!K302+Sheet1!L302+Sheet1!M302+Sheet1!Q302+Sheet1!R302+Sheet1!S302+Sheet1!T302</f>
        <v/>
      </c>
      <c r="F302">
        <f>IF(ISNUMBER(E302),E302,"")</f>
        <v/>
      </c>
      <c r="G302">
        <f>IF(ISNUMBER(F302),_xlfn.RANK.EQ(F302,$F$2:$F$1031),"")</f>
        <v/>
      </c>
      <c r="H302">
        <f>INDEX(Sheet1!AH:AH,MATCH(A302,Sheet1!A:A,0))</f>
        <v/>
      </c>
    </row>
    <row r="303">
      <c r="A303" t="n">
        <v>692</v>
      </c>
      <c r="B303">
        <f>Sheet1!C303+Sheet1!D303+Sheet1!E303+Sheet1!F303+Sheet1!J303+Sheet1!K303+Sheet1!L303+Sheet1!M303</f>
        <v/>
      </c>
      <c r="C303">
        <f>IF(ISNUMBER(B303),B303,"")</f>
        <v/>
      </c>
      <c r="D303">
        <f>IF(ISNUMBER(C303),_xlfn.RANK.EQ(C303,$C$2:$C$1031),"")</f>
        <v/>
      </c>
      <c r="E303">
        <f>Sheet1!C303+Sheet1!D303+Sheet1!E303+Sheet1!F303+Sheet1!J303+Sheet1!K303+Sheet1!L303+Sheet1!M303+Sheet1!Q303+Sheet1!R303+Sheet1!S303+Sheet1!T303</f>
        <v/>
      </c>
      <c r="F303">
        <f>IF(ISNUMBER(E303),E303,"")</f>
        <v/>
      </c>
      <c r="G303">
        <f>IF(ISNUMBER(F303),_xlfn.RANK.EQ(F303,$F$2:$F$1031),"")</f>
        <v/>
      </c>
      <c r="H303">
        <f>INDEX(Sheet1!AH:AH,MATCH(A303,Sheet1!A:A,0))</f>
        <v/>
      </c>
    </row>
    <row r="304">
      <c r="A304" t="n">
        <v>693</v>
      </c>
      <c r="B304">
        <f>Sheet1!C304+Sheet1!D304+Sheet1!E304+Sheet1!F304+Sheet1!J304+Sheet1!K304+Sheet1!L304+Sheet1!M304</f>
        <v/>
      </c>
      <c r="C304">
        <f>IF(ISNUMBER(B304),B304,"")</f>
        <v/>
      </c>
      <c r="D304">
        <f>IF(ISNUMBER(C304),_xlfn.RANK.EQ(C304,$C$2:$C$1031),"")</f>
        <v/>
      </c>
      <c r="E304">
        <f>Sheet1!C304+Sheet1!D304+Sheet1!E304+Sheet1!F304+Sheet1!J304+Sheet1!K304+Sheet1!L304+Sheet1!M304+Sheet1!Q304+Sheet1!R304+Sheet1!S304+Sheet1!T304</f>
        <v/>
      </c>
      <c r="F304">
        <f>IF(ISNUMBER(E304),E304,"")</f>
        <v/>
      </c>
      <c r="G304">
        <f>IF(ISNUMBER(F304),_xlfn.RANK.EQ(F304,$F$2:$F$1031),"")</f>
        <v/>
      </c>
      <c r="H304">
        <f>INDEX(Sheet1!AH:AH,MATCH(A304,Sheet1!A:A,0))</f>
        <v/>
      </c>
    </row>
    <row r="305">
      <c r="A305" t="n">
        <v>701</v>
      </c>
      <c r="B305">
        <f>Sheet1!C305+Sheet1!D305+Sheet1!E305+Sheet1!F305+Sheet1!J305+Sheet1!K305+Sheet1!L305+Sheet1!M305</f>
        <v/>
      </c>
      <c r="C305">
        <f>IF(ISNUMBER(B305),B305,"")</f>
        <v/>
      </c>
      <c r="D305">
        <f>IF(ISNUMBER(C305),_xlfn.RANK.EQ(C305,$C$2:$C$1031),"")</f>
        <v/>
      </c>
      <c r="E305">
        <f>Sheet1!C305+Sheet1!D305+Sheet1!E305+Sheet1!F305+Sheet1!J305+Sheet1!K305+Sheet1!L305+Sheet1!M305+Sheet1!Q305+Sheet1!R305+Sheet1!S305+Sheet1!T305</f>
        <v/>
      </c>
      <c r="F305">
        <f>IF(ISNUMBER(E305),E305,"")</f>
        <v/>
      </c>
      <c r="G305">
        <f>IF(ISNUMBER(F305),_xlfn.RANK.EQ(F305,$F$2:$F$1031),"")</f>
        <v/>
      </c>
      <c r="H305">
        <f>INDEX(Sheet1!AH:AH,MATCH(A305,Sheet1!A:A,0))</f>
        <v/>
      </c>
    </row>
    <row r="306">
      <c r="A306" t="n">
        <v>703</v>
      </c>
      <c r="B306">
        <f>Sheet1!C306+Sheet1!D306+Sheet1!E306+Sheet1!F306+Sheet1!J306+Sheet1!K306+Sheet1!L306+Sheet1!M306</f>
        <v/>
      </c>
      <c r="C306">
        <f>IF(ISNUMBER(B306),B306,"")</f>
        <v/>
      </c>
      <c r="D306">
        <f>IF(ISNUMBER(C306),_xlfn.RANK.EQ(C306,$C$2:$C$1031),"")</f>
        <v/>
      </c>
      <c r="E306">
        <f>Sheet1!C306+Sheet1!D306+Sheet1!E306+Sheet1!F306+Sheet1!J306+Sheet1!K306+Sheet1!L306+Sheet1!M306+Sheet1!Q306+Sheet1!R306+Sheet1!S306+Sheet1!T306</f>
        <v/>
      </c>
      <c r="F306">
        <f>IF(ISNUMBER(E306),E306,"")</f>
        <v/>
      </c>
      <c r="G306">
        <f>IF(ISNUMBER(F306),_xlfn.RANK.EQ(F306,$F$2:$F$1031),"")</f>
        <v/>
      </c>
      <c r="H306">
        <f>INDEX(Sheet1!AH:AH,MATCH(A306,Sheet1!A:A,0))</f>
        <v/>
      </c>
    </row>
    <row r="307">
      <c r="A307" t="n">
        <v>704</v>
      </c>
      <c r="B307">
        <f>Sheet1!C307+Sheet1!D307+Sheet1!E307+Sheet1!F307+Sheet1!J307+Sheet1!K307+Sheet1!L307+Sheet1!M307</f>
        <v/>
      </c>
      <c r="C307">
        <f>IF(ISNUMBER(B307),B307,"")</f>
        <v/>
      </c>
      <c r="D307">
        <f>IF(ISNUMBER(C307),_xlfn.RANK.EQ(C307,$C$2:$C$1031),"")</f>
        <v/>
      </c>
      <c r="E307">
        <f>Sheet1!C307+Sheet1!D307+Sheet1!E307+Sheet1!F307+Sheet1!J307+Sheet1!K307+Sheet1!L307+Sheet1!M307+Sheet1!Q307+Sheet1!R307+Sheet1!S307+Sheet1!T307</f>
        <v/>
      </c>
      <c r="F307">
        <f>IF(ISNUMBER(E307),E307,"")</f>
        <v/>
      </c>
      <c r="G307">
        <f>IF(ISNUMBER(F307),_xlfn.RANK.EQ(F307,$F$2:$F$1031),"")</f>
        <v/>
      </c>
      <c r="H307">
        <f>INDEX(Sheet1!AH:AH,MATCH(A307,Sheet1!A:A,0))</f>
        <v/>
      </c>
    </row>
    <row r="308">
      <c r="A308" t="n">
        <v>715</v>
      </c>
      <c r="B308">
        <f>Sheet1!C308+Sheet1!D308+Sheet1!E308+Sheet1!F308+Sheet1!J308+Sheet1!K308+Sheet1!L308+Sheet1!M308</f>
        <v/>
      </c>
      <c r="C308">
        <f>IF(ISNUMBER(B308),B308,"")</f>
        <v/>
      </c>
      <c r="D308">
        <f>IF(ISNUMBER(C308),_xlfn.RANK.EQ(C308,$C$2:$C$1031),"")</f>
        <v/>
      </c>
      <c r="E308">
        <f>Sheet1!C308+Sheet1!D308+Sheet1!E308+Sheet1!F308+Sheet1!J308+Sheet1!K308+Sheet1!L308+Sheet1!M308+Sheet1!Q308+Sheet1!R308+Sheet1!S308+Sheet1!T308</f>
        <v/>
      </c>
      <c r="F308">
        <f>IF(ISNUMBER(E308),E308,"")</f>
        <v/>
      </c>
      <c r="G308">
        <f>IF(ISNUMBER(F308),_xlfn.RANK.EQ(F308,$F$2:$F$1031),"")</f>
        <v/>
      </c>
      <c r="H308">
        <f>INDEX(Sheet1!AH:AH,MATCH(A308,Sheet1!A:A,0))</f>
        <v/>
      </c>
    </row>
    <row r="309">
      <c r="A309" t="n">
        <v>716</v>
      </c>
      <c r="B309">
        <f>Sheet1!C309+Sheet1!D309+Sheet1!E309+Sheet1!F309+Sheet1!J309+Sheet1!K309+Sheet1!L309+Sheet1!M309</f>
        <v/>
      </c>
      <c r="C309">
        <f>IF(ISNUMBER(B309),B309,"")</f>
        <v/>
      </c>
      <c r="D309">
        <f>IF(ISNUMBER(C309),_xlfn.RANK.EQ(C309,$C$2:$C$1031),"")</f>
        <v/>
      </c>
      <c r="E309">
        <f>Sheet1!C309+Sheet1!D309+Sheet1!E309+Sheet1!F309+Sheet1!J309+Sheet1!K309+Sheet1!L309+Sheet1!M309+Sheet1!Q309+Sheet1!R309+Sheet1!S309+Sheet1!T309</f>
        <v/>
      </c>
      <c r="F309">
        <f>IF(ISNUMBER(E309),E309,"")</f>
        <v/>
      </c>
      <c r="G309">
        <f>IF(ISNUMBER(F309),_xlfn.RANK.EQ(F309,$F$2:$F$1031),"")</f>
        <v/>
      </c>
      <c r="H309">
        <f>INDEX(Sheet1!AH:AH,MATCH(A309,Sheet1!A:A,0))</f>
        <v/>
      </c>
    </row>
    <row r="310">
      <c r="A310" t="n">
        <v>719</v>
      </c>
      <c r="B310">
        <f>Sheet1!C310+Sheet1!D310+Sheet1!E310+Sheet1!F310+Sheet1!J310+Sheet1!K310+Sheet1!L310+Sheet1!M310</f>
        <v/>
      </c>
      <c r="C310">
        <f>IF(ISNUMBER(B310),B310,"")</f>
        <v/>
      </c>
      <c r="D310">
        <f>IF(ISNUMBER(C310),_xlfn.RANK.EQ(C310,$C$2:$C$1031),"")</f>
        <v/>
      </c>
      <c r="E310">
        <f>Sheet1!C310+Sheet1!D310+Sheet1!E310+Sheet1!F310+Sheet1!J310+Sheet1!K310+Sheet1!L310+Sheet1!M310+Sheet1!Q310+Sheet1!R310+Sheet1!S310+Sheet1!T310</f>
        <v/>
      </c>
      <c r="F310">
        <f>IF(ISNUMBER(E310),E310,"")</f>
        <v/>
      </c>
      <c r="G310">
        <f>IF(ISNUMBER(F310),_xlfn.RANK.EQ(F310,$F$2:$F$1031),"")</f>
        <v/>
      </c>
      <c r="H310">
        <f>INDEX(Sheet1!AH:AH,MATCH(A310,Sheet1!A:A,0))</f>
        <v/>
      </c>
    </row>
    <row r="311">
      <c r="A311" t="n">
        <v>720</v>
      </c>
      <c r="B311">
        <f>Sheet1!C311+Sheet1!D311+Sheet1!E311+Sheet1!F311+Sheet1!J311+Sheet1!K311+Sheet1!L311+Sheet1!M311</f>
        <v/>
      </c>
      <c r="C311">
        <f>IF(ISNUMBER(B311),B311,"")</f>
        <v/>
      </c>
      <c r="D311">
        <f>IF(ISNUMBER(C311),_xlfn.RANK.EQ(C311,$C$2:$C$1031),"")</f>
        <v/>
      </c>
      <c r="E311">
        <f>Sheet1!C311+Sheet1!D311+Sheet1!E311+Sheet1!F311+Sheet1!J311+Sheet1!K311+Sheet1!L311+Sheet1!M311+Sheet1!Q311+Sheet1!R311+Sheet1!S311+Sheet1!T311</f>
        <v/>
      </c>
      <c r="F311">
        <f>IF(ISNUMBER(E311),E311,"")</f>
        <v/>
      </c>
      <c r="G311">
        <f>IF(ISNUMBER(F311),_xlfn.RANK.EQ(F311,$F$2:$F$1031),"")</f>
        <v/>
      </c>
      <c r="H311">
        <f>INDEX(Sheet1!AH:AH,MATCH(A311,Sheet1!A:A,0))</f>
        <v/>
      </c>
    </row>
    <row r="312">
      <c r="A312" t="n">
        <v>721</v>
      </c>
      <c r="B312">
        <f>Sheet1!C312+Sheet1!D312+Sheet1!E312+Sheet1!F312+Sheet1!J312+Sheet1!K312+Sheet1!L312+Sheet1!M312</f>
        <v/>
      </c>
      <c r="C312">
        <f>IF(ISNUMBER(B312),B312,"")</f>
        <v/>
      </c>
      <c r="D312">
        <f>IF(ISNUMBER(C312),_xlfn.RANK.EQ(C312,$C$2:$C$1031),"")</f>
        <v/>
      </c>
      <c r="E312">
        <f>Sheet1!C312+Sheet1!D312+Sheet1!E312+Sheet1!F312+Sheet1!J312+Sheet1!K312+Sheet1!L312+Sheet1!M312+Sheet1!Q312+Sheet1!R312+Sheet1!S312+Sheet1!T312</f>
        <v/>
      </c>
      <c r="F312">
        <f>IF(ISNUMBER(E312),E312,"")</f>
        <v/>
      </c>
      <c r="G312">
        <f>IF(ISNUMBER(F312),_xlfn.RANK.EQ(F312,$F$2:$F$1031),"")</f>
        <v/>
      </c>
      <c r="H312">
        <f>INDEX(Sheet1!AH:AH,MATCH(A312,Sheet1!A:A,0))</f>
        <v/>
      </c>
    </row>
    <row r="313">
      <c r="A313" t="n">
        <v>722</v>
      </c>
      <c r="B313">
        <f>Sheet1!C313+Sheet1!D313+Sheet1!E313+Sheet1!F313+Sheet1!J313+Sheet1!K313+Sheet1!L313+Sheet1!M313</f>
        <v/>
      </c>
      <c r="C313">
        <f>IF(ISNUMBER(B313),B313,"")</f>
        <v/>
      </c>
      <c r="D313">
        <f>IF(ISNUMBER(C313),_xlfn.RANK.EQ(C313,$C$2:$C$1031),"")</f>
        <v/>
      </c>
      <c r="E313">
        <f>Sheet1!C313+Sheet1!D313+Sheet1!E313+Sheet1!F313+Sheet1!J313+Sheet1!K313+Sheet1!L313+Sheet1!M313+Sheet1!Q313+Sheet1!R313+Sheet1!S313+Sheet1!T313</f>
        <v/>
      </c>
      <c r="F313">
        <f>IF(ISNUMBER(E313),E313,"")</f>
        <v/>
      </c>
      <c r="G313">
        <f>IF(ISNUMBER(F313),_xlfn.RANK.EQ(F313,$F$2:$F$1031),"")</f>
        <v/>
      </c>
      <c r="H313">
        <f>INDEX(Sheet1!AH:AH,MATCH(A313,Sheet1!A:A,0))</f>
        <v/>
      </c>
    </row>
    <row r="314">
      <c r="A314" t="n">
        <v>723</v>
      </c>
      <c r="B314">
        <f>Sheet1!C314+Sheet1!D314+Sheet1!E314+Sheet1!F314+Sheet1!J314+Sheet1!K314+Sheet1!L314+Sheet1!M314</f>
        <v/>
      </c>
      <c r="C314">
        <f>IF(ISNUMBER(B314),B314,"")</f>
        <v/>
      </c>
      <c r="D314">
        <f>IF(ISNUMBER(C314),_xlfn.RANK.EQ(C314,$C$2:$C$1031),"")</f>
        <v/>
      </c>
      <c r="E314">
        <f>Sheet1!C314+Sheet1!D314+Sheet1!E314+Sheet1!F314+Sheet1!J314+Sheet1!K314+Sheet1!L314+Sheet1!M314+Sheet1!Q314+Sheet1!R314+Sheet1!S314+Sheet1!T314</f>
        <v/>
      </c>
      <c r="F314">
        <f>IF(ISNUMBER(E314),E314,"")</f>
        <v/>
      </c>
      <c r="G314">
        <f>IF(ISNUMBER(F314),_xlfn.RANK.EQ(F314,$F$2:$F$1031),"")</f>
        <v/>
      </c>
      <c r="H314">
        <f>INDEX(Sheet1!AH:AH,MATCH(A314,Sheet1!A:A,0))</f>
        <v/>
      </c>
    </row>
    <row r="315">
      <c r="A315" t="n">
        <v>726</v>
      </c>
      <c r="B315">
        <f>Sheet1!C315+Sheet1!D315+Sheet1!E315+Sheet1!F315+Sheet1!J315+Sheet1!K315+Sheet1!L315+Sheet1!M315</f>
        <v/>
      </c>
      <c r="C315">
        <f>IF(ISNUMBER(B315),B315,"")</f>
        <v/>
      </c>
      <c r="D315">
        <f>IF(ISNUMBER(C315),_xlfn.RANK.EQ(C315,$C$2:$C$1031),"")</f>
        <v/>
      </c>
      <c r="E315">
        <f>Sheet1!C315+Sheet1!D315+Sheet1!E315+Sheet1!F315+Sheet1!J315+Sheet1!K315+Sheet1!L315+Sheet1!M315+Sheet1!Q315+Sheet1!R315+Sheet1!S315+Sheet1!T315</f>
        <v/>
      </c>
      <c r="F315">
        <f>IF(ISNUMBER(E315),E315,"")</f>
        <v/>
      </c>
      <c r="G315">
        <f>IF(ISNUMBER(F315),_xlfn.RANK.EQ(F315,$F$2:$F$1031),"")</f>
        <v/>
      </c>
      <c r="H315">
        <f>INDEX(Sheet1!AH:AH,MATCH(A315,Sheet1!A:A,0))</f>
        <v/>
      </c>
    </row>
    <row r="316">
      <c r="A316" t="n">
        <v>727</v>
      </c>
      <c r="B316">
        <f>Sheet1!C316+Sheet1!D316+Sheet1!E316+Sheet1!F316+Sheet1!J316+Sheet1!K316+Sheet1!L316+Sheet1!M316</f>
        <v/>
      </c>
      <c r="C316">
        <f>IF(ISNUMBER(B316),B316,"")</f>
        <v/>
      </c>
      <c r="D316">
        <f>IF(ISNUMBER(C316),_xlfn.RANK.EQ(C316,$C$2:$C$1031),"")</f>
        <v/>
      </c>
      <c r="E316">
        <f>Sheet1!C316+Sheet1!D316+Sheet1!E316+Sheet1!F316+Sheet1!J316+Sheet1!K316+Sheet1!L316+Sheet1!M316+Sheet1!Q316+Sheet1!R316+Sheet1!S316+Sheet1!T316</f>
        <v/>
      </c>
      <c r="F316">
        <f>IF(ISNUMBER(E316),E316,"")</f>
        <v/>
      </c>
      <c r="G316">
        <f>IF(ISNUMBER(F316),_xlfn.RANK.EQ(F316,$F$2:$F$1031),"")</f>
        <v/>
      </c>
      <c r="H316">
        <f>INDEX(Sheet1!AH:AH,MATCH(A316,Sheet1!A:A,0))</f>
        <v/>
      </c>
    </row>
    <row r="317">
      <c r="A317" t="n">
        <v>729</v>
      </c>
      <c r="B317">
        <f>Sheet1!C317+Sheet1!D317+Sheet1!E317+Sheet1!F317+Sheet1!J317+Sheet1!K317+Sheet1!L317+Sheet1!M317</f>
        <v/>
      </c>
      <c r="C317">
        <f>IF(ISNUMBER(B317),B317,"")</f>
        <v/>
      </c>
      <c r="D317">
        <f>IF(ISNUMBER(C317),_xlfn.RANK.EQ(C317,$C$2:$C$1031),"")</f>
        <v/>
      </c>
      <c r="E317">
        <f>Sheet1!C317+Sheet1!D317+Sheet1!E317+Sheet1!F317+Sheet1!J317+Sheet1!K317+Sheet1!L317+Sheet1!M317+Sheet1!Q317+Sheet1!R317+Sheet1!S317+Sheet1!T317</f>
        <v/>
      </c>
      <c r="F317">
        <f>IF(ISNUMBER(E317),E317,"")</f>
        <v/>
      </c>
      <c r="G317">
        <f>IF(ISNUMBER(F317),_xlfn.RANK.EQ(F317,$F$2:$F$1031),"")</f>
        <v/>
      </c>
      <c r="H317">
        <f>INDEX(Sheet1!AH:AH,MATCH(A317,Sheet1!A:A,0))</f>
        <v/>
      </c>
    </row>
    <row r="318">
      <c r="A318" t="n">
        <v>733</v>
      </c>
      <c r="B318">
        <f>Sheet1!C318+Sheet1!D318+Sheet1!E318+Sheet1!F318+Sheet1!J318+Sheet1!K318+Sheet1!L318+Sheet1!M318</f>
        <v/>
      </c>
      <c r="C318">
        <f>IF(ISNUMBER(B318),B318,"")</f>
        <v/>
      </c>
      <c r="D318">
        <f>IF(ISNUMBER(C318),_xlfn.RANK.EQ(C318,$C$2:$C$1031),"")</f>
        <v/>
      </c>
      <c r="E318">
        <f>Sheet1!C318+Sheet1!D318+Sheet1!E318+Sheet1!F318+Sheet1!J318+Sheet1!K318+Sheet1!L318+Sheet1!M318+Sheet1!Q318+Sheet1!R318+Sheet1!S318+Sheet1!T318</f>
        <v/>
      </c>
      <c r="F318">
        <f>IF(ISNUMBER(E318),E318,"")</f>
        <v/>
      </c>
      <c r="G318">
        <f>IF(ISNUMBER(F318),_xlfn.RANK.EQ(F318,$F$2:$F$1031),"")</f>
        <v/>
      </c>
      <c r="H318">
        <f>INDEX(Sheet1!AH:AH,MATCH(A318,Sheet1!A:A,0))</f>
        <v/>
      </c>
    </row>
    <row r="319">
      <c r="A319" t="n">
        <v>736</v>
      </c>
      <c r="B319">
        <f>Sheet1!C319+Sheet1!D319+Sheet1!E319+Sheet1!F319+Sheet1!J319+Sheet1!K319+Sheet1!L319+Sheet1!M319</f>
        <v/>
      </c>
      <c r="C319">
        <f>IF(ISNUMBER(B319),B319,"")</f>
        <v/>
      </c>
      <c r="D319">
        <f>IF(ISNUMBER(C319),_xlfn.RANK.EQ(C319,$C$2:$C$1031),"")</f>
        <v/>
      </c>
      <c r="E319">
        <f>Sheet1!C319+Sheet1!D319+Sheet1!E319+Sheet1!F319+Sheet1!J319+Sheet1!K319+Sheet1!L319+Sheet1!M319+Sheet1!Q319+Sheet1!R319+Sheet1!S319+Sheet1!T319</f>
        <v/>
      </c>
      <c r="F319">
        <f>IF(ISNUMBER(E319),E319,"")</f>
        <v/>
      </c>
      <c r="G319">
        <f>IF(ISNUMBER(F319),_xlfn.RANK.EQ(F319,$F$2:$F$1031),"")</f>
        <v/>
      </c>
      <c r="H319">
        <f>INDEX(Sheet1!AH:AH,MATCH(A319,Sheet1!A:A,0))</f>
        <v/>
      </c>
    </row>
    <row r="320">
      <c r="A320" t="n">
        <v>745</v>
      </c>
      <c r="B320">
        <f>Sheet1!C320+Sheet1!D320+Sheet1!E320+Sheet1!F320+Sheet1!J320+Sheet1!K320+Sheet1!L320+Sheet1!M320</f>
        <v/>
      </c>
      <c r="C320">
        <f>IF(ISNUMBER(B320),B320,"")</f>
        <v/>
      </c>
      <c r="D320">
        <f>IF(ISNUMBER(C320),_xlfn.RANK.EQ(C320,$C$2:$C$1031),"")</f>
        <v/>
      </c>
      <c r="E320">
        <f>Sheet1!C320+Sheet1!D320+Sheet1!E320+Sheet1!F320+Sheet1!J320+Sheet1!K320+Sheet1!L320+Sheet1!M320+Sheet1!Q320+Sheet1!R320+Sheet1!S320+Sheet1!T320</f>
        <v/>
      </c>
      <c r="F320">
        <f>IF(ISNUMBER(E320),E320,"")</f>
        <v/>
      </c>
      <c r="G320">
        <f>IF(ISNUMBER(F320),_xlfn.RANK.EQ(F320,$F$2:$F$1031),"")</f>
        <v/>
      </c>
      <c r="H320">
        <f>INDEX(Sheet1!AH:AH,MATCH(A320,Sheet1!A:A,0))</f>
        <v/>
      </c>
    </row>
    <row r="321">
      <c r="A321" t="n">
        <v>746</v>
      </c>
      <c r="B321">
        <f>Sheet1!C321+Sheet1!D321+Sheet1!E321+Sheet1!F321+Sheet1!J321+Sheet1!K321+Sheet1!L321+Sheet1!M321</f>
        <v/>
      </c>
      <c r="C321">
        <f>IF(ISNUMBER(B321),B321,"")</f>
        <v/>
      </c>
      <c r="D321">
        <f>IF(ISNUMBER(C321),_xlfn.RANK.EQ(C321,$C$2:$C$1031),"")</f>
        <v/>
      </c>
      <c r="E321">
        <f>Sheet1!C321+Sheet1!D321+Sheet1!E321+Sheet1!F321+Sheet1!J321+Sheet1!K321+Sheet1!L321+Sheet1!M321+Sheet1!Q321+Sheet1!R321+Sheet1!S321+Sheet1!T321</f>
        <v/>
      </c>
      <c r="F321">
        <f>IF(ISNUMBER(E321),E321,"")</f>
        <v/>
      </c>
      <c r="G321">
        <f>IF(ISNUMBER(F321),_xlfn.RANK.EQ(F321,$F$2:$F$1031),"")</f>
        <v/>
      </c>
      <c r="H321">
        <f>INDEX(Sheet1!AH:AH,MATCH(A321,Sheet1!A:A,0))</f>
        <v/>
      </c>
    </row>
    <row r="322">
      <c r="A322" t="n">
        <v>747</v>
      </c>
      <c r="B322">
        <f>Sheet1!C322+Sheet1!D322+Sheet1!E322+Sheet1!F322+Sheet1!J322+Sheet1!K322+Sheet1!L322+Sheet1!M322</f>
        <v/>
      </c>
      <c r="C322">
        <f>IF(ISNUMBER(B322),B322,"")</f>
        <v/>
      </c>
      <c r="D322">
        <f>IF(ISNUMBER(C322),_xlfn.RANK.EQ(C322,$C$2:$C$1031),"")</f>
        <v/>
      </c>
      <c r="E322">
        <f>Sheet1!C322+Sheet1!D322+Sheet1!E322+Sheet1!F322+Sheet1!J322+Sheet1!K322+Sheet1!L322+Sheet1!M322+Sheet1!Q322+Sheet1!R322+Sheet1!S322+Sheet1!T322</f>
        <v/>
      </c>
      <c r="F322">
        <f>IF(ISNUMBER(E322),E322,"")</f>
        <v/>
      </c>
      <c r="G322">
        <f>IF(ISNUMBER(F322),_xlfn.RANK.EQ(F322,$F$2:$F$1031),"")</f>
        <v/>
      </c>
      <c r="H322">
        <f>INDEX(Sheet1!AH:AH,MATCH(A322,Sheet1!A:A,0))</f>
        <v/>
      </c>
    </row>
    <row r="323">
      <c r="A323" t="n">
        <v>748</v>
      </c>
      <c r="B323">
        <f>Sheet1!C323+Sheet1!D323+Sheet1!E323+Sheet1!F323+Sheet1!J323+Sheet1!K323+Sheet1!L323+Sheet1!M323</f>
        <v/>
      </c>
      <c r="C323">
        <f>IF(ISNUMBER(B323),B323,"")</f>
        <v/>
      </c>
      <c r="D323">
        <f>IF(ISNUMBER(C323),_xlfn.RANK.EQ(C323,$C$2:$C$1031),"")</f>
        <v/>
      </c>
      <c r="E323">
        <f>Sheet1!C323+Sheet1!D323+Sheet1!E323+Sheet1!F323+Sheet1!J323+Sheet1!K323+Sheet1!L323+Sheet1!M323+Sheet1!Q323+Sheet1!R323+Sheet1!S323+Sheet1!T323</f>
        <v/>
      </c>
      <c r="F323">
        <f>IF(ISNUMBER(E323),E323,"")</f>
        <v/>
      </c>
      <c r="G323">
        <f>IF(ISNUMBER(F323),_xlfn.RANK.EQ(F323,$F$2:$F$1031),"")</f>
        <v/>
      </c>
      <c r="H323">
        <f>INDEX(Sheet1!AH:AH,MATCH(A323,Sheet1!A:A,0))</f>
        <v/>
      </c>
    </row>
    <row r="324">
      <c r="A324" t="n">
        <v>749</v>
      </c>
      <c r="B324">
        <f>Sheet1!C324+Sheet1!D324+Sheet1!E324+Sheet1!F324+Sheet1!J324+Sheet1!K324+Sheet1!L324+Sheet1!M324</f>
        <v/>
      </c>
      <c r="C324">
        <f>IF(ISNUMBER(B324),B324,"")</f>
        <v/>
      </c>
      <c r="D324">
        <f>IF(ISNUMBER(C324),_xlfn.RANK.EQ(C324,$C$2:$C$1031),"")</f>
        <v/>
      </c>
      <c r="E324">
        <f>Sheet1!C324+Sheet1!D324+Sheet1!E324+Sheet1!F324+Sheet1!J324+Sheet1!K324+Sheet1!L324+Sheet1!M324+Sheet1!Q324+Sheet1!R324+Sheet1!S324+Sheet1!T324</f>
        <v/>
      </c>
      <c r="F324">
        <f>IF(ISNUMBER(E324),E324,"")</f>
        <v/>
      </c>
      <c r="G324">
        <f>IF(ISNUMBER(F324),_xlfn.RANK.EQ(F324,$F$2:$F$1031),"")</f>
        <v/>
      </c>
      <c r="H324">
        <f>INDEX(Sheet1!AH:AH,MATCH(A324,Sheet1!A:A,0))</f>
        <v/>
      </c>
    </row>
    <row r="325">
      <c r="A325" t="n">
        <v>751</v>
      </c>
      <c r="B325">
        <f>Sheet1!C325+Sheet1!D325+Sheet1!E325+Sheet1!F325+Sheet1!J325+Sheet1!K325+Sheet1!L325+Sheet1!M325</f>
        <v/>
      </c>
      <c r="C325">
        <f>IF(ISNUMBER(B325),B325,"")</f>
        <v/>
      </c>
      <c r="D325">
        <f>IF(ISNUMBER(C325),_xlfn.RANK.EQ(C325,$C$2:$C$1031),"")</f>
        <v/>
      </c>
      <c r="E325">
        <f>Sheet1!C325+Sheet1!D325+Sheet1!E325+Sheet1!F325+Sheet1!J325+Sheet1!K325+Sheet1!L325+Sheet1!M325+Sheet1!Q325+Sheet1!R325+Sheet1!S325+Sheet1!T325</f>
        <v/>
      </c>
      <c r="F325">
        <f>IF(ISNUMBER(E325),E325,"")</f>
        <v/>
      </c>
      <c r="G325">
        <f>IF(ISNUMBER(F325),_xlfn.RANK.EQ(F325,$F$2:$F$1031),"")</f>
        <v/>
      </c>
      <c r="H325">
        <f>INDEX(Sheet1!AH:AH,MATCH(A325,Sheet1!A:A,0))</f>
        <v/>
      </c>
    </row>
    <row r="326">
      <c r="A326" t="n">
        <v>753</v>
      </c>
      <c r="B326">
        <f>Sheet1!C326+Sheet1!D326+Sheet1!E326+Sheet1!F326+Sheet1!J326+Sheet1!K326+Sheet1!L326+Sheet1!M326</f>
        <v/>
      </c>
      <c r="C326">
        <f>IF(ISNUMBER(B326),B326,"")</f>
        <v/>
      </c>
      <c r="D326">
        <f>IF(ISNUMBER(C326),_xlfn.RANK.EQ(C326,$C$2:$C$1031),"")</f>
        <v/>
      </c>
      <c r="E326">
        <f>Sheet1!C326+Sheet1!D326+Sheet1!E326+Sheet1!F326+Sheet1!J326+Sheet1!K326+Sheet1!L326+Sheet1!M326+Sheet1!Q326+Sheet1!R326+Sheet1!S326+Sheet1!T326</f>
        <v/>
      </c>
      <c r="F326">
        <f>IF(ISNUMBER(E326),E326,"")</f>
        <v/>
      </c>
      <c r="G326">
        <f>IF(ISNUMBER(F326),_xlfn.RANK.EQ(F326,$F$2:$F$1031),"")</f>
        <v/>
      </c>
      <c r="H326">
        <f>INDEX(Sheet1!AH:AH,MATCH(A326,Sheet1!A:A,0))</f>
        <v/>
      </c>
    </row>
    <row r="327">
      <c r="A327" t="n">
        <v>754</v>
      </c>
      <c r="B327">
        <f>Sheet1!C327+Sheet1!D327+Sheet1!E327+Sheet1!F327+Sheet1!J327+Sheet1!K327+Sheet1!L327+Sheet1!M327</f>
        <v/>
      </c>
      <c r="C327">
        <f>IF(ISNUMBER(B327),B327,"")</f>
        <v/>
      </c>
      <c r="D327">
        <f>IF(ISNUMBER(C327),_xlfn.RANK.EQ(C327,$C$2:$C$1031),"")</f>
        <v/>
      </c>
      <c r="E327">
        <f>Sheet1!C327+Sheet1!D327+Sheet1!E327+Sheet1!F327+Sheet1!J327+Sheet1!K327+Sheet1!L327+Sheet1!M327+Sheet1!Q327+Sheet1!R327+Sheet1!S327+Sheet1!T327</f>
        <v/>
      </c>
      <c r="F327">
        <f>IF(ISNUMBER(E327),E327,"")</f>
        <v/>
      </c>
      <c r="G327">
        <f>IF(ISNUMBER(F327),_xlfn.RANK.EQ(F327,$F$2:$F$1031),"")</f>
        <v/>
      </c>
      <c r="H327">
        <f>INDEX(Sheet1!AH:AH,MATCH(A327,Sheet1!A:A,0))</f>
        <v/>
      </c>
    </row>
    <row r="328">
      <c r="A328" t="n">
        <v>755</v>
      </c>
      <c r="B328">
        <f>Sheet1!C328+Sheet1!D328+Sheet1!E328+Sheet1!F328+Sheet1!J328+Sheet1!K328+Sheet1!L328+Sheet1!M328</f>
        <v/>
      </c>
      <c r="C328">
        <f>IF(ISNUMBER(B328),B328,"")</f>
        <v/>
      </c>
      <c r="D328">
        <f>IF(ISNUMBER(C328),_xlfn.RANK.EQ(C328,$C$2:$C$1031),"")</f>
        <v/>
      </c>
      <c r="E328">
        <f>Sheet1!C328+Sheet1!D328+Sheet1!E328+Sheet1!F328+Sheet1!J328+Sheet1!K328+Sheet1!L328+Sheet1!M328+Sheet1!Q328+Sheet1!R328+Sheet1!S328+Sheet1!T328</f>
        <v/>
      </c>
      <c r="F328">
        <f>IF(ISNUMBER(E328),E328,"")</f>
        <v/>
      </c>
      <c r="G328">
        <f>IF(ISNUMBER(F328),_xlfn.RANK.EQ(F328,$F$2:$F$1031),"")</f>
        <v/>
      </c>
      <c r="H328">
        <f>INDEX(Sheet1!AH:AH,MATCH(A328,Sheet1!A:A,0))</f>
        <v/>
      </c>
    </row>
    <row r="329">
      <c r="A329" t="n">
        <v>756</v>
      </c>
      <c r="B329">
        <f>Sheet1!C329+Sheet1!D329+Sheet1!E329+Sheet1!F329+Sheet1!J329+Sheet1!K329+Sheet1!L329+Sheet1!M329</f>
        <v/>
      </c>
      <c r="C329">
        <f>IF(ISNUMBER(B329),B329,"")</f>
        <v/>
      </c>
      <c r="D329">
        <f>IF(ISNUMBER(C329),_xlfn.RANK.EQ(C329,$C$2:$C$1031),"")</f>
        <v/>
      </c>
      <c r="E329">
        <f>Sheet1!C329+Sheet1!D329+Sheet1!E329+Sheet1!F329+Sheet1!J329+Sheet1!K329+Sheet1!L329+Sheet1!M329+Sheet1!Q329+Sheet1!R329+Sheet1!S329+Sheet1!T329</f>
        <v/>
      </c>
      <c r="F329">
        <f>IF(ISNUMBER(E329),E329,"")</f>
        <v/>
      </c>
      <c r="G329">
        <f>IF(ISNUMBER(F329),_xlfn.RANK.EQ(F329,$F$2:$F$1031),"")</f>
        <v/>
      </c>
      <c r="H329">
        <f>INDEX(Sheet1!AH:AH,MATCH(A329,Sheet1!A:A,0))</f>
        <v/>
      </c>
    </row>
    <row r="330">
      <c r="A330" t="n">
        <v>757</v>
      </c>
      <c r="B330">
        <f>Sheet1!C330+Sheet1!D330+Sheet1!E330+Sheet1!F330+Sheet1!J330+Sheet1!K330+Sheet1!L330+Sheet1!M330</f>
        <v/>
      </c>
      <c r="C330">
        <f>IF(ISNUMBER(B330),B330,"")</f>
        <v/>
      </c>
      <c r="D330">
        <f>IF(ISNUMBER(C330),_xlfn.RANK.EQ(C330,$C$2:$C$1031),"")</f>
        <v/>
      </c>
      <c r="E330">
        <f>Sheet1!C330+Sheet1!D330+Sheet1!E330+Sheet1!F330+Sheet1!J330+Sheet1!K330+Sheet1!L330+Sheet1!M330+Sheet1!Q330+Sheet1!R330+Sheet1!S330+Sheet1!T330</f>
        <v/>
      </c>
      <c r="F330">
        <f>IF(ISNUMBER(E330),E330,"")</f>
        <v/>
      </c>
      <c r="G330">
        <f>IF(ISNUMBER(F330),_xlfn.RANK.EQ(F330,$F$2:$F$1031),"")</f>
        <v/>
      </c>
      <c r="H330">
        <f>INDEX(Sheet1!AH:AH,MATCH(A330,Sheet1!A:A,0))</f>
        <v/>
      </c>
    </row>
    <row r="331">
      <c r="A331" t="n">
        <v>759</v>
      </c>
      <c r="B331">
        <f>Sheet1!C331+Sheet1!D331+Sheet1!E331+Sheet1!F331+Sheet1!J331+Sheet1!K331+Sheet1!L331+Sheet1!M331</f>
        <v/>
      </c>
      <c r="C331">
        <f>IF(ISNUMBER(B331),B331,"")</f>
        <v/>
      </c>
      <c r="D331">
        <f>IF(ISNUMBER(C331),_xlfn.RANK.EQ(C331,$C$2:$C$1031),"")</f>
        <v/>
      </c>
      <c r="E331">
        <f>Sheet1!C331+Sheet1!D331+Sheet1!E331+Sheet1!F331+Sheet1!J331+Sheet1!K331+Sheet1!L331+Sheet1!M331+Sheet1!Q331+Sheet1!R331+Sheet1!S331+Sheet1!T331</f>
        <v/>
      </c>
      <c r="F331">
        <f>IF(ISNUMBER(E331),E331,"")</f>
        <v/>
      </c>
      <c r="G331">
        <f>IF(ISNUMBER(F331),_xlfn.RANK.EQ(F331,$F$2:$F$1031),"")</f>
        <v/>
      </c>
      <c r="H331">
        <f>INDEX(Sheet1!AH:AH,MATCH(A331,Sheet1!A:A,0))</f>
        <v/>
      </c>
    </row>
    <row r="332">
      <c r="A332" t="n">
        <v>761</v>
      </c>
      <c r="B332">
        <f>Sheet1!C332+Sheet1!D332+Sheet1!E332+Sheet1!F332+Sheet1!J332+Sheet1!K332+Sheet1!L332+Sheet1!M332</f>
        <v/>
      </c>
      <c r="C332">
        <f>IF(ISNUMBER(B332),B332,"")</f>
        <v/>
      </c>
      <c r="D332">
        <f>IF(ISNUMBER(C332),_xlfn.RANK.EQ(C332,$C$2:$C$1031),"")</f>
        <v/>
      </c>
      <c r="E332">
        <f>Sheet1!C332+Sheet1!D332+Sheet1!E332+Sheet1!F332+Sheet1!J332+Sheet1!K332+Sheet1!L332+Sheet1!M332+Sheet1!Q332+Sheet1!R332+Sheet1!S332+Sheet1!T332</f>
        <v/>
      </c>
      <c r="F332">
        <f>IF(ISNUMBER(E332),E332,"")</f>
        <v/>
      </c>
      <c r="G332">
        <f>IF(ISNUMBER(F332),_xlfn.RANK.EQ(F332,$F$2:$F$1031),"")</f>
        <v/>
      </c>
      <c r="H332">
        <f>INDEX(Sheet1!AH:AH,MATCH(A332,Sheet1!A:A,0))</f>
        <v/>
      </c>
    </row>
    <row r="333">
      <c r="A333" t="n">
        <v>762</v>
      </c>
      <c r="B333">
        <f>Sheet1!C333+Sheet1!D333+Sheet1!E333+Sheet1!F333+Sheet1!J333+Sheet1!K333+Sheet1!L333+Sheet1!M333</f>
        <v/>
      </c>
      <c r="C333">
        <f>IF(ISNUMBER(B333),B333,"")</f>
        <v/>
      </c>
      <c r="D333">
        <f>IF(ISNUMBER(C333),_xlfn.RANK.EQ(C333,$C$2:$C$1031),"")</f>
        <v/>
      </c>
      <c r="E333">
        <f>Sheet1!C333+Sheet1!D333+Sheet1!E333+Sheet1!F333+Sheet1!J333+Sheet1!K333+Sheet1!L333+Sheet1!M333+Sheet1!Q333+Sheet1!R333+Sheet1!S333+Sheet1!T333</f>
        <v/>
      </c>
      <c r="F333">
        <f>IF(ISNUMBER(E333),E333,"")</f>
        <v/>
      </c>
      <c r="G333">
        <f>IF(ISNUMBER(F333),_xlfn.RANK.EQ(F333,$F$2:$F$1031),"")</f>
        <v/>
      </c>
      <c r="H333">
        <f>INDEX(Sheet1!AH:AH,MATCH(A333,Sheet1!A:A,0))</f>
        <v/>
      </c>
    </row>
    <row r="334">
      <c r="A334" t="n">
        <v>763</v>
      </c>
      <c r="B334">
        <f>Sheet1!C334+Sheet1!D334+Sheet1!E334+Sheet1!F334+Sheet1!J334+Sheet1!K334+Sheet1!L334+Sheet1!M334</f>
        <v/>
      </c>
      <c r="C334">
        <f>IF(ISNUMBER(B334),B334,"")</f>
        <v/>
      </c>
      <c r="D334">
        <f>IF(ISNUMBER(C334),_xlfn.RANK.EQ(C334,$C$2:$C$1031),"")</f>
        <v/>
      </c>
      <c r="E334">
        <f>Sheet1!C334+Sheet1!D334+Sheet1!E334+Sheet1!F334+Sheet1!J334+Sheet1!K334+Sheet1!L334+Sheet1!M334+Sheet1!Q334+Sheet1!R334+Sheet1!S334+Sheet1!T334</f>
        <v/>
      </c>
      <c r="F334">
        <f>IF(ISNUMBER(E334),E334,"")</f>
        <v/>
      </c>
      <c r="G334">
        <f>IF(ISNUMBER(F334),_xlfn.RANK.EQ(F334,$F$2:$F$1031),"")</f>
        <v/>
      </c>
      <c r="H334">
        <f>INDEX(Sheet1!AH:AH,MATCH(A334,Sheet1!A:A,0))</f>
        <v/>
      </c>
    </row>
    <row r="335">
      <c r="A335" t="n">
        <v>764</v>
      </c>
      <c r="B335">
        <f>Sheet1!C335+Sheet1!D335+Sheet1!E335+Sheet1!F335+Sheet1!J335+Sheet1!K335+Sheet1!L335+Sheet1!M335</f>
        <v/>
      </c>
      <c r="C335">
        <f>IF(ISNUMBER(B335),B335,"")</f>
        <v/>
      </c>
      <c r="D335">
        <f>IF(ISNUMBER(C335),_xlfn.RANK.EQ(C335,$C$2:$C$1031),"")</f>
        <v/>
      </c>
      <c r="E335">
        <f>Sheet1!C335+Sheet1!D335+Sheet1!E335+Sheet1!F335+Sheet1!J335+Sheet1!K335+Sheet1!L335+Sheet1!M335+Sheet1!Q335+Sheet1!R335+Sheet1!S335+Sheet1!T335</f>
        <v/>
      </c>
      <c r="F335">
        <f>IF(ISNUMBER(E335),E335,"")</f>
        <v/>
      </c>
      <c r="G335">
        <f>IF(ISNUMBER(F335),_xlfn.RANK.EQ(F335,$F$2:$F$1031),"")</f>
        <v/>
      </c>
      <c r="H335">
        <f>INDEX(Sheet1!AH:AH,MATCH(A335,Sheet1!A:A,0))</f>
        <v/>
      </c>
    </row>
    <row r="336">
      <c r="A336" t="n">
        <v>767</v>
      </c>
      <c r="B336">
        <f>Sheet1!C336+Sheet1!D336+Sheet1!E336+Sheet1!F336+Sheet1!J336+Sheet1!K336+Sheet1!L336+Sheet1!M336</f>
        <v/>
      </c>
      <c r="C336">
        <f>IF(ISNUMBER(B336),B336,"")</f>
        <v/>
      </c>
      <c r="D336">
        <f>IF(ISNUMBER(C336),_xlfn.RANK.EQ(C336,$C$2:$C$1031),"")</f>
        <v/>
      </c>
      <c r="E336">
        <f>Sheet1!C336+Sheet1!D336+Sheet1!E336+Sheet1!F336+Sheet1!J336+Sheet1!K336+Sheet1!L336+Sheet1!M336+Sheet1!Q336+Sheet1!R336+Sheet1!S336+Sheet1!T336</f>
        <v/>
      </c>
      <c r="F336">
        <f>IF(ISNUMBER(E336),E336,"")</f>
        <v/>
      </c>
      <c r="G336">
        <f>IF(ISNUMBER(F336),_xlfn.RANK.EQ(F336,$F$2:$F$1031),"")</f>
        <v/>
      </c>
      <c r="H336">
        <f>INDEX(Sheet1!AH:AH,MATCH(A336,Sheet1!A:A,0))</f>
        <v/>
      </c>
    </row>
    <row r="337">
      <c r="A337" t="n">
        <v>772</v>
      </c>
      <c r="B337">
        <f>Sheet1!C337+Sheet1!D337+Sheet1!E337+Sheet1!F337+Sheet1!J337+Sheet1!K337+Sheet1!L337+Sheet1!M337</f>
        <v/>
      </c>
      <c r="C337">
        <f>IF(ISNUMBER(B337),B337,"")</f>
        <v/>
      </c>
      <c r="D337">
        <f>IF(ISNUMBER(C337),_xlfn.RANK.EQ(C337,$C$2:$C$1031),"")</f>
        <v/>
      </c>
      <c r="E337">
        <f>Sheet1!C337+Sheet1!D337+Sheet1!E337+Sheet1!F337+Sheet1!J337+Sheet1!K337+Sheet1!L337+Sheet1!M337+Sheet1!Q337+Sheet1!R337+Sheet1!S337+Sheet1!T337</f>
        <v/>
      </c>
      <c r="F337">
        <f>IF(ISNUMBER(E337),E337,"")</f>
        <v/>
      </c>
      <c r="G337">
        <f>IF(ISNUMBER(F337),_xlfn.RANK.EQ(F337,$F$2:$F$1031),"")</f>
        <v/>
      </c>
      <c r="H337">
        <f>INDEX(Sheet1!AH:AH,MATCH(A337,Sheet1!A:A,0))</f>
        <v/>
      </c>
    </row>
    <row r="338">
      <c r="A338" t="n">
        <v>773</v>
      </c>
      <c r="B338">
        <f>Sheet1!C338+Sheet1!D338+Sheet1!E338+Sheet1!F338+Sheet1!J338+Sheet1!K338+Sheet1!L338+Sheet1!M338</f>
        <v/>
      </c>
      <c r="C338">
        <f>IF(ISNUMBER(B338),B338,"")</f>
        <v/>
      </c>
      <c r="D338">
        <f>IF(ISNUMBER(C338),_xlfn.RANK.EQ(C338,$C$2:$C$1031),"")</f>
        <v/>
      </c>
      <c r="E338">
        <f>Sheet1!C338+Sheet1!D338+Sheet1!E338+Sheet1!F338+Sheet1!J338+Sheet1!K338+Sheet1!L338+Sheet1!M338+Sheet1!Q338+Sheet1!R338+Sheet1!S338+Sheet1!T338</f>
        <v/>
      </c>
      <c r="F338">
        <f>IF(ISNUMBER(E338),E338,"")</f>
        <v/>
      </c>
      <c r="G338">
        <f>IF(ISNUMBER(F338),_xlfn.RANK.EQ(F338,$F$2:$F$1031),"")</f>
        <v/>
      </c>
      <c r="H338">
        <f>INDEX(Sheet1!AH:AH,MATCH(A338,Sheet1!A:A,0))</f>
        <v/>
      </c>
    </row>
    <row r="339">
      <c r="A339" t="n">
        <v>774</v>
      </c>
      <c r="B339">
        <f>Sheet1!C339+Sheet1!D339+Sheet1!E339+Sheet1!F339+Sheet1!J339+Sheet1!K339+Sheet1!L339+Sheet1!M339</f>
        <v/>
      </c>
      <c r="C339">
        <f>IF(ISNUMBER(B339),B339,"")</f>
        <v/>
      </c>
      <c r="D339">
        <f>IF(ISNUMBER(C339),_xlfn.RANK.EQ(C339,$C$2:$C$1031),"")</f>
        <v/>
      </c>
      <c r="E339">
        <f>Sheet1!C339+Sheet1!D339+Sheet1!E339+Sheet1!F339+Sheet1!J339+Sheet1!K339+Sheet1!L339+Sheet1!M339+Sheet1!Q339+Sheet1!R339+Sheet1!S339+Sheet1!T339</f>
        <v/>
      </c>
      <c r="F339">
        <f>IF(ISNUMBER(E339),E339,"")</f>
        <v/>
      </c>
      <c r="G339">
        <f>IF(ISNUMBER(F339),_xlfn.RANK.EQ(F339,$F$2:$F$1031),"")</f>
        <v/>
      </c>
      <c r="H339">
        <f>INDEX(Sheet1!AH:AH,MATCH(A339,Sheet1!A:A,0))</f>
        <v/>
      </c>
    </row>
    <row r="340">
      <c r="A340" t="n">
        <v>776</v>
      </c>
      <c r="B340">
        <f>Sheet1!C340+Sheet1!D340+Sheet1!E340+Sheet1!F340+Sheet1!J340+Sheet1!K340+Sheet1!L340+Sheet1!M340</f>
        <v/>
      </c>
      <c r="C340">
        <f>IF(ISNUMBER(B340),B340,"")</f>
        <v/>
      </c>
      <c r="D340">
        <f>IF(ISNUMBER(C340),_xlfn.RANK.EQ(C340,$C$2:$C$1031),"")</f>
        <v/>
      </c>
      <c r="E340">
        <f>Sheet1!C340+Sheet1!D340+Sheet1!E340+Sheet1!F340+Sheet1!J340+Sheet1!K340+Sheet1!L340+Sheet1!M340+Sheet1!Q340+Sheet1!R340+Sheet1!S340+Sheet1!T340</f>
        <v/>
      </c>
      <c r="F340">
        <f>IF(ISNUMBER(E340),E340,"")</f>
        <v/>
      </c>
      <c r="G340">
        <f>IF(ISNUMBER(F340),_xlfn.RANK.EQ(F340,$F$2:$F$1031),"")</f>
        <v/>
      </c>
      <c r="H340">
        <f>INDEX(Sheet1!AH:AH,MATCH(A340,Sheet1!A:A,0))</f>
        <v/>
      </c>
    </row>
    <row r="341">
      <c r="A341" t="n">
        <v>777</v>
      </c>
      <c r="B341">
        <f>Sheet1!C341+Sheet1!D341+Sheet1!E341+Sheet1!F341+Sheet1!J341+Sheet1!K341+Sheet1!L341+Sheet1!M341</f>
        <v/>
      </c>
      <c r="C341">
        <f>IF(ISNUMBER(B341),B341,"")</f>
        <v/>
      </c>
      <c r="D341">
        <f>IF(ISNUMBER(C341),_xlfn.RANK.EQ(C341,$C$2:$C$1031),"")</f>
        <v/>
      </c>
      <c r="E341">
        <f>Sheet1!C341+Sheet1!D341+Sheet1!E341+Sheet1!F341+Sheet1!J341+Sheet1!K341+Sheet1!L341+Sheet1!M341+Sheet1!Q341+Sheet1!R341+Sheet1!S341+Sheet1!T341</f>
        <v/>
      </c>
      <c r="F341">
        <f>IF(ISNUMBER(E341),E341,"")</f>
        <v/>
      </c>
      <c r="G341">
        <f>IF(ISNUMBER(F341),_xlfn.RANK.EQ(F341,$F$2:$F$1031),"")</f>
        <v/>
      </c>
      <c r="H341">
        <f>INDEX(Sheet1!AH:AH,MATCH(A341,Sheet1!A:A,0))</f>
        <v/>
      </c>
    </row>
    <row r="342">
      <c r="A342" t="n">
        <v>780</v>
      </c>
      <c r="B342">
        <f>Sheet1!C342+Sheet1!D342+Sheet1!E342+Sheet1!F342+Sheet1!J342+Sheet1!K342+Sheet1!L342+Sheet1!M342</f>
        <v/>
      </c>
      <c r="C342">
        <f>IF(ISNUMBER(B342),B342,"")</f>
        <v/>
      </c>
      <c r="D342">
        <f>IF(ISNUMBER(C342),_xlfn.RANK.EQ(C342,$C$2:$C$1031),"")</f>
        <v/>
      </c>
      <c r="E342">
        <f>Sheet1!C342+Sheet1!D342+Sheet1!E342+Sheet1!F342+Sheet1!J342+Sheet1!K342+Sheet1!L342+Sheet1!M342+Sheet1!Q342+Sheet1!R342+Sheet1!S342+Sheet1!T342</f>
        <v/>
      </c>
      <c r="F342">
        <f>IF(ISNUMBER(E342),E342,"")</f>
        <v/>
      </c>
      <c r="G342">
        <f>IF(ISNUMBER(F342),_xlfn.RANK.EQ(F342,$F$2:$F$1031),"")</f>
        <v/>
      </c>
      <c r="H342">
        <f>INDEX(Sheet1!AH:AH,MATCH(A342,Sheet1!A:A,0))</f>
        <v/>
      </c>
    </row>
    <row r="343">
      <c r="A343" t="n">
        <v>781</v>
      </c>
      <c r="B343">
        <f>Sheet1!C343+Sheet1!D343+Sheet1!E343+Sheet1!F343+Sheet1!J343+Sheet1!K343+Sheet1!L343+Sheet1!M343</f>
        <v/>
      </c>
      <c r="C343">
        <f>IF(ISNUMBER(B343),B343,"")</f>
        <v/>
      </c>
      <c r="D343">
        <f>IF(ISNUMBER(C343),_xlfn.RANK.EQ(C343,$C$2:$C$1031),"")</f>
        <v/>
      </c>
      <c r="E343">
        <f>Sheet1!C343+Sheet1!D343+Sheet1!E343+Sheet1!F343+Sheet1!J343+Sheet1!K343+Sheet1!L343+Sheet1!M343+Sheet1!Q343+Sheet1!R343+Sheet1!S343+Sheet1!T343</f>
        <v/>
      </c>
      <c r="F343">
        <f>IF(ISNUMBER(E343),E343,"")</f>
        <v/>
      </c>
      <c r="G343">
        <f>IF(ISNUMBER(F343),_xlfn.RANK.EQ(F343,$F$2:$F$1031),"")</f>
        <v/>
      </c>
      <c r="H343">
        <f>INDEX(Sheet1!AH:AH,MATCH(A343,Sheet1!A:A,0))</f>
        <v/>
      </c>
    </row>
    <row r="344">
      <c r="A344" t="n">
        <v>786</v>
      </c>
      <c r="B344">
        <f>Sheet1!C344+Sheet1!D344+Sheet1!E344+Sheet1!F344+Sheet1!J344+Sheet1!K344+Sheet1!L344+Sheet1!M344</f>
        <v/>
      </c>
      <c r="C344">
        <f>IF(ISNUMBER(B344),B344,"")</f>
        <v/>
      </c>
      <c r="D344">
        <f>IF(ISNUMBER(C344),_xlfn.RANK.EQ(C344,$C$2:$C$1031),"")</f>
        <v/>
      </c>
      <c r="E344">
        <f>Sheet1!C344+Sheet1!D344+Sheet1!E344+Sheet1!F344+Sheet1!J344+Sheet1!K344+Sheet1!L344+Sheet1!M344+Sheet1!Q344+Sheet1!R344+Sheet1!S344+Sheet1!T344</f>
        <v/>
      </c>
      <c r="F344">
        <f>IF(ISNUMBER(E344),E344,"")</f>
        <v/>
      </c>
      <c r="G344">
        <f>IF(ISNUMBER(F344),_xlfn.RANK.EQ(F344,$F$2:$F$1031),"")</f>
        <v/>
      </c>
      <c r="H344">
        <f>INDEX(Sheet1!AH:AH,MATCH(A344,Sheet1!A:A,0))</f>
        <v/>
      </c>
    </row>
    <row r="345">
      <c r="A345" t="n">
        <v>787</v>
      </c>
      <c r="B345">
        <f>Sheet1!C345+Sheet1!D345+Sheet1!E345+Sheet1!F345+Sheet1!J345+Sheet1!K345+Sheet1!L345+Sheet1!M345</f>
        <v/>
      </c>
      <c r="C345">
        <f>IF(ISNUMBER(B345),B345,"")</f>
        <v/>
      </c>
      <c r="D345">
        <f>IF(ISNUMBER(C345),_xlfn.RANK.EQ(C345,$C$2:$C$1031),"")</f>
        <v/>
      </c>
      <c r="E345">
        <f>Sheet1!C345+Sheet1!D345+Sheet1!E345+Sheet1!F345+Sheet1!J345+Sheet1!K345+Sheet1!L345+Sheet1!M345+Sheet1!Q345+Sheet1!R345+Sheet1!S345+Sheet1!T345</f>
        <v/>
      </c>
      <c r="F345">
        <f>IF(ISNUMBER(E345),E345,"")</f>
        <v/>
      </c>
      <c r="G345">
        <f>IF(ISNUMBER(F345),_xlfn.RANK.EQ(F345,$F$2:$F$1031),"")</f>
        <v/>
      </c>
      <c r="H345">
        <f>INDEX(Sheet1!AH:AH,MATCH(A345,Sheet1!A:A,0))</f>
        <v/>
      </c>
    </row>
    <row r="346">
      <c r="A346" t="n">
        <v>788</v>
      </c>
      <c r="B346">
        <f>Sheet1!C346+Sheet1!D346+Sheet1!E346+Sheet1!F346+Sheet1!J346+Sheet1!K346+Sheet1!L346+Sheet1!M346</f>
        <v/>
      </c>
      <c r="C346">
        <f>IF(ISNUMBER(B346),B346,"")</f>
        <v/>
      </c>
      <c r="D346">
        <f>IF(ISNUMBER(C346),_xlfn.RANK.EQ(C346,$C$2:$C$1031),"")</f>
        <v/>
      </c>
      <c r="E346">
        <f>Sheet1!C346+Sheet1!D346+Sheet1!E346+Sheet1!F346+Sheet1!J346+Sheet1!K346+Sheet1!L346+Sheet1!M346+Sheet1!Q346+Sheet1!R346+Sheet1!S346+Sheet1!T346</f>
        <v/>
      </c>
      <c r="F346">
        <f>IF(ISNUMBER(E346),E346,"")</f>
        <v/>
      </c>
      <c r="G346">
        <f>IF(ISNUMBER(F346),_xlfn.RANK.EQ(F346,$F$2:$F$1031),"")</f>
        <v/>
      </c>
      <c r="H346">
        <f>INDEX(Sheet1!AH:AH,MATCH(A346,Sheet1!A:A,0))</f>
        <v/>
      </c>
    </row>
    <row r="347">
      <c r="A347" t="n">
        <v>791</v>
      </c>
      <c r="B347">
        <f>Sheet1!C347+Sheet1!D347+Sheet1!E347+Sheet1!F347+Sheet1!J347+Sheet1!K347+Sheet1!L347+Sheet1!M347</f>
        <v/>
      </c>
      <c r="C347">
        <f>IF(ISNUMBER(B347),B347,"")</f>
        <v/>
      </c>
      <c r="D347">
        <f>IF(ISNUMBER(C347),_xlfn.RANK.EQ(C347,$C$2:$C$1031),"")</f>
        <v/>
      </c>
      <c r="E347">
        <f>Sheet1!C347+Sheet1!D347+Sheet1!E347+Sheet1!F347+Sheet1!J347+Sheet1!K347+Sheet1!L347+Sheet1!M347+Sheet1!Q347+Sheet1!R347+Sheet1!S347+Sheet1!T347</f>
        <v/>
      </c>
      <c r="F347">
        <f>IF(ISNUMBER(E347),E347,"")</f>
        <v/>
      </c>
      <c r="G347">
        <f>IF(ISNUMBER(F347),_xlfn.RANK.EQ(F347,$F$2:$F$1031),"")</f>
        <v/>
      </c>
      <c r="H347">
        <f>INDEX(Sheet1!AH:AH,MATCH(A347,Sheet1!A:A,0))</f>
        <v/>
      </c>
    </row>
    <row r="348">
      <c r="A348" t="n">
        <v>793</v>
      </c>
      <c r="B348">
        <f>Sheet1!C348+Sheet1!D348+Sheet1!E348+Sheet1!F348+Sheet1!J348+Sheet1!K348+Sheet1!L348+Sheet1!M348</f>
        <v/>
      </c>
      <c r="C348">
        <f>IF(ISNUMBER(B348),B348,"")</f>
        <v/>
      </c>
      <c r="D348">
        <f>IF(ISNUMBER(C348),_xlfn.RANK.EQ(C348,$C$2:$C$1031),"")</f>
        <v/>
      </c>
      <c r="E348">
        <f>Sheet1!C348+Sheet1!D348+Sheet1!E348+Sheet1!F348+Sheet1!J348+Sheet1!K348+Sheet1!L348+Sheet1!M348+Sheet1!Q348+Sheet1!R348+Sheet1!S348+Sheet1!T348</f>
        <v/>
      </c>
      <c r="F348">
        <f>IF(ISNUMBER(E348),E348,"")</f>
        <v/>
      </c>
      <c r="G348">
        <f>IF(ISNUMBER(F348),_xlfn.RANK.EQ(F348,$F$2:$F$1031),"")</f>
        <v/>
      </c>
      <c r="H348">
        <f>INDEX(Sheet1!AH:AH,MATCH(A348,Sheet1!A:A,0))</f>
        <v/>
      </c>
    </row>
    <row r="349">
      <c r="A349" t="n">
        <v>801</v>
      </c>
      <c r="B349">
        <f>Sheet1!C349+Sheet1!D349+Sheet1!E349+Sheet1!F349+Sheet1!J349+Sheet1!K349+Sheet1!L349+Sheet1!M349</f>
        <v/>
      </c>
      <c r="C349">
        <f>IF(ISNUMBER(B349),B349,"")</f>
        <v/>
      </c>
      <c r="D349">
        <f>IF(ISNUMBER(C349),_xlfn.RANK.EQ(C349,$C$2:$C$1031),"")</f>
        <v/>
      </c>
      <c r="E349">
        <f>Sheet1!C349+Sheet1!D349+Sheet1!E349+Sheet1!F349+Sheet1!J349+Sheet1!K349+Sheet1!L349+Sheet1!M349+Sheet1!Q349+Sheet1!R349+Sheet1!S349+Sheet1!T349</f>
        <v/>
      </c>
      <c r="F349">
        <f>IF(ISNUMBER(E349),E349,"")</f>
        <v/>
      </c>
      <c r="G349">
        <f>IF(ISNUMBER(F349),_xlfn.RANK.EQ(F349,$F$2:$F$1031),"")</f>
        <v/>
      </c>
      <c r="H349">
        <f>INDEX(Sheet1!AH:AH,MATCH(A349,Sheet1!A:A,0))</f>
        <v/>
      </c>
    </row>
    <row r="350">
      <c r="A350" t="n">
        <v>802</v>
      </c>
      <c r="B350">
        <f>Sheet1!C350+Sheet1!D350+Sheet1!E350+Sheet1!F350+Sheet1!J350+Sheet1!K350+Sheet1!L350+Sheet1!M350</f>
        <v/>
      </c>
      <c r="C350">
        <f>IF(ISNUMBER(B350),B350,"")</f>
        <v/>
      </c>
      <c r="D350">
        <f>IF(ISNUMBER(C350),_xlfn.RANK.EQ(C350,$C$2:$C$1031),"")</f>
        <v/>
      </c>
      <c r="E350">
        <f>Sheet1!C350+Sheet1!D350+Sheet1!E350+Sheet1!F350+Sheet1!J350+Sheet1!K350+Sheet1!L350+Sheet1!M350+Sheet1!Q350+Sheet1!R350+Sheet1!S350+Sheet1!T350</f>
        <v/>
      </c>
      <c r="F350">
        <f>IF(ISNUMBER(E350),E350,"")</f>
        <v/>
      </c>
      <c r="G350">
        <f>IF(ISNUMBER(F350),_xlfn.RANK.EQ(F350,$F$2:$F$1031),"")</f>
        <v/>
      </c>
      <c r="H350">
        <f>INDEX(Sheet1!AH:AH,MATCH(A350,Sheet1!A:A,0))</f>
        <v/>
      </c>
    </row>
    <row r="351">
      <c r="A351" t="n">
        <v>803</v>
      </c>
      <c r="B351">
        <f>Sheet1!C351+Sheet1!D351+Sheet1!E351+Sheet1!F351+Sheet1!J351+Sheet1!K351+Sheet1!L351+Sheet1!M351</f>
        <v/>
      </c>
      <c r="C351">
        <f>IF(ISNUMBER(B351),B351,"")</f>
        <v/>
      </c>
      <c r="D351">
        <f>IF(ISNUMBER(C351),_xlfn.RANK.EQ(C351,$C$2:$C$1031),"")</f>
        <v/>
      </c>
      <c r="E351">
        <f>Sheet1!C351+Sheet1!D351+Sheet1!E351+Sheet1!F351+Sheet1!J351+Sheet1!K351+Sheet1!L351+Sheet1!M351+Sheet1!Q351+Sheet1!R351+Sheet1!S351+Sheet1!T351</f>
        <v/>
      </c>
      <c r="F351">
        <f>IF(ISNUMBER(E351),E351,"")</f>
        <v/>
      </c>
      <c r="G351">
        <f>IF(ISNUMBER(F351),_xlfn.RANK.EQ(F351,$F$2:$F$1031),"")</f>
        <v/>
      </c>
      <c r="H351">
        <f>INDEX(Sheet1!AH:AH,MATCH(A351,Sheet1!A:A,0))</f>
        <v/>
      </c>
    </row>
    <row r="352">
      <c r="A352" t="n">
        <v>804</v>
      </c>
      <c r="B352">
        <f>Sheet1!C352+Sheet1!D352+Sheet1!E352+Sheet1!F352+Sheet1!J352+Sheet1!K352+Sheet1!L352+Sheet1!M352</f>
        <v/>
      </c>
      <c r="C352">
        <f>IF(ISNUMBER(B352),B352,"")</f>
        <v/>
      </c>
      <c r="D352">
        <f>IF(ISNUMBER(C352),_xlfn.RANK.EQ(C352,$C$2:$C$1031),"")</f>
        <v/>
      </c>
      <c r="E352">
        <f>Sheet1!C352+Sheet1!D352+Sheet1!E352+Sheet1!F352+Sheet1!J352+Sheet1!K352+Sheet1!L352+Sheet1!M352+Sheet1!Q352+Sheet1!R352+Sheet1!S352+Sheet1!T352</f>
        <v/>
      </c>
      <c r="F352">
        <f>IF(ISNUMBER(E352),E352,"")</f>
        <v/>
      </c>
      <c r="G352">
        <f>IF(ISNUMBER(F352),_xlfn.RANK.EQ(F352,$F$2:$F$1031),"")</f>
        <v/>
      </c>
      <c r="H352">
        <f>INDEX(Sheet1!AH:AH,MATCH(A352,Sheet1!A:A,0))</f>
        <v/>
      </c>
    </row>
    <row r="353">
      <c r="A353" t="n">
        <v>805</v>
      </c>
      <c r="B353">
        <f>Sheet1!C353+Sheet1!D353+Sheet1!E353+Sheet1!F353+Sheet1!J353+Sheet1!K353+Sheet1!L353+Sheet1!M353</f>
        <v/>
      </c>
      <c r="C353">
        <f>IF(ISNUMBER(B353),B353,"")</f>
        <v/>
      </c>
      <c r="D353">
        <f>IF(ISNUMBER(C353),_xlfn.RANK.EQ(C353,$C$2:$C$1031),"")</f>
        <v/>
      </c>
      <c r="E353">
        <f>Sheet1!C353+Sheet1!D353+Sheet1!E353+Sheet1!F353+Sheet1!J353+Sheet1!K353+Sheet1!L353+Sheet1!M353+Sheet1!Q353+Sheet1!R353+Sheet1!S353+Sheet1!T353</f>
        <v/>
      </c>
      <c r="F353">
        <f>IF(ISNUMBER(E353),E353,"")</f>
        <v/>
      </c>
      <c r="G353">
        <f>IF(ISNUMBER(F353),_xlfn.RANK.EQ(F353,$F$2:$F$1031),"")</f>
        <v/>
      </c>
      <c r="H353">
        <f>INDEX(Sheet1!AH:AH,MATCH(A353,Sheet1!A:A,0))</f>
        <v/>
      </c>
    </row>
    <row r="354">
      <c r="A354" t="n">
        <v>806</v>
      </c>
      <c r="B354">
        <f>Sheet1!C354+Sheet1!D354+Sheet1!E354+Sheet1!F354+Sheet1!J354+Sheet1!K354+Sheet1!L354+Sheet1!M354</f>
        <v/>
      </c>
      <c r="C354">
        <f>IF(ISNUMBER(B354),B354,"")</f>
        <v/>
      </c>
      <c r="D354">
        <f>IF(ISNUMBER(C354),_xlfn.RANK.EQ(C354,$C$2:$C$1031),"")</f>
        <v/>
      </c>
      <c r="E354">
        <f>Sheet1!C354+Sheet1!D354+Sheet1!E354+Sheet1!F354+Sheet1!J354+Sheet1!K354+Sheet1!L354+Sheet1!M354+Sheet1!Q354+Sheet1!R354+Sheet1!S354+Sheet1!T354</f>
        <v/>
      </c>
      <c r="F354">
        <f>IF(ISNUMBER(E354),E354,"")</f>
        <v/>
      </c>
      <c r="G354">
        <f>IF(ISNUMBER(F354),_xlfn.RANK.EQ(F354,$F$2:$F$1031),"")</f>
        <v/>
      </c>
      <c r="H354">
        <f>INDEX(Sheet1!AH:AH,MATCH(A354,Sheet1!A:A,0))</f>
        <v/>
      </c>
    </row>
    <row r="355">
      <c r="A355" t="n">
        <v>807</v>
      </c>
      <c r="B355">
        <f>Sheet1!C355+Sheet1!D355+Sheet1!E355+Sheet1!F355+Sheet1!J355+Sheet1!K355+Sheet1!L355+Sheet1!M355</f>
        <v/>
      </c>
      <c r="C355">
        <f>IF(ISNUMBER(B355),B355,"")</f>
        <v/>
      </c>
      <c r="D355">
        <f>IF(ISNUMBER(C355),_xlfn.RANK.EQ(C355,$C$2:$C$1031),"")</f>
        <v/>
      </c>
      <c r="E355">
        <f>Sheet1!C355+Sheet1!D355+Sheet1!E355+Sheet1!F355+Sheet1!J355+Sheet1!K355+Sheet1!L355+Sheet1!M355+Sheet1!Q355+Sheet1!R355+Sheet1!S355+Sheet1!T355</f>
        <v/>
      </c>
      <c r="F355">
        <f>IF(ISNUMBER(E355),E355,"")</f>
        <v/>
      </c>
      <c r="G355">
        <f>IF(ISNUMBER(F355),_xlfn.RANK.EQ(F355,$F$2:$F$1031),"")</f>
        <v/>
      </c>
      <c r="H355">
        <f>INDEX(Sheet1!AH:AH,MATCH(A355,Sheet1!A:A,0))</f>
        <v/>
      </c>
    </row>
    <row r="356">
      <c r="A356" t="n">
        <v>808</v>
      </c>
      <c r="B356">
        <f>Sheet1!C356+Sheet1!D356+Sheet1!E356+Sheet1!F356+Sheet1!J356+Sheet1!K356+Sheet1!L356+Sheet1!M356</f>
        <v/>
      </c>
      <c r="C356">
        <f>IF(ISNUMBER(B356),B356,"")</f>
        <v/>
      </c>
      <c r="D356">
        <f>IF(ISNUMBER(C356),_xlfn.RANK.EQ(C356,$C$2:$C$1031),"")</f>
        <v/>
      </c>
      <c r="E356">
        <f>Sheet1!C356+Sheet1!D356+Sheet1!E356+Sheet1!F356+Sheet1!J356+Sheet1!K356+Sheet1!L356+Sheet1!M356+Sheet1!Q356+Sheet1!R356+Sheet1!S356+Sheet1!T356</f>
        <v/>
      </c>
      <c r="F356">
        <f>IF(ISNUMBER(E356),E356,"")</f>
        <v/>
      </c>
      <c r="G356">
        <f>IF(ISNUMBER(F356),_xlfn.RANK.EQ(F356,$F$2:$F$1031),"")</f>
        <v/>
      </c>
      <c r="H356">
        <f>INDEX(Sheet1!AH:AH,MATCH(A356,Sheet1!A:A,0))</f>
        <v/>
      </c>
    </row>
    <row r="357">
      <c r="A357" t="n">
        <v>809</v>
      </c>
      <c r="B357">
        <f>Sheet1!C357+Sheet1!D357+Sheet1!E357+Sheet1!F357+Sheet1!J357+Sheet1!K357+Sheet1!L357+Sheet1!M357</f>
        <v/>
      </c>
      <c r="C357">
        <f>IF(ISNUMBER(B357),B357,"")</f>
        <v/>
      </c>
      <c r="D357">
        <f>IF(ISNUMBER(C357),_xlfn.RANK.EQ(C357,$C$2:$C$1031),"")</f>
        <v/>
      </c>
      <c r="E357">
        <f>Sheet1!C357+Sheet1!D357+Sheet1!E357+Sheet1!F357+Sheet1!J357+Sheet1!K357+Sheet1!L357+Sheet1!M357+Sheet1!Q357+Sheet1!R357+Sheet1!S357+Sheet1!T357</f>
        <v/>
      </c>
      <c r="F357">
        <f>IF(ISNUMBER(E357),E357,"")</f>
        <v/>
      </c>
      <c r="G357">
        <f>IF(ISNUMBER(F357),_xlfn.RANK.EQ(F357,$F$2:$F$1031),"")</f>
        <v/>
      </c>
      <c r="H357">
        <f>INDEX(Sheet1!AH:AH,MATCH(A357,Sheet1!A:A,0))</f>
        <v/>
      </c>
    </row>
    <row r="358">
      <c r="A358" t="n">
        <v>810</v>
      </c>
      <c r="B358">
        <f>Sheet1!C358+Sheet1!D358+Sheet1!E358+Sheet1!F358+Sheet1!J358+Sheet1!K358+Sheet1!L358+Sheet1!M358</f>
        <v/>
      </c>
      <c r="C358">
        <f>IF(ISNUMBER(B358),B358,"")</f>
        <v/>
      </c>
      <c r="D358">
        <f>IF(ISNUMBER(C358),_xlfn.RANK.EQ(C358,$C$2:$C$1031),"")</f>
        <v/>
      </c>
      <c r="E358">
        <f>Sheet1!C358+Sheet1!D358+Sheet1!E358+Sheet1!F358+Sheet1!J358+Sheet1!K358+Sheet1!L358+Sheet1!M358+Sheet1!Q358+Sheet1!R358+Sheet1!S358+Sheet1!T358</f>
        <v/>
      </c>
      <c r="F358">
        <f>IF(ISNUMBER(E358),E358,"")</f>
        <v/>
      </c>
      <c r="G358">
        <f>IF(ISNUMBER(F358),_xlfn.RANK.EQ(F358,$F$2:$F$1031),"")</f>
        <v/>
      </c>
      <c r="H358">
        <f>INDEX(Sheet1!AH:AH,MATCH(A358,Sheet1!A:A,0))</f>
        <v/>
      </c>
    </row>
    <row r="359">
      <c r="A359" t="n">
        <v>811</v>
      </c>
      <c r="B359">
        <f>Sheet1!C359+Sheet1!D359+Sheet1!E359+Sheet1!F359+Sheet1!J359+Sheet1!K359+Sheet1!L359+Sheet1!M359</f>
        <v/>
      </c>
      <c r="C359">
        <f>IF(ISNUMBER(B359),B359,"")</f>
        <v/>
      </c>
      <c r="D359">
        <f>IF(ISNUMBER(C359),_xlfn.RANK.EQ(C359,$C$2:$C$1031),"")</f>
        <v/>
      </c>
      <c r="E359">
        <f>Sheet1!C359+Sheet1!D359+Sheet1!E359+Sheet1!F359+Sheet1!J359+Sheet1!K359+Sheet1!L359+Sheet1!M359+Sheet1!Q359+Sheet1!R359+Sheet1!S359+Sheet1!T359</f>
        <v/>
      </c>
      <c r="F359">
        <f>IF(ISNUMBER(E359),E359,"")</f>
        <v/>
      </c>
      <c r="G359">
        <f>IF(ISNUMBER(F359),_xlfn.RANK.EQ(F359,$F$2:$F$1031),"")</f>
        <v/>
      </c>
      <c r="H359">
        <f>INDEX(Sheet1!AH:AH,MATCH(A359,Sheet1!A:A,0))</f>
        <v/>
      </c>
    </row>
    <row r="360">
      <c r="A360" t="n">
        <v>812</v>
      </c>
      <c r="B360">
        <f>Sheet1!C360+Sheet1!D360+Sheet1!E360+Sheet1!F360+Sheet1!J360+Sheet1!K360+Sheet1!L360+Sheet1!M360</f>
        <v/>
      </c>
      <c r="C360">
        <f>IF(ISNUMBER(B360),B360,"")</f>
        <v/>
      </c>
      <c r="D360">
        <f>IF(ISNUMBER(C360),_xlfn.RANK.EQ(C360,$C$2:$C$1031),"")</f>
        <v/>
      </c>
      <c r="E360">
        <f>Sheet1!C360+Sheet1!D360+Sheet1!E360+Sheet1!F360+Sheet1!J360+Sheet1!K360+Sheet1!L360+Sheet1!M360+Sheet1!Q360+Sheet1!R360+Sheet1!S360+Sheet1!T360</f>
        <v/>
      </c>
      <c r="F360">
        <f>IF(ISNUMBER(E360),E360,"")</f>
        <v/>
      </c>
      <c r="G360">
        <f>IF(ISNUMBER(F360),_xlfn.RANK.EQ(F360,$F$2:$F$1031),"")</f>
        <v/>
      </c>
      <c r="H360">
        <f>INDEX(Sheet1!AH:AH,MATCH(A360,Sheet1!A:A,0))</f>
        <v/>
      </c>
    </row>
    <row r="361">
      <c r="A361" t="n">
        <v>813</v>
      </c>
      <c r="B361">
        <f>Sheet1!C361+Sheet1!D361+Sheet1!E361+Sheet1!F361+Sheet1!J361+Sheet1!K361+Sheet1!L361+Sheet1!M361</f>
        <v/>
      </c>
      <c r="C361">
        <f>IF(ISNUMBER(B361),B361,"")</f>
        <v/>
      </c>
      <c r="D361">
        <f>IF(ISNUMBER(C361),_xlfn.RANK.EQ(C361,$C$2:$C$1031),"")</f>
        <v/>
      </c>
      <c r="E361">
        <f>Sheet1!C361+Sheet1!D361+Sheet1!E361+Sheet1!F361+Sheet1!J361+Sheet1!K361+Sheet1!L361+Sheet1!M361+Sheet1!Q361+Sheet1!R361+Sheet1!S361+Sheet1!T361</f>
        <v/>
      </c>
      <c r="F361">
        <f>IF(ISNUMBER(E361),E361,"")</f>
        <v/>
      </c>
      <c r="G361">
        <f>IF(ISNUMBER(F361),_xlfn.RANK.EQ(F361,$F$2:$F$1031),"")</f>
        <v/>
      </c>
      <c r="H361">
        <f>INDEX(Sheet1!AH:AH,MATCH(A361,Sheet1!A:A,0))</f>
        <v/>
      </c>
    </row>
    <row r="362">
      <c r="A362" t="n">
        <v>814</v>
      </c>
      <c r="B362">
        <f>Sheet1!C362+Sheet1!D362+Sheet1!E362+Sheet1!F362+Sheet1!J362+Sheet1!K362+Sheet1!L362+Sheet1!M362</f>
        <v/>
      </c>
      <c r="C362">
        <f>IF(ISNUMBER(B362),B362,"")</f>
        <v/>
      </c>
      <c r="D362">
        <f>IF(ISNUMBER(C362),_xlfn.RANK.EQ(C362,$C$2:$C$1031),"")</f>
        <v/>
      </c>
      <c r="E362">
        <f>Sheet1!C362+Sheet1!D362+Sheet1!E362+Sheet1!F362+Sheet1!J362+Sheet1!K362+Sheet1!L362+Sheet1!M362+Sheet1!Q362+Sheet1!R362+Sheet1!S362+Sheet1!T362</f>
        <v/>
      </c>
      <c r="F362">
        <f>IF(ISNUMBER(E362),E362,"")</f>
        <v/>
      </c>
      <c r="G362">
        <f>IF(ISNUMBER(F362),_xlfn.RANK.EQ(F362,$F$2:$F$1031),"")</f>
        <v/>
      </c>
      <c r="H362">
        <f>INDEX(Sheet1!AH:AH,MATCH(A362,Sheet1!A:A,0))</f>
        <v/>
      </c>
    </row>
    <row r="363">
      <c r="A363" t="n">
        <v>816</v>
      </c>
      <c r="B363">
        <f>Sheet1!C363+Sheet1!D363+Sheet1!E363+Sheet1!F363+Sheet1!J363+Sheet1!K363+Sheet1!L363+Sheet1!M363</f>
        <v/>
      </c>
      <c r="C363">
        <f>IF(ISNUMBER(B363),B363,"")</f>
        <v/>
      </c>
      <c r="D363">
        <f>IF(ISNUMBER(C363),_xlfn.RANK.EQ(C363,$C$2:$C$1031),"")</f>
        <v/>
      </c>
      <c r="E363">
        <f>Sheet1!C363+Sheet1!D363+Sheet1!E363+Sheet1!F363+Sheet1!J363+Sheet1!K363+Sheet1!L363+Sheet1!M363+Sheet1!Q363+Sheet1!R363+Sheet1!S363+Sheet1!T363</f>
        <v/>
      </c>
      <c r="F363">
        <f>IF(ISNUMBER(E363),E363,"")</f>
        <v/>
      </c>
      <c r="G363">
        <f>IF(ISNUMBER(F363),_xlfn.RANK.EQ(F363,$F$2:$F$1031),"")</f>
        <v/>
      </c>
      <c r="H363">
        <f>INDEX(Sheet1!AH:AH,MATCH(A363,Sheet1!A:A,0))</f>
        <v/>
      </c>
    </row>
    <row r="364">
      <c r="A364" t="n">
        <v>817</v>
      </c>
      <c r="B364">
        <f>Sheet1!C364+Sheet1!D364+Sheet1!E364+Sheet1!F364+Sheet1!J364+Sheet1!K364+Sheet1!L364+Sheet1!M364</f>
        <v/>
      </c>
      <c r="C364">
        <f>IF(ISNUMBER(B364),B364,"")</f>
        <v/>
      </c>
      <c r="D364">
        <f>IF(ISNUMBER(C364),_xlfn.RANK.EQ(C364,$C$2:$C$1031),"")</f>
        <v/>
      </c>
      <c r="E364">
        <f>Sheet1!C364+Sheet1!D364+Sheet1!E364+Sheet1!F364+Sheet1!J364+Sheet1!K364+Sheet1!L364+Sheet1!M364+Sheet1!Q364+Sheet1!R364+Sheet1!S364+Sheet1!T364</f>
        <v/>
      </c>
      <c r="F364">
        <f>IF(ISNUMBER(E364),E364,"")</f>
        <v/>
      </c>
      <c r="G364">
        <f>IF(ISNUMBER(F364),_xlfn.RANK.EQ(F364,$F$2:$F$1031),"")</f>
        <v/>
      </c>
      <c r="H364">
        <f>INDEX(Sheet1!AH:AH,MATCH(A364,Sheet1!A:A,0))</f>
        <v/>
      </c>
    </row>
    <row r="365">
      <c r="A365" t="n">
        <v>837</v>
      </c>
      <c r="B365">
        <f>Sheet1!C365+Sheet1!D365+Sheet1!E365+Sheet1!F365+Sheet1!J365+Sheet1!K365+Sheet1!L365+Sheet1!M365</f>
        <v/>
      </c>
      <c r="C365">
        <f>IF(ISNUMBER(B365),B365,"")</f>
        <v/>
      </c>
      <c r="D365">
        <f>IF(ISNUMBER(C365),_xlfn.RANK.EQ(C365,$C$2:$C$1031),"")</f>
        <v/>
      </c>
      <c r="E365">
        <f>Sheet1!C365+Sheet1!D365+Sheet1!E365+Sheet1!F365+Sheet1!J365+Sheet1!K365+Sheet1!L365+Sheet1!M365+Sheet1!Q365+Sheet1!R365+Sheet1!S365+Sheet1!T365</f>
        <v/>
      </c>
      <c r="F365">
        <f>IF(ISNUMBER(E365),E365,"")</f>
        <v/>
      </c>
      <c r="G365">
        <f>IF(ISNUMBER(F365),_xlfn.RANK.EQ(F365,$F$2:$F$1031),"")</f>
        <v/>
      </c>
      <c r="H365">
        <f>INDEX(Sheet1!AH:AH,MATCH(A365,Sheet1!A:A,0))</f>
        <v/>
      </c>
    </row>
    <row r="366">
      <c r="A366" t="n">
        <v>839</v>
      </c>
      <c r="B366">
        <f>Sheet1!C366+Sheet1!D366+Sheet1!E366+Sheet1!F366+Sheet1!J366+Sheet1!K366+Sheet1!L366+Sheet1!M366</f>
        <v/>
      </c>
      <c r="C366">
        <f>IF(ISNUMBER(B366),B366,"")</f>
        <v/>
      </c>
      <c r="D366">
        <f>IF(ISNUMBER(C366),_xlfn.RANK.EQ(C366,$C$2:$C$1031),"")</f>
        <v/>
      </c>
      <c r="E366">
        <f>Sheet1!C366+Sheet1!D366+Sheet1!E366+Sheet1!F366+Sheet1!J366+Sheet1!K366+Sheet1!L366+Sheet1!M366+Sheet1!Q366+Sheet1!R366+Sheet1!S366+Sheet1!T366</f>
        <v/>
      </c>
      <c r="F366">
        <f>IF(ISNUMBER(E366),E366,"")</f>
        <v/>
      </c>
      <c r="G366">
        <f>IF(ISNUMBER(F366),_xlfn.RANK.EQ(F366,$F$2:$F$1031),"")</f>
        <v/>
      </c>
      <c r="H366">
        <f>INDEX(Sheet1!AH:AH,MATCH(A366,Sheet1!A:A,0))</f>
        <v/>
      </c>
    </row>
    <row r="367">
      <c r="A367" t="n">
        <v>840</v>
      </c>
      <c r="B367">
        <f>Sheet1!C367+Sheet1!D367+Sheet1!E367+Sheet1!F367+Sheet1!J367+Sheet1!K367+Sheet1!L367+Sheet1!M367</f>
        <v/>
      </c>
      <c r="C367">
        <f>IF(ISNUMBER(B367),B367,"")</f>
        <v/>
      </c>
      <c r="D367">
        <f>IF(ISNUMBER(C367),_xlfn.RANK.EQ(C367,$C$2:$C$1031),"")</f>
        <v/>
      </c>
      <c r="E367">
        <f>Sheet1!C367+Sheet1!D367+Sheet1!E367+Sheet1!F367+Sheet1!J367+Sheet1!K367+Sheet1!L367+Sheet1!M367+Sheet1!Q367+Sheet1!R367+Sheet1!S367+Sheet1!T367</f>
        <v/>
      </c>
      <c r="F367">
        <f>IF(ISNUMBER(E367),E367,"")</f>
        <v/>
      </c>
      <c r="G367">
        <f>IF(ISNUMBER(F367),_xlfn.RANK.EQ(F367,$F$2:$F$1031),"")</f>
        <v/>
      </c>
      <c r="H367">
        <f>INDEX(Sheet1!AH:AH,MATCH(A367,Sheet1!A:A,0))</f>
        <v/>
      </c>
    </row>
    <row r="368">
      <c r="A368" t="n">
        <v>841</v>
      </c>
      <c r="B368">
        <f>Sheet1!C368+Sheet1!D368+Sheet1!E368+Sheet1!F368+Sheet1!J368+Sheet1!K368+Sheet1!L368+Sheet1!M368</f>
        <v/>
      </c>
      <c r="C368">
        <f>IF(ISNUMBER(B368),B368,"")</f>
        <v/>
      </c>
      <c r="D368">
        <f>IF(ISNUMBER(C368),_xlfn.RANK.EQ(C368,$C$2:$C$1031),"")</f>
        <v/>
      </c>
      <c r="E368">
        <f>Sheet1!C368+Sheet1!D368+Sheet1!E368+Sheet1!F368+Sheet1!J368+Sheet1!K368+Sheet1!L368+Sheet1!M368+Sheet1!Q368+Sheet1!R368+Sheet1!S368+Sheet1!T368</f>
        <v/>
      </c>
      <c r="F368">
        <f>IF(ISNUMBER(E368),E368,"")</f>
        <v/>
      </c>
      <c r="G368">
        <f>IF(ISNUMBER(F368),_xlfn.RANK.EQ(F368,$F$2:$F$1031),"")</f>
        <v/>
      </c>
      <c r="H368">
        <f>INDEX(Sheet1!AH:AH,MATCH(A368,Sheet1!A:A,0))</f>
        <v/>
      </c>
    </row>
    <row r="369">
      <c r="A369" t="n">
        <v>844</v>
      </c>
      <c r="B369">
        <f>Sheet1!C369+Sheet1!D369+Sheet1!E369+Sheet1!F369+Sheet1!J369+Sheet1!K369+Sheet1!L369+Sheet1!M369</f>
        <v/>
      </c>
      <c r="C369">
        <f>IF(ISNUMBER(B369),B369,"")</f>
        <v/>
      </c>
      <c r="D369">
        <f>IF(ISNUMBER(C369),_xlfn.RANK.EQ(C369,$C$2:$C$1031),"")</f>
        <v/>
      </c>
      <c r="E369">
        <f>Sheet1!C369+Sheet1!D369+Sheet1!E369+Sheet1!F369+Sheet1!J369+Sheet1!K369+Sheet1!L369+Sheet1!M369+Sheet1!Q369+Sheet1!R369+Sheet1!S369+Sheet1!T369</f>
        <v/>
      </c>
      <c r="F369">
        <f>IF(ISNUMBER(E369),E369,"")</f>
        <v/>
      </c>
      <c r="G369">
        <f>IF(ISNUMBER(F369),_xlfn.RANK.EQ(F369,$F$2:$F$1031),"")</f>
        <v/>
      </c>
      <c r="H369">
        <f>INDEX(Sheet1!AH:AH,MATCH(A369,Sheet1!A:A,0))</f>
        <v/>
      </c>
    </row>
    <row r="370">
      <c r="A370" t="n">
        <v>845</v>
      </c>
      <c r="B370">
        <f>Sheet1!C370+Sheet1!D370+Sheet1!E370+Sheet1!F370+Sheet1!J370+Sheet1!K370+Sheet1!L370+Sheet1!M370</f>
        <v/>
      </c>
      <c r="C370">
        <f>IF(ISNUMBER(B370),B370,"")</f>
        <v/>
      </c>
      <c r="D370">
        <f>IF(ISNUMBER(C370),_xlfn.RANK.EQ(C370,$C$2:$C$1031),"")</f>
        <v/>
      </c>
      <c r="E370">
        <f>Sheet1!C370+Sheet1!D370+Sheet1!E370+Sheet1!F370+Sheet1!J370+Sheet1!K370+Sheet1!L370+Sheet1!M370+Sheet1!Q370+Sheet1!R370+Sheet1!S370+Sheet1!T370</f>
        <v/>
      </c>
      <c r="F370">
        <f>IF(ISNUMBER(E370),E370,"")</f>
        <v/>
      </c>
      <c r="G370">
        <f>IF(ISNUMBER(F370),_xlfn.RANK.EQ(F370,$F$2:$F$1031),"")</f>
        <v/>
      </c>
      <c r="H370">
        <f>INDEX(Sheet1!AH:AH,MATCH(A370,Sheet1!A:A,0))</f>
        <v/>
      </c>
    </row>
    <row r="371">
      <c r="A371" t="n">
        <v>847</v>
      </c>
      <c r="B371">
        <f>Sheet1!C371+Sheet1!D371+Sheet1!E371+Sheet1!F371+Sheet1!J371+Sheet1!K371+Sheet1!L371+Sheet1!M371</f>
        <v/>
      </c>
      <c r="C371">
        <f>IF(ISNUMBER(B371),B371,"")</f>
        <v/>
      </c>
      <c r="D371">
        <f>IF(ISNUMBER(C371),_xlfn.RANK.EQ(C371,$C$2:$C$1031),"")</f>
        <v/>
      </c>
      <c r="E371">
        <f>Sheet1!C371+Sheet1!D371+Sheet1!E371+Sheet1!F371+Sheet1!J371+Sheet1!K371+Sheet1!L371+Sheet1!M371+Sheet1!Q371+Sheet1!R371+Sheet1!S371+Sheet1!T371</f>
        <v/>
      </c>
      <c r="F371">
        <f>IF(ISNUMBER(E371),E371,"")</f>
        <v/>
      </c>
      <c r="G371">
        <f>IF(ISNUMBER(F371),_xlfn.RANK.EQ(F371,$F$2:$F$1031),"")</f>
        <v/>
      </c>
      <c r="H371">
        <f>INDEX(Sheet1!AH:AH,MATCH(A371,Sheet1!A:A,0))</f>
        <v/>
      </c>
    </row>
    <row r="372">
      <c r="A372" t="n">
        <v>848</v>
      </c>
      <c r="B372">
        <f>Sheet1!C372+Sheet1!D372+Sheet1!E372+Sheet1!F372+Sheet1!J372+Sheet1!K372+Sheet1!L372+Sheet1!M372</f>
        <v/>
      </c>
      <c r="C372">
        <f>IF(ISNUMBER(B372),B372,"")</f>
        <v/>
      </c>
      <c r="D372">
        <f>IF(ISNUMBER(C372),_xlfn.RANK.EQ(C372,$C$2:$C$1031),"")</f>
        <v/>
      </c>
      <c r="E372">
        <f>Sheet1!C372+Sheet1!D372+Sheet1!E372+Sheet1!F372+Sheet1!J372+Sheet1!K372+Sheet1!L372+Sheet1!M372+Sheet1!Q372+Sheet1!R372+Sheet1!S372+Sheet1!T372</f>
        <v/>
      </c>
      <c r="F372">
        <f>IF(ISNUMBER(E372),E372,"")</f>
        <v/>
      </c>
      <c r="G372">
        <f>IF(ISNUMBER(F372),_xlfn.RANK.EQ(F372,$F$2:$F$1031),"")</f>
        <v/>
      </c>
      <c r="H372">
        <f>INDEX(Sheet1!AH:AH,MATCH(A372,Sheet1!A:A,0))</f>
        <v/>
      </c>
    </row>
    <row r="373">
      <c r="A373" t="n">
        <v>849</v>
      </c>
      <c r="B373">
        <f>Sheet1!C373+Sheet1!D373+Sheet1!E373+Sheet1!F373+Sheet1!J373+Sheet1!K373+Sheet1!L373+Sheet1!M373</f>
        <v/>
      </c>
      <c r="C373">
        <f>IF(ISNUMBER(B373),B373,"")</f>
        <v/>
      </c>
      <c r="D373">
        <f>IF(ISNUMBER(C373),_xlfn.RANK.EQ(C373,$C$2:$C$1031),"")</f>
        <v/>
      </c>
      <c r="E373">
        <f>Sheet1!C373+Sheet1!D373+Sheet1!E373+Sheet1!F373+Sheet1!J373+Sheet1!K373+Sheet1!L373+Sheet1!M373+Sheet1!Q373+Sheet1!R373+Sheet1!S373+Sheet1!T373</f>
        <v/>
      </c>
      <c r="F373">
        <f>IF(ISNUMBER(E373),E373,"")</f>
        <v/>
      </c>
      <c r="G373">
        <f>IF(ISNUMBER(F373),_xlfn.RANK.EQ(F373,$F$2:$F$1031),"")</f>
        <v/>
      </c>
      <c r="H373">
        <f>INDEX(Sheet1!AH:AH,MATCH(A373,Sheet1!A:A,0))</f>
        <v/>
      </c>
    </row>
    <row r="374">
      <c r="A374" t="n">
        <v>851</v>
      </c>
      <c r="B374">
        <f>Sheet1!C374+Sheet1!D374+Sheet1!E374+Sheet1!F374+Sheet1!J374+Sheet1!K374+Sheet1!L374+Sheet1!M374</f>
        <v/>
      </c>
      <c r="C374">
        <f>IF(ISNUMBER(B374),B374,"")</f>
        <v/>
      </c>
      <c r="D374">
        <f>IF(ISNUMBER(C374),_xlfn.RANK.EQ(C374,$C$2:$C$1031),"")</f>
        <v/>
      </c>
      <c r="E374">
        <f>Sheet1!C374+Sheet1!D374+Sheet1!E374+Sheet1!F374+Sheet1!J374+Sheet1!K374+Sheet1!L374+Sheet1!M374+Sheet1!Q374+Sheet1!R374+Sheet1!S374+Sheet1!T374</f>
        <v/>
      </c>
      <c r="F374">
        <f>IF(ISNUMBER(E374),E374,"")</f>
        <v/>
      </c>
      <c r="G374">
        <f>IF(ISNUMBER(F374),_xlfn.RANK.EQ(F374,$F$2:$F$1031),"")</f>
        <v/>
      </c>
      <c r="H374">
        <f>INDEX(Sheet1!AH:AH,MATCH(A374,Sheet1!A:A,0))</f>
        <v/>
      </c>
    </row>
    <row r="375">
      <c r="A375" t="n">
        <v>853</v>
      </c>
      <c r="B375">
        <f>Sheet1!C375+Sheet1!D375+Sheet1!E375+Sheet1!F375+Sheet1!J375+Sheet1!K375+Sheet1!L375+Sheet1!M375</f>
        <v/>
      </c>
      <c r="C375">
        <f>IF(ISNUMBER(B375),B375,"")</f>
        <v/>
      </c>
      <c r="D375">
        <f>IF(ISNUMBER(C375),_xlfn.RANK.EQ(C375,$C$2:$C$1031),"")</f>
        <v/>
      </c>
      <c r="E375">
        <f>Sheet1!C375+Sheet1!D375+Sheet1!E375+Sheet1!F375+Sheet1!J375+Sheet1!K375+Sheet1!L375+Sheet1!M375+Sheet1!Q375+Sheet1!R375+Sheet1!S375+Sheet1!T375</f>
        <v/>
      </c>
      <c r="F375">
        <f>IF(ISNUMBER(E375),E375,"")</f>
        <v/>
      </c>
      <c r="G375">
        <f>IF(ISNUMBER(F375),_xlfn.RANK.EQ(F375,$F$2:$F$1031),"")</f>
        <v/>
      </c>
      <c r="H375">
        <f>INDEX(Sheet1!AH:AH,MATCH(A375,Sheet1!A:A,0))</f>
        <v/>
      </c>
    </row>
    <row r="376">
      <c r="A376" t="n">
        <v>854</v>
      </c>
      <c r="B376">
        <f>Sheet1!C376+Sheet1!D376+Sheet1!E376+Sheet1!F376+Sheet1!J376+Sheet1!K376+Sheet1!L376+Sheet1!M376</f>
        <v/>
      </c>
      <c r="C376">
        <f>IF(ISNUMBER(B376),B376,"")</f>
        <v/>
      </c>
      <c r="D376">
        <f>IF(ISNUMBER(C376),_xlfn.RANK.EQ(C376,$C$2:$C$1031),"")</f>
        <v/>
      </c>
      <c r="E376">
        <f>Sheet1!C376+Sheet1!D376+Sheet1!E376+Sheet1!F376+Sheet1!J376+Sheet1!K376+Sheet1!L376+Sheet1!M376+Sheet1!Q376+Sheet1!R376+Sheet1!S376+Sheet1!T376</f>
        <v/>
      </c>
      <c r="F376">
        <f>IF(ISNUMBER(E376),E376,"")</f>
        <v/>
      </c>
      <c r="G376">
        <f>IF(ISNUMBER(F376),_xlfn.RANK.EQ(F376,$F$2:$F$1031),"")</f>
        <v/>
      </c>
      <c r="H376">
        <f>INDEX(Sheet1!AH:AH,MATCH(A376,Sheet1!A:A,0))</f>
        <v/>
      </c>
    </row>
    <row r="377">
      <c r="A377" t="n">
        <v>856</v>
      </c>
      <c r="B377">
        <f>Sheet1!C377+Sheet1!D377+Sheet1!E377+Sheet1!F377+Sheet1!J377+Sheet1!K377+Sheet1!L377+Sheet1!M377</f>
        <v/>
      </c>
      <c r="C377">
        <f>IF(ISNUMBER(B377),B377,"")</f>
        <v/>
      </c>
      <c r="D377">
        <f>IF(ISNUMBER(C377),_xlfn.RANK.EQ(C377,$C$2:$C$1031),"")</f>
        <v/>
      </c>
      <c r="E377">
        <f>Sheet1!C377+Sheet1!D377+Sheet1!E377+Sheet1!F377+Sheet1!J377+Sheet1!K377+Sheet1!L377+Sheet1!M377+Sheet1!Q377+Sheet1!R377+Sheet1!S377+Sheet1!T377</f>
        <v/>
      </c>
      <c r="F377">
        <f>IF(ISNUMBER(E377),E377,"")</f>
        <v/>
      </c>
      <c r="G377">
        <f>IF(ISNUMBER(F377),_xlfn.RANK.EQ(F377,$F$2:$F$1031),"")</f>
        <v/>
      </c>
      <c r="H377">
        <f>INDEX(Sheet1!AH:AH,MATCH(A377,Sheet1!A:A,0))</f>
        <v/>
      </c>
    </row>
    <row r="378">
      <c r="A378" t="n">
        <v>859</v>
      </c>
      <c r="B378">
        <f>Sheet1!C378+Sheet1!D378+Sheet1!E378+Sheet1!F378+Sheet1!J378+Sheet1!K378+Sheet1!L378+Sheet1!M378</f>
        <v/>
      </c>
      <c r="C378">
        <f>IF(ISNUMBER(B378),B378,"")</f>
        <v/>
      </c>
      <c r="D378">
        <f>IF(ISNUMBER(C378),_xlfn.RANK.EQ(C378,$C$2:$C$1031),"")</f>
        <v/>
      </c>
      <c r="E378">
        <f>Sheet1!C378+Sheet1!D378+Sheet1!E378+Sheet1!F378+Sheet1!J378+Sheet1!K378+Sheet1!L378+Sheet1!M378+Sheet1!Q378+Sheet1!R378+Sheet1!S378+Sheet1!T378</f>
        <v/>
      </c>
      <c r="F378">
        <f>IF(ISNUMBER(E378),E378,"")</f>
        <v/>
      </c>
      <c r="G378">
        <f>IF(ISNUMBER(F378),_xlfn.RANK.EQ(F378,$F$2:$F$1031),"")</f>
        <v/>
      </c>
      <c r="H378">
        <f>INDEX(Sheet1!AH:AH,MATCH(A378,Sheet1!A:A,0))</f>
        <v/>
      </c>
    </row>
    <row r="379">
      <c r="A379" t="n">
        <v>860</v>
      </c>
      <c r="B379">
        <f>Sheet1!C379+Sheet1!D379+Sheet1!E379+Sheet1!F379+Sheet1!J379+Sheet1!K379+Sheet1!L379+Sheet1!M379</f>
        <v/>
      </c>
      <c r="C379">
        <f>IF(ISNUMBER(B379),B379,"")</f>
        <v/>
      </c>
      <c r="D379">
        <f>IF(ISNUMBER(C379),_xlfn.RANK.EQ(C379,$C$2:$C$1031),"")</f>
        <v/>
      </c>
      <c r="E379">
        <f>Sheet1!C379+Sheet1!D379+Sheet1!E379+Sheet1!F379+Sheet1!J379+Sheet1!K379+Sheet1!L379+Sheet1!M379+Sheet1!Q379+Sheet1!R379+Sheet1!S379+Sheet1!T379</f>
        <v/>
      </c>
      <c r="F379">
        <f>IF(ISNUMBER(E379),E379,"")</f>
        <v/>
      </c>
      <c r="G379">
        <f>IF(ISNUMBER(F379),_xlfn.RANK.EQ(F379,$F$2:$F$1031),"")</f>
        <v/>
      </c>
      <c r="H379">
        <f>INDEX(Sheet1!AH:AH,MATCH(A379,Sheet1!A:A,0))</f>
        <v/>
      </c>
    </row>
    <row r="380">
      <c r="A380" t="n">
        <v>861</v>
      </c>
      <c r="B380">
        <f>Sheet1!C380+Sheet1!D380+Sheet1!E380+Sheet1!F380+Sheet1!J380+Sheet1!K380+Sheet1!L380+Sheet1!M380</f>
        <v/>
      </c>
      <c r="C380">
        <f>IF(ISNUMBER(B380),B380,"")</f>
        <v/>
      </c>
      <c r="D380">
        <f>IF(ISNUMBER(C380),_xlfn.RANK.EQ(C380,$C$2:$C$1031),"")</f>
        <v/>
      </c>
      <c r="E380">
        <f>Sheet1!C380+Sheet1!D380+Sheet1!E380+Sheet1!F380+Sheet1!J380+Sheet1!K380+Sheet1!L380+Sheet1!M380+Sheet1!Q380+Sheet1!R380+Sheet1!S380+Sheet1!T380</f>
        <v/>
      </c>
      <c r="F380">
        <f>IF(ISNUMBER(E380),E380,"")</f>
        <v/>
      </c>
      <c r="G380">
        <f>IF(ISNUMBER(F380),_xlfn.RANK.EQ(F380,$F$2:$F$1031),"")</f>
        <v/>
      </c>
      <c r="H380">
        <f>INDEX(Sheet1!AH:AH,MATCH(A380,Sheet1!A:A,0))</f>
        <v/>
      </c>
    </row>
    <row r="381">
      <c r="A381" t="n">
        <v>863</v>
      </c>
      <c r="B381">
        <f>Sheet1!C381+Sheet1!D381+Sheet1!E381+Sheet1!F381+Sheet1!J381+Sheet1!K381+Sheet1!L381+Sheet1!M381</f>
        <v/>
      </c>
      <c r="C381">
        <f>IF(ISNUMBER(B381),B381,"")</f>
        <v/>
      </c>
      <c r="D381">
        <f>IF(ISNUMBER(C381),_xlfn.RANK.EQ(C381,$C$2:$C$1031),"")</f>
        <v/>
      </c>
      <c r="E381">
        <f>Sheet1!C381+Sheet1!D381+Sheet1!E381+Sheet1!F381+Sheet1!J381+Sheet1!K381+Sheet1!L381+Sheet1!M381+Sheet1!Q381+Sheet1!R381+Sheet1!S381+Sheet1!T381</f>
        <v/>
      </c>
      <c r="F381">
        <f>IF(ISNUMBER(E381),E381,"")</f>
        <v/>
      </c>
      <c r="G381">
        <f>IF(ISNUMBER(F381),_xlfn.RANK.EQ(F381,$F$2:$F$1031),"")</f>
        <v/>
      </c>
      <c r="H381">
        <f>INDEX(Sheet1!AH:AH,MATCH(A381,Sheet1!A:A,0))</f>
        <v/>
      </c>
    </row>
    <row r="382">
      <c r="A382" t="n">
        <v>864</v>
      </c>
      <c r="B382">
        <f>Sheet1!C382+Sheet1!D382+Sheet1!E382+Sheet1!F382+Sheet1!J382+Sheet1!K382+Sheet1!L382+Sheet1!M382</f>
        <v/>
      </c>
      <c r="C382">
        <f>IF(ISNUMBER(B382),B382,"")</f>
        <v/>
      </c>
      <c r="D382">
        <f>IF(ISNUMBER(C382),_xlfn.RANK.EQ(C382,$C$2:$C$1031),"")</f>
        <v/>
      </c>
      <c r="E382">
        <f>Sheet1!C382+Sheet1!D382+Sheet1!E382+Sheet1!F382+Sheet1!J382+Sheet1!K382+Sheet1!L382+Sheet1!M382+Sheet1!Q382+Sheet1!R382+Sheet1!S382+Sheet1!T382</f>
        <v/>
      </c>
      <c r="F382">
        <f>IF(ISNUMBER(E382),E382,"")</f>
        <v/>
      </c>
      <c r="G382">
        <f>IF(ISNUMBER(F382),_xlfn.RANK.EQ(F382,$F$2:$F$1031),"")</f>
        <v/>
      </c>
      <c r="H382">
        <f>INDEX(Sheet1!AH:AH,MATCH(A382,Sheet1!A:A,0))</f>
        <v/>
      </c>
    </row>
    <row r="383">
      <c r="A383" t="n">
        <v>867</v>
      </c>
      <c r="B383">
        <f>Sheet1!C383+Sheet1!D383+Sheet1!E383+Sheet1!F383+Sheet1!J383+Sheet1!K383+Sheet1!L383+Sheet1!M383</f>
        <v/>
      </c>
      <c r="C383">
        <f>IF(ISNUMBER(B383),B383,"")</f>
        <v/>
      </c>
      <c r="D383">
        <f>IF(ISNUMBER(C383),_xlfn.RANK.EQ(C383,$C$2:$C$1031),"")</f>
        <v/>
      </c>
      <c r="E383">
        <f>Sheet1!C383+Sheet1!D383+Sheet1!E383+Sheet1!F383+Sheet1!J383+Sheet1!K383+Sheet1!L383+Sheet1!M383+Sheet1!Q383+Sheet1!R383+Sheet1!S383+Sheet1!T383</f>
        <v/>
      </c>
      <c r="F383">
        <f>IF(ISNUMBER(E383),E383,"")</f>
        <v/>
      </c>
      <c r="G383">
        <f>IF(ISNUMBER(F383),_xlfn.RANK.EQ(F383,$F$2:$F$1031),"")</f>
        <v/>
      </c>
      <c r="H383">
        <f>INDEX(Sheet1!AH:AH,MATCH(A383,Sheet1!A:A,0))</f>
        <v/>
      </c>
    </row>
    <row r="384">
      <c r="A384" t="n">
        <v>870</v>
      </c>
      <c r="B384">
        <f>Sheet1!C384+Sheet1!D384+Sheet1!E384+Sheet1!F384+Sheet1!J384+Sheet1!K384+Sheet1!L384+Sheet1!M384</f>
        <v/>
      </c>
      <c r="C384">
        <f>IF(ISNUMBER(B384),B384,"")</f>
        <v/>
      </c>
      <c r="D384">
        <f>IF(ISNUMBER(C384),_xlfn.RANK.EQ(C384,$C$2:$C$1031),"")</f>
        <v/>
      </c>
      <c r="E384">
        <f>Sheet1!C384+Sheet1!D384+Sheet1!E384+Sheet1!F384+Sheet1!J384+Sheet1!K384+Sheet1!L384+Sheet1!M384+Sheet1!Q384+Sheet1!R384+Sheet1!S384+Sheet1!T384</f>
        <v/>
      </c>
      <c r="F384">
        <f>IF(ISNUMBER(E384),E384,"")</f>
        <v/>
      </c>
      <c r="G384">
        <f>IF(ISNUMBER(F384),_xlfn.RANK.EQ(F384,$F$2:$F$1031),"")</f>
        <v/>
      </c>
      <c r="H384">
        <f>INDEX(Sheet1!AH:AH,MATCH(A384,Sheet1!A:A,0))</f>
        <v/>
      </c>
    </row>
    <row r="385">
      <c r="A385" t="n">
        <v>875</v>
      </c>
      <c r="B385">
        <f>Sheet1!C385+Sheet1!D385+Sheet1!E385+Sheet1!F385+Sheet1!J385+Sheet1!K385+Sheet1!L385+Sheet1!M385</f>
        <v/>
      </c>
      <c r="C385">
        <f>IF(ISNUMBER(B385),B385,"")</f>
        <v/>
      </c>
      <c r="D385">
        <f>IF(ISNUMBER(C385),_xlfn.RANK.EQ(C385,$C$2:$C$1031),"")</f>
        <v/>
      </c>
      <c r="E385">
        <f>Sheet1!C385+Sheet1!D385+Sheet1!E385+Sheet1!F385+Sheet1!J385+Sheet1!K385+Sheet1!L385+Sheet1!M385+Sheet1!Q385+Sheet1!R385+Sheet1!S385+Sheet1!T385</f>
        <v/>
      </c>
      <c r="F385">
        <f>IF(ISNUMBER(E385),E385,"")</f>
        <v/>
      </c>
      <c r="G385">
        <f>IF(ISNUMBER(F385),_xlfn.RANK.EQ(F385,$F$2:$F$1031),"")</f>
        <v/>
      </c>
      <c r="H385">
        <f>INDEX(Sheet1!AH:AH,MATCH(A385,Sheet1!A:A,0))</f>
        <v/>
      </c>
    </row>
    <row r="386">
      <c r="A386" t="n">
        <v>876</v>
      </c>
      <c r="B386">
        <f>Sheet1!C386+Sheet1!D386+Sheet1!E386+Sheet1!F386+Sheet1!J386+Sheet1!K386+Sheet1!L386+Sheet1!M386</f>
        <v/>
      </c>
      <c r="C386">
        <f>IF(ISNUMBER(B386),B386,"")</f>
        <v/>
      </c>
      <c r="D386">
        <f>IF(ISNUMBER(C386),_xlfn.RANK.EQ(C386,$C$2:$C$1031),"")</f>
        <v/>
      </c>
      <c r="E386">
        <f>Sheet1!C386+Sheet1!D386+Sheet1!E386+Sheet1!F386+Sheet1!J386+Sheet1!K386+Sheet1!L386+Sheet1!M386+Sheet1!Q386+Sheet1!R386+Sheet1!S386+Sheet1!T386</f>
        <v/>
      </c>
      <c r="F386">
        <f>IF(ISNUMBER(E386),E386,"")</f>
        <v/>
      </c>
      <c r="G386">
        <f>IF(ISNUMBER(F386),_xlfn.RANK.EQ(F386,$F$2:$F$1031),"")</f>
        <v/>
      </c>
      <c r="H386">
        <f>INDEX(Sheet1!AH:AH,MATCH(A386,Sheet1!A:A,0))</f>
        <v/>
      </c>
    </row>
    <row r="387">
      <c r="A387" t="n">
        <v>877</v>
      </c>
      <c r="B387">
        <f>Sheet1!C387+Sheet1!D387+Sheet1!E387+Sheet1!F387+Sheet1!J387+Sheet1!K387+Sheet1!L387+Sheet1!M387</f>
        <v/>
      </c>
      <c r="C387">
        <f>IF(ISNUMBER(B387),B387,"")</f>
        <v/>
      </c>
      <c r="D387">
        <f>IF(ISNUMBER(C387),_xlfn.RANK.EQ(C387,$C$2:$C$1031),"")</f>
        <v/>
      </c>
      <c r="E387">
        <f>Sheet1!C387+Sheet1!D387+Sheet1!E387+Sheet1!F387+Sheet1!J387+Sheet1!K387+Sheet1!L387+Sheet1!M387+Sheet1!Q387+Sheet1!R387+Sheet1!S387+Sheet1!T387</f>
        <v/>
      </c>
      <c r="F387">
        <f>IF(ISNUMBER(E387),E387,"")</f>
        <v/>
      </c>
      <c r="G387">
        <f>IF(ISNUMBER(F387),_xlfn.RANK.EQ(F387,$F$2:$F$1031),"")</f>
        <v/>
      </c>
      <c r="H387">
        <f>INDEX(Sheet1!AH:AH,MATCH(A387,Sheet1!A:A,0))</f>
        <v/>
      </c>
    </row>
    <row r="388">
      <c r="A388" t="n">
        <v>893</v>
      </c>
      <c r="B388">
        <f>Sheet1!C388+Sheet1!D388+Sheet1!E388+Sheet1!F388+Sheet1!J388+Sheet1!K388+Sheet1!L388+Sheet1!M388</f>
        <v/>
      </c>
      <c r="C388">
        <f>IF(ISNUMBER(B388),B388,"")</f>
        <v/>
      </c>
      <c r="D388">
        <f>IF(ISNUMBER(C388),_xlfn.RANK.EQ(C388,$C$2:$C$1031),"")</f>
        <v/>
      </c>
      <c r="E388">
        <f>Sheet1!C388+Sheet1!D388+Sheet1!E388+Sheet1!F388+Sheet1!J388+Sheet1!K388+Sheet1!L388+Sheet1!M388+Sheet1!Q388+Sheet1!R388+Sheet1!S388+Sheet1!T388</f>
        <v/>
      </c>
      <c r="F388">
        <f>IF(ISNUMBER(E388),E388,"")</f>
        <v/>
      </c>
      <c r="G388">
        <f>IF(ISNUMBER(F388),_xlfn.RANK.EQ(F388,$F$2:$F$1031),"")</f>
        <v/>
      </c>
      <c r="H388">
        <f>INDEX(Sheet1!AH:AH,MATCH(A388,Sheet1!A:A,0))</f>
        <v/>
      </c>
    </row>
    <row r="389">
      <c r="A389" t="n">
        <v>896</v>
      </c>
      <c r="B389">
        <f>Sheet1!C389+Sheet1!D389+Sheet1!E389+Sheet1!F389+Sheet1!J389+Sheet1!K389+Sheet1!L389+Sheet1!M389</f>
        <v/>
      </c>
      <c r="C389">
        <f>IF(ISNUMBER(B389),B389,"")</f>
        <v/>
      </c>
      <c r="D389">
        <f>IF(ISNUMBER(C389),_xlfn.RANK.EQ(C389,$C$2:$C$1031),"")</f>
        <v/>
      </c>
      <c r="E389">
        <f>Sheet1!C389+Sheet1!D389+Sheet1!E389+Sheet1!F389+Sheet1!J389+Sheet1!K389+Sheet1!L389+Sheet1!M389+Sheet1!Q389+Sheet1!R389+Sheet1!S389+Sheet1!T389</f>
        <v/>
      </c>
      <c r="F389">
        <f>IF(ISNUMBER(E389),E389,"")</f>
        <v/>
      </c>
      <c r="G389">
        <f>IF(ISNUMBER(F389),_xlfn.RANK.EQ(F389,$F$2:$F$1031),"")</f>
        <v/>
      </c>
      <c r="H389">
        <f>INDEX(Sheet1!AH:AH,MATCH(A389,Sheet1!A:A,0))</f>
        <v/>
      </c>
    </row>
    <row r="390">
      <c r="A390" t="n">
        <v>897</v>
      </c>
      <c r="B390">
        <f>Sheet1!C390+Sheet1!D390+Sheet1!E390+Sheet1!F390+Sheet1!J390+Sheet1!K390+Sheet1!L390+Sheet1!M390</f>
        <v/>
      </c>
      <c r="C390">
        <f>IF(ISNUMBER(B390),B390,"")</f>
        <v/>
      </c>
      <c r="D390">
        <f>IF(ISNUMBER(C390),_xlfn.RANK.EQ(C390,$C$2:$C$1031),"")</f>
        <v/>
      </c>
      <c r="E390">
        <f>Sheet1!C390+Sheet1!D390+Sheet1!E390+Sheet1!F390+Sheet1!J390+Sheet1!K390+Sheet1!L390+Sheet1!M390+Sheet1!Q390+Sheet1!R390+Sheet1!S390+Sheet1!T390</f>
        <v/>
      </c>
      <c r="F390">
        <f>IF(ISNUMBER(E390),E390,"")</f>
        <v/>
      </c>
      <c r="G390">
        <f>IF(ISNUMBER(F390),_xlfn.RANK.EQ(F390,$F$2:$F$1031),"")</f>
        <v/>
      </c>
      <c r="H390">
        <f>INDEX(Sheet1!AH:AH,MATCH(A390,Sheet1!A:A,0))</f>
        <v/>
      </c>
    </row>
    <row r="391">
      <c r="A391" t="n">
        <v>902</v>
      </c>
      <c r="B391">
        <f>Sheet1!C391+Sheet1!D391+Sheet1!E391+Sheet1!F391+Sheet1!J391+Sheet1!K391+Sheet1!L391+Sheet1!M391</f>
        <v/>
      </c>
      <c r="C391">
        <f>IF(ISNUMBER(B391),B391,"")</f>
        <v/>
      </c>
      <c r="D391">
        <f>IF(ISNUMBER(C391),_xlfn.RANK.EQ(C391,$C$2:$C$1031),"")</f>
        <v/>
      </c>
      <c r="E391">
        <f>Sheet1!C391+Sheet1!D391+Sheet1!E391+Sheet1!F391+Sheet1!J391+Sheet1!K391+Sheet1!L391+Sheet1!M391+Sheet1!Q391+Sheet1!R391+Sheet1!S391+Sheet1!T391</f>
        <v/>
      </c>
      <c r="F391">
        <f>IF(ISNUMBER(E391),E391,"")</f>
        <v/>
      </c>
      <c r="G391">
        <f>IF(ISNUMBER(F391),_xlfn.RANK.EQ(F391,$F$2:$F$1031),"")</f>
        <v/>
      </c>
      <c r="H391">
        <f>INDEX(Sheet1!AH:AH,MATCH(A391,Sheet1!A:A,0))</f>
        <v/>
      </c>
    </row>
    <row r="392">
      <c r="A392" t="n">
        <v>906</v>
      </c>
      <c r="B392">
        <f>Sheet1!C392+Sheet1!D392+Sheet1!E392+Sheet1!F392+Sheet1!J392+Sheet1!K392+Sheet1!L392+Sheet1!M392</f>
        <v/>
      </c>
      <c r="C392">
        <f>IF(ISNUMBER(B392),B392,"")</f>
        <v/>
      </c>
      <c r="D392">
        <f>IF(ISNUMBER(C392),_xlfn.RANK.EQ(C392,$C$2:$C$1031),"")</f>
        <v/>
      </c>
      <c r="E392">
        <f>Sheet1!C392+Sheet1!D392+Sheet1!E392+Sheet1!F392+Sheet1!J392+Sheet1!K392+Sheet1!L392+Sheet1!M392+Sheet1!Q392+Sheet1!R392+Sheet1!S392+Sheet1!T392</f>
        <v/>
      </c>
      <c r="F392">
        <f>IF(ISNUMBER(E392),E392,"")</f>
        <v/>
      </c>
      <c r="G392">
        <f>IF(ISNUMBER(F392),_xlfn.RANK.EQ(F392,$F$2:$F$1031),"")</f>
        <v/>
      </c>
      <c r="H392">
        <f>INDEX(Sheet1!AH:AH,MATCH(A392,Sheet1!A:A,0))</f>
        <v/>
      </c>
    </row>
    <row r="393">
      <c r="A393" t="n">
        <v>910</v>
      </c>
      <c r="B393">
        <f>Sheet1!C393+Sheet1!D393+Sheet1!E393+Sheet1!F393+Sheet1!J393+Sheet1!K393+Sheet1!L393+Sheet1!M393</f>
        <v/>
      </c>
      <c r="C393">
        <f>IF(ISNUMBER(B393),B393,"")</f>
        <v/>
      </c>
      <c r="D393">
        <f>IF(ISNUMBER(C393),_xlfn.RANK.EQ(C393,$C$2:$C$1031),"")</f>
        <v/>
      </c>
      <c r="E393">
        <f>Sheet1!C393+Sheet1!D393+Sheet1!E393+Sheet1!F393+Sheet1!J393+Sheet1!K393+Sheet1!L393+Sheet1!M393+Sheet1!Q393+Sheet1!R393+Sheet1!S393+Sheet1!T393</f>
        <v/>
      </c>
      <c r="F393">
        <f>IF(ISNUMBER(E393),E393,"")</f>
        <v/>
      </c>
      <c r="G393">
        <f>IF(ISNUMBER(F393),_xlfn.RANK.EQ(F393,$F$2:$F$1031),"")</f>
        <v/>
      </c>
      <c r="H393">
        <f>INDEX(Sheet1!AH:AH,MATCH(A393,Sheet1!A:A,0))</f>
        <v/>
      </c>
    </row>
    <row r="394">
      <c r="A394" t="n">
        <v>912</v>
      </c>
      <c r="B394">
        <f>Sheet1!C394+Sheet1!D394+Sheet1!E394+Sheet1!F394+Sheet1!J394+Sheet1!K394+Sheet1!L394+Sheet1!M394</f>
        <v/>
      </c>
      <c r="C394">
        <f>IF(ISNUMBER(B394),B394,"")</f>
        <v/>
      </c>
      <c r="D394">
        <f>IF(ISNUMBER(C394),_xlfn.RANK.EQ(C394,$C$2:$C$1031),"")</f>
        <v/>
      </c>
      <c r="E394">
        <f>Sheet1!C394+Sheet1!D394+Sheet1!E394+Sheet1!F394+Sheet1!J394+Sheet1!K394+Sheet1!L394+Sheet1!M394+Sheet1!Q394+Sheet1!R394+Sheet1!S394+Sheet1!T394</f>
        <v/>
      </c>
      <c r="F394">
        <f>IF(ISNUMBER(E394),E394,"")</f>
        <v/>
      </c>
      <c r="G394">
        <f>IF(ISNUMBER(F394),_xlfn.RANK.EQ(F394,$F$2:$F$1031),"")</f>
        <v/>
      </c>
      <c r="H394">
        <f>INDEX(Sheet1!AH:AH,MATCH(A394,Sheet1!A:A,0))</f>
        <v/>
      </c>
    </row>
    <row r="395">
      <c r="A395" t="n">
        <v>913</v>
      </c>
      <c r="B395">
        <f>Sheet1!C395+Sheet1!D395+Sheet1!E395+Sheet1!F395+Sheet1!J395+Sheet1!K395+Sheet1!L395+Sheet1!M395</f>
        <v/>
      </c>
      <c r="C395">
        <f>IF(ISNUMBER(B395),B395,"")</f>
        <v/>
      </c>
      <c r="D395">
        <f>IF(ISNUMBER(C395),_xlfn.RANK.EQ(C395,$C$2:$C$1031),"")</f>
        <v/>
      </c>
      <c r="E395">
        <f>Sheet1!C395+Sheet1!D395+Sheet1!E395+Sheet1!F395+Sheet1!J395+Sheet1!K395+Sheet1!L395+Sheet1!M395+Sheet1!Q395+Sheet1!R395+Sheet1!S395+Sheet1!T395</f>
        <v/>
      </c>
      <c r="F395">
        <f>IF(ISNUMBER(E395),E395,"")</f>
        <v/>
      </c>
      <c r="G395">
        <f>IF(ISNUMBER(F395),_xlfn.RANK.EQ(F395,$F$2:$F$1031),"")</f>
        <v/>
      </c>
      <c r="H395">
        <f>INDEX(Sheet1!AH:AH,MATCH(A395,Sheet1!A:A,0))</f>
        <v/>
      </c>
    </row>
    <row r="396">
      <c r="A396" t="n">
        <v>915</v>
      </c>
      <c r="B396">
        <f>Sheet1!C396+Sheet1!D396+Sheet1!E396+Sheet1!F396+Sheet1!J396+Sheet1!K396+Sheet1!L396+Sheet1!M396</f>
        <v/>
      </c>
      <c r="C396">
        <f>IF(ISNUMBER(B396),B396,"")</f>
        <v/>
      </c>
      <c r="D396">
        <f>IF(ISNUMBER(C396),_xlfn.RANK.EQ(C396,$C$2:$C$1031),"")</f>
        <v/>
      </c>
      <c r="E396">
        <f>Sheet1!C396+Sheet1!D396+Sheet1!E396+Sheet1!F396+Sheet1!J396+Sheet1!K396+Sheet1!L396+Sheet1!M396+Sheet1!Q396+Sheet1!R396+Sheet1!S396+Sheet1!T396</f>
        <v/>
      </c>
      <c r="F396">
        <f>IF(ISNUMBER(E396),E396,"")</f>
        <v/>
      </c>
      <c r="G396">
        <f>IF(ISNUMBER(F396),_xlfn.RANK.EQ(F396,$F$2:$F$1031),"")</f>
        <v/>
      </c>
      <c r="H396">
        <f>INDEX(Sheet1!AH:AH,MATCH(A396,Sheet1!A:A,0))</f>
        <v/>
      </c>
    </row>
    <row r="397">
      <c r="A397" t="n">
        <v>916</v>
      </c>
      <c r="B397">
        <f>Sheet1!C397+Sheet1!D397+Sheet1!E397+Sheet1!F397+Sheet1!J397+Sheet1!K397+Sheet1!L397+Sheet1!M397</f>
        <v/>
      </c>
      <c r="C397">
        <f>IF(ISNUMBER(B397),B397,"")</f>
        <v/>
      </c>
      <c r="D397">
        <f>IF(ISNUMBER(C397),_xlfn.RANK.EQ(C397,$C$2:$C$1031),"")</f>
        <v/>
      </c>
      <c r="E397">
        <f>Sheet1!C397+Sheet1!D397+Sheet1!E397+Sheet1!F397+Sheet1!J397+Sheet1!K397+Sheet1!L397+Sheet1!M397+Sheet1!Q397+Sheet1!R397+Sheet1!S397+Sheet1!T397</f>
        <v/>
      </c>
      <c r="F397">
        <f>IF(ISNUMBER(E397),E397,"")</f>
        <v/>
      </c>
      <c r="G397">
        <f>IF(ISNUMBER(F397),_xlfn.RANK.EQ(F397,$F$2:$F$1031),"")</f>
        <v/>
      </c>
      <c r="H397">
        <f>INDEX(Sheet1!AH:AH,MATCH(A397,Sheet1!A:A,0))</f>
        <v/>
      </c>
    </row>
    <row r="398">
      <c r="A398" t="n">
        <v>918</v>
      </c>
      <c r="B398">
        <f>Sheet1!C398+Sheet1!D398+Sheet1!E398+Sheet1!F398+Sheet1!J398+Sheet1!K398+Sheet1!L398+Sheet1!M398</f>
        <v/>
      </c>
      <c r="C398">
        <f>IF(ISNUMBER(B398),B398,"")</f>
        <v/>
      </c>
      <c r="D398">
        <f>IF(ISNUMBER(C398),_xlfn.RANK.EQ(C398,$C$2:$C$1031),"")</f>
        <v/>
      </c>
      <c r="E398">
        <f>Sheet1!C398+Sheet1!D398+Sheet1!E398+Sheet1!F398+Sheet1!J398+Sheet1!K398+Sheet1!L398+Sheet1!M398+Sheet1!Q398+Sheet1!R398+Sheet1!S398+Sheet1!T398</f>
        <v/>
      </c>
      <c r="F398">
        <f>IF(ISNUMBER(E398),E398,"")</f>
        <v/>
      </c>
      <c r="G398">
        <f>IF(ISNUMBER(F398),_xlfn.RANK.EQ(F398,$F$2:$F$1031),"")</f>
        <v/>
      </c>
      <c r="H398">
        <f>INDEX(Sheet1!AH:AH,MATCH(A398,Sheet1!A:A,0))</f>
        <v/>
      </c>
    </row>
    <row r="399">
      <c r="A399" t="n">
        <v>919</v>
      </c>
      <c r="B399">
        <f>Sheet1!C399+Sheet1!D399+Sheet1!E399+Sheet1!F399+Sheet1!J399+Sheet1!K399+Sheet1!L399+Sheet1!M399</f>
        <v/>
      </c>
      <c r="C399">
        <f>IF(ISNUMBER(B399),B399,"")</f>
        <v/>
      </c>
      <c r="D399">
        <f>IF(ISNUMBER(C399),_xlfn.RANK.EQ(C399,$C$2:$C$1031),"")</f>
        <v/>
      </c>
      <c r="E399">
        <f>Sheet1!C399+Sheet1!D399+Sheet1!E399+Sheet1!F399+Sheet1!J399+Sheet1!K399+Sheet1!L399+Sheet1!M399+Sheet1!Q399+Sheet1!R399+Sheet1!S399+Sheet1!T399</f>
        <v/>
      </c>
      <c r="F399">
        <f>IF(ISNUMBER(E399),E399,"")</f>
        <v/>
      </c>
      <c r="G399">
        <f>IF(ISNUMBER(F399),_xlfn.RANK.EQ(F399,$F$2:$F$1031),"")</f>
        <v/>
      </c>
      <c r="H399">
        <f>INDEX(Sheet1!AH:AH,MATCH(A399,Sheet1!A:A,0))</f>
        <v/>
      </c>
    </row>
    <row r="400">
      <c r="A400" t="n">
        <v>920</v>
      </c>
      <c r="B400">
        <f>Sheet1!C400+Sheet1!D400+Sheet1!E400+Sheet1!F400+Sheet1!J400+Sheet1!K400+Sheet1!L400+Sheet1!M400</f>
        <v/>
      </c>
      <c r="C400">
        <f>IF(ISNUMBER(B400),B400,"")</f>
        <v/>
      </c>
      <c r="D400">
        <f>IF(ISNUMBER(C400),_xlfn.RANK.EQ(C400,$C$2:$C$1031),"")</f>
        <v/>
      </c>
      <c r="E400">
        <f>Sheet1!C400+Sheet1!D400+Sheet1!E400+Sheet1!F400+Sheet1!J400+Sheet1!K400+Sheet1!L400+Sheet1!M400+Sheet1!Q400+Sheet1!R400+Sheet1!S400+Sheet1!T400</f>
        <v/>
      </c>
      <c r="F400">
        <f>IF(ISNUMBER(E400),E400,"")</f>
        <v/>
      </c>
      <c r="G400">
        <f>IF(ISNUMBER(F400),_xlfn.RANK.EQ(F400,$F$2:$F$1031),"")</f>
        <v/>
      </c>
      <c r="H400">
        <f>INDEX(Sheet1!AH:AH,MATCH(A400,Sheet1!A:A,0))</f>
        <v/>
      </c>
    </row>
    <row r="401">
      <c r="A401" t="n">
        <v>921</v>
      </c>
      <c r="B401">
        <f>Sheet1!C401+Sheet1!D401+Sheet1!E401+Sheet1!F401+Sheet1!J401+Sheet1!K401+Sheet1!L401+Sheet1!M401</f>
        <v/>
      </c>
      <c r="C401">
        <f>IF(ISNUMBER(B401),B401,"")</f>
        <v/>
      </c>
      <c r="D401">
        <f>IF(ISNUMBER(C401),_xlfn.RANK.EQ(C401,$C$2:$C$1031),"")</f>
        <v/>
      </c>
      <c r="E401">
        <f>Sheet1!C401+Sheet1!D401+Sheet1!E401+Sheet1!F401+Sheet1!J401+Sheet1!K401+Sheet1!L401+Sheet1!M401+Sheet1!Q401+Sheet1!R401+Sheet1!S401+Sheet1!T401</f>
        <v/>
      </c>
      <c r="F401">
        <f>IF(ISNUMBER(E401),E401,"")</f>
        <v/>
      </c>
      <c r="G401">
        <f>IF(ISNUMBER(F401),_xlfn.RANK.EQ(F401,$F$2:$F$1031),"")</f>
        <v/>
      </c>
      <c r="H401">
        <f>INDEX(Sheet1!AH:AH,MATCH(A401,Sheet1!A:A,0))</f>
        <v/>
      </c>
    </row>
    <row r="402">
      <c r="A402" t="n">
        <v>923</v>
      </c>
      <c r="B402">
        <f>Sheet1!C402+Sheet1!D402+Sheet1!E402+Sheet1!F402+Sheet1!J402+Sheet1!K402+Sheet1!L402+Sheet1!M402</f>
        <v/>
      </c>
      <c r="C402">
        <f>IF(ISNUMBER(B402),B402,"")</f>
        <v/>
      </c>
      <c r="D402">
        <f>IF(ISNUMBER(C402),_xlfn.RANK.EQ(C402,$C$2:$C$1031),"")</f>
        <v/>
      </c>
      <c r="E402">
        <f>Sheet1!C402+Sheet1!D402+Sheet1!E402+Sheet1!F402+Sheet1!J402+Sheet1!K402+Sheet1!L402+Sheet1!M402+Sheet1!Q402+Sheet1!R402+Sheet1!S402+Sheet1!T402</f>
        <v/>
      </c>
      <c r="F402">
        <f>IF(ISNUMBER(E402),E402,"")</f>
        <v/>
      </c>
      <c r="G402">
        <f>IF(ISNUMBER(F402),_xlfn.RANK.EQ(F402,$F$2:$F$1031),"")</f>
        <v/>
      </c>
      <c r="H402">
        <f>INDEX(Sheet1!AH:AH,MATCH(A402,Sheet1!A:A,0))</f>
        <v/>
      </c>
    </row>
    <row r="403">
      <c r="A403" t="n">
        <v>924</v>
      </c>
      <c r="B403">
        <f>Sheet1!C403+Sheet1!D403+Sheet1!E403+Sheet1!F403+Sheet1!J403+Sheet1!K403+Sheet1!L403+Sheet1!M403</f>
        <v/>
      </c>
      <c r="C403">
        <f>IF(ISNUMBER(B403),B403,"")</f>
        <v/>
      </c>
      <c r="D403">
        <f>IF(ISNUMBER(C403),_xlfn.RANK.EQ(C403,$C$2:$C$1031),"")</f>
        <v/>
      </c>
      <c r="E403">
        <f>Sheet1!C403+Sheet1!D403+Sheet1!E403+Sheet1!F403+Sheet1!J403+Sheet1!K403+Sheet1!L403+Sheet1!M403+Sheet1!Q403+Sheet1!R403+Sheet1!S403+Sheet1!T403</f>
        <v/>
      </c>
      <c r="F403">
        <f>IF(ISNUMBER(E403),E403,"")</f>
        <v/>
      </c>
      <c r="G403">
        <f>IF(ISNUMBER(F403),_xlfn.RANK.EQ(F403,$F$2:$F$1031),"")</f>
        <v/>
      </c>
      <c r="H403">
        <f>INDEX(Sheet1!AH:AH,MATCH(A403,Sheet1!A:A,0))</f>
        <v/>
      </c>
    </row>
    <row r="404">
      <c r="A404" t="n">
        <v>925</v>
      </c>
      <c r="B404">
        <f>Sheet1!C404+Sheet1!D404+Sheet1!E404+Sheet1!F404+Sheet1!J404+Sheet1!K404+Sheet1!L404+Sheet1!M404</f>
        <v/>
      </c>
      <c r="C404">
        <f>IF(ISNUMBER(B404),B404,"")</f>
        <v/>
      </c>
      <c r="D404">
        <f>IF(ISNUMBER(C404),_xlfn.RANK.EQ(C404,$C$2:$C$1031),"")</f>
        <v/>
      </c>
      <c r="E404">
        <f>Sheet1!C404+Sheet1!D404+Sheet1!E404+Sheet1!F404+Sheet1!J404+Sheet1!K404+Sheet1!L404+Sheet1!M404+Sheet1!Q404+Sheet1!R404+Sheet1!S404+Sheet1!T404</f>
        <v/>
      </c>
      <c r="F404">
        <f>IF(ISNUMBER(E404),E404,"")</f>
        <v/>
      </c>
      <c r="G404">
        <f>IF(ISNUMBER(F404),_xlfn.RANK.EQ(F404,$F$2:$F$1031),"")</f>
        <v/>
      </c>
      <c r="H404">
        <f>INDEX(Sheet1!AH:AH,MATCH(A404,Sheet1!A:A,0))</f>
        <v/>
      </c>
    </row>
    <row r="405">
      <c r="A405" t="n">
        <v>929</v>
      </c>
      <c r="B405">
        <f>Sheet1!C405+Sheet1!D405+Sheet1!E405+Sheet1!F405+Sheet1!J405+Sheet1!K405+Sheet1!L405+Sheet1!M405</f>
        <v/>
      </c>
      <c r="C405">
        <f>IF(ISNUMBER(B405),B405,"")</f>
        <v/>
      </c>
      <c r="D405">
        <f>IF(ISNUMBER(C405),_xlfn.RANK.EQ(C405,$C$2:$C$1031),"")</f>
        <v/>
      </c>
      <c r="E405">
        <f>Sheet1!C405+Sheet1!D405+Sheet1!E405+Sheet1!F405+Sheet1!J405+Sheet1!K405+Sheet1!L405+Sheet1!M405+Sheet1!Q405+Sheet1!R405+Sheet1!S405+Sheet1!T405</f>
        <v/>
      </c>
      <c r="F405">
        <f>IF(ISNUMBER(E405),E405,"")</f>
        <v/>
      </c>
      <c r="G405">
        <f>IF(ISNUMBER(F405),_xlfn.RANK.EQ(F405,$F$2:$F$1031),"")</f>
        <v/>
      </c>
      <c r="H405">
        <f>INDEX(Sheet1!AH:AH,MATCH(A405,Sheet1!A:A,0))</f>
        <v/>
      </c>
    </row>
    <row r="406">
      <c r="A406" t="n">
        <v>930</v>
      </c>
      <c r="B406">
        <f>Sheet1!C406+Sheet1!D406+Sheet1!E406+Sheet1!F406+Sheet1!J406+Sheet1!K406+Sheet1!L406+Sheet1!M406</f>
        <v/>
      </c>
      <c r="C406">
        <f>IF(ISNUMBER(B406),B406,"")</f>
        <v/>
      </c>
      <c r="D406">
        <f>IF(ISNUMBER(C406),_xlfn.RANK.EQ(C406,$C$2:$C$1031),"")</f>
        <v/>
      </c>
      <c r="E406">
        <f>Sheet1!C406+Sheet1!D406+Sheet1!E406+Sheet1!F406+Sheet1!J406+Sheet1!K406+Sheet1!L406+Sheet1!M406+Sheet1!Q406+Sheet1!R406+Sheet1!S406+Sheet1!T406</f>
        <v/>
      </c>
      <c r="F406">
        <f>IF(ISNUMBER(E406),E406,"")</f>
        <v/>
      </c>
      <c r="G406">
        <f>IF(ISNUMBER(F406),_xlfn.RANK.EQ(F406,$F$2:$F$1031),"")</f>
        <v/>
      </c>
      <c r="H406">
        <f>INDEX(Sheet1!AH:AH,MATCH(A406,Sheet1!A:A,0))</f>
        <v/>
      </c>
    </row>
    <row r="407">
      <c r="A407" t="n">
        <v>931</v>
      </c>
      <c r="B407">
        <f>Sheet1!C407+Sheet1!D407+Sheet1!E407+Sheet1!F407+Sheet1!J407+Sheet1!K407+Sheet1!L407+Sheet1!M407</f>
        <v/>
      </c>
      <c r="C407">
        <f>IF(ISNUMBER(B407),B407,"")</f>
        <v/>
      </c>
      <c r="D407">
        <f>IF(ISNUMBER(C407),_xlfn.RANK.EQ(C407,$C$2:$C$1031),"")</f>
        <v/>
      </c>
      <c r="E407">
        <f>Sheet1!C407+Sheet1!D407+Sheet1!E407+Sheet1!F407+Sheet1!J407+Sheet1!K407+Sheet1!L407+Sheet1!M407+Sheet1!Q407+Sheet1!R407+Sheet1!S407+Sheet1!T407</f>
        <v/>
      </c>
      <c r="F407">
        <f>IF(ISNUMBER(E407),E407,"")</f>
        <v/>
      </c>
      <c r="G407">
        <f>IF(ISNUMBER(F407),_xlfn.RANK.EQ(F407,$F$2:$F$1031),"")</f>
        <v/>
      </c>
      <c r="H407">
        <f>INDEX(Sheet1!AH:AH,MATCH(A407,Sheet1!A:A,0))</f>
        <v/>
      </c>
    </row>
    <row r="408">
      <c r="A408" t="n">
        <v>933</v>
      </c>
      <c r="B408">
        <f>Sheet1!C408+Sheet1!D408+Sheet1!E408+Sheet1!F408+Sheet1!J408+Sheet1!K408+Sheet1!L408+Sheet1!M408</f>
        <v/>
      </c>
      <c r="C408">
        <f>IF(ISNUMBER(B408),B408,"")</f>
        <v/>
      </c>
      <c r="D408">
        <f>IF(ISNUMBER(C408),_xlfn.RANK.EQ(C408,$C$2:$C$1031),"")</f>
        <v/>
      </c>
      <c r="E408">
        <f>Sheet1!C408+Sheet1!D408+Sheet1!E408+Sheet1!F408+Sheet1!J408+Sheet1!K408+Sheet1!L408+Sheet1!M408+Sheet1!Q408+Sheet1!R408+Sheet1!S408+Sheet1!T408</f>
        <v/>
      </c>
      <c r="F408">
        <f>IF(ISNUMBER(E408),E408,"")</f>
        <v/>
      </c>
      <c r="G408">
        <f>IF(ISNUMBER(F408),_xlfn.RANK.EQ(F408,$F$2:$F$1031),"")</f>
        <v/>
      </c>
      <c r="H408">
        <f>INDEX(Sheet1!AH:AH,MATCH(A408,Sheet1!A:A,0))</f>
        <v/>
      </c>
    </row>
    <row r="409">
      <c r="A409" t="n">
        <v>935</v>
      </c>
      <c r="B409">
        <f>Sheet1!C409+Sheet1!D409+Sheet1!E409+Sheet1!F409+Sheet1!J409+Sheet1!K409+Sheet1!L409+Sheet1!M409</f>
        <v/>
      </c>
      <c r="C409">
        <f>IF(ISNUMBER(B409),B409,"")</f>
        <v/>
      </c>
      <c r="D409">
        <f>IF(ISNUMBER(C409),_xlfn.RANK.EQ(C409,$C$2:$C$1031),"")</f>
        <v/>
      </c>
      <c r="E409">
        <f>Sheet1!C409+Sheet1!D409+Sheet1!E409+Sheet1!F409+Sheet1!J409+Sheet1!K409+Sheet1!L409+Sheet1!M409+Sheet1!Q409+Sheet1!R409+Sheet1!S409+Sheet1!T409</f>
        <v/>
      </c>
      <c r="F409">
        <f>IF(ISNUMBER(E409),E409,"")</f>
        <v/>
      </c>
      <c r="G409">
        <f>IF(ISNUMBER(F409),_xlfn.RANK.EQ(F409,$F$2:$F$1031),"")</f>
        <v/>
      </c>
      <c r="H409">
        <f>INDEX(Sheet1!AH:AH,MATCH(A409,Sheet1!A:A,0))</f>
        <v/>
      </c>
    </row>
    <row r="410">
      <c r="A410" t="n">
        <v>938</v>
      </c>
      <c r="B410">
        <f>Sheet1!C410+Sheet1!D410+Sheet1!E410+Sheet1!F410+Sheet1!J410+Sheet1!K410+Sheet1!L410+Sheet1!M410</f>
        <v/>
      </c>
      <c r="C410">
        <f>IF(ISNUMBER(B410),B410,"")</f>
        <v/>
      </c>
      <c r="D410">
        <f>IF(ISNUMBER(C410),_xlfn.RANK.EQ(C410,$C$2:$C$1031),"")</f>
        <v/>
      </c>
      <c r="E410">
        <f>Sheet1!C410+Sheet1!D410+Sheet1!E410+Sheet1!F410+Sheet1!J410+Sheet1!K410+Sheet1!L410+Sheet1!M410+Sheet1!Q410+Sheet1!R410+Sheet1!S410+Sheet1!T410</f>
        <v/>
      </c>
      <c r="F410">
        <f>IF(ISNUMBER(E410),E410,"")</f>
        <v/>
      </c>
      <c r="G410">
        <f>IF(ISNUMBER(F410),_xlfn.RANK.EQ(F410,$F$2:$F$1031),"")</f>
        <v/>
      </c>
      <c r="H410">
        <f>INDEX(Sheet1!AH:AH,MATCH(A410,Sheet1!A:A,0))</f>
        <v/>
      </c>
    </row>
    <row r="411">
      <c r="A411" t="n">
        <v>939</v>
      </c>
      <c r="B411">
        <f>Sheet1!C411+Sheet1!D411+Sheet1!E411+Sheet1!F411+Sheet1!J411+Sheet1!K411+Sheet1!L411+Sheet1!M411</f>
        <v/>
      </c>
      <c r="C411">
        <f>IF(ISNUMBER(B411),B411,"")</f>
        <v/>
      </c>
      <c r="D411">
        <f>IF(ISNUMBER(C411),_xlfn.RANK.EQ(C411,$C$2:$C$1031),"")</f>
        <v/>
      </c>
      <c r="E411">
        <f>Sheet1!C411+Sheet1!D411+Sheet1!E411+Sheet1!F411+Sheet1!J411+Sheet1!K411+Sheet1!L411+Sheet1!M411+Sheet1!Q411+Sheet1!R411+Sheet1!S411+Sheet1!T411</f>
        <v/>
      </c>
      <c r="F411">
        <f>IF(ISNUMBER(E411),E411,"")</f>
        <v/>
      </c>
      <c r="G411">
        <f>IF(ISNUMBER(F411),_xlfn.RANK.EQ(F411,$F$2:$F$1031),"")</f>
        <v/>
      </c>
      <c r="H411">
        <f>INDEX(Sheet1!AH:AH,MATCH(A411,Sheet1!A:A,0))</f>
        <v/>
      </c>
    </row>
    <row r="412">
      <c r="A412" t="n">
        <v>940</v>
      </c>
      <c r="B412">
        <f>Sheet1!C412+Sheet1!D412+Sheet1!E412+Sheet1!F412+Sheet1!J412+Sheet1!K412+Sheet1!L412+Sheet1!M412</f>
        <v/>
      </c>
      <c r="C412">
        <f>IF(ISNUMBER(B412),B412,"")</f>
        <v/>
      </c>
      <c r="D412">
        <f>IF(ISNUMBER(C412),_xlfn.RANK.EQ(C412,$C$2:$C$1031),"")</f>
        <v/>
      </c>
      <c r="E412">
        <f>Sheet1!C412+Sheet1!D412+Sheet1!E412+Sheet1!F412+Sheet1!J412+Sheet1!K412+Sheet1!L412+Sheet1!M412+Sheet1!Q412+Sheet1!R412+Sheet1!S412+Sheet1!T412</f>
        <v/>
      </c>
      <c r="F412">
        <f>IF(ISNUMBER(E412),E412,"")</f>
        <v/>
      </c>
      <c r="G412">
        <f>IF(ISNUMBER(F412),_xlfn.RANK.EQ(F412,$F$2:$F$1031),"")</f>
        <v/>
      </c>
      <c r="H412">
        <f>INDEX(Sheet1!AH:AH,MATCH(A412,Sheet1!A:A,0))</f>
        <v/>
      </c>
    </row>
    <row r="413">
      <c r="A413" t="n">
        <v>941</v>
      </c>
      <c r="B413">
        <f>Sheet1!C413+Sheet1!D413+Sheet1!E413+Sheet1!F413+Sheet1!J413+Sheet1!K413+Sheet1!L413+Sheet1!M413</f>
        <v/>
      </c>
      <c r="C413">
        <f>IF(ISNUMBER(B413),B413,"")</f>
        <v/>
      </c>
      <c r="D413">
        <f>IF(ISNUMBER(C413),_xlfn.RANK.EQ(C413,$C$2:$C$1031),"")</f>
        <v/>
      </c>
      <c r="E413">
        <f>Sheet1!C413+Sheet1!D413+Sheet1!E413+Sheet1!F413+Sheet1!J413+Sheet1!K413+Sheet1!L413+Sheet1!M413+Sheet1!Q413+Sheet1!R413+Sheet1!S413+Sheet1!T413</f>
        <v/>
      </c>
      <c r="F413">
        <f>IF(ISNUMBER(E413),E413,"")</f>
        <v/>
      </c>
      <c r="G413">
        <f>IF(ISNUMBER(F413),_xlfn.RANK.EQ(F413,$F$2:$F$1031),"")</f>
        <v/>
      </c>
      <c r="H413">
        <f>INDEX(Sheet1!AH:AH,MATCH(A413,Sheet1!A:A,0))</f>
        <v/>
      </c>
    </row>
    <row r="414">
      <c r="A414" t="n">
        <v>942</v>
      </c>
      <c r="B414">
        <f>Sheet1!C414+Sheet1!D414+Sheet1!E414+Sheet1!F414+Sheet1!J414+Sheet1!K414+Sheet1!L414+Sheet1!M414</f>
        <v/>
      </c>
      <c r="C414">
        <f>IF(ISNUMBER(B414),B414,"")</f>
        <v/>
      </c>
      <c r="D414">
        <f>IF(ISNUMBER(C414),_xlfn.RANK.EQ(C414,$C$2:$C$1031),"")</f>
        <v/>
      </c>
      <c r="E414">
        <f>Sheet1!C414+Sheet1!D414+Sheet1!E414+Sheet1!F414+Sheet1!J414+Sheet1!K414+Sheet1!L414+Sheet1!M414+Sheet1!Q414+Sheet1!R414+Sheet1!S414+Sheet1!T414</f>
        <v/>
      </c>
      <c r="F414">
        <f>IF(ISNUMBER(E414),E414,"")</f>
        <v/>
      </c>
      <c r="G414">
        <f>IF(ISNUMBER(F414),_xlfn.RANK.EQ(F414,$F$2:$F$1031),"")</f>
        <v/>
      </c>
      <c r="H414">
        <f>INDEX(Sheet1!AH:AH,MATCH(A414,Sheet1!A:A,0))</f>
        <v/>
      </c>
    </row>
    <row r="415">
      <c r="A415" t="n">
        <v>946</v>
      </c>
      <c r="B415">
        <f>Sheet1!C415+Sheet1!D415+Sheet1!E415+Sheet1!F415+Sheet1!J415+Sheet1!K415+Sheet1!L415+Sheet1!M415</f>
        <v/>
      </c>
      <c r="C415">
        <f>IF(ISNUMBER(B415),B415,"")</f>
        <v/>
      </c>
      <c r="D415">
        <f>IF(ISNUMBER(C415),_xlfn.RANK.EQ(C415,$C$2:$C$1031),"")</f>
        <v/>
      </c>
      <c r="E415">
        <f>Sheet1!C415+Sheet1!D415+Sheet1!E415+Sheet1!F415+Sheet1!J415+Sheet1!K415+Sheet1!L415+Sheet1!M415+Sheet1!Q415+Sheet1!R415+Sheet1!S415+Sheet1!T415</f>
        <v/>
      </c>
      <c r="F415">
        <f>IF(ISNUMBER(E415),E415,"")</f>
        <v/>
      </c>
      <c r="G415">
        <f>IF(ISNUMBER(F415),_xlfn.RANK.EQ(F415,$F$2:$F$1031),"")</f>
        <v/>
      </c>
      <c r="H415">
        <f>INDEX(Sheet1!AH:AH,MATCH(A415,Sheet1!A:A,0))</f>
        <v/>
      </c>
    </row>
    <row r="416">
      <c r="A416" t="n">
        <v>947</v>
      </c>
      <c r="B416">
        <f>Sheet1!C416+Sheet1!D416+Sheet1!E416+Sheet1!F416+Sheet1!J416+Sheet1!K416+Sheet1!L416+Sheet1!M416</f>
        <v/>
      </c>
      <c r="C416">
        <f>IF(ISNUMBER(B416),B416,"")</f>
        <v/>
      </c>
      <c r="D416">
        <f>IF(ISNUMBER(C416),_xlfn.RANK.EQ(C416,$C$2:$C$1031),"")</f>
        <v/>
      </c>
      <c r="E416">
        <f>Sheet1!C416+Sheet1!D416+Sheet1!E416+Sheet1!F416+Sheet1!J416+Sheet1!K416+Sheet1!L416+Sheet1!M416+Sheet1!Q416+Sheet1!R416+Sheet1!S416+Sheet1!T416</f>
        <v/>
      </c>
      <c r="F416">
        <f>IF(ISNUMBER(E416),E416,"")</f>
        <v/>
      </c>
      <c r="G416">
        <f>IF(ISNUMBER(F416),_xlfn.RANK.EQ(F416,$F$2:$F$1031),"")</f>
        <v/>
      </c>
      <c r="H416">
        <f>INDEX(Sheet1!AH:AH,MATCH(A416,Sheet1!A:A,0))</f>
        <v/>
      </c>
    </row>
    <row r="417">
      <c r="A417" t="n">
        <v>949</v>
      </c>
      <c r="B417">
        <f>Sheet1!C417+Sheet1!D417+Sheet1!E417+Sheet1!F417+Sheet1!J417+Sheet1!K417+Sheet1!L417+Sheet1!M417</f>
        <v/>
      </c>
      <c r="C417">
        <f>IF(ISNUMBER(B417),B417,"")</f>
        <v/>
      </c>
      <c r="D417">
        <f>IF(ISNUMBER(C417),_xlfn.RANK.EQ(C417,$C$2:$C$1031),"")</f>
        <v/>
      </c>
      <c r="E417">
        <f>Sheet1!C417+Sheet1!D417+Sheet1!E417+Sheet1!F417+Sheet1!J417+Sheet1!K417+Sheet1!L417+Sheet1!M417+Sheet1!Q417+Sheet1!R417+Sheet1!S417+Sheet1!T417</f>
        <v/>
      </c>
      <c r="F417">
        <f>IF(ISNUMBER(E417),E417,"")</f>
        <v/>
      </c>
      <c r="G417">
        <f>IF(ISNUMBER(F417),_xlfn.RANK.EQ(F417,$F$2:$F$1031),"")</f>
        <v/>
      </c>
      <c r="H417">
        <f>INDEX(Sheet1!AH:AH,MATCH(A417,Sheet1!A:A,0))</f>
        <v/>
      </c>
    </row>
    <row r="418">
      <c r="A418" t="n">
        <v>952</v>
      </c>
      <c r="B418">
        <f>Sheet1!C418+Sheet1!D418+Sheet1!E418+Sheet1!F418+Sheet1!J418+Sheet1!K418+Sheet1!L418+Sheet1!M418</f>
        <v/>
      </c>
      <c r="C418">
        <f>IF(ISNUMBER(B418),B418,"")</f>
        <v/>
      </c>
      <c r="D418">
        <f>IF(ISNUMBER(C418),_xlfn.RANK.EQ(C418,$C$2:$C$1031),"")</f>
        <v/>
      </c>
      <c r="E418">
        <f>Sheet1!C418+Sheet1!D418+Sheet1!E418+Sheet1!F418+Sheet1!J418+Sheet1!K418+Sheet1!L418+Sheet1!M418+Sheet1!Q418+Sheet1!R418+Sheet1!S418+Sheet1!T418</f>
        <v/>
      </c>
      <c r="F418">
        <f>IF(ISNUMBER(E418),E418,"")</f>
        <v/>
      </c>
      <c r="G418">
        <f>IF(ISNUMBER(F418),_xlfn.RANK.EQ(F418,$F$2:$F$1031),"")</f>
        <v/>
      </c>
      <c r="H418">
        <f>INDEX(Sheet1!AH:AH,MATCH(A418,Sheet1!A:A,0))</f>
        <v/>
      </c>
    </row>
    <row r="419">
      <c r="A419" t="n">
        <v>953</v>
      </c>
      <c r="B419">
        <f>Sheet1!C419+Sheet1!D419+Sheet1!E419+Sheet1!F419+Sheet1!J419+Sheet1!K419+Sheet1!L419+Sheet1!M419</f>
        <v/>
      </c>
      <c r="C419">
        <f>IF(ISNUMBER(B419),B419,"")</f>
        <v/>
      </c>
      <c r="D419">
        <f>IF(ISNUMBER(C419),_xlfn.RANK.EQ(C419,$C$2:$C$1031),"")</f>
        <v/>
      </c>
      <c r="E419">
        <f>Sheet1!C419+Sheet1!D419+Sheet1!E419+Sheet1!F419+Sheet1!J419+Sheet1!K419+Sheet1!L419+Sheet1!M419+Sheet1!Q419+Sheet1!R419+Sheet1!S419+Sheet1!T419</f>
        <v/>
      </c>
      <c r="F419">
        <f>IF(ISNUMBER(E419),E419,"")</f>
        <v/>
      </c>
      <c r="G419">
        <f>IF(ISNUMBER(F419),_xlfn.RANK.EQ(F419,$F$2:$F$1031),"")</f>
        <v/>
      </c>
      <c r="H419">
        <f>INDEX(Sheet1!AH:AH,MATCH(A419,Sheet1!A:A,0))</f>
        <v/>
      </c>
    </row>
    <row r="420">
      <c r="A420" t="n">
        <v>964</v>
      </c>
      <c r="B420">
        <f>Sheet1!C420+Sheet1!D420+Sheet1!E420+Sheet1!F420+Sheet1!J420+Sheet1!K420+Sheet1!L420+Sheet1!M420</f>
        <v/>
      </c>
      <c r="C420">
        <f>IF(ISNUMBER(B420),B420,"")</f>
        <v/>
      </c>
      <c r="D420">
        <f>IF(ISNUMBER(C420),_xlfn.RANK.EQ(C420,$C$2:$C$1031),"")</f>
        <v/>
      </c>
      <c r="E420">
        <f>Sheet1!C420+Sheet1!D420+Sheet1!E420+Sheet1!F420+Sheet1!J420+Sheet1!K420+Sheet1!L420+Sheet1!M420+Sheet1!Q420+Sheet1!R420+Sheet1!S420+Sheet1!T420</f>
        <v/>
      </c>
      <c r="F420">
        <f>IF(ISNUMBER(E420),E420,"")</f>
        <v/>
      </c>
      <c r="G420">
        <f>IF(ISNUMBER(F420),_xlfn.RANK.EQ(F420,$F$2:$F$1031),"")</f>
        <v/>
      </c>
      <c r="H420">
        <f>INDEX(Sheet1!AH:AH,MATCH(A420,Sheet1!A:A,0))</f>
        <v/>
      </c>
    </row>
    <row r="421">
      <c r="A421" t="n">
        <v>965</v>
      </c>
      <c r="B421">
        <f>Sheet1!C421+Sheet1!D421+Sheet1!E421+Sheet1!F421+Sheet1!J421+Sheet1!K421+Sheet1!L421+Sheet1!M421</f>
        <v/>
      </c>
      <c r="C421">
        <f>IF(ISNUMBER(B421),B421,"")</f>
        <v/>
      </c>
      <c r="D421">
        <f>IF(ISNUMBER(C421),_xlfn.RANK.EQ(C421,$C$2:$C$1031),"")</f>
        <v/>
      </c>
      <c r="E421">
        <f>Sheet1!C421+Sheet1!D421+Sheet1!E421+Sheet1!F421+Sheet1!J421+Sheet1!K421+Sheet1!L421+Sheet1!M421+Sheet1!Q421+Sheet1!R421+Sheet1!S421+Sheet1!T421</f>
        <v/>
      </c>
      <c r="F421">
        <f>IF(ISNUMBER(E421),E421,"")</f>
        <v/>
      </c>
      <c r="G421">
        <f>IF(ISNUMBER(F421),_xlfn.RANK.EQ(F421,$F$2:$F$1031),"")</f>
        <v/>
      </c>
      <c r="H421">
        <f>INDEX(Sheet1!AH:AH,MATCH(A421,Sheet1!A:A,0))</f>
        <v/>
      </c>
    </row>
    <row r="422">
      <c r="A422" t="n">
        <v>966</v>
      </c>
      <c r="B422">
        <f>Sheet1!C422+Sheet1!D422+Sheet1!E422+Sheet1!F422+Sheet1!J422+Sheet1!K422+Sheet1!L422+Sheet1!M422</f>
        <v/>
      </c>
      <c r="C422">
        <f>IF(ISNUMBER(B422),B422,"")</f>
        <v/>
      </c>
      <c r="D422">
        <f>IF(ISNUMBER(C422),_xlfn.RANK.EQ(C422,$C$2:$C$1031),"")</f>
        <v/>
      </c>
      <c r="E422">
        <f>Sheet1!C422+Sheet1!D422+Sheet1!E422+Sheet1!F422+Sheet1!J422+Sheet1!K422+Sheet1!L422+Sheet1!M422+Sheet1!Q422+Sheet1!R422+Sheet1!S422+Sheet1!T422</f>
        <v/>
      </c>
      <c r="F422">
        <f>IF(ISNUMBER(E422),E422,"")</f>
        <v/>
      </c>
      <c r="G422">
        <f>IF(ISNUMBER(F422),_xlfn.RANK.EQ(F422,$F$2:$F$1031),"")</f>
        <v/>
      </c>
      <c r="H422">
        <f>INDEX(Sheet1!AH:AH,MATCH(A422,Sheet1!A:A,0))</f>
        <v/>
      </c>
    </row>
    <row r="423">
      <c r="A423" t="n">
        <v>968</v>
      </c>
      <c r="B423">
        <f>Sheet1!C423+Sheet1!D423+Sheet1!E423+Sheet1!F423+Sheet1!J423+Sheet1!K423+Sheet1!L423+Sheet1!M423</f>
        <v/>
      </c>
      <c r="C423">
        <f>IF(ISNUMBER(B423),B423,"")</f>
        <v/>
      </c>
      <c r="D423">
        <f>IF(ISNUMBER(C423),_xlfn.RANK.EQ(C423,$C$2:$C$1031),"")</f>
        <v/>
      </c>
      <c r="E423">
        <f>Sheet1!C423+Sheet1!D423+Sheet1!E423+Sheet1!F423+Sheet1!J423+Sheet1!K423+Sheet1!L423+Sheet1!M423+Sheet1!Q423+Sheet1!R423+Sheet1!S423+Sheet1!T423</f>
        <v/>
      </c>
      <c r="F423">
        <f>IF(ISNUMBER(E423),E423,"")</f>
        <v/>
      </c>
      <c r="G423">
        <f>IF(ISNUMBER(F423),_xlfn.RANK.EQ(F423,$F$2:$F$1031),"")</f>
        <v/>
      </c>
      <c r="H423">
        <f>INDEX(Sheet1!AH:AH,MATCH(A423,Sheet1!A:A,0))</f>
        <v/>
      </c>
    </row>
    <row r="424">
      <c r="A424" t="n">
        <v>972</v>
      </c>
      <c r="B424">
        <f>Sheet1!C424+Sheet1!D424+Sheet1!E424+Sheet1!F424+Sheet1!J424+Sheet1!K424+Sheet1!L424+Sheet1!M424</f>
        <v/>
      </c>
      <c r="C424">
        <f>IF(ISNUMBER(B424),B424,"")</f>
        <v/>
      </c>
      <c r="D424">
        <f>IF(ISNUMBER(C424),_xlfn.RANK.EQ(C424,$C$2:$C$1031),"")</f>
        <v/>
      </c>
      <c r="E424">
        <f>Sheet1!C424+Sheet1!D424+Sheet1!E424+Sheet1!F424+Sheet1!J424+Sheet1!K424+Sheet1!L424+Sheet1!M424+Sheet1!Q424+Sheet1!R424+Sheet1!S424+Sheet1!T424</f>
        <v/>
      </c>
      <c r="F424">
        <f>IF(ISNUMBER(E424),E424,"")</f>
        <v/>
      </c>
      <c r="G424">
        <f>IF(ISNUMBER(F424),_xlfn.RANK.EQ(F424,$F$2:$F$1031),"")</f>
        <v/>
      </c>
      <c r="H424">
        <f>INDEX(Sheet1!AH:AH,MATCH(A424,Sheet1!A:A,0))</f>
        <v/>
      </c>
    </row>
    <row r="425">
      <c r="A425" t="n">
        <v>973</v>
      </c>
      <c r="B425">
        <f>Sheet1!C425+Sheet1!D425+Sheet1!E425+Sheet1!F425+Sheet1!J425+Sheet1!K425+Sheet1!L425+Sheet1!M425</f>
        <v/>
      </c>
      <c r="C425">
        <f>IF(ISNUMBER(B425),B425,"")</f>
        <v/>
      </c>
      <c r="D425">
        <f>IF(ISNUMBER(C425),_xlfn.RANK.EQ(C425,$C$2:$C$1031),"")</f>
        <v/>
      </c>
      <c r="E425">
        <f>Sheet1!C425+Sheet1!D425+Sheet1!E425+Sheet1!F425+Sheet1!J425+Sheet1!K425+Sheet1!L425+Sheet1!M425+Sheet1!Q425+Sheet1!R425+Sheet1!S425+Sheet1!T425</f>
        <v/>
      </c>
      <c r="F425">
        <f>IF(ISNUMBER(E425),E425,"")</f>
        <v/>
      </c>
      <c r="G425">
        <f>IF(ISNUMBER(F425),_xlfn.RANK.EQ(F425,$F$2:$F$1031),"")</f>
        <v/>
      </c>
      <c r="H425">
        <f>INDEX(Sheet1!AH:AH,MATCH(A425,Sheet1!A:A,0))</f>
        <v/>
      </c>
    </row>
    <row r="426">
      <c r="A426" t="n">
        <v>977</v>
      </c>
      <c r="B426">
        <f>Sheet1!C426+Sheet1!D426+Sheet1!E426+Sheet1!F426+Sheet1!J426+Sheet1!K426+Sheet1!L426+Sheet1!M426</f>
        <v/>
      </c>
      <c r="C426">
        <f>IF(ISNUMBER(B426),B426,"")</f>
        <v/>
      </c>
      <c r="D426">
        <f>IF(ISNUMBER(C426),_xlfn.RANK.EQ(C426,$C$2:$C$1031),"")</f>
        <v/>
      </c>
      <c r="E426">
        <f>Sheet1!C426+Sheet1!D426+Sheet1!E426+Sheet1!F426+Sheet1!J426+Sheet1!K426+Sheet1!L426+Sheet1!M426+Sheet1!Q426+Sheet1!R426+Sheet1!S426+Sheet1!T426</f>
        <v/>
      </c>
      <c r="F426">
        <f>IF(ISNUMBER(E426),E426,"")</f>
        <v/>
      </c>
      <c r="G426">
        <f>IF(ISNUMBER(F426),_xlfn.RANK.EQ(F426,$F$2:$F$1031),"")</f>
        <v/>
      </c>
      <c r="H426">
        <f>INDEX(Sheet1!AH:AH,MATCH(A426,Sheet1!A:A,0))</f>
        <v/>
      </c>
    </row>
    <row r="427">
      <c r="A427" t="n">
        <v>978</v>
      </c>
      <c r="B427">
        <f>Sheet1!C427+Sheet1!D427+Sheet1!E427+Sheet1!F427+Sheet1!J427+Sheet1!K427+Sheet1!L427+Sheet1!M427</f>
        <v/>
      </c>
      <c r="C427">
        <f>IF(ISNUMBER(B427),B427,"")</f>
        <v/>
      </c>
      <c r="D427">
        <f>IF(ISNUMBER(C427),_xlfn.RANK.EQ(C427,$C$2:$C$1031),"")</f>
        <v/>
      </c>
      <c r="E427">
        <f>Sheet1!C427+Sheet1!D427+Sheet1!E427+Sheet1!F427+Sheet1!J427+Sheet1!K427+Sheet1!L427+Sheet1!M427+Sheet1!Q427+Sheet1!R427+Sheet1!S427+Sheet1!T427</f>
        <v/>
      </c>
      <c r="F427">
        <f>IF(ISNUMBER(E427),E427,"")</f>
        <v/>
      </c>
      <c r="G427">
        <f>IF(ISNUMBER(F427),_xlfn.RANK.EQ(F427,$F$2:$F$1031),"")</f>
        <v/>
      </c>
      <c r="H427">
        <f>INDEX(Sheet1!AH:AH,MATCH(A427,Sheet1!A:A,0))</f>
        <v/>
      </c>
    </row>
    <row r="428">
      <c r="A428" t="n">
        <v>979</v>
      </c>
      <c r="B428">
        <f>Sheet1!C428+Sheet1!D428+Sheet1!E428+Sheet1!F428+Sheet1!J428+Sheet1!K428+Sheet1!L428+Sheet1!M428</f>
        <v/>
      </c>
      <c r="C428">
        <f>IF(ISNUMBER(B428),B428,"")</f>
        <v/>
      </c>
      <c r="D428">
        <f>IF(ISNUMBER(C428),_xlfn.RANK.EQ(C428,$C$2:$C$1031),"")</f>
        <v/>
      </c>
      <c r="E428">
        <f>Sheet1!C428+Sheet1!D428+Sheet1!E428+Sheet1!F428+Sheet1!J428+Sheet1!K428+Sheet1!L428+Sheet1!M428+Sheet1!Q428+Sheet1!R428+Sheet1!S428+Sheet1!T428</f>
        <v/>
      </c>
      <c r="F428">
        <f>IF(ISNUMBER(E428),E428,"")</f>
        <v/>
      </c>
      <c r="G428">
        <f>IF(ISNUMBER(F428),_xlfn.RANK.EQ(F428,$F$2:$F$1031),"")</f>
        <v/>
      </c>
      <c r="H428">
        <f>INDEX(Sheet1!AH:AH,MATCH(A428,Sheet1!A:A,0))</f>
        <v/>
      </c>
    </row>
    <row r="429">
      <c r="A429" t="n">
        <v>982</v>
      </c>
      <c r="B429">
        <f>Sheet1!C429+Sheet1!D429+Sheet1!E429+Sheet1!F429+Sheet1!J429+Sheet1!K429+Sheet1!L429+Sheet1!M429</f>
        <v/>
      </c>
      <c r="C429">
        <f>IF(ISNUMBER(B429),B429,"")</f>
        <v/>
      </c>
      <c r="D429">
        <f>IF(ISNUMBER(C429),_xlfn.RANK.EQ(C429,$C$2:$C$1031),"")</f>
        <v/>
      </c>
      <c r="E429">
        <f>Sheet1!C429+Sheet1!D429+Sheet1!E429+Sheet1!F429+Sheet1!J429+Sheet1!K429+Sheet1!L429+Sheet1!M429+Sheet1!Q429+Sheet1!R429+Sheet1!S429+Sheet1!T429</f>
        <v/>
      </c>
      <c r="F429">
        <f>IF(ISNUMBER(E429),E429,"")</f>
        <v/>
      </c>
      <c r="G429">
        <f>IF(ISNUMBER(F429),_xlfn.RANK.EQ(F429,$F$2:$F$1031),"")</f>
        <v/>
      </c>
      <c r="H429">
        <f>INDEX(Sheet1!AH:AH,MATCH(A429,Sheet1!A:A,0))</f>
        <v/>
      </c>
    </row>
    <row r="430">
      <c r="A430" t="n">
        <v>983</v>
      </c>
      <c r="B430">
        <f>Sheet1!C430+Sheet1!D430+Sheet1!E430+Sheet1!F430+Sheet1!J430+Sheet1!K430+Sheet1!L430+Sheet1!M430</f>
        <v/>
      </c>
      <c r="C430">
        <f>IF(ISNUMBER(B430),B430,"")</f>
        <v/>
      </c>
      <c r="D430">
        <f>IF(ISNUMBER(C430),_xlfn.RANK.EQ(C430,$C$2:$C$1031),"")</f>
        <v/>
      </c>
      <c r="E430">
        <f>Sheet1!C430+Sheet1!D430+Sheet1!E430+Sheet1!F430+Sheet1!J430+Sheet1!K430+Sheet1!L430+Sheet1!M430+Sheet1!Q430+Sheet1!R430+Sheet1!S430+Sheet1!T430</f>
        <v/>
      </c>
      <c r="F430">
        <f>IF(ISNUMBER(E430),E430,"")</f>
        <v/>
      </c>
      <c r="G430">
        <f>IF(ISNUMBER(F430),_xlfn.RANK.EQ(F430,$F$2:$F$1031),"")</f>
        <v/>
      </c>
      <c r="H430">
        <f>INDEX(Sheet1!AH:AH,MATCH(A430,Sheet1!A:A,0))</f>
        <v/>
      </c>
    </row>
    <row r="431">
      <c r="A431" t="n">
        <v>984</v>
      </c>
      <c r="B431">
        <f>Sheet1!C431+Sheet1!D431+Sheet1!E431+Sheet1!F431+Sheet1!J431+Sheet1!K431+Sheet1!L431+Sheet1!M431</f>
        <v/>
      </c>
      <c r="C431">
        <f>IF(ISNUMBER(B431),B431,"")</f>
        <v/>
      </c>
      <c r="D431">
        <f>IF(ISNUMBER(C431),_xlfn.RANK.EQ(C431,$C$2:$C$1031),"")</f>
        <v/>
      </c>
      <c r="E431">
        <f>Sheet1!C431+Sheet1!D431+Sheet1!E431+Sheet1!F431+Sheet1!J431+Sheet1!K431+Sheet1!L431+Sheet1!M431+Sheet1!Q431+Sheet1!R431+Sheet1!S431+Sheet1!T431</f>
        <v/>
      </c>
      <c r="F431">
        <f>IF(ISNUMBER(E431),E431,"")</f>
        <v/>
      </c>
      <c r="G431">
        <f>IF(ISNUMBER(F431),_xlfn.RANK.EQ(F431,$F$2:$F$1031),"")</f>
        <v/>
      </c>
      <c r="H431">
        <f>INDEX(Sheet1!AH:AH,MATCH(A431,Sheet1!A:A,0))</f>
        <v/>
      </c>
    </row>
    <row r="432">
      <c r="A432" t="n">
        <v>985</v>
      </c>
      <c r="B432">
        <f>Sheet1!C432+Sheet1!D432+Sheet1!E432+Sheet1!F432+Sheet1!J432+Sheet1!K432+Sheet1!L432+Sheet1!M432</f>
        <v/>
      </c>
      <c r="C432">
        <f>IF(ISNUMBER(B432),B432,"")</f>
        <v/>
      </c>
      <c r="D432">
        <f>IF(ISNUMBER(C432),_xlfn.RANK.EQ(C432,$C$2:$C$1031),"")</f>
        <v/>
      </c>
      <c r="E432">
        <f>Sheet1!C432+Sheet1!D432+Sheet1!E432+Sheet1!F432+Sheet1!J432+Sheet1!K432+Sheet1!L432+Sheet1!M432+Sheet1!Q432+Sheet1!R432+Sheet1!S432+Sheet1!T432</f>
        <v/>
      </c>
      <c r="F432">
        <f>IF(ISNUMBER(E432),E432,"")</f>
        <v/>
      </c>
      <c r="G432">
        <f>IF(ISNUMBER(F432),_xlfn.RANK.EQ(F432,$F$2:$F$1031),"")</f>
        <v/>
      </c>
      <c r="H432">
        <f>INDEX(Sheet1!AH:AH,MATCH(A432,Sheet1!A:A,0))</f>
        <v/>
      </c>
    </row>
    <row r="433">
      <c r="A433" t="n">
        <v>986</v>
      </c>
      <c r="B433">
        <f>Sheet1!C433+Sheet1!D433+Sheet1!E433+Sheet1!F433+Sheet1!J433+Sheet1!K433+Sheet1!L433+Sheet1!M433</f>
        <v/>
      </c>
      <c r="C433">
        <f>IF(ISNUMBER(B433),B433,"")</f>
        <v/>
      </c>
      <c r="D433">
        <f>IF(ISNUMBER(C433),_xlfn.RANK.EQ(C433,$C$2:$C$1031),"")</f>
        <v/>
      </c>
      <c r="E433">
        <f>Sheet1!C433+Sheet1!D433+Sheet1!E433+Sheet1!F433+Sheet1!J433+Sheet1!K433+Sheet1!L433+Sheet1!M433+Sheet1!Q433+Sheet1!R433+Sheet1!S433+Sheet1!T433</f>
        <v/>
      </c>
      <c r="F433">
        <f>IF(ISNUMBER(E433),E433,"")</f>
        <v/>
      </c>
      <c r="G433">
        <f>IF(ISNUMBER(F433),_xlfn.RANK.EQ(F433,$F$2:$F$1031),"")</f>
        <v/>
      </c>
      <c r="H433">
        <f>INDEX(Sheet1!AH:AH,MATCH(A433,Sheet1!A:A,0))</f>
        <v/>
      </c>
    </row>
    <row r="434">
      <c r="A434" t="n">
        <v>987</v>
      </c>
      <c r="B434">
        <f>Sheet1!C434+Sheet1!D434+Sheet1!E434+Sheet1!F434+Sheet1!J434+Sheet1!K434+Sheet1!L434+Sheet1!M434</f>
        <v/>
      </c>
      <c r="C434">
        <f>IF(ISNUMBER(B434),B434,"")</f>
        <v/>
      </c>
      <c r="D434">
        <f>IF(ISNUMBER(C434),_xlfn.RANK.EQ(C434,$C$2:$C$1031),"")</f>
        <v/>
      </c>
      <c r="E434">
        <f>Sheet1!C434+Sheet1!D434+Sheet1!E434+Sheet1!F434+Sheet1!J434+Sheet1!K434+Sheet1!L434+Sheet1!M434+Sheet1!Q434+Sheet1!R434+Sheet1!S434+Sheet1!T434</f>
        <v/>
      </c>
      <c r="F434">
        <f>IF(ISNUMBER(E434),E434,"")</f>
        <v/>
      </c>
      <c r="G434">
        <f>IF(ISNUMBER(F434),_xlfn.RANK.EQ(F434,$F$2:$F$1031),"")</f>
        <v/>
      </c>
      <c r="H434">
        <f>INDEX(Sheet1!AH:AH,MATCH(A434,Sheet1!A:A,0))</f>
        <v/>
      </c>
    </row>
    <row r="435">
      <c r="A435" t="n">
        <v>988</v>
      </c>
      <c r="B435">
        <f>Sheet1!C435+Sheet1!D435+Sheet1!E435+Sheet1!F435+Sheet1!J435+Sheet1!K435+Sheet1!L435+Sheet1!M435</f>
        <v/>
      </c>
      <c r="C435">
        <f>IF(ISNUMBER(B435),B435,"")</f>
        <v/>
      </c>
      <c r="D435">
        <f>IF(ISNUMBER(C435),_xlfn.RANK.EQ(C435,$C$2:$C$1031),"")</f>
        <v/>
      </c>
      <c r="E435">
        <f>Sheet1!C435+Sheet1!D435+Sheet1!E435+Sheet1!F435+Sheet1!J435+Sheet1!K435+Sheet1!L435+Sheet1!M435+Sheet1!Q435+Sheet1!R435+Sheet1!S435+Sheet1!T435</f>
        <v/>
      </c>
      <c r="F435">
        <f>IF(ISNUMBER(E435),E435,"")</f>
        <v/>
      </c>
      <c r="G435">
        <f>IF(ISNUMBER(F435),_xlfn.RANK.EQ(F435,$F$2:$F$1031),"")</f>
        <v/>
      </c>
      <c r="H435">
        <f>INDEX(Sheet1!AH:AH,MATCH(A435,Sheet1!A:A,0))</f>
        <v/>
      </c>
    </row>
    <row r="436">
      <c r="A436" t="n">
        <v>990</v>
      </c>
      <c r="B436">
        <f>Sheet1!C436+Sheet1!D436+Sheet1!E436+Sheet1!F436+Sheet1!J436+Sheet1!K436+Sheet1!L436+Sheet1!M436</f>
        <v/>
      </c>
      <c r="C436">
        <f>IF(ISNUMBER(B436),B436,"")</f>
        <v/>
      </c>
      <c r="D436">
        <f>IF(ISNUMBER(C436),_xlfn.RANK.EQ(C436,$C$2:$C$1031),"")</f>
        <v/>
      </c>
      <c r="E436">
        <f>Sheet1!C436+Sheet1!D436+Sheet1!E436+Sheet1!F436+Sheet1!J436+Sheet1!K436+Sheet1!L436+Sheet1!M436+Sheet1!Q436+Sheet1!R436+Sheet1!S436+Sheet1!T436</f>
        <v/>
      </c>
      <c r="F436">
        <f>IF(ISNUMBER(E436),E436,"")</f>
        <v/>
      </c>
      <c r="G436">
        <f>IF(ISNUMBER(F436),_xlfn.RANK.EQ(F436,$F$2:$F$1031),"")</f>
        <v/>
      </c>
      <c r="H436">
        <f>INDEX(Sheet1!AH:AH,MATCH(A436,Sheet1!A:A,0))</f>
        <v/>
      </c>
    </row>
    <row r="437">
      <c r="A437" t="n">
        <v>991</v>
      </c>
      <c r="B437">
        <f>Sheet1!C437+Sheet1!D437+Sheet1!E437+Sheet1!F437+Sheet1!J437+Sheet1!K437+Sheet1!L437+Sheet1!M437</f>
        <v/>
      </c>
      <c r="C437">
        <f>IF(ISNUMBER(B437),B437,"")</f>
        <v/>
      </c>
      <c r="D437">
        <f>IF(ISNUMBER(C437),_xlfn.RANK.EQ(C437,$C$2:$C$1031),"")</f>
        <v/>
      </c>
      <c r="E437">
        <f>Sheet1!C437+Sheet1!D437+Sheet1!E437+Sheet1!F437+Sheet1!J437+Sheet1!K437+Sheet1!L437+Sheet1!M437+Sheet1!Q437+Sheet1!R437+Sheet1!S437+Sheet1!T437</f>
        <v/>
      </c>
      <c r="F437">
        <f>IF(ISNUMBER(E437),E437,"")</f>
        <v/>
      </c>
      <c r="G437">
        <f>IF(ISNUMBER(F437),_xlfn.RANK.EQ(F437,$F$2:$F$1031),"")</f>
        <v/>
      </c>
      <c r="H437">
        <f>INDEX(Sheet1!AH:AH,MATCH(A437,Sheet1!A:A,0))</f>
        <v/>
      </c>
    </row>
    <row r="438">
      <c r="A438" t="n">
        <v>993</v>
      </c>
      <c r="B438">
        <f>Sheet1!C438+Sheet1!D438+Sheet1!E438+Sheet1!F438+Sheet1!J438+Sheet1!K438+Sheet1!L438+Sheet1!M438</f>
        <v/>
      </c>
      <c r="C438">
        <f>IF(ISNUMBER(B438),B438,"")</f>
        <v/>
      </c>
      <c r="D438">
        <f>IF(ISNUMBER(C438),_xlfn.RANK.EQ(C438,$C$2:$C$1031),"")</f>
        <v/>
      </c>
      <c r="E438">
        <f>Sheet1!C438+Sheet1!D438+Sheet1!E438+Sheet1!F438+Sheet1!J438+Sheet1!K438+Sheet1!L438+Sheet1!M438+Sheet1!Q438+Sheet1!R438+Sheet1!S438+Sheet1!T438</f>
        <v/>
      </c>
      <c r="F438">
        <f>IF(ISNUMBER(E438),E438,"")</f>
        <v/>
      </c>
      <c r="G438">
        <f>IF(ISNUMBER(F438),_xlfn.RANK.EQ(F438,$F$2:$F$1031),"")</f>
        <v/>
      </c>
      <c r="H438">
        <f>INDEX(Sheet1!AH:AH,MATCH(A438,Sheet1!A:A,0))</f>
        <v/>
      </c>
    </row>
    <row r="439">
      <c r="A439" t="n">
        <v>994</v>
      </c>
      <c r="B439">
        <f>Sheet1!C439+Sheet1!D439+Sheet1!E439+Sheet1!F439+Sheet1!J439+Sheet1!K439+Sheet1!L439+Sheet1!M439</f>
        <v/>
      </c>
      <c r="C439">
        <f>IF(ISNUMBER(B439),B439,"")</f>
        <v/>
      </c>
      <c r="D439">
        <f>IF(ISNUMBER(C439),_xlfn.RANK.EQ(C439,$C$2:$C$1031),"")</f>
        <v/>
      </c>
      <c r="E439">
        <f>Sheet1!C439+Sheet1!D439+Sheet1!E439+Sheet1!F439+Sheet1!J439+Sheet1!K439+Sheet1!L439+Sheet1!M439+Sheet1!Q439+Sheet1!R439+Sheet1!S439+Sheet1!T439</f>
        <v/>
      </c>
      <c r="F439">
        <f>IF(ISNUMBER(E439),E439,"")</f>
        <v/>
      </c>
      <c r="G439">
        <f>IF(ISNUMBER(F439),_xlfn.RANK.EQ(F439,$F$2:$F$1031),"")</f>
        <v/>
      </c>
      <c r="H439">
        <f>INDEX(Sheet1!AH:AH,MATCH(A439,Sheet1!A:A,0))</f>
        <v/>
      </c>
    </row>
    <row r="440">
      <c r="A440" t="n">
        <v>996</v>
      </c>
      <c r="B440">
        <f>Sheet1!C440+Sheet1!D440+Sheet1!E440+Sheet1!F440+Sheet1!J440+Sheet1!K440+Sheet1!L440+Sheet1!M440</f>
        <v/>
      </c>
      <c r="C440">
        <f>IF(ISNUMBER(B440),B440,"")</f>
        <v/>
      </c>
      <c r="D440">
        <f>IF(ISNUMBER(C440),_xlfn.RANK.EQ(C440,$C$2:$C$1031),"")</f>
        <v/>
      </c>
      <c r="E440">
        <f>Sheet1!C440+Sheet1!D440+Sheet1!E440+Sheet1!F440+Sheet1!J440+Sheet1!K440+Sheet1!L440+Sheet1!M440+Sheet1!Q440+Sheet1!R440+Sheet1!S440+Sheet1!T440</f>
        <v/>
      </c>
      <c r="F440">
        <f>IF(ISNUMBER(E440),E440,"")</f>
        <v/>
      </c>
      <c r="G440">
        <f>IF(ISNUMBER(F440),_xlfn.RANK.EQ(F440,$F$2:$F$1031),"")</f>
        <v/>
      </c>
      <c r="H440">
        <f>INDEX(Sheet1!AH:AH,MATCH(A440,Sheet1!A:A,0))</f>
        <v/>
      </c>
    </row>
    <row r="441">
      <c r="A441" t="n">
        <v>997</v>
      </c>
      <c r="B441">
        <f>Sheet1!C441+Sheet1!D441+Sheet1!E441+Sheet1!F441+Sheet1!J441+Sheet1!K441+Sheet1!L441+Sheet1!M441</f>
        <v/>
      </c>
      <c r="C441">
        <f>IF(ISNUMBER(B441),B441,"")</f>
        <v/>
      </c>
      <c r="D441">
        <f>IF(ISNUMBER(C441),_xlfn.RANK.EQ(C441,$C$2:$C$1031),"")</f>
        <v/>
      </c>
      <c r="E441">
        <f>Sheet1!C441+Sheet1!D441+Sheet1!E441+Sheet1!F441+Sheet1!J441+Sheet1!K441+Sheet1!L441+Sheet1!M441+Sheet1!Q441+Sheet1!R441+Sheet1!S441+Sheet1!T441</f>
        <v/>
      </c>
      <c r="F441">
        <f>IF(ISNUMBER(E441),E441,"")</f>
        <v/>
      </c>
      <c r="G441">
        <f>IF(ISNUMBER(F441),_xlfn.RANK.EQ(F441,$F$2:$F$1031),"")</f>
        <v/>
      </c>
      <c r="H441">
        <f>INDEX(Sheet1!AH:AH,MATCH(A441,Sheet1!A:A,0))</f>
        <v/>
      </c>
    </row>
    <row r="442">
      <c r="A442" t="n">
        <v>998</v>
      </c>
      <c r="B442">
        <f>Sheet1!C442+Sheet1!D442+Sheet1!E442+Sheet1!F442+Sheet1!J442+Sheet1!K442+Sheet1!L442+Sheet1!M442</f>
        <v/>
      </c>
      <c r="C442">
        <f>IF(ISNUMBER(B442),B442,"")</f>
        <v/>
      </c>
      <c r="D442">
        <f>IF(ISNUMBER(C442),_xlfn.RANK.EQ(C442,$C$2:$C$1031),"")</f>
        <v/>
      </c>
      <c r="E442">
        <f>Sheet1!C442+Sheet1!D442+Sheet1!E442+Sheet1!F442+Sheet1!J442+Sheet1!K442+Sheet1!L442+Sheet1!M442+Sheet1!Q442+Sheet1!R442+Sheet1!S442+Sheet1!T442</f>
        <v/>
      </c>
      <c r="F442">
        <f>IF(ISNUMBER(E442),E442,"")</f>
        <v/>
      </c>
      <c r="G442">
        <f>IF(ISNUMBER(F442),_xlfn.RANK.EQ(F442,$F$2:$F$1031),"")</f>
        <v/>
      </c>
      <c r="H442">
        <f>INDEX(Sheet1!AH:AH,MATCH(A442,Sheet1!A:A,0))</f>
        <v/>
      </c>
    </row>
    <row r="443">
      <c r="A443" t="n">
        <v>999</v>
      </c>
      <c r="B443">
        <f>Sheet1!C443+Sheet1!D443+Sheet1!E443+Sheet1!F443+Sheet1!J443+Sheet1!K443+Sheet1!L443+Sheet1!M443</f>
        <v/>
      </c>
      <c r="C443">
        <f>IF(ISNUMBER(B443),B443,"")</f>
        <v/>
      </c>
      <c r="D443">
        <f>IF(ISNUMBER(C443),_xlfn.RANK.EQ(C443,$C$2:$C$1031),"")</f>
        <v/>
      </c>
      <c r="E443">
        <f>Sheet1!C443+Sheet1!D443+Sheet1!E443+Sheet1!F443+Sheet1!J443+Sheet1!K443+Sheet1!L443+Sheet1!M443+Sheet1!Q443+Sheet1!R443+Sheet1!S443+Sheet1!T443</f>
        <v/>
      </c>
      <c r="F443">
        <f>IF(ISNUMBER(E443),E443,"")</f>
        <v/>
      </c>
      <c r="G443">
        <f>IF(ISNUMBER(F443),_xlfn.RANK.EQ(F443,$F$2:$F$1031),"")</f>
        <v/>
      </c>
      <c r="H443">
        <f>INDEX(Sheet1!AH:AH,MATCH(A443,Sheet1!A:A,0))</f>
        <v/>
      </c>
    </row>
    <row r="444">
      <c r="A444" t="n">
        <v>1000</v>
      </c>
      <c r="B444">
        <f>Sheet1!C444+Sheet1!D444+Sheet1!E444+Sheet1!F444+Sheet1!J444+Sheet1!K444+Sheet1!L444+Sheet1!M444</f>
        <v/>
      </c>
      <c r="C444">
        <f>IF(ISNUMBER(B444),B444,"")</f>
        <v/>
      </c>
      <c r="D444">
        <f>IF(ISNUMBER(C444),_xlfn.RANK.EQ(C444,$C$2:$C$1031),"")</f>
        <v/>
      </c>
      <c r="E444">
        <f>Sheet1!C444+Sheet1!D444+Sheet1!E444+Sheet1!F444+Sheet1!J444+Sheet1!K444+Sheet1!L444+Sheet1!M444+Sheet1!Q444+Sheet1!R444+Sheet1!S444+Sheet1!T444</f>
        <v/>
      </c>
      <c r="F444">
        <f>IF(ISNUMBER(E444),E444,"")</f>
        <v/>
      </c>
      <c r="G444">
        <f>IF(ISNUMBER(F444),_xlfn.RANK.EQ(F444,$F$2:$F$1031),"")</f>
        <v/>
      </c>
      <c r="H444">
        <f>INDEX(Sheet1!AH:AH,MATCH(A444,Sheet1!A:A,0))</f>
        <v/>
      </c>
    </row>
    <row r="445">
      <c r="A445" t="n">
        <v>1006</v>
      </c>
      <c r="B445">
        <f>Sheet1!C445+Sheet1!D445+Sheet1!E445+Sheet1!F445+Sheet1!J445+Sheet1!K445+Sheet1!L445+Sheet1!M445</f>
        <v/>
      </c>
      <c r="C445">
        <f>IF(ISNUMBER(B445),B445,"")</f>
        <v/>
      </c>
      <c r="D445">
        <f>IF(ISNUMBER(C445),_xlfn.RANK.EQ(C445,$C$2:$C$1031),"")</f>
        <v/>
      </c>
      <c r="E445">
        <f>Sheet1!C445+Sheet1!D445+Sheet1!E445+Sheet1!F445+Sheet1!J445+Sheet1!K445+Sheet1!L445+Sheet1!M445+Sheet1!Q445+Sheet1!R445+Sheet1!S445+Sheet1!T445</f>
        <v/>
      </c>
      <c r="F445">
        <f>IF(ISNUMBER(E445),E445,"")</f>
        <v/>
      </c>
      <c r="G445">
        <f>IF(ISNUMBER(F445),_xlfn.RANK.EQ(F445,$F$2:$F$1031),"")</f>
        <v/>
      </c>
      <c r="H445">
        <f>INDEX(Sheet1!AH:AH,MATCH(A445,Sheet1!A:A,0))</f>
        <v/>
      </c>
    </row>
    <row r="446">
      <c r="A446" t="n">
        <v>1007</v>
      </c>
      <c r="B446">
        <f>Sheet1!C446+Sheet1!D446+Sheet1!E446+Sheet1!F446+Sheet1!J446+Sheet1!K446+Sheet1!L446+Sheet1!M446</f>
        <v/>
      </c>
      <c r="C446">
        <f>IF(ISNUMBER(B446),B446,"")</f>
        <v/>
      </c>
      <c r="D446">
        <f>IF(ISNUMBER(C446),_xlfn.RANK.EQ(C446,$C$2:$C$1031),"")</f>
        <v/>
      </c>
      <c r="E446">
        <f>Sheet1!C446+Sheet1!D446+Sheet1!E446+Sheet1!F446+Sheet1!J446+Sheet1!K446+Sheet1!L446+Sheet1!M446+Sheet1!Q446+Sheet1!R446+Sheet1!S446+Sheet1!T446</f>
        <v/>
      </c>
      <c r="F446">
        <f>IF(ISNUMBER(E446),E446,"")</f>
        <v/>
      </c>
      <c r="G446">
        <f>IF(ISNUMBER(F446),_xlfn.RANK.EQ(F446,$F$2:$F$1031),"")</f>
        <v/>
      </c>
      <c r="H446">
        <f>INDEX(Sheet1!AH:AH,MATCH(A446,Sheet1!A:A,0))</f>
        <v/>
      </c>
    </row>
    <row r="447">
      <c r="A447" t="n">
        <v>1008</v>
      </c>
      <c r="B447">
        <f>Sheet1!C447+Sheet1!D447+Sheet1!E447+Sheet1!F447+Sheet1!J447+Sheet1!K447+Sheet1!L447+Sheet1!M447</f>
        <v/>
      </c>
      <c r="C447">
        <f>IF(ISNUMBER(B447),B447,"")</f>
        <v/>
      </c>
      <c r="D447">
        <f>IF(ISNUMBER(C447),_xlfn.RANK.EQ(C447,$C$2:$C$1031),"")</f>
        <v/>
      </c>
      <c r="E447">
        <f>Sheet1!C447+Sheet1!D447+Sheet1!E447+Sheet1!F447+Sheet1!J447+Sheet1!K447+Sheet1!L447+Sheet1!M447+Sheet1!Q447+Sheet1!R447+Sheet1!S447+Sheet1!T447</f>
        <v/>
      </c>
      <c r="F447">
        <f>IF(ISNUMBER(E447),E447,"")</f>
        <v/>
      </c>
      <c r="G447">
        <f>IF(ISNUMBER(F447),_xlfn.RANK.EQ(F447,$F$2:$F$1031),"")</f>
        <v/>
      </c>
      <c r="H447">
        <f>INDEX(Sheet1!AH:AH,MATCH(A447,Sheet1!A:A,0))</f>
        <v/>
      </c>
    </row>
    <row r="448">
      <c r="A448" t="n">
        <v>1011</v>
      </c>
      <c r="B448">
        <f>Sheet1!C448+Sheet1!D448+Sheet1!E448+Sheet1!F448+Sheet1!J448+Sheet1!K448+Sheet1!L448+Sheet1!M448</f>
        <v/>
      </c>
      <c r="C448">
        <f>IF(ISNUMBER(B448),B448,"")</f>
        <v/>
      </c>
      <c r="D448">
        <f>IF(ISNUMBER(C448),_xlfn.RANK.EQ(C448,$C$2:$C$1031),"")</f>
        <v/>
      </c>
      <c r="E448">
        <f>Sheet1!C448+Sheet1!D448+Sheet1!E448+Sheet1!F448+Sheet1!J448+Sheet1!K448+Sheet1!L448+Sheet1!M448+Sheet1!Q448+Sheet1!R448+Sheet1!S448+Sheet1!T448</f>
        <v/>
      </c>
      <c r="F448">
        <f>IF(ISNUMBER(E448),E448,"")</f>
        <v/>
      </c>
      <c r="G448">
        <f>IF(ISNUMBER(F448),_xlfn.RANK.EQ(F448,$F$2:$F$1031),"")</f>
        <v/>
      </c>
      <c r="H448">
        <f>INDEX(Sheet1!AH:AH,MATCH(A448,Sheet1!A:A,0))</f>
        <v/>
      </c>
    </row>
    <row r="449">
      <c r="A449" t="n">
        <v>1012</v>
      </c>
      <c r="B449">
        <f>Sheet1!C449+Sheet1!D449+Sheet1!E449+Sheet1!F449+Sheet1!J449+Sheet1!K449+Sheet1!L449+Sheet1!M449</f>
        <v/>
      </c>
      <c r="C449">
        <f>IF(ISNUMBER(B449),B449,"")</f>
        <v/>
      </c>
      <c r="D449">
        <f>IF(ISNUMBER(C449),_xlfn.RANK.EQ(C449,$C$2:$C$1031),"")</f>
        <v/>
      </c>
      <c r="E449">
        <f>Sheet1!C449+Sheet1!D449+Sheet1!E449+Sheet1!F449+Sheet1!J449+Sheet1!K449+Sheet1!L449+Sheet1!M449+Sheet1!Q449+Sheet1!R449+Sheet1!S449+Sheet1!T449</f>
        <v/>
      </c>
      <c r="F449">
        <f>IF(ISNUMBER(E449),E449,"")</f>
        <v/>
      </c>
      <c r="G449">
        <f>IF(ISNUMBER(F449),_xlfn.RANK.EQ(F449,$F$2:$F$1031),"")</f>
        <v/>
      </c>
      <c r="H449">
        <f>INDEX(Sheet1!AH:AH,MATCH(A449,Sheet1!A:A,0))</f>
        <v/>
      </c>
    </row>
    <row r="450">
      <c r="A450" t="n">
        <v>1013</v>
      </c>
      <c r="B450">
        <f>Sheet1!C450+Sheet1!D450+Sheet1!E450+Sheet1!F450+Sheet1!J450+Sheet1!K450+Sheet1!L450+Sheet1!M450</f>
        <v/>
      </c>
      <c r="C450">
        <f>IF(ISNUMBER(B450),B450,"")</f>
        <v/>
      </c>
      <c r="D450">
        <f>IF(ISNUMBER(C450),_xlfn.RANK.EQ(C450,$C$2:$C$1031),"")</f>
        <v/>
      </c>
      <c r="E450">
        <f>Sheet1!C450+Sheet1!D450+Sheet1!E450+Sheet1!F450+Sheet1!J450+Sheet1!K450+Sheet1!L450+Sheet1!M450+Sheet1!Q450+Sheet1!R450+Sheet1!S450+Sheet1!T450</f>
        <v/>
      </c>
      <c r="F450">
        <f>IF(ISNUMBER(E450),E450,"")</f>
        <v/>
      </c>
      <c r="G450">
        <f>IF(ISNUMBER(F450),_xlfn.RANK.EQ(F450,$F$2:$F$1031),"")</f>
        <v/>
      </c>
      <c r="H450">
        <f>INDEX(Sheet1!AH:AH,MATCH(A450,Sheet1!A:A,0))</f>
        <v/>
      </c>
    </row>
    <row r="451">
      <c r="A451" t="n">
        <v>1019</v>
      </c>
      <c r="B451">
        <f>Sheet1!C451+Sheet1!D451+Sheet1!E451+Sheet1!F451+Sheet1!J451+Sheet1!K451+Sheet1!L451+Sheet1!M451</f>
        <v/>
      </c>
      <c r="C451">
        <f>IF(ISNUMBER(B451),B451,"")</f>
        <v/>
      </c>
      <c r="D451">
        <f>IF(ISNUMBER(C451),_xlfn.RANK.EQ(C451,$C$2:$C$1031),"")</f>
        <v/>
      </c>
      <c r="E451">
        <f>Sheet1!C451+Sheet1!D451+Sheet1!E451+Sheet1!F451+Sheet1!J451+Sheet1!K451+Sheet1!L451+Sheet1!M451+Sheet1!Q451+Sheet1!R451+Sheet1!S451+Sheet1!T451</f>
        <v/>
      </c>
      <c r="F451">
        <f>IF(ISNUMBER(E451),E451,"")</f>
        <v/>
      </c>
      <c r="G451">
        <f>IF(ISNUMBER(F451),_xlfn.RANK.EQ(F451,$F$2:$F$1031),"")</f>
        <v/>
      </c>
      <c r="H451">
        <f>INDEX(Sheet1!AH:AH,MATCH(A451,Sheet1!A:A,0))</f>
        <v/>
      </c>
    </row>
    <row r="452">
      <c r="A452" t="n">
        <v>1022</v>
      </c>
      <c r="B452">
        <f>Sheet1!C452+Sheet1!D452+Sheet1!E452+Sheet1!F452+Sheet1!J452+Sheet1!K452+Sheet1!L452+Sheet1!M452</f>
        <v/>
      </c>
      <c r="C452">
        <f>IF(ISNUMBER(B452),B452,"")</f>
        <v/>
      </c>
      <c r="D452">
        <f>IF(ISNUMBER(C452),_xlfn.RANK.EQ(C452,$C$2:$C$1031),"")</f>
        <v/>
      </c>
      <c r="E452">
        <f>Sheet1!C452+Sheet1!D452+Sheet1!E452+Sheet1!F452+Sheet1!J452+Sheet1!K452+Sheet1!L452+Sheet1!M452+Sheet1!Q452+Sheet1!R452+Sheet1!S452+Sheet1!T452</f>
        <v/>
      </c>
      <c r="F452">
        <f>IF(ISNUMBER(E452),E452,"")</f>
        <v/>
      </c>
      <c r="G452">
        <f>IF(ISNUMBER(F452),_xlfn.RANK.EQ(F452,$F$2:$F$1031),"")</f>
        <v/>
      </c>
      <c r="H452">
        <f>INDEX(Sheet1!AH:AH,MATCH(A452,Sheet1!A:A,0))</f>
        <v/>
      </c>
    </row>
    <row r="453">
      <c r="A453" t="n">
        <v>1029</v>
      </c>
      <c r="B453">
        <f>Sheet1!C453+Sheet1!D453+Sheet1!E453+Sheet1!F453+Sheet1!J453+Sheet1!K453+Sheet1!L453+Sheet1!M453</f>
        <v/>
      </c>
      <c r="C453">
        <f>IF(ISNUMBER(B453),B453,"")</f>
        <v/>
      </c>
      <c r="D453">
        <f>IF(ISNUMBER(C453),_xlfn.RANK.EQ(C453,$C$2:$C$1031),"")</f>
        <v/>
      </c>
      <c r="E453">
        <f>Sheet1!C453+Sheet1!D453+Sheet1!E453+Sheet1!F453+Sheet1!J453+Sheet1!K453+Sheet1!L453+Sheet1!M453+Sheet1!Q453+Sheet1!R453+Sheet1!S453+Sheet1!T453</f>
        <v/>
      </c>
      <c r="F453">
        <f>IF(ISNUMBER(E453),E453,"")</f>
        <v/>
      </c>
      <c r="G453">
        <f>IF(ISNUMBER(F453),_xlfn.RANK.EQ(F453,$F$2:$F$1031),"")</f>
        <v/>
      </c>
      <c r="H453">
        <f>INDEX(Sheet1!AH:AH,MATCH(A453,Sheet1!A:A,0))</f>
        <v/>
      </c>
    </row>
    <row r="454">
      <c r="A454" t="n">
        <v>1034</v>
      </c>
      <c r="B454">
        <f>Sheet1!C454+Sheet1!D454+Sheet1!E454+Sheet1!F454+Sheet1!J454+Sheet1!K454+Sheet1!L454+Sheet1!M454</f>
        <v/>
      </c>
      <c r="C454">
        <f>IF(ISNUMBER(B454),B454,"")</f>
        <v/>
      </c>
      <c r="D454">
        <f>IF(ISNUMBER(C454),_xlfn.RANK.EQ(C454,$C$2:$C$1031),"")</f>
        <v/>
      </c>
      <c r="E454">
        <f>Sheet1!C454+Sheet1!D454+Sheet1!E454+Sheet1!F454+Sheet1!J454+Sheet1!K454+Sheet1!L454+Sheet1!M454+Sheet1!Q454+Sheet1!R454+Sheet1!S454+Sheet1!T454</f>
        <v/>
      </c>
      <c r="F454">
        <f>IF(ISNUMBER(E454),E454,"")</f>
        <v/>
      </c>
      <c r="G454">
        <f>IF(ISNUMBER(F454),_xlfn.RANK.EQ(F454,$F$2:$F$1031),"")</f>
        <v/>
      </c>
      <c r="H454">
        <f>INDEX(Sheet1!AH:AH,MATCH(A454,Sheet1!A:A,0))</f>
        <v/>
      </c>
    </row>
    <row r="455">
      <c r="A455" t="n">
        <v>1035</v>
      </c>
      <c r="B455">
        <f>Sheet1!C455+Sheet1!D455+Sheet1!E455+Sheet1!F455+Sheet1!J455+Sheet1!K455+Sheet1!L455+Sheet1!M455</f>
        <v/>
      </c>
      <c r="C455">
        <f>IF(ISNUMBER(B455),B455,"")</f>
        <v/>
      </c>
      <c r="D455">
        <f>IF(ISNUMBER(C455),_xlfn.RANK.EQ(C455,$C$2:$C$1031),"")</f>
        <v/>
      </c>
      <c r="E455">
        <f>Sheet1!C455+Sheet1!D455+Sheet1!E455+Sheet1!F455+Sheet1!J455+Sheet1!K455+Sheet1!L455+Sheet1!M455+Sheet1!Q455+Sheet1!R455+Sheet1!S455+Sheet1!T455</f>
        <v/>
      </c>
      <c r="F455">
        <f>IF(ISNUMBER(E455),E455,"")</f>
        <v/>
      </c>
      <c r="G455">
        <f>IF(ISNUMBER(F455),_xlfn.RANK.EQ(F455,$F$2:$F$1031),"")</f>
        <v/>
      </c>
      <c r="H455">
        <f>INDEX(Sheet1!AH:AH,MATCH(A455,Sheet1!A:A,0))</f>
        <v/>
      </c>
    </row>
    <row r="456">
      <c r="A456" t="n">
        <v>1040</v>
      </c>
      <c r="B456">
        <f>Sheet1!C456+Sheet1!D456+Sheet1!E456+Sheet1!F456+Sheet1!J456+Sheet1!K456+Sheet1!L456+Sheet1!M456</f>
        <v/>
      </c>
      <c r="C456">
        <f>IF(ISNUMBER(B456),B456,"")</f>
        <v/>
      </c>
      <c r="D456">
        <f>IF(ISNUMBER(C456),_xlfn.RANK.EQ(C456,$C$2:$C$1031),"")</f>
        <v/>
      </c>
      <c r="E456">
        <f>Sheet1!C456+Sheet1!D456+Sheet1!E456+Sheet1!F456+Sheet1!J456+Sheet1!K456+Sheet1!L456+Sheet1!M456+Sheet1!Q456+Sheet1!R456+Sheet1!S456+Sheet1!T456</f>
        <v/>
      </c>
      <c r="F456">
        <f>IF(ISNUMBER(E456),E456,"")</f>
        <v/>
      </c>
      <c r="G456">
        <f>IF(ISNUMBER(F456),_xlfn.RANK.EQ(F456,$F$2:$F$1031),"")</f>
        <v/>
      </c>
      <c r="H456">
        <f>INDEX(Sheet1!AH:AH,MATCH(A456,Sheet1!A:A,0))</f>
        <v/>
      </c>
    </row>
    <row r="457">
      <c r="A457" t="n">
        <v>1043</v>
      </c>
      <c r="B457">
        <f>Sheet1!C457+Sheet1!D457+Sheet1!E457+Sheet1!F457+Sheet1!J457+Sheet1!K457+Sheet1!L457+Sheet1!M457</f>
        <v/>
      </c>
      <c r="C457">
        <f>IF(ISNUMBER(B457),B457,"")</f>
        <v/>
      </c>
      <c r="D457">
        <f>IF(ISNUMBER(C457),_xlfn.RANK.EQ(C457,$C$2:$C$1031),"")</f>
        <v/>
      </c>
      <c r="E457">
        <f>Sheet1!C457+Sheet1!D457+Sheet1!E457+Sheet1!F457+Sheet1!J457+Sheet1!K457+Sheet1!L457+Sheet1!M457+Sheet1!Q457+Sheet1!R457+Sheet1!S457+Sheet1!T457</f>
        <v/>
      </c>
      <c r="F457">
        <f>IF(ISNUMBER(E457),E457,"")</f>
        <v/>
      </c>
      <c r="G457">
        <f>IF(ISNUMBER(F457),_xlfn.RANK.EQ(F457,$F$2:$F$1031),"")</f>
        <v/>
      </c>
      <c r="H457">
        <f>INDEX(Sheet1!AH:AH,MATCH(A457,Sheet1!A:A,0))</f>
        <v/>
      </c>
    </row>
    <row r="458">
      <c r="A458" t="n">
        <v>1044</v>
      </c>
      <c r="B458">
        <f>Sheet1!C458+Sheet1!D458+Sheet1!E458+Sheet1!F458+Sheet1!J458+Sheet1!K458+Sheet1!L458+Sheet1!M458</f>
        <v/>
      </c>
      <c r="C458">
        <f>IF(ISNUMBER(B458),B458,"")</f>
        <v/>
      </c>
      <c r="D458">
        <f>IF(ISNUMBER(C458),_xlfn.RANK.EQ(C458,$C$2:$C$1031),"")</f>
        <v/>
      </c>
      <c r="E458">
        <f>Sheet1!C458+Sheet1!D458+Sheet1!E458+Sheet1!F458+Sheet1!J458+Sheet1!K458+Sheet1!L458+Sheet1!M458+Sheet1!Q458+Sheet1!R458+Sheet1!S458+Sheet1!T458</f>
        <v/>
      </c>
      <c r="F458">
        <f>IF(ISNUMBER(E458),E458,"")</f>
        <v/>
      </c>
      <c r="G458">
        <f>IF(ISNUMBER(F458),_xlfn.RANK.EQ(F458,$F$2:$F$1031),"")</f>
        <v/>
      </c>
      <c r="H458">
        <f>INDEX(Sheet1!AH:AH,MATCH(A458,Sheet1!A:A,0))</f>
        <v/>
      </c>
    </row>
    <row r="459">
      <c r="A459" t="n">
        <v>1046</v>
      </c>
      <c r="B459">
        <f>Sheet1!C459+Sheet1!D459+Sheet1!E459+Sheet1!F459+Sheet1!J459+Sheet1!K459+Sheet1!L459+Sheet1!M459</f>
        <v/>
      </c>
      <c r="C459">
        <f>IF(ISNUMBER(B459),B459,"")</f>
        <v/>
      </c>
      <c r="D459">
        <f>IF(ISNUMBER(C459),_xlfn.RANK.EQ(C459,$C$2:$C$1031),"")</f>
        <v/>
      </c>
      <c r="E459">
        <f>Sheet1!C459+Sheet1!D459+Sheet1!E459+Sheet1!F459+Sheet1!J459+Sheet1!K459+Sheet1!L459+Sheet1!M459+Sheet1!Q459+Sheet1!R459+Sheet1!S459+Sheet1!T459</f>
        <v/>
      </c>
      <c r="F459">
        <f>IF(ISNUMBER(E459),E459,"")</f>
        <v/>
      </c>
      <c r="G459">
        <f>IF(ISNUMBER(F459),_xlfn.RANK.EQ(F459,$F$2:$F$1031),"")</f>
        <v/>
      </c>
      <c r="H459">
        <f>INDEX(Sheet1!AH:AH,MATCH(A459,Sheet1!A:A,0))</f>
        <v/>
      </c>
    </row>
    <row r="460">
      <c r="A460" t="n">
        <v>1052</v>
      </c>
      <c r="B460">
        <f>Sheet1!C460+Sheet1!D460+Sheet1!E460+Sheet1!F460+Sheet1!J460+Sheet1!K460+Sheet1!L460+Sheet1!M460</f>
        <v/>
      </c>
      <c r="C460">
        <f>IF(ISNUMBER(B460),B460,"")</f>
        <v/>
      </c>
      <c r="D460">
        <f>IF(ISNUMBER(C460),_xlfn.RANK.EQ(C460,$C$2:$C$1031),"")</f>
        <v/>
      </c>
      <c r="E460">
        <f>Sheet1!C460+Sheet1!D460+Sheet1!E460+Sheet1!F460+Sheet1!J460+Sheet1!K460+Sheet1!L460+Sheet1!M460+Sheet1!Q460+Sheet1!R460+Sheet1!S460+Sheet1!T460</f>
        <v/>
      </c>
      <c r="F460">
        <f>IF(ISNUMBER(E460),E460,"")</f>
        <v/>
      </c>
      <c r="G460">
        <f>IF(ISNUMBER(F460),_xlfn.RANK.EQ(F460,$F$2:$F$1031),"")</f>
        <v/>
      </c>
      <c r="H460">
        <f>INDEX(Sheet1!AH:AH,MATCH(A460,Sheet1!A:A,0))</f>
        <v/>
      </c>
    </row>
    <row r="461">
      <c r="A461" t="n">
        <v>1056</v>
      </c>
      <c r="B461">
        <f>Sheet1!C461+Sheet1!D461+Sheet1!E461+Sheet1!F461+Sheet1!J461+Sheet1!K461+Sheet1!L461+Sheet1!M461</f>
        <v/>
      </c>
      <c r="C461">
        <f>IF(ISNUMBER(B461),B461,"")</f>
        <v/>
      </c>
      <c r="D461">
        <f>IF(ISNUMBER(C461),_xlfn.RANK.EQ(C461,$C$2:$C$1031),"")</f>
        <v/>
      </c>
      <c r="E461">
        <f>Sheet1!C461+Sheet1!D461+Sheet1!E461+Sheet1!F461+Sheet1!J461+Sheet1!K461+Sheet1!L461+Sheet1!M461+Sheet1!Q461+Sheet1!R461+Sheet1!S461+Sheet1!T461</f>
        <v/>
      </c>
      <c r="F461">
        <f>IF(ISNUMBER(E461),E461,"")</f>
        <v/>
      </c>
      <c r="G461">
        <f>IF(ISNUMBER(F461),_xlfn.RANK.EQ(F461,$F$2:$F$1031),"")</f>
        <v/>
      </c>
      <c r="H461">
        <f>INDEX(Sheet1!AH:AH,MATCH(A461,Sheet1!A:A,0))</f>
        <v/>
      </c>
    </row>
    <row r="462">
      <c r="A462" t="n">
        <v>1063</v>
      </c>
      <c r="B462">
        <f>Sheet1!C462+Sheet1!D462+Sheet1!E462+Sheet1!F462+Sheet1!J462+Sheet1!K462+Sheet1!L462+Sheet1!M462</f>
        <v/>
      </c>
      <c r="C462">
        <f>IF(ISNUMBER(B462),B462,"")</f>
        <v/>
      </c>
      <c r="D462">
        <f>IF(ISNUMBER(C462),_xlfn.RANK.EQ(C462,$C$2:$C$1031),"")</f>
        <v/>
      </c>
      <c r="E462">
        <f>Sheet1!C462+Sheet1!D462+Sheet1!E462+Sheet1!F462+Sheet1!J462+Sheet1!K462+Sheet1!L462+Sheet1!M462+Sheet1!Q462+Sheet1!R462+Sheet1!S462+Sheet1!T462</f>
        <v/>
      </c>
      <c r="F462">
        <f>IF(ISNUMBER(E462),E462,"")</f>
        <v/>
      </c>
      <c r="G462">
        <f>IF(ISNUMBER(F462),_xlfn.RANK.EQ(F462,$F$2:$F$1031),"")</f>
        <v/>
      </c>
      <c r="H462">
        <f>INDEX(Sheet1!AH:AH,MATCH(A462,Sheet1!A:A,0))</f>
        <v/>
      </c>
    </row>
    <row r="463">
      <c r="A463" t="n">
        <v>1064</v>
      </c>
      <c r="B463">
        <f>Sheet1!C463+Sheet1!D463+Sheet1!E463+Sheet1!F463+Sheet1!J463+Sheet1!K463+Sheet1!L463+Sheet1!M463</f>
        <v/>
      </c>
      <c r="C463">
        <f>IF(ISNUMBER(B463),B463,"")</f>
        <v/>
      </c>
      <c r="D463">
        <f>IF(ISNUMBER(C463),_xlfn.RANK.EQ(C463,$C$2:$C$1031),"")</f>
        <v/>
      </c>
      <c r="E463">
        <f>Sheet1!C463+Sheet1!D463+Sheet1!E463+Sheet1!F463+Sheet1!J463+Sheet1!K463+Sheet1!L463+Sheet1!M463+Sheet1!Q463+Sheet1!R463+Sheet1!S463+Sheet1!T463</f>
        <v/>
      </c>
      <c r="F463">
        <f>IF(ISNUMBER(E463),E463,"")</f>
        <v/>
      </c>
      <c r="G463">
        <f>IF(ISNUMBER(F463),_xlfn.RANK.EQ(F463,$F$2:$F$1031),"")</f>
        <v/>
      </c>
      <c r="H463">
        <f>INDEX(Sheet1!AH:AH,MATCH(A463,Sheet1!A:A,0))</f>
        <v/>
      </c>
    </row>
    <row r="464">
      <c r="A464" t="n">
        <v>1069</v>
      </c>
      <c r="B464">
        <f>Sheet1!C464+Sheet1!D464+Sheet1!E464+Sheet1!F464+Sheet1!J464+Sheet1!K464+Sheet1!L464+Sheet1!M464</f>
        <v/>
      </c>
      <c r="C464">
        <f>IF(ISNUMBER(B464),B464,"")</f>
        <v/>
      </c>
      <c r="D464">
        <f>IF(ISNUMBER(C464),_xlfn.RANK.EQ(C464,$C$2:$C$1031),"")</f>
        <v/>
      </c>
      <c r="E464">
        <f>Sheet1!C464+Sheet1!D464+Sheet1!E464+Sheet1!F464+Sheet1!J464+Sheet1!K464+Sheet1!L464+Sheet1!M464+Sheet1!Q464+Sheet1!R464+Sheet1!S464+Sheet1!T464</f>
        <v/>
      </c>
      <c r="F464">
        <f>IF(ISNUMBER(E464),E464,"")</f>
        <v/>
      </c>
      <c r="G464">
        <f>IF(ISNUMBER(F464),_xlfn.RANK.EQ(F464,$F$2:$F$1031),"")</f>
        <v/>
      </c>
      <c r="H464">
        <f>INDEX(Sheet1!AH:AH,MATCH(A464,Sheet1!A:A,0))</f>
        <v/>
      </c>
    </row>
    <row r="465">
      <c r="A465" t="n">
        <v>1073</v>
      </c>
      <c r="B465">
        <f>Sheet1!C465+Sheet1!D465+Sheet1!E465+Sheet1!F465+Sheet1!J465+Sheet1!K465+Sheet1!L465+Sheet1!M465</f>
        <v/>
      </c>
      <c r="C465">
        <f>IF(ISNUMBER(B465),B465,"")</f>
        <v/>
      </c>
      <c r="D465">
        <f>IF(ISNUMBER(C465),_xlfn.RANK.EQ(C465,$C$2:$C$1031),"")</f>
        <v/>
      </c>
      <c r="E465">
        <f>Sheet1!C465+Sheet1!D465+Sheet1!E465+Sheet1!F465+Sheet1!J465+Sheet1!K465+Sheet1!L465+Sheet1!M465+Sheet1!Q465+Sheet1!R465+Sheet1!S465+Sheet1!T465</f>
        <v/>
      </c>
      <c r="F465">
        <f>IF(ISNUMBER(E465),E465,"")</f>
        <v/>
      </c>
      <c r="G465">
        <f>IF(ISNUMBER(F465),_xlfn.RANK.EQ(F465,$F$2:$F$1031),"")</f>
        <v/>
      </c>
      <c r="H465">
        <f>INDEX(Sheet1!AH:AH,MATCH(A465,Sheet1!A:A,0))</f>
        <v/>
      </c>
    </row>
    <row r="466">
      <c r="A466" t="n">
        <v>1074</v>
      </c>
      <c r="B466">
        <f>Sheet1!C466+Sheet1!D466+Sheet1!E466+Sheet1!F466+Sheet1!J466+Sheet1!K466+Sheet1!L466+Sheet1!M466</f>
        <v/>
      </c>
      <c r="C466">
        <f>IF(ISNUMBER(B466),B466,"")</f>
        <v/>
      </c>
      <c r="D466">
        <f>IF(ISNUMBER(C466),_xlfn.RANK.EQ(C466,$C$2:$C$1031),"")</f>
        <v/>
      </c>
      <c r="E466">
        <f>Sheet1!C466+Sheet1!D466+Sheet1!E466+Sheet1!F466+Sheet1!J466+Sheet1!K466+Sheet1!L466+Sheet1!M466+Sheet1!Q466+Sheet1!R466+Sheet1!S466+Sheet1!T466</f>
        <v/>
      </c>
      <c r="F466">
        <f>IF(ISNUMBER(E466),E466,"")</f>
        <v/>
      </c>
      <c r="G466">
        <f>IF(ISNUMBER(F466),_xlfn.RANK.EQ(F466,$F$2:$F$1031),"")</f>
        <v/>
      </c>
      <c r="H466">
        <f>INDEX(Sheet1!AH:AH,MATCH(A466,Sheet1!A:A,0))</f>
        <v/>
      </c>
    </row>
    <row r="467">
      <c r="A467" t="n">
        <v>1075</v>
      </c>
      <c r="B467">
        <f>Sheet1!C467+Sheet1!D467+Sheet1!E467+Sheet1!F467+Sheet1!J467+Sheet1!K467+Sheet1!L467+Sheet1!M467</f>
        <v/>
      </c>
      <c r="C467">
        <f>IF(ISNUMBER(B467),B467,"")</f>
        <v/>
      </c>
      <c r="D467">
        <f>IF(ISNUMBER(C467),_xlfn.RANK.EQ(C467,$C$2:$C$1031),"")</f>
        <v/>
      </c>
      <c r="E467">
        <f>Sheet1!C467+Sheet1!D467+Sheet1!E467+Sheet1!F467+Sheet1!J467+Sheet1!K467+Sheet1!L467+Sheet1!M467+Sheet1!Q467+Sheet1!R467+Sheet1!S467+Sheet1!T467</f>
        <v/>
      </c>
      <c r="F467">
        <f>IF(ISNUMBER(E467),E467,"")</f>
        <v/>
      </c>
      <c r="G467">
        <f>IF(ISNUMBER(F467),_xlfn.RANK.EQ(F467,$F$2:$F$1031),"")</f>
        <v/>
      </c>
      <c r="H467">
        <f>INDEX(Sheet1!AH:AH,MATCH(A467,Sheet1!A:A,0))</f>
        <v/>
      </c>
    </row>
    <row r="468">
      <c r="A468" t="n">
        <v>1089</v>
      </c>
      <c r="B468">
        <f>Sheet1!C468+Sheet1!D468+Sheet1!E468+Sheet1!F468+Sheet1!J468+Sheet1!K468+Sheet1!L468+Sheet1!M468</f>
        <v/>
      </c>
      <c r="C468">
        <f>IF(ISNUMBER(B468),B468,"")</f>
        <v/>
      </c>
      <c r="D468">
        <f>IF(ISNUMBER(C468),_xlfn.RANK.EQ(C468,$C$2:$C$1031),"")</f>
        <v/>
      </c>
      <c r="E468">
        <f>Sheet1!C468+Sheet1!D468+Sheet1!E468+Sheet1!F468+Sheet1!J468+Sheet1!K468+Sheet1!L468+Sheet1!M468+Sheet1!Q468+Sheet1!R468+Sheet1!S468+Sheet1!T468</f>
        <v/>
      </c>
      <c r="F468">
        <f>IF(ISNUMBER(E468),E468,"")</f>
        <v/>
      </c>
      <c r="G468">
        <f>IF(ISNUMBER(F468),_xlfn.RANK.EQ(F468,$F$2:$F$1031),"")</f>
        <v/>
      </c>
      <c r="H468">
        <f>INDEX(Sheet1!AH:AH,MATCH(A468,Sheet1!A:A,0))</f>
        <v/>
      </c>
    </row>
    <row r="469">
      <c r="A469" t="n">
        <v>1091</v>
      </c>
      <c r="B469">
        <f>Sheet1!C469+Sheet1!D469+Sheet1!E469+Sheet1!F469+Sheet1!J469+Sheet1!K469+Sheet1!L469+Sheet1!M469</f>
        <v/>
      </c>
      <c r="C469">
        <f>IF(ISNUMBER(B469),B469,"")</f>
        <v/>
      </c>
      <c r="D469">
        <f>IF(ISNUMBER(C469),_xlfn.RANK.EQ(C469,$C$2:$C$1031),"")</f>
        <v/>
      </c>
      <c r="E469">
        <f>Sheet1!C469+Sheet1!D469+Sheet1!E469+Sheet1!F469+Sheet1!J469+Sheet1!K469+Sheet1!L469+Sheet1!M469+Sheet1!Q469+Sheet1!R469+Sheet1!S469+Sheet1!T469</f>
        <v/>
      </c>
      <c r="F469">
        <f>IF(ISNUMBER(E469),E469,"")</f>
        <v/>
      </c>
      <c r="G469">
        <f>IF(ISNUMBER(F469),_xlfn.RANK.EQ(F469,$F$2:$F$1031),"")</f>
        <v/>
      </c>
      <c r="H469">
        <f>INDEX(Sheet1!AH:AH,MATCH(A469,Sheet1!A:A,0))</f>
        <v/>
      </c>
    </row>
    <row r="470">
      <c r="A470" t="n">
        <v>1092</v>
      </c>
      <c r="B470">
        <f>Sheet1!C470+Sheet1!D470+Sheet1!E470+Sheet1!F470+Sheet1!J470+Sheet1!K470+Sheet1!L470+Sheet1!M470</f>
        <v/>
      </c>
      <c r="C470">
        <f>IF(ISNUMBER(B470),B470,"")</f>
        <v/>
      </c>
      <c r="D470">
        <f>IF(ISNUMBER(C470),_xlfn.RANK.EQ(C470,$C$2:$C$1031),"")</f>
        <v/>
      </c>
      <c r="E470">
        <f>Sheet1!C470+Sheet1!D470+Sheet1!E470+Sheet1!F470+Sheet1!J470+Sheet1!K470+Sheet1!L470+Sheet1!M470+Sheet1!Q470+Sheet1!R470+Sheet1!S470+Sheet1!T470</f>
        <v/>
      </c>
      <c r="F470">
        <f>IF(ISNUMBER(E470),E470,"")</f>
        <v/>
      </c>
      <c r="G470">
        <f>IF(ISNUMBER(F470),_xlfn.RANK.EQ(F470,$F$2:$F$1031),"")</f>
        <v/>
      </c>
      <c r="H470">
        <f>INDEX(Sheet1!AH:AH,MATCH(A470,Sheet1!A:A,0))</f>
        <v/>
      </c>
    </row>
    <row r="471">
      <c r="A471" t="n">
        <v>1093</v>
      </c>
      <c r="B471">
        <f>Sheet1!C471+Sheet1!D471+Sheet1!E471+Sheet1!F471+Sheet1!J471+Sheet1!K471+Sheet1!L471+Sheet1!M471</f>
        <v/>
      </c>
      <c r="C471">
        <f>IF(ISNUMBER(B471),B471,"")</f>
        <v/>
      </c>
      <c r="D471">
        <f>IF(ISNUMBER(C471),_xlfn.RANK.EQ(C471,$C$2:$C$1031),"")</f>
        <v/>
      </c>
      <c r="E471">
        <f>Sheet1!C471+Sheet1!D471+Sheet1!E471+Sheet1!F471+Sheet1!J471+Sheet1!K471+Sheet1!L471+Sheet1!M471+Sheet1!Q471+Sheet1!R471+Sheet1!S471+Sheet1!T471</f>
        <v/>
      </c>
      <c r="F471">
        <f>IF(ISNUMBER(E471),E471,"")</f>
        <v/>
      </c>
      <c r="G471">
        <f>IF(ISNUMBER(F471),_xlfn.RANK.EQ(F471,$F$2:$F$1031),"")</f>
        <v/>
      </c>
      <c r="H471">
        <f>INDEX(Sheet1!AH:AH,MATCH(A471,Sheet1!A:A,0))</f>
        <v/>
      </c>
    </row>
    <row r="472">
      <c r="A472" t="n">
        <v>1095</v>
      </c>
      <c r="B472">
        <f>Sheet1!C472+Sheet1!D472+Sheet1!E472+Sheet1!F472+Sheet1!J472+Sheet1!K472+Sheet1!L472+Sheet1!M472</f>
        <v/>
      </c>
      <c r="C472">
        <f>IF(ISNUMBER(B472),B472,"")</f>
        <v/>
      </c>
      <c r="D472">
        <f>IF(ISNUMBER(C472),_xlfn.RANK.EQ(C472,$C$2:$C$1031),"")</f>
        <v/>
      </c>
      <c r="E472">
        <f>Sheet1!C472+Sheet1!D472+Sheet1!E472+Sheet1!F472+Sheet1!J472+Sheet1!K472+Sheet1!L472+Sheet1!M472+Sheet1!Q472+Sheet1!R472+Sheet1!S472+Sheet1!T472</f>
        <v/>
      </c>
      <c r="F472">
        <f>IF(ISNUMBER(E472),E472,"")</f>
        <v/>
      </c>
      <c r="G472">
        <f>IF(ISNUMBER(F472),_xlfn.RANK.EQ(F472,$F$2:$F$1031),"")</f>
        <v/>
      </c>
      <c r="H472">
        <f>INDEX(Sheet1!AH:AH,MATCH(A472,Sheet1!A:A,0))</f>
        <v/>
      </c>
    </row>
    <row r="473">
      <c r="A473" t="n">
        <v>1097</v>
      </c>
      <c r="B473">
        <f>Sheet1!C473+Sheet1!D473+Sheet1!E473+Sheet1!F473+Sheet1!J473+Sheet1!K473+Sheet1!L473+Sheet1!M473</f>
        <v/>
      </c>
      <c r="C473">
        <f>IF(ISNUMBER(B473),B473,"")</f>
        <v/>
      </c>
      <c r="D473">
        <f>IF(ISNUMBER(C473),_xlfn.RANK.EQ(C473,$C$2:$C$1031),"")</f>
        <v/>
      </c>
      <c r="E473">
        <f>Sheet1!C473+Sheet1!D473+Sheet1!E473+Sheet1!F473+Sheet1!J473+Sheet1!K473+Sheet1!L473+Sheet1!M473+Sheet1!Q473+Sheet1!R473+Sheet1!S473+Sheet1!T473</f>
        <v/>
      </c>
      <c r="F473">
        <f>IF(ISNUMBER(E473),E473,"")</f>
        <v/>
      </c>
      <c r="G473">
        <f>IF(ISNUMBER(F473),_xlfn.RANK.EQ(F473,$F$2:$F$1031),"")</f>
        <v/>
      </c>
      <c r="H473">
        <f>INDEX(Sheet1!AH:AH,MATCH(A473,Sheet1!A:A,0))</f>
        <v/>
      </c>
    </row>
    <row r="474">
      <c r="A474" t="n">
        <v>1099</v>
      </c>
      <c r="B474">
        <f>Sheet1!C474+Sheet1!D474+Sheet1!E474+Sheet1!F474+Sheet1!J474+Sheet1!K474+Sheet1!L474+Sheet1!M474</f>
        <v/>
      </c>
      <c r="C474">
        <f>IF(ISNUMBER(B474),B474,"")</f>
        <v/>
      </c>
      <c r="D474">
        <f>IF(ISNUMBER(C474),_xlfn.RANK.EQ(C474,$C$2:$C$1031),"")</f>
        <v/>
      </c>
      <c r="E474">
        <f>Sheet1!C474+Sheet1!D474+Sheet1!E474+Sheet1!F474+Sheet1!J474+Sheet1!K474+Sheet1!L474+Sheet1!M474+Sheet1!Q474+Sheet1!R474+Sheet1!S474+Sheet1!T474</f>
        <v/>
      </c>
      <c r="F474">
        <f>IF(ISNUMBER(E474),E474,"")</f>
        <v/>
      </c>
      <c r="G474">
        <f>IF(ISNUMBER(F474),_xlfn.RANK.EQ(F474,$F$2:$F$1031),"")</f>
        <v/>
      </c>
      <c r="H474">
        <f>INDEX(Sheet1!AH:AH,MATCH(A474,Sheet1!A:A,0))</f>
        <v/>
      </c>
    </row>
    <row r="475">
      <c r="A475" t="n">
        <v>1100</v>
      </c>
      <c r="B475">
        <f>Sheet1!C475+Sheet1!D475+Sheet1!E475+Sheet1!F475+Sheet1!J475+Sheet1!K475+Sheet1!L475+Sheet1!M475</f>
        <v/>
      </c>
      <c r="C475">
        <f>IF(ISNUMBER(B475),B475,"")</f>
        <v/>
      </c>
      <c r="D475">
        <f>IF(ISNUMBER(C475),_xlfn.RANK.EQ(C475,$C$2:$C$1031),"")</f>
        <v/>
      </c>
      <c r="E475">
        <f>Sheet1!C475+Sheet1!D475+Sheet1!E475+Sheet1!F475+Sheet1!J475+Sheet1!K475+Sheet1!L475+Sheet1!M475+Sheet1!Q475+Sheet1!R475+Sheet1!S475+Sheet1!T475</f>
        <v/>
      </c>
      <c r="F475">
        <f>IF(ISNUMBER(E475),E475,"")</f>
        <v/>
      </c>
      <c r="G475">
        <f>IF(ISNUMBER(F475),_xlfn.RANK.EQ(F475,$F$2:$F$1031),"")</f>
        <v/>
      </c>
      <c r="H475">
        <f>INDEX(Sheet1!AH:AH,MATCH(A475,Sheet1!A:A,0))</f>
        <v/>
      </c>
    </row>
    <row r="476">
      <c r="A476" t="n">
        <v>1102</v>
      </c>
      <c r="B476">
        <f>Sheet1!C476+Sheet1!D476+Sheet1!E476+Sheet1!F476+Sheet1!J476+Sheet1!K476+Sheet1!L476+Sheet1!M476</f>
        <v/>
      </c>
      <c r="C476">
        <f>IF(ISNUMBER(B476),B476,"")</f>
        <v/>
      </c>
      <c r="D476">
        <f>IF(ISNUMBER(C476),_xlfn.RANK.EQ(C476,$C$2:$C$1031),"")</f>
        <v/>
      </c>
      <c r="E476">
        <f>Sheet1!C476+Sheet1!D476+Sheet1!E476+Sheet1!F476+Sheet1!J476+Sheet1!K476+Sheet1!L476+Sheet1!M476+Sheet1!Q476+Sheet1!R476+Sheet1!S476+Sheet1!T476</f>
        <v/>
      </c>
      <c r="F476">
        <f>IF(ISNUMBER(E476),E476,"")</f>
        <v/>
      </c>
      <c r="G476">
        <f>IF(ISNUMBER(F476),_xlfn.RANK.EQ(F476,$F$2:$F$1031),"")</f>
        <v/>
      </c>
      <c r="H476">
        <f>INDEX(Sheet1!AH:AH,MATCH(A476,Sheet1!A:A,0))</f>
        <v/>
      </c>
    </row>
    <row r="477">
      <c r="A477" t="n">
        <v>1103</v>
      </c>
      <c r="B477">
        <f>Sheet1!C477+Sheet1!D477+Sheet1!E477+Sheet1!F477+Sheet1!J477+Sheet1!K477+Sheet1!L477+Sheet1!M477</f>
        <v/>
      </c>
      <c r="C477">
        <f>IF(ISNUMBER(B477),B477,"")</f>
        <v/>
      </c>
      <c r="D477">
        <f>IF(ISNUMBER(C477),_xlfn.RANK.EQ(C477,$C$2:$C$1031),"")</f>
        <v/>
      </c>
      <c r="E477">
        <f>Sheet1!C477+Sheet1!D477+Sheet1!E477+Sheet1!F477+Sheet1!J477+Sheet1!K477+Sheet1!L477+Sheet1!M477+Sheet1!Q477+Sheet1!R477+Sheet1!S477+Sheet1!T477</f>
        <v/>
      </c>
      <c r="F477">
        <f>IF(ISNUMBER(E477),E477,"")</f>
        <v/>
      </c>
      <c r="G477">
        <f>IF(ISNUMBER(F477),_xlfn.RANK.EQ(F477,$F$2:$F$1031),"")</f>
        <v/>
      </c>
      <c r="H477">
        <f>INDEX(Sheet1!AH:AH,MATCH(A477,Sheet1!A:A,0))</f>
        <v/>
      </c>
    </row>
    <row r="478">
      <c r="A478" t="n">
        <v>1105</v>
      </c>
      <c r="B478">
        <f>Sheet1!C478+Sheet1!D478+Sheet1!E478+Sheet1!F478+Sheet1!J478+Sheet1!K478+Sheet1!L478+Sheet1!M478</f>
        <v/>
      </c>
      <c r="C478">
        <f>IF(ISNUMBER(B478),B478,"")</f>
        <v/>
      </c>
      <c r="D478">
        <f>IF(ISNUMBER(C478),_xlfn.RANK.EQ(C478,$C$2:$C$1031),"")</f>
        <v/>
      </c>
      <c r="E478">
        <f>Sheet1!C478+Sheet1!D478+Sheet1!E478+Sheet1!F478+Sheet1!J478+Sheet1!K478+Sheet1!L478+Sheet1!M478+Sheet1!Q478+Sheet1!R478+Sheet1!S478+Sheet1!T478</f>
        <v/>
      </c>
      <c r="F478">
        <f>IF(ISNUMBER(E478),E478,"")</f>
        <v/>
      </c>
      <c r="G478">
        <f>IF(ISNUMBER(F478),_xlfn.RANK.EQ(F478,$F$2:$F$1031),"")</f>
        <v/>
      </c>
      <c r="H478">
        <f>INDEX(Sheet1!AH:AH,MATCH(A478,Sheet1!A:A,0))</f>
        <v/>
      </c>
    </row>
    <row r="479">
      <c r="A479" t="n">
        <v>1109</v>
      </c>
      <c r="B479">
        <f>Sheet1!C479+Sheet1!D479+Sheet1!E479+Sheet1!F479+Sheet1!J479+Sheet1!K479+Sheet1!L479+Sheet1!M479</f>
        <v/>
      </c>
      <c r="C479">
        <f>IF(ISNUMBER(B479),B479,"")</f>
        <v/>
      </c>
      <c r="D479">
        <f>IF(ISNUMBER(C479),_xlfn.RANK.EQ(C479,$C$2:$C$1031),"")</f>
        <v/>
      </c>
      <c r="E479">
        <f>Sheet1!C479+Sheet1!D479+Sheet1!E479+Sheet1!F479+Sheet1!J479+Sheet1!K479+Sheet1!L479+Sheet1!M479+Sheet1!Q479+Sheet1!R479+Sheet1!S479+Sheet1!T479</f>
        <v/>
      </c>
      <c r="F479">
        <f>IF(ISNUMBER(E479),E479,"")</f>
        <v/>
      </c>
      <c r="G479">
        <f>IF(ISNUMBER(F479),_xlfn.RANK.EQ(F479,$F$2:$F$1031),"")</f>
        <v/>
      </c>
      <c r="H479">
        <f>INDEX(Sheet1!AH:AH,MATCH(A479,Sheet1!A:A,0))</f>
        <v/>
      </c>
    </row>
    <row r="480">
      <c r="A480" t="n">
        <v>1112</v>
      </c>
      <c r="B480">
        <f>Sheet1!C480+Sheet1!D480+Sheet1!E480+Sheet1!F480+Sheet1!J480+Sheet1!K480+Sheet1!L480+Sheet1!M480</f>
        <v/>
      </c>
      <c r="C480">
        <f>IF(ISNUMBER(B480),B480,"")</f>
        <v/>
      </c>
      <c r="D480">
        <f>IF(ISNUMBER(C480),_xlfn.RANK.EQ(C480,$C$2:$C$1031),"")</f>
        <v/>
      </c>
      <c r="E480">
        <f>Sheet1!C480+Sheet1!D480+Sheet1!E480+Sheet1!F480+Sheet1!J480+Sheet1!K480+Sheet1!L480+Sheet1!M480+Sheet1!Q480+Sheet1!R480+Sheet1!S480+Sheet1!T480</f>
        <v/>
      </c>
      <c r="F480">
        <f>IF(ISNUMBER(E480),E480,"")</f>
        <v/>
      </c>
      <c r="G480">
        <f>IF(ISNUMBER(F480),_xlfn.RANK.EQ(F480,$F$2:$F$1031),"")</f>
        <v/>
      </c>
      <c r="H480">
        <f>INDEX(Sheet1!AH:AH,MATCH(A480,Sheet1!A:A,0))</f>
        <v/>
      </c>
    </row>
    <row r="481">
      <c r="A481" t="n">
        <v>1114</v>
      </c>
      <c r="B481">
        <f>Sheet1!C481+Sheet1!D481+Sheet1!E481+Sheet1!F481+Sheet1!J481+Sheet1!K481+Sheet1!L481+Sheet1!M481</f>
        <v/>
      </c>
      <c r="C481">
        <f>IF(ISNUMBER(B481),B481,"")</f>
        <v/>
      </c>
      <c r="D481">
        <f>IF(ISNUMBER(C481),_xlfn.RANK.EQ(C481,$C$2:$C$1031),"")</f>
        <v/>
      </c>
      <c r="E481">
        <f>Sheet1!C481+Sheet1!D481+Sheet1!E481+Sheet1!F481+Sheet1!J481+Sheet1!K481+Sheet1!L481+Sheet1!M481+Sheet1!Q481+Sheet1!R481+Sheet1!S481+Sheet1!T481</f>
        <v/>
      </c>
      <c r="F481">
        <f>IF(ISNUMBER(E481),E481,"")</f>
        <v/>
      </c>
      <c r="G481">
        <f>IF(ISNUMBER(F481),_xlfn.RANK.EQ(F481,$F$2:$F$1031),"")</f>
        <v/>
      </c>
      <c r="H481">
        <f>INDEX(Sheet1!AH:AH,MATCH(A481,Sheet1!A:A,0))</f>
        <v/>
      </c>
    </row>
    <row r="482">
      <c r="A482" t="n">
        <v>1115</v>
      </c>
      <c r="B482">
        <f>Sheet1!C482+Sheet1!D482+Sheet1!E482+Sheet1!F482+Sheet1!J482+Sheet1!K482+Sheet1!L482+Sheet1!M482</f>
        <v/>
      </c>
      <c r="C482">
        <f>IF(ISNUMBER(B482),B482,"")</f>
        <v/>
      </c>
      <c r="D482">
        <f>IF(ISNUMBER(C482),_xlfn.RANK.EQ(C482,$C$2:$C$1031),"")</f>
        <v/>
      </c>
      <c r="E482">
        <f>Sheet1!C482+Sheet1!D482+Sheet1!E482+Sheet1!F482+Sheet1!J482+Sheet1!K482+Sheet1!L482+Sheet1!M482+Sheet1!Q482+Sheet1!R482+Sheet1!S482+Sheet1!T482</f>
        <v/>
      </c>
      <c r="F482">
        <f>IF(ISNUMBER(E482),E482,"")</f>
        <v/>
      </c>
      <c r="G482">
        <f>IF(ISNUMBER(F482),_xlfn.RANK.EQ(F482,$F$2:$F$1031),"")</f>
        <v/>
      </c>
      <c r="H482">
        <f>INDEX(Sheet1!AH:AH,MATCH(A482,Sheet1!A:A,0))</f>
        <v/>
      </c>
    </row>
    <row r="483">
      <c r="A483" t="n">
        <v>1116</v>
      </c>
      <c r="B483">
        <f>Sheet1!C483+Sheet1!D483+Sheet1!E483+Sheet1!F483+Sheet1!J483+Sheet1!K483+Sheet1!L483+Sheet1!M483</f>
        <v/>
      </c>
      <c r="C483">
        <f>IF(ISNUMBER(B483),B483,"")</f>
        <v/>
      </c>
      <c r="D483">
        <f>IF(ISNUMBER(C483),_xlfn.RANK.EQ(C483,$C$2:$C$1031),"")</f>
        <v/>
      </c>
      <c r="E483">
        <f>Sheet1!C483+Sheet1!D483+Sheet1!E483+Sheet1!F483+Sheet1!J483+Sheet1!K483+Sheet1!L483+Sheet1!M483+Sheet1!Q483+Sheet1!R483+Sheet1!S483+Sheet1!T483</f>
        <v/>
      </c>
      <c r="F483">
        <f>IF(ISNUMBER(E483),E483,"")</f>
        <v/>
      </c>
      <c r="G483">
        <f>IF(ISNUMBER(F483),_xlfn.RANK.EQ(F483,$F$2:$F$1031),"")</f>
        <v/>
      </c>
      <c r="H483">
        <f>INDEX(Sheet1!AH:AH,MATCH(A483,Sheet1!A:A,0))</f>
        <v/>
      </c>
    </row>
    <row r="484">
      <c r="A484" t="n">
        <v>1117</v>
      </c>
      <c r="B484">
        <f>Sheet1!C484+Sheet1!D484+Sheet1!E484+Sheet1!F484+Sheet1!J484+Sheet1!K484+Sheet1!L484+Sheet1!M484</f>
        <v/>
      </c>
      <c r="C484">
        <f>IF(ISNUMBER(B484),B484,"")</f>
        <v/>
      </c>
      <c r="D484">
        <f>IF(ISNUMBER(C484),_xlfn.RANK.EQ(C484,$C$2:$C$1031),"")</f>
        <v/>
      </c>
      <c r="E484">
        <f>Sheet1!C484+Sheet1!D484+Sheet1!E484+Sheet1!F484+Sheet1!J484+Sheet1!K484+Sheet1!L484+Sheet1!M484+Sheet1!Q484+Sheet1!R484+Sheet1!S484+Sheet1!T484</f>
        <v/>
      </c>
      <c r="F484">
        <f>IF(ISNUMBER(E484),E484,"")</f>
        <v/>
      </c>
      <c r="G484">
        <f>IF(ISNUMBER(F484),_xlfn.RANK.EQ(F484,$F$2:$F$1031),"")</f>
        <v/>
      </c>
      <c r="H484">
        <f>INDEX(Sheet1!AH:AH,MATCH(A484,Sheet1!A:A,0))</f>
        <v/>
      </c>
    </row>
    <row r="485">
      <c r="A485" t="n">
        <v>1118</v>
      </c>
      <c r="B485">
        <f>Sheet1!C485+Sheet1!D485+Sheet1!E485+Sheet1!F485+Sheet1!J485+Sheet1!K485+Sheet1!L485+Sheet1!M485</f>
        <v/>
      </c>
      <c r="C485">
        <f>IF(ISNUMBER(B485),B485,"")</f>
        <v/>
      </c>
      <c r="D485">
        <f>IF(ISNUMBER(C485),_xlfn.RANK.EQ(C485,$C$2:$C$1031),"")</f>
        <v/>
      </c>
      <c r="E485">
        <f>Sheet1!C485+Sheet1!D485+Sheet1!E485+Sheet1!F485+Sheet1!J485+Sheet1!K485+Sheet1!L485+Sheet1!M485+Sheet1!Q485+Sheet1!R485+Sheet1!S485+Sheet1!T485</f>
        <v/>
      </c>
      <c r="F485">
        <f>IF(ISNUMBER(E485),E485,"")</f>
        <v/>
      </c>
      <c r="G485">
        <f>IF(ISNUMBER(F485),_xlfn.RANK.EQ(F485,$F$2:$F$1031),"")</f>
        <v/>
      </c>
      <c r="H485">
        <f>INDEX(Sheet1!AH:AH,MATCH(A485,Sheet1!A:A,0))</f>
        <v/>
      </c>
    </row>
    <row r="486">
      <c r="A486" t="n">
        <v>1119</v>
      </c>
      <c r="B486">
        <f>Sheet1!C486+Sheet1!D486+Sheet1!E486+Sheet1!F486+Sheet1!J486+Sheet1!K486+Sheet1!L486+Sheet1!M486</f>
        <v/>
      </c>
      <c r="C486">
        <f>IF(ISNUMBER(B486),B486,"")</f>
        <v/>
      </c>
      <c r="D486">
        <f>IF(ISNUMBER(C486),_xlfn.RANK.EQ(C486,$C$2:$C$1031),"")</f>
        <v/>
      </c>
      <c r="E486">
        <f>Sheet1!C486+Sheet1!D486+Sheet1!E486+Sheet1!F486+Sheet1!J486+Sheet1!K486+Sheet1!L486+Sheet1!M486+Sheet1!Q486+Sheet1!R486+Sheet1!S486+Sheet1!T486</f>
        <v/>
      </c>
      <c r="F486">
        <f>IF(ISNUMBER(E486),E486,"")</f>
        <v/>
      </c>
      <c r="G486">
        <f>IF(ISNUMBER(F486),_xlfn.RANK.EQ(F486,$F$2:$F$1031),"")</f>
        <v/>
      </c>
      <c r="H486">
        <f>INDEX(Sheet1!AH:AH,MATCH(A486,Sheet1!A:A,0))</f>
        <v/>
      </c>
    </row>
    <row r="487">
      <c r="A487" t="n">
        <v>1126</v>
      </c>
      <c r="B487">
        <f>Sheet1!C487+Sheet1!D487+Sheet1!E487+Sheet1!F487+Sheet1!J487+Sheet1!K487+Sheet1!L487+Sheet1!M487</f>
        <v/>
      </c>
      <c r="C487">
        <f>IF(ISNUMBER(B487),B487,"")</f>
        <v/>
      </c>
      <c r="D487">
        <f>IF(ISNUMBER(C487),_xlfn.RANK.EQ(C487,$C$2:$C$1031),"")</f>
        <v/>
      </c>
      <c r="E487">
        <f>Sheet1!C487+Sheet1!D487+Sheet1!E487+Sheet1!F487+Sheet1!J487+Sheet1!K487+Sheet1!L487+Sheet1!M487+Sheet1!Q487+Sheet1!R487+Sheet1!S487+Sheet1!T487</f>
        <v/>
      </c>
      <c r="F487">
        <f>IF(ISNUMBER(E487),E487,"")</f>
        <v/>
      </c>
      <c r="G487">
        <f>IF(ISNUMBER(F487),_xlfn.RANK.EQ(F487,$F$2:$F$1031),"")</f>
        <v/>
      </c>
      <c r="H487">
        <f>INDEX(Sheet1!AH:AH,MATCH(A487,Sheet1!A:A,0))</f>
        <v/>
      </c>
    </row>
    <row r="488">
      <c r="A488" t="n">
        <v>1127</v>
      </c>
      <c r="B488">
        <f>Sheet1!C488+Sheet1!D488+Sheet1!E488+Sheet1!F488+Sheet1!J488+Sheet1!K488+Sheet1!L488+Sheet1!M488</f>
        <v/>
      </c>
      <c r="C488">
        <f>IF(ISNUMBER(B488),B488,"")</f>
        <v/>
      </c>
      <c r="D488">
        <f>IF(ISNUMBER(C488),_xlfn.RANK.EQ(C488,$C$2:$C$1031),"")</f>
        <v/>
      </c>
      <c r="E488">
        <f>Sheet1!C488+Sheet1!D488+Sheet1!E488+Sheet1!F488+Sheet1!J488+Sheet1!K488+Sheet1!L488+Sheet1!M488+Sheet1!Q488+Sheet1!R488+Sheet1!S488+Sheet1!T488</f>
        <v/>
      </c>
      <c r="F488">
        <f>IF(ISNUMBER(E488),E488,"")</f>
        <v/>
      </c>
      <c r="G488">
        <f>IF(ISNUMBER(F488),_xlfn.RANK.EQ(F488,$F$2:$F$1031),"")</f>
        <v/>
      </c>
      <c r="H488">
        <f>INDEX(Sheet1!AH:AH,MATCH(A488,Sheet1!A:A,0))</f>
        <v/>
      </c>
    </row>
    <row r="489">
      <c r="A489" t="n">
        <v>1128</v>
      </c>
      <c r="B489">
        <f>Sheet1!C489+Sheet1!D489+Sheet1!E489+Sheet1!F489+Sheet1!J489+Sheet1!K489+Sheet1!L489+Sheet1!M489</f>
        <v/>
      </c>
      <c r="C489">
        <f>IF(ISNUMBER(B489),B489,"")</f>
        <v/>
      </c>
      <c r="D489">
        <f>IF(ISNUMBER(C489),_xlfn.RANK.EQ(C489,$C$2:$C$1031),"")</f>
        <v/>
      </c>
      <c r="E489">
        <f>Sheet1!C489+Sheet1!D489+Sheet1!E489+Sheet1!F489+Sheet1!J489+Sheet1!K489+Sheet1!L489+Sheet1!M489+Sheet1!Q489+Sheet1!R489+Sheet1!S489+Sheet1!T489</f>
        <v/>
      </c>
      <c r="F489">
        <f>IF(ISNUMBER(E489),E489,"")</f>
        <v/>
      </c>
      <c r="G489">
        <f>IF(ISNUMBER(F489),_xlfn.RANK.EQ(F489,$F$2:$F$1031),"")</f>
        <v/>
      </c>
      <c r="H489">
        <f>INDEX(Sheet1!AH:AH,MATCH(A489,Sheet1!A:A,0))</f>
        <v/>
      </c>
    </row>
    <row r="490">
      <c r="A490" t="n">
        <v>1131</v>
      </c>
      <c r="B490">
        <f>Sheet1!C490+Sheet1!D490+Sheet1!E490+Sheet1!F490+Sheet1!J490+Sheet1!K490+Sheet1!L490+Sheet1!M490</f>
        <v/>
      </c>
      <c r="C490">
        <f>IF(ISNUMBER(B490),B490,"")</f>
        <v/>
      </c>
      <c r="D490">
        <f>IF(ISNUMBER(C490),_xlfn.RANK.EQ(C490,$C$2:$C$1031),"")</f>
        <v/>
      </c>
      <c r="E490">
        <f>Sheet1!C490+Sheet1!D490+Sheet1!E490+Sheet1!F490+Sheet1!J490+Sheet1!K490+Sheet1!L490+Sheet1!M490+Sheet1!Q490+Sheet1!R490+Sheet1!S490+Sheet1!T490</f>
        <v/>
      </c>
      <c r="F490">
        <f>IF(ISNUMBER(E490),E490,"")</f>
        <v/>
      </c>
      <c r="G490">
        <f>IF(ISNUMBER(F490),_xlfn.RANK.EQ(F490,$F$2:$F$1031),"")</f>
        <v/>
      </c>
      <c r="H490">
        <f>INDEX(Sheet1!AH:AH,MATCH(A490,Sheet1!A:A,0))</f>
        <v/>
      </c>
    </row>
    <row r="491">
      <c r="A491" t="n">
        <v>1136</v>
      </c>
      <c r="B491">
        <f>Sheet1!C491+Sheet1!D491+Sheet1!E491+Sheet1!F491+Sheet1!J491+Sheet1!K491+Sheet1!L491+Sheet1!M491</f>
        <v/>
      </c>
      <c r="C491">
        <f>IF(ISNUMBER(B491),B491,"")</f>
        <v/>
      </c>
      <c r="D491">
        <f>IF(ISNUMBER(C491),_xlfn.RANK.EQ(C491,$C$2:$C$1031),"")</f>
        <v/>
      </c>
      <c r="E491">
        <f>Sheet1!C491+Sheet1!D491+Sheet1!E491+Sheet1!F491+Sheet1!J491+Sheet1!K491+Sheet1!L491+Sheet1!M491+Sheet1!Q491+Sheet1!R491+Sheet1!S491+Sheet1!T491</f>
        <v/>
      </c>
      <c r="F491">
        <f>IF(ISNUMBER(E491),E491,"")</f>
        <v/>
      </c>
      <c r="G491">
        <f>IF(ISNUMBER(F491),_xlfn.RANK.EQ(F491,$F$2:$F$1031),"")</f>
        <v/>
      </c>
      <c r="H491">
        <f>INDEX(Sheet1!AH:AH,MATCH(A491,Sheet1!A:A,0))</f>
        <v/>
      </c>
    </row>
    <row r="492">
      <c r="A492" t="n">
        <v>1140</v>
      </c>
      <c r="B492">
        <f>Sheet1!C492+Sheet1!D492+Sheet1!E492+Sheet1!F492+Sheet1!J492+Sheet1!K492+Sheet1!L492+Sheet1!M492</f>
        <v/>
      </c>
      <c r="C492">
        <f>IF(ISNUMBER(B492),B492,"")</f>
        <v/>
      </c>
      <c r="D492">
        <f>IF(ISNUMBER(C492),_xlfn.RANK.EQ(C492,$C$2:$C$1031),"")</f>
        <v/>
      </c>
      <c r="E492">
        <f>Sheet1!C492+Sheet1!D492+Sheet1!E492+Sheet1!F492+Sheet1!J492+Sheet1!K492+Sheet1!L492+Sheet1!M492+Sheet1!Q492+Sheet1!R492+Sheet1!S492+Sheet1!T492</f>
        <v/>
      </c>
      <c r="F492">
        <f>IF(ISNUMBER(E492),E492,"")</f>
        <v/>
      </c>
      <c r="G492">
        <f>IF(ISNUMBER(F492),_xlfn.RANK.EQ(F492,$F$2:$F$1031),"")</f>
        <v/>
      </c>
      <c r="H492">
        <f>INDEX(Sheet1!AH:AH,MATCH(A492,Sheet1!A:A,0))</f>
        <v/>
      </c>
    </row>
    <row r="493">
      <c r="A493" t="n">
        <v>1142</v>
      </c>
      <c r="B493">
        <f>Sheet1!C493+Sheet1!D493+Sheet1!E493+Sheet1!F493+Sheet1!J493+Sheet1!K493+Sheet1!L493+Sheet1!M493</f>
        <v/>
      </c>
      <c r="C493">
        <f>IF(ISNUMBER(B493),B493,"")</f>
        <v/>
      </c>
      <c r="D493">
        <f>IF(ISNUMBER(C493),_xlfn.RANK.EQ(C493,$C$2:$C$1031),"")</f>
        <v/>
      </c>
      <c r="E493">
        <f>Sheet1!C493+Sheet1!D493+Sheet1!E493+Sheet1!F493+Sheet1!J493+Sheet1!K493+Sheet1!L493+Sheet1!M493+Sheet1!Q493+Sheet1!R493+Sheet1!S493+Sheet1!T493</f>
        <v/>
      </c>
      <c r="F493">
        <f>IF(ISNUMBER(E493),E493,"")</f>
        <v/>
      </c>
      <c r="G493">
        <f>IF(ISNUMBER(F493),_xlfn.RANK.EQ(F493,$F$2:$F$1031),"")</f>
        <v/>
      </c>
      <c r="H493">
        <f>INDEX(Sheet1!AH:AH,MATCH(A493,Sheet1!A:A,0))</f>
        <v/>
      </c>
    </row>
    <row r="494">
      <c r="A494" t="n">
        <v>1143</v>
      </c>
      <c r="B494">
        <f>Sheet1!C494+Sheet1!D494+Sheet1!E494+Sheet1!F494+Sheet1!J494+Sheet1!K494+Sheet1!L494+Sheet1!M494</f>
        <v/>
      </c>
      <c r="C494">
        <f>IF(ISNUMBER(B494),B494,"")</f>
        <v/>
      </c>
      <c r="D494">
        <f>IF(ISNUMBER(C494),_xlfn.RANK.EQ(C494,$C$2:$C$1031),"")</f>
        <v/>
      </c>
      <c r="E494">
        <f>Sheet1!C494+Sheet1!D494+Sheet1!E494+Sheet1!F494+Sheet1!J494+Sheet1!K494+Sheet1!L494+Sheet1!M494+Sheet1!Q494+Sheet1!R494+Sheet1!S494+Sheet1!T494</f>
        <v/>
      </c>
      <c r="F494">
        <f>IF(ISNUMBER(E494),E494,"")</f>
        <v/>
      </c>
      <c r="G494">
        <f>IF(ISNUMBER(F494),_xlfn.RANK.EQ(F494,$F$2:$F$1031),"")</f>
        <v/>
      </c>
      <c r="H494">
        <f>INDEX(Sheet1!AH:AH,MATCH(A494,Sheet1!A:A,0))</f>
        <v/>
      </c>
    </row>
    <row r="495">
      <c r="A495" t="n">
        <v>1144</v>
      </c>
      <c r="B495">
        <f>Sheet1!C495+Sheet1!D495+Sheet1!E495+Sheet1!F495+Sheet1!J495+Sheet1!K495+Sheet1!L495+Sheet1!M495</f>
        <v/>
      </c>
      <c r="C495">
        <f>IF(ISNUMBER(B495),B495,"")</f>
        <v/>
      </c>
      <c r="D495">
        <f>IF(ISNUMBER(C495),_xlfn.RANK.EQ(C495,$C$2:$C$1031),"")</f>
        <v/>
      </c>
      <c r="E495">
        <f>Sheet1!C495+Sheet1!D495+Sheet1!E495+Sheet1!F495+Sheet1!J495+Sheet1!K495+Sheet1!L495+Sheet1!M495+Sheet1!Q495+Sheet1!R495+Sheet1!S495+Sheet1!T495</f>
        <v/>
      </c>
      <c r="F495">
        <f>IF(ISNUMBER(E495),E495,"")</f>
        <v/>
      </c>
      <c r="G495">
        <f>IF(ISNUMBER(F495),_xlfn.RANK.EQ(F495,$F$2:$F$1031),"")</f>
        <v/>
      </c>
      <c r="H495">
        <f>INDEX(Sheet1!AH:AH,MATCH(A495,Sheet1!A:A,0))</f>
        <v/>
      </c>
    </row>
    <row r="496">
      <c r="A496" t="n">
        <v>1146</v>
      </c>
      <c r="B496">
        <f>Sheet1!C496+Sheet1!D496+Sheet1!E496+Sheet1!F496+Sheet1!J496+Sheet1!K496+Sheet1!L496+Sheet1!M496</f>
        <v/>
      </c>
      <c r="C496">
        <f>IF(ISNUMBER(B496),B496,"")</f>
        <v/>
      </c>
      <c r="D496">
        <f>IF(ISNUMBER(C496),_xlfn.RANK.EQ(C496,$C$2:$C$1031),"")</f>
        <v/>
      </c>
      <c r="E496">
        <f>Sheet1!C496+Sheet1!D496+Sheet1!E496+Sheet1!F496+Sheet1!J496+Sheet1!K496+Sheet1!L496+Sheet1!M496+Sheet1!Q496+Sheet1!R496+Sheet1!S496+Sheet1!T496</f>
        <v/>
      </c>
      <c r="F496">
        <f>IF(ISNUMBER(E496),E496,"")</f>
        <v/>
      </c>
      <c r="G496">
        <f>IF(ISNUMBER(F496),_xlfn.RANK.EQ(F496,$F$2:$F$1031),"")</f>
        <v/>
      </c>
      <c r="H496">
        <f>INDEX(Sheet1!AH:AH,MATCH(A496,Sheet1!A:A,0))</f>
        <v/>
      </c>
    </row>
    <row r="497">
      <c r="A497" t="n">
        <v>1147</v>
      </c>
      <c r="B497">
        <f>Sheet1!C497+Sheet1!D497+Sheet1!E497+Sheet1!F497+Sheet1!J497+Sheet1!K497+Sheet1!L497+Sheet1!M497</f>
        <v/>
      </c>
      <c r="C497">
        <f>IF(ISNUMBER(B497),B497,"")</f>
        <v/>
      </c>
      <c r="D497">
        <f>IF(ISNUMBER(C497),_xlfn.RANK.EQ(C497,$C$2:$C$1031),"")</f>
        <v/>
      </c>
      <c r="E497">
        <f>Sheet1!C497+Sheet1!D497+Sheet1!E497+Sheet1!F497+Sheet1!J497+Sheet1!K497+Sheet1!L497+Sheet1!M497+Sheet1!Q497+Sheet1!R497+Sheet1!S497+Sheet1!T497</f>
        <v/>
      </c>
      <c r="F497">
        <f>IF(ISNUMBER(E497),E497,"")</f>
        <v/>
      </c>
      <c r="G497">
        <f>IF(ISNUMBER(F497),_xlfn.RANK.EQ(F497,$F$2:$F$1031),"")</f>
        <v/>
      </c>
      <c r="H497">
        <f>INDEX(Sheet1!AH:AH,MATCH(A497,Sheet1!A:A,0))</f>
        <v/>
      </c>
    </row>
    <row r="498">
      <c r="A498" t="n">
        <v>1148</v>
      </c>
      <c r="B498">
        <f>Sheet1!C498+Sheet1!D498+Sheet1!E498+Sheet1!F498+Sheet1!J498+Sheet1!K498+Sheet1!L498+Sheet1!M498</f>
        <v/>
      </c>
      <c r="C498">
        <f>IF(ISNUMBER(B498),B498,"")</f>
        <v/>
      </c>
      <c r="D498">
        <f>IF(ISNUMBER(C498),_xlfn.RANK.EQ(C498,$C$2:$C$1031),"")</f>
        <v/>
      </c>
      <c r="E498">
        <f>Sheet1!C498+Sheet1!D498+Sheet1!E498+Sheet1!F498+Sheet1!J498+Sheet1!K498+Sheet1!L498+Sheet1!M498+Sheet1!Q498+Sheet1!R498+Sheet1!S498+Sheet1!T498</f>
        <v/>
      </c>
      <c r="F498">
        <f>IF(ISNUMBER(E498),E498,"")</f>
        <v/>
      </c>
      <c r="G498">
        <f>IF(ISNUMBER(F498),_xlfn.RANK.EQ(F498,$F$2:$F$1031),"")</f>
        <v/>
      </c>
      <c r="H498">
        <f>INDEX(Sheet1!AH:AH,MATCH(A498,Sheet1!A:A,0))</f>
        <v/>
      </c>
    </row>
    <row r="499">
      <c r="A499" t="n">
        <v>1149</v>
      </c>
      <c r="B499">
        <f>Sheet1!C499+Sheet1!D499+Sheet1!E499+Sheet1!F499+Sheet1!J499+Sheet1!K499+Sheet1!L499+Sheet1!M499</f>
        <v/>
      </c>
      <c r="C499">
        <f>IF(ISNUMBER(B499),B499,"")</f>
        <v/>
      </c>
      <c r="D499">
        <f>IF(ISNUMBER(C499),_xlfn.RANK.EQ(C499,$C$2:$C$1031),"")</f>
        <v/>
      </c>
      <c r="E499">
        <f>Sheet1!C499+Sheet1!D499+Sheet1!E499+Sheet1!F499+Sheet1!J499+Sheet1!K499+Sheet1!L499+Sheet1!M499+Sheet1!Q499+Sheet1!R499+Sheet1!S499+Sheet1!T499</f>
        <v/>
      </c>
      <c r="F499">
        <f>IF(ISNUMBER(E499),E499,"")</f>
        <v/>
      </c>
      <c r="G499">
        <f>IF(ISNUMBER(F499),_xlfn.RANK.EQ(F499,$F$2:$F$1031),"")</f>
        <v/>
      </c>
      <c r="H499">
        <f>INDEX(Sheet1!AH:AH,MATCH(A499,Sheet1!A:A,0))</f>
        <v/>
      </c>
    </row>
    <row r="500">
      <c r="A500" t="n">
        <v>1150</v>
      </c>
      <c r="B500">
        <f>Sheet1!C500+Sheet1!D500+Sheet1!E500+Sheet1!F500+Sheet1!J500+Sheet1!K500+Sheet1!L500+Sheet1!M500</f>
        <v/>
      </c>
      <c r="C500">
        <f>IF(ISNUMBER(B500),B500,"")</f>
        <v/>
      </c>
      <c r="D500">
        <f>IF(ISNUMBER(C500),_xlfn.RANK.EQ(C500,$C$2:$C$1031),"")</f>
        <v/>
      </c>
      <c r="E500">
        <f>Sheet1!C500+Sheet1!D500+Sheet1!E500+Sheet1!F500+Sheet1!J500+Sheet1!K500+Sheet1!L500+Sheet1!M500+Sheet1!Q500+Sheet1!R500+Sheet1!S500+Sheet1!T500</f>
        <v/>
      </c>
      <c r="F500">
        <f>IF(ISNUMBER(E500),E500,"")</f>
        <v/>
      </c>
      <c r="G500">
        <f>IF(ISNUMBER(F500),_xlfn.RANK.EQ(F500,$F$2:$F$1031),"")</f>
        <v/>
      </c>
      <c r="H500">
        <f>INDEX(Sheet1!AH:AH,MATCH(A500,Sheet1!A:A,0))</f>
        <v/>
      </c>
    </row>
    <row r="501">
      <c r="A501" t="n">
        <v>1152</v>
      </c>
      <c r="B501">
        <f>Sheet1!C501+Sheet1!D501+Sheet1!E501+Sheet1!F501+Sheet1!J501+Sheet1!K501+Sheet1!L501+Sheet1!M501</f>
        <v/>
      </c>
      <c r="C501">
        <f>IF(ISNUMBER(B501),B501,"")</f>
        <v/>
      </c>
      <c r="D501">
        <f>IF(ISNUMBER(C501),_xlfn.RANK.EQ(C501,$C$2:$C$1031),"")</f>
        <v/>
      </c>
      <c r="E501">
        <f>Sheet1!C501+Sheet1!D501+Sheet1!E501+Sheet1!F501+Sheet1!J501+Sheet1!K501+Sheet1!L501+Sheet1!M501+Sheet1!Q501+Sheet1!R501+Sheet1!S501+Sheet1!T501</f>
        <v/>
      </c>
      <c r="F501">
        <f>IF(ISNUMBER(E501),E501,"")</f>
        <v/>
      </c>
      <c r="G501">
        <f>IF(ISNUMBER(F501),_xlfn.RANK.EQ(F501,$F$2:$F$1031),"")</f>
        <v/>
      </c>
      <c r="H501">
        <f>INDEX(Sheet1!AH:AH,MATCH(A501,Sheet1!A:A,0))</f>
        <v/>
      </c>
    </row>
    <row r="502">
      <c r="A502" t="n">
        <v>1153</v>
      </c>
      <c r="B502">
        <f>Sheet1!C502+Sheet1!D502+Sheet1!E502+Sheet1!F502+Sheet1!J502+Sheet1!K502+Sheet1!L502+Sheet1!M502</f>
        <v/>
      </c>
      <c r="C502">
        <f>IF(ISNUMBER(B502),B502,"")</f>
        <v/>
      </c>
      <c r="D502">
        <f>IF(ISNUMBER(C502),_xlfn.RANK.EQ(C502,$C$2:$C$1031),"")</f>
        <v/>
      </c>
      <c r="E502">
        <f>Sheet1!C502+Sheet1!D502+Sheet1!E502+Sheet1!F502+Sheet1!J502+Sheet1!K502+Sheet1!L502+Sheet1!M502+Sheet1!Q502+Sheet1!R502+Sheet1!S502+Sheet1!T502</f>
        <v/>
      </c>
      <c r="F502">
        <f>IF(ISNUMBER(E502),E502,"")</f>
        <v/>
      </c>
      <c r="G502">
        <f>IF(ISNUMBER(F502),_xlfn.RANK.EQ(F502,$F$2:$F$1031),"")</f>
        <v/>
      </c>
      <c r="H502">
        <f>INDEX(Sheet1!AH:AH,MATCH(A502,Sheet1!A:A,0))</f>
        <v/>
      </c>
    </row>
    <row r="503">
      <c r="A503" t="n">
        <v>1154</v>
      </c>
      <c r="B503">
        <f>Sheet1!C503+Sheet1!D503+Sheet1!E503+Sheet1!F503+Sheet1!J503+Sheet1!K503+Sheet1!L503+Sheet1!M503</f>
        <v/>
      </c>
      <c r="C503">
        <f>IF(ISNUMBER(B503),B503,"")</f>
        <v/>
      </c>
      <c r="D503">
        <f>IF(ISNUMBER(C503),_xlfn.RANK.EQ(C503,$C$2:$C$1031),"")</f>
        <v/>
      </c>
      <c r="E503">
        <f>Sheet1!C503+Sheet1!D503+Sheet1!E503+Sheet1!F503+Sheet1!J503+Sheet1!K503+Sheet1!L503+Sheet1!M503+Sheet1!Q503+Sheet1!R503+Sheet1!S503+Sheet1!T503</f>
        <v/>
      </c>
      <c r="F503">
        <f>IF(ISNUMBER(E503),E503,"")</f>
        <v/>
      </c>
      <c r="G503">
        <f>IF(ISNUMBER(F503),_xlfn.RANK.EQ(F503,$F$2:$F$1031),"")</f>
        <v/>
      </c>
      <c r="H503">
        <f>INDEX(Sheet1!AH:AH,MATCH(A503,Sheet1!A:A,0))</f>
        <v/>
      </c>
    </row>
    <row r="504">
      <c r="A504" t="n">
        <v>1181</v>
      </c>
      <c r="B504">
        <f>Sheet1!C504+Sheet1!D504+Sheet1!E504+Sheet1!F504+Sheet1!J504+Sheet1!K504+Sheet1!L504+Sheet1!M504</f>
        <v/>
      </c>
      <c r="C504">
        <f>IF(ISNUMBER(B504),B504,"")</f>
        <v/>
      </c>
      <c r="D504">
        <f>IF(ISNUMBER(C504),_xlfn.RANK.EQ(C504,$C$2:$C$1031),"")</f>
        <v/>
      </c>
      <c r="E504">
        <f>Sheet1!C504+Sheet1!D504+Sheet1!E504+Sheet1!F504+Sheet1!J504+Sheet1!K504+Sheet1!L504+Sheet1!M504+Sheet1!Q504+Sheet1!R504+Sheet1!S504+Sheet1!T504</f>
        <v/>
      </c>
      <c r="F504">
        <f>IF(ISNUMBER(E504),E504,"")</f>
        <v/>
      </c>
      <c r="G504">
        <f>IF(ISNUMBER(F504),_xlfn.RANK.EQ(F504,$F$2:$F$1031),"")</f>
        <v/>
      </c>
      <c r="H504">
        <f>INDEX(Sheet1!AH:AH,MATCH(A504,Sheet1!A:A,0))</f>
        <v/>
      </c>
    </row>
    <row r="505">
      <c r="A505" t="n">
        <v>1184</v>
      </c>
      <c r="B505">
        <f>Sheet1!C505+Sheet1!D505+Sheet1!E505+Sheet1!F505+Sheet1!J505+Sheet1!K505+Sheet1!L505+Sheet1!M505</f>
        <v/>
      </c>
      <c r="C505">
        <f>IF(ISNUMBER(B505),B505,"")</f>
        <v/>
      </c>
      <c r="D505">
        <f>IF(ISNUMBER(C505),_xlfn.RANK.EQ(C505,$C$2:$C$1031),"")</f>
        <v/>
      </c>
      <c r="E505">
        <f>Sheet1!C505+Sheet1!D505+Sheet1!E505+Sheet1!F505+Sheet1!J505+Sheet1!K505+Sheet1!L505+Sheet1!M505+Sheet1!Q505+Sheet1!R505+Sheet1!S505+Sheet1!T505</f>
        <v/>
      </c>
      <c r="F505">
        <f>IF(ISNUMBER(E505),E505,"")</f>
        <v/>
      </c>
      <c r="G505">
        <f>IF(ISNUMBER(F505),_xlfn.RANK.EQ(F505,$F$2:$F$1031),"")</f>
        <v/>
      </c>
      <c r="H505">
        <f>INDEX(Sheet1!AH:AH,MATCH(A505,Sheet1!A:A,0))</f>
        <v/>
      </c>
    </row>
    <row r="506">
      <c r="A506" t="n">
        <v>1186</v>
      </c>
      <c r="B506">
        <f>Sheet1!C506+Sheet1!D506+Sheet1!E506+Sheet1!F506+Sheet1!J506+Sheet1!K506+Sheet1!L506+Sheet1!M506</f>
        <v/>
      </c>
      <c r="C506">
        <f>IF(ISNUMBER(B506),B506,"")</f>
        <v/>
      </c>
      <c r="D506">
        <f>IF(ISNUMBER(C506),_xlfn.RANK.EQ(C506,$C$2:$C$1031),"")</f>
        <v/>
      </c>
      <c r="E506">
        <f>Sheet1!C506+Sheet1!D506+Sheet1!E506+Sheet1!F506+Sheet1!J506+Sheet1!K506+Sheet1!L506+Sheet1!M506+Sheet1!Q506+Sheet1!R506+Sheet1!S506+Sheet1!T506</f>
        <v/>
      </c>
      <c r="F506">
        <f>IF(ISNUMBER(E506),E506,"")</f>
        <v/>
      </c>
      <c r="G506">
        <f>IF(ISNUMBER(F506),_xlfn.RANK.EQ(F506,$F$2:$F$1031),"")</f>
        <v/>
      </c>
      <c r="H506">
        <f>INDEX(Sheet1!AH:AH,MATCH(A506,Sheet1!A:A,0))</f>
        <v/>
      </c>
    </row>
    <row r="507">
      <c r="A507" t="n">
        <v>1187</v>
      </c>
      <c r="B507">
        <f>Sheet1!C507+Sheet1!D507+Sheet1!E507+Sheet1!F507+Sheet1!J507+Sheet1!K507+Sheet1!L507+Sheet1!M507</f>
        <v/>
      </c>
      <c r="C507">
        <f>IF(ISNUMBER(B507),B507,"")</f>
        <v/>
      </c>
      <c r="D507">
        <f>IF(ISNUMBER(C507),_xlfn.RANK.EQ(C507,$C$2:$C$1031),"")</f>
        <v/>
      </c>
      <c r="E507">
        <f>Sheet1!C507+Sheet1!D507+Sheet1!E507+Sheet1!F507+Sheet1!J507+Sheet1!K507+Sheet1!L507+Sheet1!M507+Sheet1!Q507+Sheet1!R507+Sheet1!S507+Sheet1!T507</f>
        <v/>
      </c>
      <c r="F507">
        <f>IF(ISNUMBER(E507),E507,"")</f>
        <v/>
      </c>
      <c r="G507">
        <f>IF(ISNUMBER(F507),_xlfn.RANK.EQ(F507,$F$2:$F$1031),"")</f>
        <v/>
      </c>
      <c r="H507">
        <f>INDEX(Sheet1!AH:AH,MATCH(A507,Sheet1!A:A,0))</f>
        <v/>
      </c>
    </row>
    <row r="508">
      <c r="A508" t="n">
        <v>1196</v>
      </c>
      <c r="B508">
        <f>Sheet1!C508+Sheet1!D508+Sheet1!E508+Sheet1!F508+Sheet1!J508+Sheet1!K508+Sheet1!L508+Sheet1!M508</f>
        <v/>
      </c>
      <c r="C508">
        <f>IF(ISNUMBER(B508),B508,"")</f>
        <v/>
      </c>
      <c r="D508">
        <f>IF(ISNUMBER(C508),_xlfn.RANK.EQ(C508,$C$2:$C$1031),"")</f>
        <v/>
      </c>
      <c r="E508">
        <f>Sheet1!C508+Sheet1!D508+Sheet1!E508+Sheet1!F508+Sheet1!J508+Sheet1!K508+Sheet1!L508+Sheet1!M508+Sheet1!Q508+Sheet1!R508+Sheet1!S508+Sheet1!T508</f>
        <v/>
      </c>
      <c r="F508">
        <f>IF(ISNUMBER(E508),E508,"")</f>
        <v/>
      </c>
      <c r="G508">
        <f>IF(ISNUMBER(F508),_xlfn.RANK.EQ(F508,$F$2:$F$1031),"")</f>
        <v/>
      </c>
      <c r="H508">
        <f>INDEX(Sheet1!AH:AH,MATCH(A508,Sheet1!A:A,0))</f>
        <v/>
      </c>
    </row>
    <row r="509">
      <c r="A509" t="n">
        <v>1203</v>
      </c>
      <c r="B509">
        <f>Sheet1!C509+Sheet1!D509+Sheet1!E509+Sheet1!F509+Sheet1!J509+Sheet1!K509+Sheet1!L509+Sheet1!M509</f>
        <v/>
      </c>
      <c r="C509">
        <f>IF(ISNUMBER(B509),B509,"")</f>
        <v/>
      </c>
      <c r="D509">
        <f>IF(ISNUMBER(C509),_xlfn.RANK.EQ(C509,$C$2:$C$1031),"")</f>
        <v/>
      </c>
      <c r="E509">
        <f>Sheet1!C509+Sheet1!D509+Sheet1!E509+Sheet1!F509+Sheet1!J509+Sheet1!K509+Sheet1!L509+Sheet1!M509+Sheet1!Q509+Sheet1!R509+Sheet1!S509+Sheet1!T509</f>
        <v/>
      </c>
      <c r="F509">
        <f>IF(ISNUMBER(E509),E509,"")</f>
        <v/>
      </c>
      <c r="G509">
        <f>IF(ISNUMBER(F509),_xlfn.RANK.EQ(F509,$F$2:$F$1031),"")</f>
        <v/>
      </c>
      <c r="H509">
        <f>INDEX(Sheet1!AH:AH,MATCH(A509,Sheet1!A:A,0))</f>
        <v/>
      </c>
    </row>
    <row r="510">
      <c r="A510" t="n">
        <v>1206</v>
      </c>
      <c r="B510">
        <f>Sheet1!C510+Sheet1!D510+Sheet1!E510+Sheet1!F510+Sheet1!J510+Sheet1!K510+Sheet1!L510+Sheet1!M510</f>
        <v/>
      </c>
      <c r="C510">
        <f>IF(ISNUMBER(B510),B510,"")</f>
        <v/>
      </c>
      <c r="D510">
        <f>IF(ISNUMBER(C510),_xlfn.RANK.EQ(C510,$C$2:$C$1031),"")</f>
        <v/>
      </c>
      <c r="E510">
        <f>Sheet1!C510+Sheet1!D510+Sheet1!E510+Sheet1!F510+Sheet1!J510+Sheet1!K510+Sheet1!L510+Sheet1!M510+Sheet1!Q510+Sheet1!R510+Sheet1!S510+Sheet1!T510</f>
        <v/>
      </c>
      <c r="F510">
        <f>IF(ISNUMBER(E510),E510,"")</f>
        <v/>
      </c>
      <c r="G510">
        <f>IF(ISNUMBER(F510),_xlfn.RANK.EQ(F510,$F$2:$F$1031),"")</f>
        <v/>
      </c>
      <c r="H510">
        <f>INDEX(Sheet1!AH:AH,MATCH(A510,Sheet1!A:A,0))</f>
        <v/>
      </c>
    </row>
    <row r="511">
      <c r="A511" t="n">
        <v>1213</v>
      </c>
      <c r="B511">
        <f>Sheet1!C511+Sheet1!D511+Sheet1!E511+Sheet1!F511+Sheet1!J511+Sheet1!K511+Sheet1!L511+Sheet1!M511</f>
        <v/>
      </c>
      <c r="C511">
        <f>IF(ISNUMBER(B511),B511,"")</f>
        <v/>
      </c>
      <c r="D511">
        <f>IF(ISNUMBER(C511),_xlfn.RANK.EQ(C511,$C$2:$C$1031),"")</f>
        <v/>
      </c>
      <c r="E511">
        <f>Sheet1!C511+Sheet1!D511+Sheet1!E511+Sheet1!F511+Sheet1!J511+Sheet1!K511+Sheet1!L511+Sheet1!M511+Sheet1!Q511+Sheet1!R511+Sheet1!S511+Sheet1!T511</f>
        <v/>
      </c>
      <c r="F511">
        <f>IF(ISNUMBER(E511),E511,"")</f>
        <v/>
      </c>
      <c r="G511">
        <f>IF(ISNUMBER(F511),_xlfn.RANK.EQ(F511,$F$2:$F$1031),"")</f>
        <v/>
      </c>
      <c r="H511">
        <f>INDEX(Sheet1!AH:AH,MATCH(A511,Sheet1!A:A,0))</f>
        <v/>
      </c>
    </row>
    <row r="512">
      <c r="A512" t="n">
        <v>1215</v>
      </c>
      <c r="B512">
        <f>Sheet1!C512+Sheet1!D512+Sheet1!E512+Sheet1!F512+Sheet1!J512+Sheet1!K512+Sheet1!L512+Sheet1!M512</f>
        <v/>
      </c>
      <c r="C512">
        <f>IF(ISNUMBER(B512),B512,"")</f>
        <v/>
      </c>
      <c r="D512">
        <f>IF(ISNUMBER(C512),_xlfn.RANK.EQ(C512,$C$2:$C$1031),"")</f>
        <v/>
      </c>
      <c r="E512">
        <f>Sheet1!C512+Sheet1!D512+Sheet1!E512+Sheet1!F512+Sheet1!J512+Sheet1!K512+Sheet1!L512+Sheet1!M512+Sheet1!Q512+Sheet1!R512+Sheet1!S512+Sheet1!T512</f>
        <v/>
      </c>
      <c r="F512">
        <f>IF(ISNUMBER(E512),E512,"")</f>
        <v/>
      </c>
      <c r="G512">
        <f>IF(ISNUMBER(F512),_xlfn.RANK.EQ(F512,$F$2:$F$1031),"")</f>
        <v/>
      </c>
      <c r="H512">
        <f>INDEX(Sheet1!AH:AH,MATCH(A512,Sheet1!A:A,0))</f>
        <v/>
      </c>
    </row>
    <row r="513">
      <c r="A513" t="n">
        <v>1220</v>
      </c>
      <c r="B513">
        <f>Sheet1!C513+Sheet1!D513+Sheet1!E513+Sheet1!F513+Sheet1!J513+Sheet1!K513+Sheet1!L513+Sheet1!M513</f>
        <v/>
      </c>
      <c r="C513">
        <f>IF(ISNUMBER(B513),B513,"")</f>
        <v/>
      </c>
      <c r="D513">
        <f>IF(ISNUMBER(C513),_xlfn.RANK.EQ(C513,$C$2:$C$1031),"")</f>
        <v/>
      </c>
      <c r="E513">
        <f>Sheet1!C513+Sheet1!D513+Sheet1!E513+Sheet1!F513+Sheet1!J513+Sheet1!K513+Sheet1!L513+Sheet1!M513+Sheet1!Q513+Sheet1!R513+Sheet1!S513+Sheet1!T513</f>
        <v/>
      </c>
      <c r="F513">
        <f>IF(ISNUMBER(E513),E513,"")</f>
        <v/>
      </c>
      <c r="G513">
        <f>IF(ISNUMBER(F513),_xlfn.RANK.EQ(F513,$F$2:$F$1031),"")</f>
        <v/>
      </c>
      <c r="H513">
        <f>INDEX(Sheet1!AH:AH,MATCH(A513,Sheet1!A:A,0))</f>
        <v/>
      </c>
    </row>
    <row r="514">
      <c r="A514" t="n">
        <v>1225</v>
      </c>
      <c r="B514">
        <f>Sheet1!C514+Sheet1!D514+Sheet1!E514+Sheet1!F514+Sheet1!J514+Sheet1!K514+Sheet1!L514+Sheet1!M514</f>
        <v/>
      </c>
      <c r="C514">
        <f>IF(ISNUMBER(B514),B514,"")</f>
        <v/>
      </c>
      <c r="D514">
        <f>IF(ISNUMBER(C514),_xlfn.RANK.EQ(C514,$C$2:$C$1031),"")</f>
        <v/>
      </c>
      <c r="E514">
        <f>Sheet1!C514+Sheet1!D514+Sheet1!E514+Sheet1!F514+Sheet1!J514+Sheet1!K514+Sheet1!L514+Sheet1!M514+Sheet1!Q514+Sheet1!R514+Sheet1!S514+Sheet1!T514</f>
        <v/>
      </c>
      <c r="F514">
        <f>IF(ISNUMBER(E514),E514,"")</f>
        <v/>
      </c>
      <c r="G514">
        <f>IF(ISNUMBER(F514),_xlfn.RANK.EQ(F514,$F$2:$F$1031),"")</f>
        <v/>
      </c>
      <c r="H514">
        <f>INDEX(Sheet1!AH:AH,MATCH(A514,Sheet1!A:A,0))</f>
        <v/>
      </c>
    </row>
    <row r="515">
      <c r="A515" t="n">
        <v>1229</v>
      </c>
      <c r="B515">
        <f>Sheet1!C515+Sheet1!D515+Sheet1!E515+Sheet1!F515+Sheet1!J515+Sheet1!K515+Sheet1!L515+Sheet1!M515</f>
        <v/>
      </c>
      <c r="C515">
        <f>IF(ISNUMBER(B515),B515,"")</f>
        <v/>
      </c>
      <c r="D515">
        <f>IF(ISNUMBER(C515),_xlfn.RANK.EQ(C515,$C$2:$C$1031),"")</f>
        <v/>
      </c>
      <c r="E515">
        <f>Sheet1!C515+Sheet1!D515+Sheet1!E515+Sheet1!F515+Sheet1!J515+Sheet1!K515+Sheet1!L515+Sheet1!M515+Sheet1!Q515+Sheet1!R515+Sheet1!S515+Sheet1!T515</f>
        <v/>
      </c>
      <c r="F515">
        <f>IF(ISNUMBER(E515),E515,"")</f>
        <v/>
      </c>
      <c r="G515">
        <f>IF(ISNUMBER(F515),_xlfn.RANK.EQ(F515,$F$2:$F$1031),"")</f>
        <v/>
      </c>
      <c r="H515">
        <f>INDEX(Sheet1!AH:AH,MATCH(A515,Sheet1!A:A,0))</f>
        <v/>
      </c>
    </row>
    <row r="516">
      <c r="A516" t="n">
        <v>1230</v>
      </c>
      <c r="B516">
        <f>Sheet1!C516+Sheet1!D516+Sheet1!E516+Sheet1!F516+Sheet1!J516+Sheet1!K516+Sheet1!L516+Sheet1!M516</f>
        <v/>
      </c>
      <c r="C516">
        <f>IF(ISNUMBER(B516),B516,"")</f>
        <v/>
      </c>
      <c r="D516">
        <f>IF(ISNUMBER(C516),_xlfn.RANK.EQ(C516,$C$2:$C$1031),"")</f>
        <v/>
      </c>
      <c r="E516">
        <f>Sheet1!C516+Sheet1!D516+Sheet1!E516+Sheet1!F516+Sheet1!J516+Sheet1!K516+Sheet1!L516+Sheet1!M516+Sheet1!Q516+Sheet1!R516+Sheet1!S516+Sheet1!T516</f>
        <v/>
      </c>
      <c r="F516">
        <f>IF(ISNUMBER(E516),E516,"")</f>
        <v/>
      </c>
      <c r="G516">
        <f>IF(ISNUMBER(F516),_xlfn.RANK.EQ(F516,$F$2:$F$1031),"")</f>
        <v/>
      </c>
      <c r="H516">
        <f>INDEX(Sheet1!AH:AH,MATCH(A516,Sheet1!A:A,0))</f>
        <v/>
      </c>
    </row>
    <row r="517">
      <c r="A517" t="n">
        <v>1231</v>
      </c>
      <c r="B517">
        <f>Sheet1!C517+Sheet1!D517+Sheet1!E517+Sheet1!F517+Sheet1!J517+Sheet1!K517+Sheet1!L517+Sheet1!M517</f>
        <v/>
      </c>
      <c r="C517">
        <f>IF(ISNUMBER(B517),B517,"")</f>
        <v/>
      </c>
      <c r="D517">
        <f>IF(ISNUMBER(C517),_xlfn.RANK.EQ(C517,$C$2:$C$1031),"")</f>
        <v/>
      </c>
      <c r="E517">
        <f>Sheet1!C517+Sheet1!D517+Sheet1!E517+Sheet1!F517+Sheet1!J517+Sheet1!K517+Sheet1!L517+Sheet1!M517+Sheet1!Q517+Sheet1!R517+Sheet1!S517+Sheet1!T517</f>
        <v/>
      </c>
      <c r="F517">
        <f>IF(ISNUMBER(E517),E517,"")</f>
        <v/>
      </c>
      <c r="G517">
        <f>IF(ISNUMBER(F517),_xlfn.RANK.EQ(F517,$F$2:$F$1031),"")</f>
        <v/>
      </c>
      <c r="H517">
        <f>INDEX(Sheet1!AH:AH,MATCH(A517,Sheet1!A:A,0))</f>
        <v/>
      </c>
    </row>
    <row r="518">
      <c r="A518" t="n">
        <v>1232</v>
      </c>
      <c r="B518">
        <f>Sheet1!C518+Sheet1!D518+Sheet1!E518+Sheet1!F518+Sheet1!J518+Sheet1!K518+Sheet1!L518+Sheet1!M518</f>
        <v/>
      </c>
      <c r="C518">
        <f>IF(ISNUMBER(B518),B518,"")</f>
        <v/>
      </c>
      <c r="D518">
        <f>IF(ISNUMBER(C518),_xlfn.RANK.EQ(C518,$C$2:$C$1031),"")</f>
        <v/>
      </c>
      <c r="E518">
        <f>Sheet1!C518+Sheet1!D518+Sheet1!E518+Sheet1!F518+Sheet1!J518+Sheet1!K518+Sheet1!L518+Sheet1!M518+Sheet1!Q518+Sheet1!R518+Sheet1!S518+Sheet1!T518</f>
        <v/>
      </c>
      <c r="F518">
        <f>IF(ISNUMBER(E518),E518,"")</f>
        <v/>
      </c>
      <c r="G518">
        <f>IF(ISNUMBER(F518),_xlfn.RANK.EQ(F518,$F$2:$F$1031),"")</f>
        <v/>
      </c>
      <c r="H518">
        <f>INDEX(Sheet1!AH:AH,MATCH(A518,Sheet1!A:A,0))</f>
        <v/>
      </c>
    </row>
    <row r="519">
      <c r="A519" t="n">
        <v>1234</v>
      </c>
      <c r="B519">
        <f>Sheet1!C519+Sheet1!D519+Sheet1!E519+Sheet1!F519+Sheet1!J519+Sheet1!K519+Sheet1!L519+Sheet1!M519</f>
        <v/>
      </c>
      <c r="C519">
        <f>IF(ISNUMBER(B519),B519,"")</f>
        <v/>
      </c>
      <c r="D519">
        <f>IF(ISNUMBER(C519),_xlfn.RANK.EQ(C519,$C$2:$C$1031),"")</f>
        <v/>
      </c>
      <c r="E519">
        <f>Sheet1!C519+Sheet1!D519+Sheet1!E519+Sheet1!F519+Sheet1!J519+Sheet1!K519+Sheet1!L519+Sheet1!M519+Sheet1!Q519+Sheet1!R519+Sheet1!S519+Sheet1!T519</f>
        <v/>
      </c>
      <c r="F519">
        <f>IF(ISNUMBER(E519),E519,"")</f>
        <v/>
      </c>
      <c r="G519">
        <f>IF(ISNUMBER(F519),_xlfn.RANK.EQ(F519,$F$2:$F$1031),"")</f>
        <v/>
      </c>
      <c r="H519">
        <f>INDEX(Sheet1!AH:AH,MATCH(A519,Sheet1!A:A,0))</f>
        <v/>
      </c>
    </row>
    <row r="520">
      <c r="A520" t="n">
        <v>1235</v>
      </c>
      <c r="B520">
        <f>Sheet1!C520+Sheet1!D520+Sheet1!E520+Sheet1!F520+Sheet1!J520+Sheet1!K520+Sheet1!L520+Sheet1!M520</f>
        <v/>
      </c>
      <c r="C520">
        <f>IF(ISNUMBER(B520),B520,"")</f>
        <v/>
      </c>
      <c r="D520">
        <f>IF(ISNUMBER(C520),_xlfn.RANK.EQ(C520,$C$2:$C$1031),"")</f>
        <v/>
      </c>
      <c r="E520">
        <f>Sheet1!C520+Sheet1!D520+Sheet1!E520+Sheet1!F520+Sheet1!J520+Sheet1!K520+Sheet1!L520+Sheet1!M520+Sheet1!Q520+Sheet1!R520+Sheet1!S520+Sheet1!T520</f>
        <v/>
      </c>
      <c r="F520">
        <f>IF(ISNUMBER(E520),E520,"")</f>
        <v/>
      </c>
      <c r="G520">
        <f>IF(ISNUMBER(F520),_xlfn.RANK.EQ(F520,$F$2:$F$1031),"")</f>
        <v/>
      </c>
      <c r="H520">
        <f>INDEX(Sheet1!AH:AH,MATCH(A520,Sheet1!A:A,0))</f>
        <v/>
      </c>
    </row>
    <row r="521">
      <c r="A521" t="n">
        <v>1236</v>
      </c>
      <c r="B521">
        <f>Sheet1!C521+Sheet1!D521+Sheet1!E521+Sheet1!F521+Sheet1!J521+Sheet1!K521+Sheet1!L521+Sheet1!M521</f>
        <v/>
      </c>
      <c r="C521">
        <f>IF(ISNUMBER(B521),B521,"")</f>
        <v/>
      </c>
      <c r="D521">
        <f>IF(ISNUMBER(C521),_xlfn.RANK.EQ(C521,$C$2:$C$1031),"")</f>
        <v/>
      </c>
      <c r="E521">
        <f>Sheet1!C521+Sheet1!D521+Sheet1!E521+Sheet1!F521+Sheet1!J521+Sheet1!K521+Sheet1!L521+Sheet1!M521+Sheet1!Q521+Sheet1!R521+Sheet1!S521+Sheet1!T521</f>
        <v/>
      </c>
      <c r="F521">
        <f>IF(ISNUMBER(E521),E521,"")</f>
        <v/>
      </c>
      <c r="G521">
        <f>IF(ISNUMBER(F521),_xlfn.RANK.EQ(F521,$F$2:$F$1031),"")</f>
        <v/>
      </c>
      <c r="H521">
        <f>INDEX(Sheet1!AH:AH,MATCH(A521,Sheet1!A:A,0))</f>
        <v/>
      </c>
    </row>
    <row r="522">
      <c r="A522" t="n">
        <v>1246</v>
      </c>
      <c r="B522">
        <f>Sheet1!C522+Sheet1!D522+Sheet1!E522+Sheet1!F522+Sheet1!J522+Sheet1!K522+Sheet1!L522+Sheet1!M522</f>
        <v/>
      </c>
      <c r="C522">
        <f>IF(ISNUMBER(B522),B522,"")</f>
        <v/>
      </c>
      <c r="D522">
        <f>IF(ISNUMBER(C522),_xlfn.RANK.EQ(C522,$C$2:$C$1031),"")</f>
        <v/>
      </c>
      <c r="E522">
        <f>Sheet1!C522+Sheet1!D522+Sheet1!E522+Sheet1!F522+Sheet1!J522+Sheet1!K522+Sheet1!L522+Sheet1!M522+Sheet1!Q522+Sheet1!R522+Sheet1!S522+Sheet1!T522</f>
        <v/>
      </c>
      <c r="F522">
        <f>IF(ISNUMBER(E522),E522,"")</f>
        <v/>
      </c>
      <c r="G522">
        <f>IF(ISNUMBER(F522),_xlfn.RANK.EQ(F522,$F$2:$F$1031),"")</f>
        <v/>
      </c>
      <c r="H522">
        <f>INDEX(Sheet1!AH:AH,MATCH(A522,Sheet1!A:A,0))</f>
        <v/>
      </c>
    </row>
    <row r="523">
      <c r="A523" t="n">
        <v>1257</v>
      </c>
      <c r="B523">
        <f>Sheet1!C523+Sheet1!D523+Sheet1!E523+Sheet1!F523+Sheet1!J523+Sheet1!K523+Sheet1!L523+Sheet1!M523</f>
        <v/>
      </c>
      <c r="C523">
        <f>IF(ISNUMBER(B523),B523,"")</f>
        <v/>
      </c>
      <c r="D523">
        <f>IF(ISNUMBER(C523),_xlfn.RANK.EQ(C523,$C$2:$C$1031),"")</f>
        <v/>
      </c>
      <c r="E523">
        <f>Sheet1!C523+Sheet1!D523+Sheet1!E523+Sheet1!F523+Sheet1!J523+Sheet1!K523+Sheet1!L523+Sheet1!M523+Sheet1!Q523+Sheet1!R523+Sheet1!S523+Sheet1!T523</f>
        <v/>
      </c>
      <c r="F523">
        <f>IF(ISNUMBER(E523),E523,"")</f>
        <v/>
      </c>
      <c r="G523">
        <f>IF(ISNUMBER(F523),_xlfn.RANK.EQ(F523,$F$2:$F$1031),"")</f>
        <v/>
      </c>
      <c r="H523">
        <f>INDEX(Sheet1!AH:AH,MATCH(A523,Sheet1!A:A,0))</f>
        <v/>
      </c>
    </row>
    <row r="524">
      <c r="A524" t="n">
        <v>1260</v>
      </c>
      <c r="B524">
        <f>Sheet1!C524+Sheet1!D524+Sheet1!E524+Sheet1!F524+Sheet1!J524+Sheet1!K524+Sheet1!L524+Sheet1!M524</f>
        <v/>
      </c>
      <c r="C524">
        <f>IF(ISNUMBER(B524),B524,"")</f>
        <v/>
      </c>
      <c r="D524">
        <f>IF(ISNUMBER(C524),_xlfn.RANK.EQ(C524,$C$2:$C$1031),"")</f>
        <v/>
      </c>
      <c r="E524">
        <f>Sheet1!C524+Sheet1!D524+Sheet1!E524+Sheet1!F524+Sheet1!J524+Sheet1!K524+Sheet1!L524+Sheet1!M524+Sheet1!Q524+Sheet1!R524+Sheet1!S524+Sheet1!T524</f>
        <v/>
      </c>
      <c r="F524">
        <f>IF(ISNUMBER(E524),E524,"")</f>
        <v/>
      </c>
      <c r="G524">
        <f>IF(ISNUMBER(F524),_xlfn.RANK.EQ(F524,$F$2:$F$1031),"")</f>
        <v/>
      </c>
      <c r="H524">
        <f>INDEX(Sheet1!AH:AH,MATCH(A524,Sheet1!A:A,0))</f>
        <v/>
      </c>
    </row>
    <row r="525">
      <c r="A525" t="n">
        <v>1263</v>
      </c>
      <c r="B525">
        <f>Sheet1!C525+Sheet1!D525+Sheet1!E525+Sheet1!F525+Sheet1!J525+Sheet1!K525+Sheet1!L525+Sheet1!M525</f>
        <v/>
      </c>
      <c r="C525">
        <f>IF(ISNUMBER(B525),B525,"")</f>
        <v/>
      </c>
      <c r="D525">
        <f>IF(ISNUMBER(C525),_xlfn.RANK.EQ(C525,$C$2:$C$1031),"")</f>
        <v/>
      </c>
      <c r="E525">
        <f>Sheet1!C525+Sheet1!D525+Sheet1!E525+Sheet1!F525+Sheet1!J525+Sheet1!K525+Sheet1!L525+Sheet1!M525+Sheet1!Q525+Sheet1!R525+Sheet1!S525+Sheet1!T525</f>
        <v/>
      </c>
      <c r="F525">
        <f>IF(ISNUMBER(E525),E525,"")</f>
        <v/>
      </c>
      <c r="G525">
        <f>IF(ISNUMBER(F525),_xlfn.RANK.EQ(F525,$F$2:$F$1031),"")</f>
        <v/>
      </c>
      <c r="H525">
        <f>INDEX(Sheet1!AH:AH,MATCH(A525,Sheet1!A:A,0))</f>
        <v/>
      </c>
    </row>
    <row r="526">
      <c r="A526" t="n">
        <v>1264</v>
      </c>
      <c r="B526">
        <f>Sheet1!C526+Sheet1!D526+Sheet1!E526+Sheet1!F526+Sheet1!J526+Sheet1!K526+Sheet1!L526+Sheet1!M526</f>
        <v/>
      </c>
      <c r="C526">
        <f>IF(ISNUMBER(B526),B526,"")</f>
        <v/>
      </c>
      <c r="D526">
        <f>IF(ISNUMBER(C526),_xlfn.RANK.EQ(C526,$C$2:$C$1031),"")</f>
        <v/>
      </c>
      <c r="E526">
        <f>Sheet1!C526+Sheet1!D526+Sheet1!E526+Sheet1!F526+Sheet1!J526+Sheet1!K526+Sheet1!L526+Sheet1!M526+Sheet1!Q526+Sheet1!R526+Sheet1!S526+Sheet1!T526</f>
        <v/>
      </c>
      <c r="F526">
        <f>IF(ISNUMBER(E526),E526,"")</f>
        <v/>
      </c>
      <c r="G526">
        <f>IF(ISNUMBER(F526),_xlfn.RANK.EQ(F526,$F$2:$F$1031),"")</f>
        <v/>
      </c>
      <c r="H526">
        <f>INDEX(Sheet1!AH:AH,MATCH(A526,Sheet1!A:A,0))</f>
        <v/>
      </c>
    </row>
    <row r="527">
      <c r="A527" t="n">
        <v>1269</v>
      </c>
      <c r="B527">
        <f>Sheet1!C527+Sheet1!D527+Sheet1!E527+Sheet1!F527+Sheet1!J527+Sheet1!K527+Sheet1!L527+Sheet1!M527</f>
        <v/>
      </c>
      <c r="C527">
        <f>IF(ISNUMBER(B527),B527,"")</f>
        <v/>
      </c>
      <c r="D527">
        <f>IF(ISNUMBER(C527),_xlfn.RANK.EQ(C527,$C$2:$C$1031),"")</f>
        <v/>
      </c>
      <c r="E527">
        <f>Sheet1!C527+Sheet1!D527+Sheet1!E527+Sheet1!F527+Sheet1!J527+Sheet1!K527+Sheet1!L527+Sheet1!M527+Sheet1!Q527+Sheet1!R527+Sheet1!S527+Sheet1!T527</f>
        <v/>
      </c>
      <c r="F527">
        <f>IF(ISNUMBER(E527),E527,"")</f>
        <v/>
      </c>
      <c r="G527">
        <f>IF(ISNUMBER(F527),_xlfn.RANK.EQ(F527,$F$2:$F$1031),"")</f>
        <v/>
      </c>
      <c r="H527">
        <f>INDEX(Sheet1!AH:AH,MATCH(A527,Sheet1!A:A,0))</f>
        <v/>
      </c>
    </row>
    <row r="528">
      <c r="A528" t="n">
        <v>1271</v>
      </c>
      <c r="B528">
        <f>Sheet1!C528+Sheet1!D528+Sheet1!E528+Sheet1!F528+Sheet1!J528+Sheet1!K528+Sheet1!L528+Sheet1!M528</f>
        <v/>
      </c>
      <c r="C528">
        <f>IF(ISNUMBER(B528),B528,"")</f>
        <v/>
      </c>
      <c r="D528">
        <f>IF(ISNUMBER(C528),_xlfn.RANK.EQ(C528,$C$2:$C$1031),"")</f>
        <v/>
      </c>
      <c r="E528">
        <f>Sheet1!C528+Sheet1!D528+Sheet1!E528+Sheet1!F528+Sheet1!J528+Sheet1!K528+Sheet1!L528+Sheet1!M528+Sheet1!Q528+Sheet1!R528+Sheet1!S528+Sheet1!T528</f>
        <v/>
      </c>
      <c r="F528">
        <f>IF(ISNUMBER(E528),E528,"")</f>
        <v/>
      </c>
      <c r="G528">
        <f>IF(ISNUMBER(F528),_xlfn.RANK.EQ(F528,$F$2:$F$1031),"")</f>
        <v/>
      </c>
      <c r="H528">
        <f>INDEX(Sheet1!AH:AH,MATCH(A528,Sheet1!A:A,0))</f>
        <v/>
      </c>
    </row>
    <row r="529">
      <c r="A529" t="n">
        <v>1272</v>
      </c>
      <c r="B529">
        <f>Sheet1!C529+Sheet1!D529+Sheet1!E529+Sheet1!F529+Sheet1!J529+Sheet1!K529+Sheet1!L529+Sheet1!M529</f>
        <v/>
      </c>
      <c r="C529">
        <f>IF(ISNUMBER(B529),B529,"")</f>
        <v/>
      </c>
      <c r="D529">
        <f>IF(ISNUMBER(C529),_xlfn.RANK.EQ(C529,$C$2:$C$1031),"")</f>
        <v/>
      </c>
      <c r="E529">
        <f>Sheet1!C529+Sheet1!D529+Sheet1!E529+Sheet1!F529+Sheet1!J529+Sheet1!K529+Sheet1!L529+Sheet1!M529+Sheet1!Q529+Sheet1!R529+Sheet1!S529+Sheet1!T529</f>
        <v/>
      </c>
      <c r="F529">
        <f>IF(ISNUMBER(E529),E529,"")</f>
        <v/>
      </c>
      <c r="G529">
        <f>IF(ISNUMBER(F529),_xlfn.RANK.EQ(F529,$F$2:$F$1031),"")</f>
        <v/>
      </c>
      <c r="H529">
        <f>INDEX(Sheet1!AH:AH,MATCH(A529,Sheet1!A:A,0))</f>
        <v/>
      </c>
    </row>
    <row r="530">
      <c r="A530" t="n">
        <v>1274</v>
      </c>
      <c r="B530">
        <f>Sheet1!C530+Sheet1!D530+Sheet1!E530+Sheet1!F530+Sheet1!J530+Sheet1!K530+Sheet1!L530+Sheet1!M530</f>
        <v/>
      </c>
      <c r="C530">
        <f>IF(ISNUMBER(B530),B530,"")</f>
        <v/>
      </c>
      <c r="D530">
        <f>IF(ISNUMBER(C530),_xlfn.RANK.EQ(C530,$C$2:$C$1031),"")</f>
        <v/>
      </c>
      <c r="E530">
        <f>Sheet1!C530+Sheet1!D530+Sheet1!E530+Sheet1!F530+Sheet1!J530+Sheet1!K530+Sheet1!L530+Sheet1!M530+Sheet1!Q530+Sheet1!R530+Sheet1!S530+Sheet1!T530</f>
        <v/>
      </c>
      <c r="F530">
        <f>IF(ISNUMBER(E530),E530,"")</f>
        <v/>
      </c>
      <c r="G530">
        <f>IF(ISNUMBER(F530),_xlfn.RANK.EQ(F530,$F$2:$F$1031),"")</f>
        <v/>
      </c>
      <c r="H530">
        <f>INDEX(Sheet1!AH:AH,MATCH(A530,Sheet1!A:A,0))</f>
        <v/>
      </c>
    </row>
    <row r="531">
      <c r="A531" t="n">
        <v>1279</v>
      </c>
      <c r="B531">
        <f>Sheet1!C531+Sheet1!D531+Sheet1!E531+Sheet1!F531+Sheet1!J531+Sheet1!K531+Sheet1!L531+Sheet1!M531</f>
        <v/>
      </c>
      <c r="C531">
        <f>IF(ISNUMBER(B531),B531,"")</f>
        <v/>
      </c>
      <c r="D531">
        <f>IF(ISNUMBER(C531),_xlfn.RANK.EQ(C531,$C$2:$C$1031),"")</f>
        <v/>
      </c>
      <c r="E531">
        <f>Sheet1!C531+Sheet1!D531+Sheet1!E531+Sheet1!F531+Sheet1!J531+Sheet1!K531+Sheet1!L531+Sheet1!M531+Sheet1!Q531+Sheet1!R531+Sheet1!S531+Sheet1!T531</f>
        <v/>
      </c>
      <c r="F531">
        <f>IF(ISNUMBER(E531),E531,"")</f>
        <v/>
      </c>
      <c r="G531">
        <f>IF(ISNUMBER(F531),_xlfn.RANK.EQ(F531,$F$2:$F$1031),"")</f>
        <v/>
      </c>
      <c r="H531">
        <f>INDEX(Sheet1!AH:AH,MATCH(A531,Sheet1!A:A,0))</f>
        <v/>
      </c>
    </row>
    <row r="532">
      <c r="A532" t="n">
        <v>1282</v>
      </c>
      <c r="B532">
        <f>Sheet1!C532+Sheet1!D532+Sheet1!E532+Sheet1!F532+Sheet1!J532+Sheet1!K532+Sheet1!L532+Sheet1!M532</f>
        <v/>
      </c>
      <c r="C532">
        <f>IF(ISNUMBER(B532),B532,"")</f>
        <v/>
      </c>
      <c r="D532">
        <f>IF(ISNUMBER(C532),_xlfn.RANK.EQ(C532,$C$2:$C$1031),"")</f>
        <v/>
      </c>
      <c r="E532">
        <f>Sheet1!C532+Sheet1!D532+Sheet1!E532+Sheet1!F532+Sheet1!J532+Sheet1!K532+Sheet1!L532+Sheet1!M532+Sheet1!Q532+Sheet1!R532+Sheet1!S532+Sheet1!T532</f>
        <v/>
      </c>
      <c r="F532">
        <f>IF(ISNUMBER(E532),E532,"")</f>
        <v/>
      </c>
      <c r="G532">
        <f>IF(ISNUMBER(F532),_xlfn.RANK.EQ(F532,$F$2:$F$1031),"")</f>
        <v/>
      </c>
      <c r="H532">
        <f>INDEX(Sheet1!AH:AH,MATCH(A532,Sheet1!A:A,0))</f>
        <v/>
      </c>
    </row>
    <row r="533">
      <c r="A533" t="n">
        <v>1284</v>
      </c>
      <c r="B533">
        <f>Sheet1!C533+Sheet1!D533+Sheet1!E533+Sheet1!F533+Sheet1!J533+Sheet1!K533+Sheet1!L533+Sheet1!M533</f>
        <v/>
      </c>
      <c r="C533">
        <f>IF(ISNUMBER(B533),B533,"")</f>
        <v/>
      </c>
      <c r="D533">
        <f>IF(ISNUMBER(C533),_xlfn.RANK.EQ(C533,$C$2:$C$1031),"")</f>
        <v/>
      </c>
      <c r="E533">
        <f>Sheet1!C533+Sheet1!D533+Sheet1!E533+Sheet1!F533+Sheet1!J533+Sheet1!K533+Sheet1!L533+Sheet1!M533+Sheet1!Q533+Sheet1!R533+Sheet1!S533+Sheet1!T533</f>
        <v/>
      </c>
      <c r="F533">
        <f>IF(ISNUMBER(E533),E533,"")</f>
        <v/>
      </c>
      <c r="G533">
        <f>IF(ISNUMBER(F533),_xlfn.RANK.EQ(F533,$F$2:$F$1031),"")</f>
        <v/>
      </c>
      <c r="H533">
        <f>INDEX(Sheet1!AH:AH,MATCH(A533,Sheet1!A:A,0))</f>
        <v/>
      </c>
    </row>
    <row r="534">
      <c r="A534" t="n">
        <v>1286</v>
      </c>
      <c r="B534">
        <f>Sheet1!C534+Sheet1!D534+Sheet1!E534+Sheet1!F534+Sheet1!J534+Sheet1!K534+Sheet1!L534+Sheet1!M534</f>
        <v/>
      </c>
      <c r="C534">
        <f>IF(ISNUMBER(B534),B534,"")</f>
        <v/>
      </c>
      <c r="D534">
        <f>IF(ISNUMBER(C534),_xlfn.RANK.EQ(C534,$C$2:$C$1031),"")</f>
        <v/>
      </c>
      <c r="E534">
        <f>Sheet1!C534+Sheet1!D534+Sheet1!E534+Sheet1!F534+Sheet1!J534+Sheet1!K534+Sheet1!L534+Sheet1!M534+Sheet1!Q534+Sheet1!R534+Sheet1!S534+Sheet1!T534</f>
        <v/>
      </c>
      <c r="F534">
        <f>IF(ISNUMBER(E534),E534,"")</f>
        <v/>
      </c>
      <c r="G534">
        <f>IF(ISNUMBER(F534),_xlfn.RANK.EQ(F534,$F$2:$F$1031),"")</f>
        <v/>
      </c>
      <c r="H534">
        <f>INDEX(Sheet1!AH:AH,MATCH(A534,Sheet1!A:A,0))</f>
        <v/>
      </c>
    </row>
    <row r="535">
      <c r="A535" t="n">
        <v>1290</v>
      </c>
      <c r="B535">
        <f>Sheet1!C535+Sheet1!D535+Sheet1!E535+Sheet1!F535+Sheet1!J535+Sheet1!K535+Sheet1!L535+Sheet1!M535</f>
        <v/>
      </c>
      <c r="C535">
        <f>IF(ISNUMBER(B535),B535,"")</f>
        <v/>
      </c>
      <c r="D535">
        <f>IF(ISNUMBER(C535),_xlfn.RANK.EQ(C535,$C$2:$C$1031),"")</f>
        <v/>
      </c>
      <c r="E535">
        <f>Sheet1!C535+Sheet1!D535+Sheet1!E535+Sheet1!F535+Sheet1!J535+Sheet1!K535+Sheet1!L535+Sheet1!M535+Sheet1!Q535+Sheet1!R535+Sheet1!S535+Sheet1!T535</f>
        <v/>
      </c>
      <c r="F535">
        <f>IF(ISNUMBER(E535),E535,"")</f>
        <v/>
      </c>
      <c r="G535">
        <f>IF(ISNUMBER(F535),_xlfn.RANK.EQ(F535,$F$2:$F$1031),"")</f>
        <v/>
      </c>
      <c r="H535">
        <f>INDEX(Sheet1!AH:AH,MATCH(A535,Sheet1!A:A,0))</f>
        <v/>
      </c>
    </row>
    <row r="536">
      <c r="A536" t="n">
        <v>1296</v>
      </c>
      <c r="B536">
        <f>Sheet1!C536+Sheet1!D536+Sheet1!E536+Sheet1!F536+Sheet1!J536+Sheet1!K536+Sheet1!L536+Sheet1!M536</f>
        <v/>
      </c>
      <c r="C536">
        <f>IF(ISNUMBER(B536),B536,"")</f>
        <v/>
      </c>
      <c r="D536">
        <f>IF(ISNUMBER(C536),_xlfn.RANK.EQ(C536,$C$2:$C$1031),"")</f>
        <v/>
      </c>
      <c r="E536">
        <f>Sheet1!C536+Sheet1!D536+Sheet1!E536+Sheet1!F536+Sheet1!J536+Sheet1!K536+Sheet1!L536+Sheet1!M536+Sheet1!Q536+Sheet1!R536+Sheet1!S536+Sheet1!T536</f>
        <v/>
      </c>
      <c r="F536">
        <f>IF(ISNUMBER(E536),E536,"")</f>
        <v/>
      </c>
      <c r="G536">
        <f>IF(ISNUMBER(F536),_xlfn.RANK.EQ(F536,$F$2:$F$1031),"")</f>
        <v/>
      </c>
      <c r="H536">
        <f>INDEX(Sheet1!AH:AH,MATCH(A536,Sheet1!A:A,0))</f>
        <v/>
      </c>
    </row>
    <row r="537">
      <c r="A537" t="n">
        <v>1301</v>
      </c>
      <c r="B537">
        <f>Sheet1!C537+Sheet1!D537+Sheet1!E537+Sheet1!F537+Sheet1!J537+Sheet1!K537+Sheet1!L537+Sheet1!M537</f>
        <v/>
      </c>
      <c r="C537">
        <f>IF(ISNUMBER(B537),B537,"")</f>
        <v/>
      </c>
      <c r="D537">
        <f>IF(ISNUMBER(C537),_xlfn.RANK.EQ(C537,$C$2:$C$1031),"")</f>
        <v/>
      </c>
      <c r="E537">
        <f>Sheet1!C537+Sheet1!D537+Sheet1!E537+Sheet1!F537+Sheet1!J537+Sheet1!K537+Sheet1!L537+Sheet1!M537+Sheet1!Q537+Sheet1!R537+Sheet1!S537+Sheet1!T537</f>
        <v/>
      </c>
      <c r="F537">
        <f>IF(ISNUMBER(E537),E537,"")</f>
        <v/>
      </c>
      <c r="G537">
        <f>IF(ISNUMBER(F537),_xlfn.RANK.EQ(F537,$F$2:$F$1031),"")</f>
        <v/>
      </c>
      <c r="H537">
        <f>INDEX(Sheet1!AH:AH,MATCH(A537,Sheet1!A:A,0))</f>
        <v/>
      </c>
    </row>
    <row r="538">
      <c r="A538" t="n">
        <v>1302</v>
      </c>
      <c r="B538">
        <f>Sheet1!C538+Sheet1!D538+Sheet1!E538+Sheet1!F538+Sheet1!J538+Sheet1!K538+Sheet1!L538+Sheet1!M538</f>
        <v/>
      </c>
      <c r="C538">
        <f>IF(ISNUMBER(B538),B538,"")</f>
        <v/>
      </c>
      <c r="D538">
        <f>IF(ISNUMBER(C538),_xlfn.RANK.EQ(C538,$C$2:$C$1031),"")</f>
        <v/>
      </c>
      <c r="E538">
        <f>Sheet1!C538+Sheet1!D538+Sheet1!E538+Sheet1!F538+Sheet1!J538+Sheet1!K538+Sheet1!L538+Sheet1!M538+Sheet1!Q538+Sheet1!R538+Sheet1!S538+Sheet1!T538</f>
        <v/>
      </c>
      <c r="F538">
        <f>IF(ISNUMBER(E538),E538,"")</f>
        <v/>
      </c>
      <c r="G538">
        <f>IF(ISNUMBER(F538),_xlfn.RANK.EQ(F538,$F$2:$F$1031),"")</f>
        <v/>
      </c>
      <c r="H538">
        <f>INDEX(Sheet1!AH:AH,MATCH(A538,Sheet1!A:A,0))</f>
        <v/>
      </c>
    </row>
    <row r="539">
      <c r="A539" t="n">
        <v>1304</v>
      </c>
      <c r="B539">
        <f>Sheet1!C539+Sheet1!D539+Sheet1!E539+Sheet1!F539+Sheet1!J539+Sheet1!K539+Sheet1!L539+Sheet1!M539</f>
        <v/>
      </c>
      <c r="C539">
        <f>IF(ISNUMBER(B539),B539,"")</f>
        <v/>
      </c>
      <c r="D539">
        <f>IF(ISNUMBER(C539),_xlfn.RANK.EQ(C539,$C$2:$C$1031),"")</f>
        <v/>
      </c>
      <c r="E539">
        <f>Sheet1!C539+Sheet1!D539+Sheet1!E539+Sheet1!F539+Sheet1!J539+Sheet1!K539+Sheet1!L539+Sheet1!M539+Sheet1!Q539+Sheet1!R539+Sheet1!S539+Sheet1!T539</f>
        <v/>
      </c>
      <c r="F539">
        <f>IF(ISNUMBER(E539),E539,"")</f>
        <v/>
      </c>
      <c r="G539">
        <f>IF(ISNUMBER(F539),_xlfn.RANK.EQ(F539,$F$2:$F$1031),"")</f>
        <v/>
      </c>
      <c r="H539">
        <f>INDEX(Sheet1!AH:AH,MATCH(A539,Sheet1!A:A,0))</f>
        <v/>
      </c>
    </row>
    <row r="540">
      <c r="A540" t="n">
        <v>1305</v>
      </c>
      <c r="B540">
        <f>Sheet1!C540+Sheet1!D540+Sheet1!E540+Sheet1!F540+Sheet1!J540+Sheet1!K540+Sheet1!L540+Sheet1!M540</f>
        <v/>
      </c>
      <c r="C540">
        <f>IF(ISNUMBER(B540),B540,"")</f>
        <v/>
      </c>
      <c r="D540">
        <f>IF(ISNUMBER(C540),_xlfn.RANK.EQ(C540,$C$2:$C$1031),"")</f>
        <v/>
      </c>
      <c r="E540">
        <f>Sheet1!C540+Sheet1!D540+Sheet1!E540+Sheet1!F540+Sheet1!J540+Sheet1!K540+Sheet1!L540+Sheet1!M540+Sheet1!Q540+Sheet1!R540+Sheet1!S540+Sheet1!T540</f>
        <v/>
      </c>
      <c r="F540">
        <f>IF(ISNUMBER(E540),E540,"")</f>
        <v/>
      </c>
      <c r="G540">
        <f>IF(ISNUMBER(F540),_xlfn.RANK.EQ(F540,$F$2:$F$1031),"")</f>
        <v/>
      </c>
      <c r="H540">
        <f>INDEX(Sheet1!AH:AH,MATCH(A540,Sheet1!A:A,0))</f>
        <v/>
      </c>
    </row>
    <row r="541">
      <c r="A541" t="n">
        <v>1310</v>
      </c>
      <c r="B541">
        <f>Sheet1!C541+Sheet1!D541+Sheet1!E541+Sheet1!F541+Sheet1!J541+Sheet1!K541+Sheet1!L541+Sheet1!M541</f>
        <v/>
      </c>
      <c r="C541">
        <f>IF(ISNUMBER(B541),B541,"")</f>
        <v/>
      </c>
      <c r="D541">
        <f>IF(ISNUMBER(C541),_xlfn.RANK.EQ(C541,$C$2:$C$1031),"")</f>
        <v/>
      </c>
      <c r="E541">
        <f>Sheet1!C541+Sheet1!D541+Sheet1!E541+Sheet1!F541+Sheet1!J541+Sheet1!K541+Sheet1!L541+Sheet1!M541+Sheet1!Q541+Sheet1!R541+Sheet1!S541+Sheet1!T541</f>
        <v/>
      </c>
      <c r="F541">
        <f>IF(ISNUMBER(E541),E541,"")</f>
        <v/>
      </c>
      <c r="G541">
        <f>IF(ISNUMBER(F541),_xlfn.RANK.EQ(F541,$F$2:$F$1031),"")</f>
        <v/>
      </c>
      <c r="H541">
        <f>INDEX(Sheet1!AH:AH,MATCH(A541,Sheet1!A:A,0))</f>
        <v/>
      </c>
    </row>
    <row r="542">
      <c r="A542" t="n">
        <v>1320</v>
      </c>
      <c r="B542">
        <f>Sheet1!C542+Sheet1!D542+Sheet1!E542+Sheet1!F542+Sheet1!J542+Sheet1!K542+Sheet1!L542+Sheet1!M542</f>
        <v/>
      </c>
      <c r="C542">
        <f>IF(ISNUMBER(B542),B542,"")</f>
        <v/>
      </c>
      <c r="D542">
        <f>IF(ISNUMBER(C542),_xlfn.RANK.EQ(C542,$C$2:$C$1031),"")</f>
        <v/>
      </c>
      <c r="E542">
        <f>Sheet1!C542+Sheet1!D542+Sheet1!E542+Sheet1!F542+Sheet1!J542+Sheet1!K542+Sheet1!L542+Sheet1!M542+Sheet1!Q542+Sheet1!R542+Sheet1!S542+Sheet1!T542</f>
        <v/>
      </c>
      <c r="F542">
        <f>IF(ISNUMBER(E542),E542,"")</f>
        <v/>
      </c>
      <c r="G542">
        <f>IF(ISNUMBER(F542),_xlfn.RANK.EQ(F542,$F$2:$F$1031),"")</f>
        <v/>
      </c>
      <c r="H542">
        <f>INDEX(Sheet1!AH:AH,MATCH(A542,Sheet1!A:A,0))</f>
        <v/>
      </c>
    </row>
    <row r="543">
      <c r="A543" t="n">
        <v>1327</v>
      </c>
      <c r="B543">
        <f>Sheet1!C543+Sheet1!D543+Sheet1!E543+Sheet1!F543+Sheet1!J543+Sheet1!K543+Sheet1!L543+Sheet1!M543</f>
        <v/>
      </c>
      <c r="C543">
        <f>IF(ISNUMBER(B543),B543,"")</f>
        <v/>
      </c>
      <c r="D543">
        <f>IF(ISNUMBER(C543),_xlfn.RANK.EQ(C543,$C$2:$C$1031),"")</f>
        <v/>
      </c>
      <c r="E543">
        <f>Sheet1!C543+Sheet1!D543+Sheet1!E543+Sheet1!F543+Sheet1!J543+Sheet1!K543+Sheet1!L543+Sheet1!M543+Sheet1!Q543+Sheet1!R543+Sheet1!S543+Sheet1!T543</f>
        <v/>
      </c>
      <c r="F543">
        <f>IF(ISNUMBER(E543),E543,"")</f>
        <v/>
      </c>
      <c r="G543">
        <f>IF(ISNUMBER(F543),_xlfn.RANK.EQ(F543,$F$2:$F$1031),"")</f>
        <v/>
      </c>
      <c r="H543">
        <f>INDEX(Sheet1!AH:AH,MATCH(A543,Sheet1!A:A,0))</f>
        <v/>
      </c>
    </row>
    <row r="544">
      <c r="A544" t="n">
        <v>1329</v>
      </c>
      <c r="B544">
        <f>Sheet1!C544+Sheet1!D544+Sheet1!E544+Sheet1!F544+Sheet1!J544+Sheet1!K544+Sheet1!L544+Sheet1!M544</f>
        <v/>
      </c>
      <c r="C544">
        <f>IF(ISNUMBER(B544),B544,"")</f>
        <v/>
      </c>
      <c r="D544">
        <f>IF(ISNUMBER(C544),_xlfn.RANK.EQ(C544,$C$2:$C$1031),"")</f>
        <v/>
      </c>
      <c r="E544">
        <f>Sheet1!C544+Sheet1!D544+Sheet1!E544+Sheet1!F544+Sheet1!J544+Sheet1!K544+Sheet1!L544+Sheet1!M544+Sheet1!Q544+Sheet1!R544+Sheet1!S544+Sheet1!T544</f>
        <v/>
      </c>
      <c r="F544">
        <f>IF(ISNUMBER(E544),E544,"")</f>
        <v/>
      </c>
      <c r="G544">
        <f>IF(ISNUMBER(F544),_xlfn.RANK.EQ(F544,$F$2:$F$1031),"")</f>
        <v/>
      </c>
      <c r="H544">
        <f>INDEX(Sheet1!AH:AH,MATCH(A544,Sheet1!A:A,0))</f>
        <v/>
      </c>
    </row>
    <row r="545">
      <c r="A545" t="n">
        <v>1330</v>
      </c>
      <c r="B545">
        <f>Sheet1!C545+Sheet1!D545+Sheet1!E545+Sheet1!F545+Sheet1!J545+Sheet1!K545+Sheet1!L545+Sheet1!M545</f>
        <v/>
      </c>
      <c r="C545">
        <f>IF(ISNUMBER(B545),B545,"")</f>
        <v/>
      </c>
      <c r="D545">
        <f>IF(ISNUMBER(C545),_xlfn.RANK.EQ(C545,$C$2:$C$1031),"")</f>
        <v/>
      </c>
      <c r="E545">
        <f>Sheet1!C545+Sheet1!D545+Sheet1!E545+Sheet1!F545+Sheet1!J545+Sheet1!K545+Sheet1!L545+Sheet1!M545+Sheet1!Q545+Sheet1!R545+Sheet1!S545+Sheet1!T545</f>
        <v/>
      </c>
      <c r="F545">
        <f>IF(ISNUMBER(E545),E545,"")</f>
        <v/>
      </c>
      <c r="G545">
        <f>IF(ISNUMBER(F545),_xlfn.RANK.EQ(F545,$F$2:$F$1031),"")</f>
        <v/>
      </c>
      <c r="H545">
        <f>INDEX(Sheet1!AH:AH,MATCH(A545,Sheet1!A:A,0))</f>
        <v/>
      </c>
    </row>
    <row r="546">
      <c r="A546" t="n">
        <v>1331</v>
      </c>
      <c r="B546">
        <f>Sheet1!C546+Sheet1!D546+Sheet1!E546+Sheet1!F546+Sheet1!J546+Sheet1!K546+Sheet1!L546+Sheet1!M546</f>
        <v/>
      </c>
      <c r="C546">
        <f>IF(ISNUMBER(B546),B546,"")</f>
        <v/>
      </c>
      <c r="D546">
        <f>IF(ISNUMBER(C546),_xlfn.RANK.EQ(C546,$C$2:$C$1031),"")</f>
        <v/>
      </c>
      <c r="E546">
        <f>Sheet1!C546+Sheet1!D546+Sheet1!E546+Sheet1!F546+Sheet1!J546+Sheet1!K546+Sheet1!L546+Sheet1!M546+Sheet1!Q546+Sheet1!R546+Sheet1!S546+Sheet1!T546</f>
        <v/>
      </c>
      <c r="F546">
        <f>IF(ISNUMBER(E546),E546,"")</f>
        <v/>
      </c>
      <c r="G546">
        <f>IF(ISNUMBER(F546),_xlfn.RANK.EQ(F546,$F$2:$F$1031),"")</f>
        <v/>
      </c>
      <c r="H546">
        <f>INDEX(Sheet1!AH:AH,MATCH(A546,Sheet1!A:A,0))</f>
        <v/>
      </c>
    </row>
    <row r="547">
      <c r="A547" t="n">
        <v>1332</v>
      </c>
      <c r="B547">
        <f>Sheet1!C547+Sheet1!D547+Sheet1!E547+Sheet1!F547+Sheet1!J547+Sheet1!K547+Sheet1!L547+Sheet1!M547</f>
        <v/>
      </c>
      <c r="C547">
        <f>IF(ISNUMBER(B547),B547,"")</f>
        <v/>
      </c>
      <c r="D547">
        <f>IF(ISNUMBER(C547),_xlfn.RANK.EQ(C547,$C$2:$C$1031),"")</f>
        <v/>
      </c>
      <c r="E547">
        <f>Sheet1!C547+Sheet1!D547+Sheet1!E547+Sheet1!F547+Sheet1!J547+Sheet1!K547+Sheet1!L547+Sheet1!M547+Sheet1!Q547+Sheet1!R547+Sheet1!S547+Sheet1!T547</f>
        <v/>
      </c>
      <c r="F547">
        <f>IF(ISNUMBER(E547),E547,"")</f>
        <v/>
      </c>
      <c r="G547">
        <f>IF(ISNUMBER(F547),_xlfn.RANK.EQ(F547,$F$2:$F$1031),"")</f>
        <v/>
      </c>
      <c r="H547">
        <f>INDEX(Sheet1!AH:AH,MATCH(A547,Sheet1!A:A,0))</f>
        <v/>
      </c>
    </row>
    <row r="548">
      <c r="A548" t="n">
        <v>1336</v>
      </c>
      <c r="B548">
        <f>Sheet1!C548+Sheet1!D548+Sheet1!E548+Sheet1!F548+Sheet1!J548+Sheet1!K548+Sheet1!L548+Sheet1!M548</f>
        <v/>
      </c>
      <c r="C548">
        <f>IF(ISNUMBER(B548),B548,"")</f>
        <v/>
      </c>
      <c r="D548">
        <f>IF(ISNUMBER(C548),_xlfn.RANK.EQ(C548,$C$2:$C$1031),"")</f>
        <v/>
      </c>
      <c r="E548">
        <f>Sheet1!C548+Sheet1!D548+Sheet1!E548+Sheet1!F548+Sheet1!J548+Sheet1!K548+Sheet1!L548+Sheet1!M548+Sheet1!Q548+Sheet1!R548+Sheet1!S548+Sheet1!T548</f>
        <v/>
      </c>
      <c r="F548">
        <f>IF(ISNUMBER(E548),E548,"")</f>
        <v/>
      </c>
      <c r="G548">
        <f>IF(ISNUMBER(F548),_xlfn.RANK.EQ(F548,$F$2:$F$1031),"")</f>
        <v/>
      </c>
      <c r="H548">
        <f>INDEX(Sheet1!AH:AH,MATCH(A548,Sheet1!A:A,0))</f>
        <v/>
      </c>
    </row>
    <row r="549">
      <c r="A549" t="n">
        <v>1337</v>
      </c>
      <c r="B549">
        <f>Sheet1!C549+Sheet1!D549+Sheet1!E549+Sheet1!F549+Sheet1!J549+Sheet1!K549+Sheet1!L549+Sheet1!M549</f>
        <v/>
      </c>
      <c r="C549">
        <f>IF(ISNUMBER(B549),B549,"")</f>
        <v/>
      </c>
      <c r="D549">
        <f>IF(ISNUMBER(C549),_xlfn.RANK.EQ(C549,$C$2:$C$1031),"")</f>
        <v/>
      </c>
      <c r="E549">
        <f>Sheet1!C549+Sheet1!D549+Sheet1!E549+Sheet1!F549+Sheet1!J549+Sheet1!K549+Sheet1!L549+Sheet1!M549+Sheet1!Q549+Sheet1!R549+Sheet1!S549+Sheet1!T549</f>
        <v/>
      </c>
      <c r="F549">
        <f>IF(ISNUMBER(E549),E549,"")</f>
        <v/>
      </c>
      <c r="G549">
        <f>IF(ISNUMBER(F549),_xlfn.RANK.EQ(F549,$F$2:$F$1031),"")</f>
        <v/>
      </c>
      <c r="H549">
        <f>INDEX(Sheet1!AH:AH,MATCH(A549,Sheet1!A:A,0))</f>
        <v/>
      </c>
    </row>
    <row r="550">
      <c r="A550" t="n">
        <v>1339</v>
      </c>
      <c r="B550">
        <f>Sheet1!C550+Sheet1!D550+Sheet1!E550+Sheet1!F550+Sheet1!J550+Sheet1!K550+Sheet1!L550+Sheet1!M550</f>
        <v/>
      </c>
      <c r="C550">
        <f>IF(ISNUMBER(B550),B550,"")</f>
        <v/>
      </c>
      <c r="D550">
        <f>IF(ISNUMBER(C550),_xlfn.RANK.EQ(C550,$C$2:$C$1031),"")</f>
        <v/>
      </c>
      <c r="E550">
        <f>Sheet1!C550+Sheet1!D550+Sheet1!E550+Sheet1!F550+Sheet1!J550+Sheet1!K550+Sheet1!L550+Sheet1!M550+Sheet1!Q550+Sheet1!R550+Sheet1!S550+Sheet1!T550</f>
        <v/>
      </c>
      <c r="F550">
        <f>IF(ISNUMBER(E550),E550,"")</f>
        <v/>
      </c>
      <c r="G550">
        <f>IF(ISNUMBER(F550),_xlfn.RANK.EQ(F550,$F$2:$F$1031),"")</f>
        <v/>
      </c>
      <c r="H550">
        <f>INDEX(Sheet1!AH:AH,MATCH(A550,Sheet1!A:A,0))</f>
        <v/>
      </c>
    </row>
    <row r="551">
      <c r="A551" t="n">
        <v>1340</v>
      </c>
      <c r="B551">
        <f>Sheet1!C551+Sheet1!D551+Sheet1!E551+Sheet1!F551+Sheet1!J551+Sheet1!K551+Sheet1!L551+Sheet1!M551</f>
        <v/>
      </c>
      <c r="C551">
        <f>IF(ISNUMBER(B551),B551,"")</f>
        <v/>
      </c>
      <c r="D551">
        <f>IF(ISNUMBER(C551),_xlfn.RANK.EQ(C551,$C$2:$C$1031),"")</f>
        <v/>
      </c>
      <c r="E551">
        <f>Sheet1!C551+Sheet1!D551+Sheet1!E551+Sheet1!F551+Sheet1!J551+Sheet1!K551+Sheet1!L551+Sheet1!M551+Sheet1!Q551+Sheet1!R551+Sheet1!S551+Sheet1!T551</f>
        <v/>
      </c>
      <c r="F551">
        <f>IF(ISNUMBER(E551),E551,"")</f>
        <v/>
      </c>
      <c r="G551">
        <f>IF(ISNUMBER(F551),_xlfn.RANK.EQ(F551,$F$2:$F$1031),"")</f>
        <v/>
      </c>
      <c r="H551">
        <f>INDEX(Sheet1!AH:AH,MATCH(A551,Sheet1!A:A,0))</f>
        <v/>
      </c>
    </row>
    <row r="552">
      <c r="A552" t="n">
        <v>1341</v>
      </c>
      <c r="B552">
        <f>Sheet1!C552+Sheet1!D552+Sheet1!E552+Sheet1!F552+Sheet1!J552+Sheet1!K552+Sheet1!L552+Sheet1!M552</f>
        <v/>
      </c>
      <c r="C552">
        <f>IF(ISNUMBER(B552),B552,"")</f>
        <v/>
      </c>
      <c r="D552">
        <f>IF(ISNUMBER(C552),_xlfn.RANK.EQ(C552,$C$2:$C$1031),"")</f>
        <v/>
      </c>
      <c r="E552">
        <f>Sheet1!C552+Sheet1!D552+Sheet1!E552+Sheet1!F552+Sheet1!J552+Sheet1!K552+Sheet1!L552+Sheet1!M552+Sheet1!Q552+Sheet1!R552+Sheet1!S552+Sheet1!T552</f>
        <v/>
      </c>
      <c r="F552">
        <f>IF(ISNUMBER(E552),E552,"")</f>
        <v/>
      </c>
      <c r="G552">
        <f>IF(ISNUMBER(F552),_xlfn.RANK.EQ(F552,$F$2:$F$1031),"")</f>
        <v/>
      </c>
      <c r="H552">
        <f>INDEX(Sheet1!AH:AH,MATCH(A552,Sheet1!A:A,0))</f>
        <v/>
      </c>
    </row>
    <row r="553">
      <c r="A553" t="n">
        <v>1349</v>
      </c>
      <c r="B553">
        <f>Sheet1!C553+Sheet1!D553+Sheet1!E553+Sheet1!F553+Sheet1!J553+Sheet1!K553+Sheet1!L553+Sheet1!M553</f>
        <v/>
      </c>
      <c r="C553">
        <f>IF(ISNUMBER(B553),B553,"")</f>
        <v/>
      </c>
      <c r="D553">
        <f>IF(ISNUMBER(C553),_xlfn.RANK.EQ(C553,$C$2:$C$1031),"")</f>
        <v/>
      </c>
      <c r="E553">
        <f>Sheet1!C553+Sheet1!D553+Sheet1!E553+Sheet1!F553+Sheet1!J553+Sheet1!K553+Sheet1!L553+Sheet1!M553+Sheet1!Q553+Sheet1!R553+Sheet1!S553+Sheet1!T553</f>
        <v/>
      </c>
      <c r="F553">
        <f>IF(ISNUMBER(E553),E553,"")</f>
        <v/>
      </c>
      <c r="G553">
        <f>IF(ISNUMBER(F553),_xlfn.RANK.EQ(F553,$F$2:$F$1031),"")</f>
        <v/>
      </c>
      <c r="H553">
        <f>INDEX(Sheet1!AH:AH,MATCH(A553,Sheet1!A:A,0))</f>
        <v/>
      </c>
    </row>
    <row r="554">
      <c r="A554" t="n">
        <v>1350</v>
      </c>
      <c r="B554">
        <f>Sheet1!C554+Sheet1!D554+Sheet1!E554+Sheet1!F554+Sheet1!J554+Sheet1!K554+Sheet1!L554+Sheet1!M554</f>
        <v/>
      </c>
      <c r="C554">
        <f>IF(ISNUMBER(B554),B554,"")</f>
        <v/>
      </c>
      <c r="D554">
        <f>IF(ISNUMBER(C554),_xlfn.RANK.EQ(C554,$C$2:$C$1031),"")</f>
        <v/>
      </c>
      <c r="E554">
        <f>Sheet1!C554+Sheet1!D554+Sheet1!E554+Sheet1!F554+Sheet1!J554+Sheet1!K554+Sheet1!L554+Sheet1!M554+Sheet1!Q554+Sheet1!R554+Sheet1!S554+Sheet1!T554</f>
        <v/>
      </c>
      <c r="F554">
        <f>IF(ISNUMBER(E554),E554,"")</f>
        <v/>
      </c>
      <c r="G554">
        <f>IF(ISNUMBER(F554),_xlfn.RANK.EQ(F554,$F$2:$F$1031),"")</f>
        <v/>
      </c>
      <c r="H554">
        <f>INDEX(Sheet1!AH:AH,MATCH(A554,Sheet1!A:A,0))</f>
        <v/>
      </c>
    </row>
    <row r="555">
      <c r="A555" t="n">
        <v>1353</v>
      </c>
      <c r="B555">
        <f>Sheet1!C555+Sheet1!D555+Sheet1!E555+Sheet1!F555+Sheet1!J555+Sheet1!K555+Sheet1!L555+Sheet1!M555</f>
        <v/>
      </c>
      <c r="C555">
        <f>IF(ISNUMBER(B555),B555,"")</f>
        <v/>
      </c>
      <c r="D555">
        <f>IF(ISNUMBER(C555),_xlfn.RANK.EQ(C555,$C$2:$C$1031),"")</f>
        <v/>
      </c>
      <c r="E555">
        <f>Sheet1!C555+Sheet1!D555+Sheet1!E555+Sheet1!F555+Sheet1!J555+Sheet1!K555+Sheet1!L555+Sheet1!M555+Sheet1!Q555+Sheet1!R555+Sheet1!S555+Sheet1!T555</f>
        <v/>
      </c>
      <c r="F555">
        <f>IF(ISNUMBER(E555),E555,"")</f>
        <v/>
      </c>
      <c r="G555">
        <f>IF(ISNUMBER(F555),_xlfn.RANK.EQ(F555,$F$2:$F$1031),"")</f>
        <v/>
      </c>
      <c r="H555">
        <f>INDEX(Sheet1!AH:AH,MATCH(A555,Sheet1!A:A,0))</f>
        <v/>
      </c>
    </row>
    <row r="556">
      <c r="A556" t="n">
        <v>1355</v>
      </c>
      <c r="B556">
        <f>Sheet1!C556+Sheet1!D556+Sheet1!E556+Sheet1!F556+Sheet1!J556+Sheet1!K556+Sheet1!L556+Sheet1!M556</f>
        <v/>
      </c>
      <c r="C556">
        <f>IF(ISNUMBER(B556),B556,"")</f>
        <v/>
      </c>
      <c r="D556">
        <f>IF(ISNUMBER(C556),_xlfn.RANK.EQ(C556,$C$2:$C$1031),"")</f>
        <v/>
      </c>
      <c r="E556">
        <f>Sheet1!C556+Sheet1!D556+Sheet1!E556+Sheet1!F556+Sheet1!J556+Sheet1!K556+Sheet1!L556+Sheet1!M556+Sheet1!Q556+Sheet1!R556+Sheet1!S556+Sheet1!T556</f>
        <v/>
      </c>
      <c r="F556">
        <f>IF(ISNUMBER(E556),E556,"")</f>
        <v/>
      </c>
      <c r="G556">
        <f>IF(ISNUMBER(F556),_xlfn.RANK.EQ(F556,$F$2:$F$1031),"")</f>
        <v/>
      </c>
      <c r="H556">
        <f>INDEX(Sheet1!AH:AH,MATCH(A556,Sheet1!A:A,0))</f>
        <v/>
      </c>
    </row>
    <row r="557">
      <c r="A557" t="n">
        <v>1356</v>
      </c>
      <c r="B557">
        <f>Sheet1!C557+Sheet1!D557+Sheet1!E557+Sheet1!F557+Sheet1!J557+Sheet1!K557+Sheet1!L557+Sheet1!M557</f>
        <v/>
      </c>
      <c r="C557">
        <f>IF(ISNUMBER(B557),B557,"")</f>
        <v/>
      </c>
      <c r="D557">
        <f>IF(ISNUMBER(C557),_xlfn.RANK.EQ(C557,$C$2:$C$1031),"")</f>
        <v/>
      </c>
      <c r="E557">
        <f>Sheet1!C557+Sheet1!D557+Sheet1!E557+Sheet1!F557+Sheet1!J557+Sheet1!K557+Sheet1!L557+Sheet1!M557+Sheet1!Q557+Sheet1!R557+Sheet1!S557+Sheet1!T557</f>
        <v/>
      </c>
      <c r="F557">
        <f>IF(ISNUMBER(E557),E557,"")</f>
        <v/>
      </c>
      <c r="G557">
        <f>IF(ISNUMBER(F557),_xlfn.RANK.EQ(F557,$F$2:$F$1031),"")</f>
        <v/>
      </c>
      <c r="H557">
        <f>INDEX(Sheet1!AH:AH,MATCH(A557,Sheet1!A:A,0))</f>
        <v/>
      </c>
    </row>
    <row r="558">
      <c r="A558" t="n">
        <v>1358</v>
      </c>
      <c r="B558">
        <f>Sheet1!C558+Sheet1!D558+Sheet1!E558+Sheet1!F558+Sheet1!J558+Sheet1!K558+Sheet1!L558+Sheet1!M558</f>
        <v/>
      </c>
      <c r="C558">
        <f>IF(ISNUMBER(B558),B558,"")</f>
        <v/>
      </c>
      <c r="D558">
        <f>IF(ISNUMBER(C558),_xlfn.RANK.EQ(C558,$C$2:$C$1031),"")</f>
        <v/>
      </c>
      <c r="E558">
        <f>Sheet1!C558+Sheet1!D558+Sheet1!E558+Sheet1!F558+Sheet1!J558+Sheet1!K558+Sheet1!L558+Sheet1!M558+Sheet1!Q558+Sheet1!R558+Sheet1!S558+Sheet1!T558</f>
        <v/>
      </c>
      <c r="F558">
        <f>IF(ISNUMBER(E558),E558,"")</f>
        <v/>
      </c>
      <c r="G558">
        <f>IF(ISNUMBER(F558),_xlfn.RANK.EQ(F558,$F$2:$F$1031),"")</f>
        <v/>
      </c>
      <c r="H558">
        <f>INDEX(Sheet1!AH:AH,MATCH(A558,Sheet1!A:A,0))</f>
        <v/>
      </c>
    </row>
    <row r="559">
      <c r="A559" t="n">
        <v>1361</v>
      </c>
      <c r="B559">
        <f>Sheet1!C559+Sheet1!D559+Sheet1!E559+Sheet1!F559+Sheet1!J559+Sheet1!K559+Sheet1!L559+Sheet1!M559</f>
        <v/>
      </c>
      <c r="C559">
        <f>IF(ISNUMBER(B559),B559,"")</f>
        <v/>
      </c>
      <c r="D559">
        <f>IF(ISNUMBER(C559),_xlfn.RANK.EQ(C559,$C$2:$C$1031),"")</f>
        <v/>
      </c>
      <c r="E559">
        <f>Sheet1!C559+Sheet1!D559+Sheet1!E559+Sheet1!F559+Sheet1!J559+Sheet1!K559+Sheet1!L559+Sheet1!M559+Sheet1!Q559+Sheet1!R559+Sheet1!S559+Sheet1!T559</f>
        <v/>
      </c>
      <c r="F559">
        <f>IF(ISNUMBER(E559),E559,"")</f>
        <v/>
      </c>
      <c r="G559">
        <f>IF(ISNUMBER(F559),_xlfn.RANK.EQ(F559,$F$2:$F$1031),"")</f>
        <v/>
      </c>
      <c r="H559">
        <f>INDEX(Sheet1!AH:AH,MATCH(A559,Sheet1!A:A,0))</f>
        <v/>
      </c>
    </row>
    <row r="560">
      <c r="A560" t="n">
        <v>1363</v>
      </c>
      <c r="B560">
        <f>Sheet1!C560+Sheet1!D560+Sheet1!E560+Sheet1!F560+Sheet1!J560+Sheet1!K560+Sheet1!L560+Sheet1!M560</f>
        <v/>
      </c>
      <c r="C560">
        <f>IF(ISNUMBER(B560),B560,"")</f>
        <v/>
      </c>
      <c r="D560">
        <f>IF(ISNUMBER(C560),_xlfn.RANK.EQ(C560,$C$2:$C$1031),"")</f>
        <v/>
      </c>
      <c r="E560">
        <f>Sheet1!C560+Sheet1!D560+Sheet1!E560+Sheet1!F560+Sheet1!J560+Sheet1!K560+Sheet1!L560+Sheet1!M560+Sheet1!Q560+Sheet1!R560+Sheet1!S560+Sheet1!T560</f>
        <v/>
      </c>
      <c r="F560">
        <f>IF(ISNUMBER(E560),E560,"")</f>
        <v/>
      </c>
      <c r="G560">
        <f>IF(ISNUMBER(F560),_xlfn.RANK.EQ(F560,$F$2:$F$1031),"")</f>
        <v/>
      </c>
      <c r="H560">
        <f>INDEX(Sheet1!AH:AH,MATCH(A560,Sheet1!A:A,0))</f>
        <v/>
      </c>
    </row>
    <row r="561">
      <c r="A561" t="n">
        <v>1364</v>
      </c>
      <c r="B561">
        <f>Sheet1!C561+Sheet1!D561+Sheet1!E561+Sheet1!F561+Sheet1!J561+Sheet1!K561+Sheet1!L561+Sheet1!M561</f>
        <v/>
      </c>
      <c r="C561">
        <f>IF(ISNUMBER(B561),B561,"")</f>
        <v/>
      </c>
      <c r="D561">
        <f>IF(ISNUMBER(C561),_xlfn.RANK.EQ(C561,$C$2:$C$1031),"")</f>
        <v/>
      </c>
      <c r="E561">
        <f>Sheet1!C561+Sheet1!D561+Sheet1!E561+Sheet1!F561+Sheet1!J561+Sheet1!K561+Sheet1!L561+Sheet1!M561+Sheet1!Q561+Sheet1!R561+Sheet1!S561+Sheet1!T561</f>
        <v/>
      </c>
      <c r="F561">
        <f>IF(ISNUMBER(E561),E561,"")</f>
        <v/>
      </c>
      <c r="G561">
        <f>IF(ISNUMBER(F561),_xlfn.RANK.EQ(F561,$F$2:$F$1031),"")</f>
        <v/>
      </c>
      <c r="H561">
        <f>INDEX(Sheet1!AH:AH,MATCH(A561,Sheet1!A:A,0))</f>
        <v/>
      </c>
    </row>
    <row r="562">
      <c r="A562" t="n">
        <v>1367</v>
      </c>
      <c r="B562">
        <f>Sheet1!C562+Sheet1!D562+Sheet1!E562+Sheet1!F562+Sheet1!J562+Sheet1!K562+Sheet1!L562+Sheet1!M562</f>
        <v/>
      </c>
      <c r="C562">
        <f>IF(ISNUMBER(B562),B562,"")</f>
        <v/>
      </c>
      <c r="D562">
        <f>IF(ISNUMBER(C562),_xlfn.RANK.EQ(C562,$C$2:$C$1031),"")</f>
        <v/>
      </c>
      <c r="E562">
        <f>Sheet1!C562+Sheet1!D562+Sheet1!E562+Sheet1!F562+Sheet1!J562+Sheet1!K562+Sheet1!L562+Sheet1!M562+Sheet1!Q562+Sheet1!R562+Sheet1!S562+Sheet1!T562</f>
        <v/>
      </c>
      <c r="F562">
        <f>IF(ISNUMBER(E562),E562,"")</f>
        <v/>
      </c>
      <c r="G562">
        <f>IF(ISNUMBER(F562),_xlfn.RANK.EQ(F562,$F$2:$F$1031),"")</f>
        <v/>
      </c>
      <c r="H562">
        <f>INDEX(Sheet1!AH:AH,MATCH(A562,Sheet1!A:A,0))</f>
        <v/>
      </c>
    </row>
    <row r="563">
      <c r="A563" t="n">
        <v>1369</v>
      </c>
      <c r="B563">
        <f>Sheet1!C563+Sheet1!D563+Sheet1!E563+Sheet1!F563+Sheet1!J563+Sheet1!K563+Sheet1!L563+Sheet1!M563</f>
        <v/>
      </c>
      <c r="C563">
        <f>IF(ISNUMBER(B563),B563,"")</f>
        <v/>
      </c>
      <c r="D563">
        <f>IF(ISNUMBER(C563),_xlfn.RANK.EQ(C563,$C$2:$C$1031),"")</f>
        <v/>
      </c>
      <c r="E563">
        <f>Sheet1!C563+Sheet1!D563+Sheet1!E563+Sheet1!F563+Sheet1!J563+Sheet1!K563+Sheet1!L563+Sheet1!M563+Sheet1!Q563+Sheet1!R563+Sheet1!S563+Sheet1!T563</f>
        <v/>
      </c>
      <c r="F563">
        <f>IF(ISNUMBER(E563),E563,"")</f>
        <v/>
      </c>
      <c r="G563">
        <f>IF(ISNUMBER(F563),_xlfn.RANK.EQ(F563,$F$2:$F$1031),"")</f>
        <v/>
      </c>
      <c r="H563">
        <f>INDEX(Sheet1!AH:AH,MATCH(A563,Sheet1!A:A,0))</f>
        <v/>
      </c>
    </row>
    <row r="564">
      <c r="A564" t="n">
        <v>1371</v>
      </c>
      <c r="B564">
        <f>Sheet1!C564+Sheet1!D564+Sheet1!E564+Sheet1!F564+Sheet1!J564+Sheet1!K564+Sheet1!L564+Sheet1!M564</f>
        <v/>
      </c>
      <c r="C564">
        <f>IF(ISNUMBER(B564),B564,"")</f>
        <v/>
      </c>
      <c r="D564">
        <f>IF(ISNUMBER(C564),_xlfn.RANK.EQ(C564,$C$2:$C$1031),"")</f>
        <v/>
      </c>
      <c r="E564">
        <f>Sheet1!C564+Sheet1!D564+Sheet1!E564+Sheet1!F564+Sheet1!J564+Sheet1!K564+Sheet1!L564+Sheet1!M564+Sheet1!Q564+Sheet1!R564+Sheet1!S564+Sheet1!T564</f>
        <v/>
      </c>
      <c r="F564">
        <f>IF(ISNUMBER(E564),E564,"")</f>
        <v/>
      </c>
      <c r="G564">
        <f>IF(ISNUMBER(F564),_xlfn.RANK.EQ(F564,$F$2:$F$1031),"")</f>
        <v/>
      </c>
      <c r="H564">
        <f>INDEX(Sheet1!AH:AH,MATCH(A564,Sheet1!A:A,0))</f>
        <v/>
      </c>
    </row>
    <row r="565">
      <c r="A565" t="n">
        <v>1372</v>
      </c>
      <c r="B565">
        <f>Sheet1!C565+Sheet1!D565+Sheet1!E565+Sheet1!F565+Sheet1!J565+Sheet1!K565+Sheet1!L565+Sheet1!M565</f>
        <v/>
      </c>
      <c r="C565">
        <f>IF(ISNUMBER(B565),B565,"")</f>
        <v/>
      </c>
      <c r="D565">
        <f>IF(ISNUMBER(C565),_xlfn.RANK.EQ(C565,$C$2:$C$1031),"")</f>
        <v/>
      </c>
      <c r="E565">
        <f>Sheet1!C565+Sheet1!D565+Sheet1!E565+Sheet1!F565+Sheet1!J565+Sheet1!K565+Sheet1!L565+Sheet1!M565+Sheet1!Q565+Sheet1!R565+Sheet1!S565+Sheet1!T565</f>
        <v/>
      </c>
      <c r="F565">
        <f>IF(ISNUMBER(E565),E565,"")</f>
        <v/>
      </c>
      <c r="G565">
        <f>IF(ISNUMBER(F565),_xlfn.RANK.EQ(F565,$F$2:$F$1031),"")</f>
        <v/>
      </c>
      <c r="H565">
        <f>INDEX(Sheet1!AH:AH,MATCH(A565,Sheet1!A:A,0))</f>
        <v/>
      </c>
    </row>
    <row r="566">
      <c r="A566" t="n">
        <v>1374</v>
      </c>
      <c r="B566">
        <f>Sheet1!C566+Sheet1!D566+Sheet1!E566+Sheet1!F566+Sheet1!J566+Sheet1!K566+Sheet1!L566+Sheet1!M566</f>
        <v/>
      </c>
      <c r="C566">
        <f>IF(ISNUMBER(B566),B566,"")</f>
        <v/>
      </c>
      <c r="D566">
        <f>IF(ISNUMBER(C566),_xlfn.RANK.EQ(C566,$C$2:$C$1031),"")</f>
        <v/>
      </c>
      <c r="E566">
        <f>Sheet1!C566+Sheet1!D566+Sheet1!E566+Sheet1!F566+Sheet1!J566+Sheet1!K566+Sheet1!L566+Sheet1!M566+Sheet1!Q566+Sheet1!R566+Sheet1!S566+Sheet1!T566</f>
        <v/>
      </c>
      <c r="F566">
        <f>IF(ISNUMBER(E566),E566,"")</f>
        <v/>
      </c>
      <c r="G566">
        <f>IF(ISNUMBER(F566),_xlfn.RANK.EQ(F566,$F$2:$F$1031),"")</f>
        <v/>
      </c>
      <c r="H566">
        <f>INDEX(Sheet1!AH:AH,MATCH(A566,Sheet1!A:A,0))</f>
        <v/>
      </c>
    </row>
    <row r="567">
      <c r="A567" t="n">
        <v>1375</v>
      </c>
      <c r="B567">
        <f>Sheet1!C567+Sheet1!D567+Sheet1!E567+Sheet1!F567+Sheet1!J567+Sheet1!K567+Sheet1!L567+Sheet1!M567</f>
        <v/>
      </c>
      <c r="C567">
        <f>IF(ISNUMBER(B567),B567,"")</f>
        <v/>
      </c>
      <c r="D567">
        <f>IF(ISNUMBER(C567),_xlfn.RANK.EQ(C567,$C$2:$C$1031),"")</f>
        <v/>
      </c>
      <c r="E567">
        <f>Sheet1!C567+Sheet1!D567+Sheet1!E567+Sheet1!F567+Sheet1!J567+Sheet1!K567+Sheet1!L567+Sheet1!M567+Sheet1!Q567+Sheet1!R567+Sheet1!S567+Sheet1!T567</f>
        <v/>
      </c>
      <c r="F567">
        <f>IF(ISNUMBER(E567),E567,"")</f>
        <v/>
      </c>
      <c r="G567">
        <f>IF(ISNUMBER(F567),_xlfn.RANK.EQ(F567,$F$2:$F$1031),"")</f>
        <v/>
      </c>
      <c r="H567">
        <f>INDEX(Sheet1!AH:AH,MATCH(A567,Sheet1!A:A,0))</f>
        <v/>
      </c>
    </row>
    <row r="568">
      <c r="A568" t="n">
        <v>1380</v>
      </c>
      <c r="B568">
        <f>Sheet1!C568+Sheet1!D568+Sheet1!E568+Sheet1!F568+Sheet1!J568+Sheet1!K568+Sheet1!L568+Sheet1!M568</f>
        <v/>
      </c>
      <c r="C568">
        <f>IF(ISNUMBER(B568),B568,"")</f>
        <v/>
      </c>
      <c r="D568">
        <f>IF(ISNUMBER(C568),_xlfn.RANK.EQ(C568,$C$2:$C$1031),"")</f>
        <v/>
      </c>
      <c r="E568">
        <f>Sheet1!C568+Sheet1!D568+Sheet1!E568+Sheet1!F568+Sheet1!J568+Sheet1!K568+Sheet1!L568+Sheet1!M568+Sheet1!Q568+Sheet1!R568+Sheet1!S568+Sheet1!T568</f>
        <v/>
      </c>
      <c r="F568">
        <f>IF(ISNUMBER(E568),E568,"")</f>
        <v/>
      </c>
      <c r="G568">
        <f>IF(ISNUMBER(F568),_xlfn.RANK.EQ(F568,$F$2:$F$1031),"")</f>
        <v/>
      </c>
      <c r="H568">
        <f>INDEX(Sheet1!AH:AH,MATCH(A568,Sheet1!A:A,0))</f>
        <v/>
      </c>
    </row>
    <row r="569">
      <c r="A569" t="n">
        <v>1381</v>
      </c>
      <c r="B569">
        <f>Sheet1!C569+Sheet1!D569+Sheet1!E569+Sheet1!F569+Sheet1!J569+Sheet1!K569+Sheet1!L569+Sheet1!M569</f>
        <v/>
      </c>
      <c r="C569">
        <f>IF(ISNUMBER(B569),B569,"")</f>
        <v/>
      </c>
      <c r="D569">
        <f>IF(ISNUMBER(C569),_xlfn.RANK.EQ(C569,$C$2:$C$1031),"")</f>
        <v/>
      </c>
      <c r="E569">
        <f>Sheet1!C569+Sheet1!D569+Sheet1!E569+Sheet1!F569+Sheet1!J569+Sheet1!K569+Sheet1!L569+Sheet1!M569+Sheet1!Q569+Sheet1!R569+Sheet1!S569+Sheet1!T569</f>
        <v/>
      </c>
      <c r="F569">
        <f>IF(ISNUMBER(E569),E569,"")</f>
        <v/>
      </c>
      <c r="G569">
        <f>IF(ISNUMBER(F569),_xlfn.RANK.EQ(F569,$F$2:$F$1031),"")</f>
        <v/>
      </c>
      <c r="H569">
        <f>INDEX(Sheet1!AH:AH,MATCH(A569,Sheet1!A:A,0))</f>
        <v/>
      </c>
    </row>
    <row r="570">
      <c r="A570" t="n">
        <v>1384</v>
      </c>
      <c r="B570">
        <f>Sheet1!C570+Sheet1!D570+Sheet1!E570+Sheet1!F570+Sheet1!J570+Sheet1!K570+Sheet1!L570+Sheet1!M570</f>
        <v/>
      </c>
      <c r="C570">
        <f>IF(ISNUMBER(B570),B570,"")</f>
        <v/>
      </c>
      <c r="D570">
        <f>IF(ISNUMBER(C570),_xlfn.RANK.EQ(C570,$C$2:$C$1031),"")</f>
        <v/>
      </c>
      <c r="E570">
        <f>Sheet1!C570+Sheet1!D570+Sheet1!E570+Sheet1!F570+Sheet1!J570+Sheet1!K570+Sheet1!L570+Sheet1!M570+Sheet1!Q570+Sheet1!R570+Sheet1!S570+Sheet1!T570</f>
        <v/>
      </c>
      <c r="F570">
        <f>IF(ISNUMBER(E570),E570,"")</f>
        <v/>
      </c>
      <c r="G570">
        <f>IF(ISNUMBER(F570),_xlfn.RANK.EQ(F570,$F$2:$F$1031),"")</f>
        <v/>
      </c>
      <c r="H570">
        <f>INDEX(Sheet1!AH:AH,MATCH(A570,Sheet1!A:A,0))</f>
        <v/>
      </c>
    </row>
    <row r="571">
      <c r="A571" t="n">
        <v>1385</v>
      </c>
      <c r="B571">
        <f>Sheet1!C571+Sheet1!D571+Sheet1!E571+Sheet1!F571+Sheet1!J571+Sheet1!K571+Sheet1!L571+Sheet1!M571</f>
        <v/>
      </c>
      <c r="C571">
        <f>IF(ISNUMBER(B571),B571,"")</f>
        <v/>
      </c>
      <c r="D571">
        <f>IF(ISNUMBER(C571),_xlfn.RANK.EQ(C571,$C$2:$C$1031),"")</f>
        <v/>
      </c>
      <c r="E571">
        <f>Sheet1!C571+Sheet1!D571+Sheet1!E571+Sheet1!F571+Sheet1!J571+Sheet1!K571+Sheet1!L571+Sheet1!M571+Sheet1!Q571+Sheet1!R571+Sheet1!S571+Sheet1!T571</f>
        <v/>
      </c>
      <c r="F571">
        <f>IF(ISNUMBER(E571),E571,"")</f>
        <v/>
      </c>
      <c r="G571">
        <f>IF(ISNUMBER(F571),_xlfn.RANK.EQ(F571,$F$2:$F$1031),"")</f>
        <v/>
      </c>
      <c r="H571">
        <f>INDEX(Sheet1!AH:AH,MATCH(A571,Sheet1!A:A,0))</f>
        <v/>
      </c>
    </row>
    <row r="572">
      <c r="A572" t="n">
        <v>1387</v>
      </c>
      <c r="B572">
        <f>Sheet1!C572+Sheet1!D572+Sheet1!E572+Sheet1!F572+Sheet1!J572+Sheet1!K572+Sheet1!L572+Sheet1!M572</f>
        <v/>
      </c>
      <c r="C572">
        <f>IF(ISNUMBER(B572),B572,"")</f>
        <v/>
      </c>
      <c r="D572">
        <f>IF(ISNUMBER(C572),_xlfn.RANK.EQ(C572,$C$2:$C$1031),"")</f>
        <v/>
      </c>
      <c r="E572">
        <f>Sheet1!C572+Sheet1!D572+Sheet1!E572+Sheet1!F572+Sheet1!J572+Sheet1!K572+Sheet1!L572+Sheet1!M572+Sheet1!Q572+Sheet1!R572+Sheet1!S572+Sheet1!T572</f>
        <v/>
      </c>
      <c r="F572">
        <f>IF(ISNUMBER(E572),E572,"")</f>
        <v/>
      </c>
      <c r="G572">
        <f>IF(ISNUMBER(F572),_xlfn.RANK.EQ(F572,$F$2:$F$1031),"")</f>
        <v/>
      </c>
      <c r="H572">
        <f>INDEX(Sheet1!AH:AH,MATCH(A572,Sheet1!A:A,0))</f>
        <v/>
      </c>
    </row>
    <row r="573">
      <c r="A573" t="n">
        <v>1389</v>
      </c>
      <c r="B573">
        <f>Sheet1!C573+Sheet1!D573+Sheet1!E573+Sheet1!F573+Sheet1!J573+Sheet1!K573+Sheet1!L573+Sheet1!M573</f>
        <v/>
      </c>
      <c r="C573">
        <f>IF(ISNUMBER(B573),B573,"")</f>
        <v/>
      </c>
      <c r="D573">
        <f>IF(ISNUMBER(C573),_xlfn.RANK.EQ(C573,$C$2:$C$1031),"")</f>
        <v/>
      </c>
      <c r="E573">
        <f>Sheet1!C573+Sheet1!D573+Sheet1!E573+Sheet1!F573+Sheet1!J573+Sheet1!K573+Sheet1!L573+Sheet1!M573+Sheet1!Q573+Sheet1!R573+Sheet1!S573+Sheet1!T573</f>
        <v/>
      </c>
      <c r="F573">
        <f>IF(ISNUMBER(E573),E573,"")</f>
        <v/>
      </c>
      <c r="G573">
        <f>IF(ISNUMBER(F573),_xlfn.RANK.EQ(F573,$F$2:$F$1031),"")</f>
        <v/>
      </c>
      <c r="H573">
        <f>INDEX(Sheet1!AH:AH,MATCH(A573,Sheet1!A:A,0))</f>
        <v/>
      </c>
    </row>
    <row r="574">
      <c r="A574" t="n">
        <v>1390</v>
      </c>
      <c r="B574">
        <f>Sheet1!C574+Sheet1!D574+Sheet1!E574+Sheet1!F574+Sheet1!J574+Sheet1!K574+Sheet1!L574+Sheet1!M574</f>
        <v/>
      </c>
      <c r="C574">
        <f>IF(ISNUMBER(B574),B574,"")</f>
        <v/>
      </c>
      <c r="D574">
        <f>IF(ISNUMBER(C574),_xlfn.RANK.EQ(C574,$C$2:$C$1031),"")</f>
        <v/>
      </c>
      <c r="E574">
        <f>Sheet1!C574+Sheet1!D574+Sheet1!E574+Sheet1!F574+Sheet1!J574+Sheet1!K574+Sheet1!L574+Sheet1!M574+Sheet1!Q574+Sheet1!R574+Sheet1!S574+Sheet1!T574</f>
        <v/>
      </c>
      <c r="F574">
        <f>IF(ISNUMBER(E574),E574,"")</f>
        <v/>
      </c>
      <c r="G574">
        <f>IF(ISNUMBER(F574),_xlfn.RANK.EQ(F574,$F$2:$F$1031),"")</f>
        <v/>
      </c>
      <c r="H574">
        <f>INDEX(Sheet1!AH:AH,MATCH(A574,Sheet1!A:A,0))</f>
        <v/>
      </c>
    </row>
    <row r="575">
      <c r="A575" t="n">
        <v>1391</v>
      </c>
      <c r="B575">
        <f>Sheet1!C575+Sheet1!D575+Sheet1!E575+Sheet1!F575+Sheet1!J575+Sheet1!K575+Sheet1!L575+Sheet1!M575</f>
        <v/>
      </c>
      <c r="C575">
        <f>IF(ISNUMBER(B575),B575,"")</f>
        <v/>
      </c>
      <c r="D575">
        <f>IF(ISNUMBER(C575),_xlfn.RANK.EQ(C575,$C$2:$C$1031),"")</f>
        <v/>
      </c>
      <c r="E575">
        <f>Sheet1!C575+Sheet1!D575+Sheet1!E575+Sheet1!F575+Sheet1!J575+Sheet1!K575+Sheet1!L575+Sheet1!M575+Sheet1!Q575+Sheet1!R575+Sheet1!S575+Sheet1!T575</f>
        <v/>
      </c>
      <c r="F575">
        <f>IF(ISNUMBER(E575),E575,"")</f>
        <v/>
      </c>
      <c r="G575">
        <f>IF(ISNUMBER(F575),_xlfn.RANK.EQ(F575,$F$2:$F$1031),"")</f>
        <v/>
      </c>
      <c r="H575">
        <f>INDEX(Sheet1!AH:AH,MATCH(A575,Sheet1!A:A,0))</f>
        <v/>
      </c>
    </row>
    <row r="576">
      <c r="A576" t="n">
        <v>1392</v>
      </c>
      <c r="B576">
        <f>Sheet1!C576+Sheet1!D576+Sheet1!E576+Sheet1!F576+Sheet1!J576+Sheet1!K576+Sheet1!L576+Sheet1!M576</f>
        <v/>
      </c>
      <c r="C576">
        <f>IF(ISNUMBER(B576),B576,"")</f>
        <v/>
      </c>
      <c r="D576">
        <f>IF(ISNUMBER(C576),_xlfn.RANK.EQ(C576,$C$2:$C$1031),"")</f>
        <v/>
      </c>
      <c r="E576">
        <f>Sheet1!C576+Sheet1!D576+Sheet1!E576+Sheet1!F576+Sheet1!J576+Sheet1!K576+Sheet1!L576+Sheet1!M576+Sheet1!Q576+Sheet1!R576+Sheet1!S576+Sheet1!T576</f>
        <v/>
      </c>
      <c r="F576">
        <f>IF(ISNUMBER(E576),E576,"")</f>
        <v/>
      </c>
      <c r="G576">
        <f>IF(ISNUMBER(F576),_xlfn.RANK.EQ(F576,$F$2:$F$1031),"")</f>
        <v/>
      </c>
      <c r="H576">
        <f>INDEX(Sheet1!AH:AH,MATCH(A576,Sheet1!A:A,0))</f>
        <v/>
      </c>
    </row>
    <row r="577">
      <c r="A577" t="n">
        <v>1393</v>
      </c>
      <c r="B577">
        <f>Sheet1!C577+Sheet1!D577+Sheet1!E577+Sheet1!F577+Sheet1!J577+Sheet1!K577+Sheet1!L577+Sheet1!M577</f>
        <v/>
      </c>
      <c r="C577">
        <f>IF(ISNUMBER(B577),B577,"")</f>
        <v/>
      </c>
      <c r="D577">
        <f>IF(ISNUMBER(C577),_xlfn.RANK.EQ(C577,$C$2:$C$1031),"")</f>
        <v/>
      </c>
      <c r="E577">
        <f>Sheet1!C577+Sheet1!D577+Sheet1!E577+Sheet1!F577+Sheet1!J577+Sheet1!K577+Sheet1!L577+Sheet1!M577+Sheet1!Q577+Sheet1!R577+Sheet1!S577+Sheet1!T577</f>
        <v/>
      </c>
      <c r="F577">
        <f>IF(ISNUMBER(E577),E577,"")</f>
        <v/>
      </c>
      <c r="G577">
        <f>IF(ISNUMBER(F577),_xlfn.RANK.EQ(F577,$F$2:$F$1031),"")</f>
        <v/>
      </c>
      <c r="H577">
        <f>INDEX(Sheet1!AH:AH,MATCH(A577,Sheet1!A:A,0))</f>
        <v/>
      </c>
    </row>
    <row r="578">
      <c r="A578" t="n">
        <v>1394</v>
      </c>
      <c r="B578">
        <f>Sheet1!C578+Sheet1!D578+Sheet1!E578+Sheet1!F578+Sheet1!J578+Sheet1!K578+Sheet1!L578+Sheet1!M578</f>
        <v/>
      </c>
      <c r="C578">
        <f>IF(ISNUMBER(B578),B578,"")</f>
        <v/>
      </c>
      <c r="D578">
        <f>IF(ISNUMBER(C578),_xlfn.RANK.EQ(C578,$C$2:$C$1031),"")</f>
        <v/>
      </c>
      <c r="E578">
        <f>Sheet1!C578+Sheet1!D578+Sheet1!E578+Sheet1!F578+Sheet1!J578+Sheet1!K578+Sheet1!L578+Sheet1!M578+Sheet1!Q578+Sheet1!R578+Sheet1!S578+Sheet1!T578</f>
        <v/>
      </c>
      <c r="F578">
        <f>IF(ISNUMBER(E578),E578,"")</f>
        <v/>
      </c>
      <c r="G578">
        <f>IF(ISNUMBER(F578),_xlfn.RANK.EQ(F578,$F$2:$F$1031),"")</f>
        <v/>
      </c>
      <c r="H578">
        <f>INDEX(Sheet1!AH:AH,MATCH(A578,Sheet1!A:A,0))</f>
        <v/>
      </c>
    </row>
    <row r="579">
      <c r="A579" t="n">
        <v>1395</v>
      </c>
      <c r="B579">
        <f>Sheet1!C579+Sheet1!D579+Sheet1!E579+Sheet1!F579+Sheet1!J579+Sheet1!K579+Sheet1!L579+Sheet1!M579</f>
        <v/>
      </c>
      <c r="C579">
        <f>IF(ISNUMBER(B579),B579,"")</f>
        <v/>
      </c>
      <c r="D579">
        <f>IF(ISNUMBER(C579),_xlfn.RANK.EQ(C579,$C$2:$C$1031),"")</f>
        <v/>
      </c>
      <c r="E579">
        <f>Sheet1!C579+Sheet1!D579+Sheet1!E579+Sheet1!F579+Sheet1!J579+Sheet1!K579+Sheet1!L579+Sheet1!M579+Sheet1!Q579+Sheet1!R579+Sheet1!S579+Sheet1!T579</f>
        <v/>
      </c>
      <c r="F579">
        <f>IF(ISNUMBER(E579),E579,"")</f>
        <v/>
      </c>
      <c r="G579">
        <f>IF(ISNUMBER(F579),_xlfn.RANK.EQ(F579,$F$2:$F$1031),"")</f>
        <v/>
      </c>
      <c r="H579">
        <f>INDEX(Sheet1!AH:AH,MATCH(A579,Sheet1!A:A,0))</f>
        <v/>
      </c>
    </row>
    <row r="580">
      <c r="A580" t="n">
        <v>1396</v>
      </c>
      <c r="B580">
        <f>Sheet1!C580+Sheet1!D580+Sheet1!E580+Sheet1!F580+Sheet1!J580+Sheet1!K580+Sheet1!L580+Sheet1!M580</f>
        <v/>
      </c>
      <c r="C580">
        <f>IF(ISNUMBER(B580),B580,"")</f>
        <v/>
      </c>
      <c r="D580">
        <f>IF(ISNUMBER(C580),_xlfn.RANK.EQ(C580,$C$2:$C$1031),"")</f>
        <v/>
      </c>
      <c r="E580">
        <f>Sheet1!C580+Sheet1!D580+Sheet1!E580+Sheet1!F580+Sheet1!J580+Sheet1!K580+Sheet1!L580+Sheet1!M580+Sheet1!Q580+Sheet1!R580+Sheet1!S580+Sheet1!T580</f>
        <v/>
      </c>
      <c r="F580">
        <f>IF(ISNUMBER(E580),E580,"")</f>
        <v/>
      </c>
      <c r="G580">
        <f>IF(ISNUMBER(F580),_xlfn.RANK.EQ(F580,$F$2:$F$1031),"")</f>
        <v/>
      </c>
      <c r="H580">
        <f>INDEX(Sheet1!AH:AH,MATCH(A580,Sheet1!A:A,0))</f>
        <v/>
      </c>
    </row>
    <row r="581">
      <c r="A581" t="n">
        <v>1399</v>
      </c>
      <c r="B581">
        <f>Sheet1!C581+Sheet1!D581+Sheet1!E581+Sheet1!F581+Sheet1!J581+Sheet1!K581+Sheet1!L581+Sheet1!M581</f>
        <v/>
      </c>
      <c r="C581">
        <f>IF(ISNUMBER(B581),B581,"")</f>
        <v/>
      </c>
      <c r="D581">
        <f>IF(ISNUMBER(C581),_xlfn.RANK.EQ(C581,$C$2:$C$1031),"")</f>
        <v/>
      </c>
      <c r="E581">
        <f>Sheet1!C581+Sheet1!D581+Sheet1!E581+Sheet1!F581+Sheet1!J581+Sheet1!K581+Sheet1!L581+Sheet1!M581+Sheet1!Q581+Sheet1!R581+Sheet1!S581+Sheet1!T581</f>
        <v/>
      </c>
      <c r="F581">
        <f>IF(ISNUMBER(E581),E581,"")</f>
        <v/>
      </c>
      <c r="G581">
        <f>IF(ISNUMBER(F581),_xlfn.RANK.EQ(F581,$F$2:$F$1031),"")</f>
        <v/>
      </c>
      <c r="H581">
        <f>INDEX(Sheet1!AH:AH,MATCH(A581,Sheet1!A:A,0))</f>
        <v/>
      </c>
    </row>
    <row r="582">
      <c r="A582" t="n">
        <v>1400</v>
      </c>
      <c r="B582">
        <f>Sheet1!C582+Sheet1!D582+Sheet1!E582+Sheet1!F582+Sheet1!J582+Sheet1!K582+Sheet1!L582+Sheet1!M582</f>
        <v/>
      </c>
      <c r="C582">
        <f>IF(ISNUMBER(B582),B582,"")</f>
        <v/>
      </c>
      <c r="D582">
        <f>IF(ISNUMBER(C582),_xlfn.RANK.EQ(C582,$C$2:$C$1031),"")</f>
        <v/>
      </c>
      <c r="E582">
        <f>Sheet1!C582+Sheet1!D582+Sheet1!E582+Sheet1!F582+Sheet1!J582+Sheet1!K582+Sheet1!L582+Sheet1!M582+Sheet1!Q582+Sheet1!R582+Sheet1!S582+Sheet1!T582</f>
        <v/>
      </c>
      <c r="F582">
        <f>IF(ISNUMBER(E582),E582,"")</f>
        <v/>
      </c>
      <c r="G582">
        <f>IF(ISNUMBER(F582),_xlfn.RANK.EQ(F582,$F$2:$F$1031),"")</f>
        <v/>
      </c>
      <c r="H582">
        <f>INDEX(Sheet1!AH:AH,MATCH(A582,Sheet1!A:A,0))</f>
        <v/>
      </c>
    </row>
    <row r="583">
      <c r="A583" t="n">
        <v>1401</v>
      </c>
      <c r="B583">
        <f>Sheet1!C583+Sheet1!D583+Sheet1!E583+Sheet1!F583+Sheet1!J583+Sheet1!K583+Sheet1!L583+Sheet1!M583</f>
        <v/>
      </c>
      <c r="C583">
        <f>IF(ISNUMBER(B583),B583,"")</f>
        <v/>
      </c>
      <c r="D583">
        <f>IF(ISNUMBER(C583),_xlfn.RANK.EQ(C583,$C$2:$C$1031),"")</f>
        <v/>
      </c>
      <c r="E583">
        <f>Sheet1!C583+Sheet1!D583+Sheet1!E583+Sheet1!F583+Sheet1!J583+Sheet1!K583+Sheet1!L583+Sheet1!M583+Sheet1!Q583+Sheet1!R583+Sheet1!S583+Sheet1!T583</f>
        <v/>
      </c>
      <c r="F583">
        <f>IF(ISNUMBER(E583),E583,"")</f>
        <v/>
      </c>
      <c r="G583">
        <f>IF(ISNUMBER(F583),_xlfn.RANK.EQ(F583,$F$2:$F$1031),"")</f>
        <v/>
      </c>
      <c r="H583">
        <f>INDEX(Sheet1!AH:AH,MATCH(A583,Sheet1!A:A,0))</f>
        <v/>
      </c>
    </row>
    <row r="584">
      <c r="A584" t="n">
        <v>1403</v>
      </c>
      <c r="B584">
        <f>Sheet1!C584+Sheet1!D584+Sheet1!E584+Sheet1!F584+Sheet1!J584+Sheet1!K584+Sheet1!L584+Sheet1!M584</f>
        <v/>
      </c>
      <c r="C584">
        <f>IF(ISNUMBER(B584),B584,"")</f>
        <v/>
      </c>
      <c r="D584">
        <f>IF(ISNUMBER(C584),_xlfn.RANK.EQ(C584,$C$2:$C$1031),"")</f>
        <v/>
      </c>
      <c r="E584">
        <f>Sheet1!C584+Sheet1!D584+Sheet1!E584+Sheet1!F584+Sheet1!J584+Sheet1!K584+Sheet1!L584+Sheet1!M584+Sheet1!Q584+Sheet1!R584+Sheet1!S584+Sheet1!T584</f>
        <v/>
      </c>
      <c r="F584">
        <f>IF(ISNUMBER(E584),E584,"")</f>
        <v/>
      </c>
      <c r="G584">
        <f>IF(ISNUMBER(F584),_xlfn.RANK.EQ(F584,$F$2:$F$1031),"")</f>
        <v/>
      </c>
      <c r="H584">
        <f>INDEX(Sheet1!AH:AH,MATCH(A584,Sheet1!A:A,0))</f>
        <v/>
      </c>
    </row>
    <row r="585">
      <c r="A585" t="n">
        <v>1415</v>
      </c>
      <c r="B585">
        <f>Sheet1!C585+Sheet1!D585+Sheet1!E585+Sheet1!F585+Sheet1!J585+Sheet1!K585+Sheet1!L585+Sheet1!M585</f>
        <v/>
      </c>
      <c r="C585">
        <f>IF(ISNUMBER(B585),B585,"")</f>
        <v/>
      </c>
      <c r="D585">
        <f>IF(ISNUMBER(C585),_xlfn.RANK.EQ(C585,$C$2:$C$1031),"")</f>
        <v/>
      </c>
      <c r="E585">
        <f>Sheet1!C585+Sheet1!D585+Sheet1!E585+Sheet1!F585+Sheet1!J585+Sheet1!K585+Sheet1!L585+Sheet1!M585+Sheet1!Q585+Sheet1!R585+Sheet1!S585+Sheet1!T585</f>
        <v/>
      </c>
      <c r="F585">
        <f>IF(ISNUMBER(E585),E585,"")</f>
        <v/>
      </c>
      <c r="G585">
        <f>IF(ISNUMBER(F585),_xlfn.RANK.EQ(F585,$F$2:$F$1031),"")</f>
        <v/>
      </c>
      <c r="H585">
        <f>INDEX(Sheet1!AH:AH,MATCH(A585,Sheet1!A:A,0))</f>
        <v/>
      </c>
    </row>
    <row r="586">
      <c r="A586" t="n">
        <v>1422</v>
      </c>
      <c r="B586">
        <f>Sheet1!C586+Sheet1!D586+Sheet1!E586+Sheet1!F586+Sheet1!J586+Sheet1!K586+Sheet1!L586+Sheet1!M586</f>
        <v/>
      </c>
      <c r="C586">
        <f>IF(ISNUMBER(B586),B586,"")</f>
        <v/>
      </c>
      <c r="D586">
        <f>IF(ISNUMBER(C586),_xlfn.RANK.EQ(C586,$C$2:$C$1031),"")</f>
        <v/>
      </c>
      <c r="E586">
        <f>Sheet1!C586+Sheet1!D586+Sheet1!E586+Sheet1!F586+Sheet1!J586+Sheet1!K586+Sheet1!L586+Sheet1!M586+Sheet1!Q586+Sheet1!R586+Sheet1!S586+Sheet1!T586</f>
        <v/>
      </c>
      <c r="F586">
        <f>IF(ISNUMBER(E586),E586,"")</f>
        <v/>
      </c>
      <c r="G586">
        <f>IF(ISNUMBER(F586),_xlfn.RANK.EQ(F586,$F$2:$F$1031),"")</f>
        <v/>
      </c>
      <c r="H586">
        <f>INDEX(Sheet1!AH:AH,MATCH(A586,Sheet1!A:A,0))</f>
        <v/>
      </c>
    </row>
    <row r="587">
      <c r="A587" t="n">
        <v>1424</v>
      </c>
      <c r="B587">
        <f>Sheet1!C587+Sheet1!D587+Sheet1!E587+Sheet1!F587+Sheet1!J587+Sheet1!K587+Sheet1!L587+Sheet1!M587</f>
        <v/>
      </c>
      <c r="C587">
        <f>IF(ISNUMBER(B587),B587,"")</f>
        <v/>
      </c>
      <c r="D587">
        <f>IF(ISNUMBER(C587),_xlfn.RANK.EQ(C587,$C$2:$C$1031),"")</f>
        <v/>
      </c>
      <c r="E587">
        <f>Sheet1!C587+Sheet1!D587+Sheet1!E587+Sheet1!F587+Sheet1!J587+Sheet1!K587+Sheet1!L587+Sheet1!M587+Sheet1!Q587+Sheet1!R587+Sheet1!S587+Sheet1!T587</f>
        <v/>
      </c>
      <c r="F587">
        <f>IF(ISNUMBER(E587),E587,"")</f>
        <v/>
      </c>
      <c r="G587">
        <f>IF(ISNUMBER(F587),_xlfn.RANK.EQ(F587,$F$2:$F$1031),"")</f>
        <v/>
      </c>
      <c r="H587">
        <f>INDEX(Sheet1!AH:AH,MATCH(A587,Sheet1!A:A,0))</f>
        <v/>
      </c>
    </row>
    <row r="588">
      <c r="A588" t="n">
        <v>1425</v>
      </c>
      <c r="B588">
        <f>Sheet1!C588+Sheet1!D588+Sheet1!E588+Sheet1!F588+Sheet1!J588+Sheet1!K588+Sheet1!L588+Sheet1!M588</f>
        <v/>
      </c>
      <c r="C588">
        <f>IF(ISNUMBER(B588),B588,"")</f>
        <v/>
      </c>
      <c r="D588">
        <f>IF(ISNUMBER(C588),_xlfn.RANK.EQ(C588,$C$2:$C$1031),"")</f>
        <v/>
      </c>
      <c r="E588">
        <f>Sheet1!C588+Sheet1!D588+Sheet1!E588+Sheet1!F588+Sheet1!J588+Sheet1!K588+Sheet1!L588+Sheet1!M588+Sheet1!Q588+Sheet1!R588+Sheet1!S588+Sheet1!T588</f>
        <v/>
      </c>
      <c r="F588">
        <f>IF(ISNUMBER(E588),E588,"")</f>
        <v/>
      </c>
      <c r="G588">
        <f>IF(ISNUMBER(F588),_xlfn.RANK.EQ(F588,$F$2:$F$1031),"")</f>
        <v/>
      </c>
      <c r="H588">
        <f>INDEX(Sheet1!AH:AH,MATCH(A588,Sheet1!A:A,0))</f>
        <v/>
      </c>
    </row>
    <row r="589">
      <c r="A589" t="n">
        <v>1426</v>
      </c>
      <c r="B589">
        <f>Sheet1!C589+Sheet1!D589+Sheet1!E589+Sheet1!F589+Sheet1!J589+Sheet1!K589+Sheet1!L589+Sheet1!M589</f>
        <v/>
      </c>
      <c r="C589">
        <f>IF(ISNUMBER(B589),B589,"")</f>
        <v/>
      </c>
      <c r="D589">
        <f>IF(ISNUMBER(C589),_xlfn.RANK.EQ(C589,$C$2:$C$1031),"")</f>
        <v/>
      </c>
      <c r="E589">
        <f>Sheet1!C589+Sheet1!D589+Sheet1!E589+Sheet1!F589+Sheet1!J589+Sheet1!K589+Sheet1!L589+Sheet1!M589+Sheet1!Q589+Sheet1!R589+Sheet1!S589+Sheet1!T589</f>
        <v/>
      </c>
      <c r="F589">
        <f>IF(ISNUMBER(E589),E589,"")</f>
        <v/>
      </c>
      <c r="G589">
        <f>IF(ISNUMBER(F589),_xlfn.RANK.EQ(F589,$F$2:$F$1031),"")</f>
        <v/>
      </c>
      <c r="H589">
        <f>INDEX(Sheet1!AH:AH,MATCH(A589,Sheet1!A:A,0))</f>
        <v/>
      </c>
    </row>
    <row r="590">
      <c r="A590" t="n">
        <v>1427</v>
      </c>
      <c r="B590">
        <f>Sheet1!C590+Sheet1!D590+Sheet1!E590+Sheet1!F590+Sheet1!J590+Sheet1!K590+Sheet1!L590+Sheet1!M590</f>
        <v/>
      </c>
      <c r="C590">
        <f>IF(ISNUMBER(B590),B590,"")</f>
        <v/>
      </c>
      <c r="D590">
        <f>IF(ISNUMBER(C590),_xlfn.RANK.EQ(C590,$C$2:$C$1031),"")</f>
        <v/>
      </c>
      <c r="E590">
        <f>Sheet1!C590+Sheet1!D590+Sheet1!E590+Sheet1!F590+Sheet1!J590+Sheet1!K590+Sheet1!L590+Sheet1!M590+Sheet1!Q590+Sheet1!R590+Sheet1!S590+Sheet1!T590</f>
        <v/>
      </c>
      <c r="F590">
        <f>IF(ISNUMBER(E590),E590,"")</f>
        <v/>
      </c>
      <c r="G590">
        <f>IF(ISNUMBER(F590),_xlfn.RANK.EQ(F590,$F$2:$F$1031),"")</f>
        <v/>
      </c>
      <c r="H590">
        <f>INDEX(Sheet1!AH:AH,MATCH(A590,Sheet1!A:A,0))</f>
        <v/>
      </c>
    </row>
    <row r="591">
      <c r="A591" t="n">
        <v>1429</v>
      </c>
      <c r="B591">
        <f>Sheet1!C591+Sheet1!D591+Sheet1!E591+Sheet1!F591+Sheet1!J591+Sheet1!K591+Sheet1!L591+Sheet1!M591</f>
        <v/>
      </c>
      <c r="C591">
        <f>IF(ISNUMBER(B591),B591,"")</f>
        <v/>
      </c>
      <c r="D591">
        <f>IF(ISNUMBER(C591),_xlfn.RANK.EQ(C591,$C$2:$C$1031),"")</f>
        <v/>
      </c>
      <c r="E591">
        <f>Sheet1!C591+Sheet1!D591+Sheet1!E591+Sheet1!F591+Sheet1!J591+Sheet1!K591+Sheet1!L591+Sheet1!M591+Sheet1!Q591+Sheet1!R591+Sheet1!S591+Sheet1!T591</f>
        <v/>
      </c>
      <c r="F591">
        <f>IF(ISNUMBER(E591),E591,"")</f>
        <v/>
      </c>
      <c r="G591">
        <f>IF(ISNUMBER(F591),_xlfn.RANK.EQ(F591,$F$2:$F$1031),"")</f>
        <v/>
      </c>
      <c r="H591">
        <f>INDEX(Sheet1!AH:AH,MATCH(A591,Sheet1!A:A,0))</f>
        <v/>
      </c>
    </row>
    <row r="592">
      <c r="A592" t="n">
        <v>1430</v>
      </c>
      <c r="B592">
        <f>Sheet1!C592+Sheet1!D592+Sheet1!E592+Sheet1!F592+Sheet1!J592+Sheet1!K592+Sheet1!L592+Sheet1!M592</f>
        <v/>
      </c>
      <c r="C592">
        <f>IF(ISNUMBER(B592),B592,"")</f>
        <v/>
      </c>
      <c r="D592">
        <f>IF(ISNUMBER(C592),_xlfn.RANK.EQ(C592,$C$2:$C$1031),"")</f>
        <v/>
      </c>
      <c r="E592">
        <f>Sheet1!C592+Sheet1!D592+Sheet1!E592+Sheet1!F592+Sheet1!J592+Sheet1!K592+Sheet1!L592+Sheet1!M592+Sheet1!Q592+Sheet1!R592+Sheet1!S592+Sheet1!T592</f>
        <v/>
      </c>
      <c r="F592">
        <f>IF(ISNUMBER(E592),E592,"")</f>
        <v/>
      </c>
      <c r="G592">
        <f>IF(ISNUMBER(F592),_xlfn.RANK.EQ(F592,$F$2:$F$1031),"")</f>
        <v/>
      </c>
      <c r="H592">
        <f>INDEX(Sheet1!AH:AH,MATCH(A592,Sheet1!A:A,0))</f>
        <v/>
      </c>
    </row>
    <row r="593">
      <c r="A593" t="n">
        <v>1431</v>
      </c>
      <c r="B593">
        <f>Sheet1!C593+Sheet1!D593+Sheet1!E593+Sheet1!F593+Sheet1!J593+Sheet1!K593+Sheet1!L593+Sheet1!M593</f>
        <v/>
      </c>
      <c r="C593">
        <f>IF(ISNUMBER(B593),B593,"")</f>
        <v/>
      </c>
      <c r="D593">
        <f>IF(ISNUMBER(C593),_xlfn.RANK.EQ(C593,$C$2:$C$1031),"")</f>
        <v/>
      </c>
      <c r="E593">
        <f>Sheet1!C593+Sheet1!D593+Sheet1!E593+Sheet1!F593+Sheet1!J593+Sheet1!K593+Sheet1!L593+Sheet1!M593+Sheet1!Q593+Sheet1!R593+Sheet1!S593+Sheet1!T593</f>
        <v/>
      </c>
      <c r="F593">
        <f>IF(ISNUMBER(E593),E593,"")</f>
        <v/>
      </c>
      <c r="G593">
        <f>IF(ISNUMBER(F593),_xlfn.RANK.EQ(F593,$F$2:$F$1031),"")</f>
        <v/>
      </c>
      <c r="H593">
        <f>INDEX(Sheet1!AH:AH,MATCH(A593,Sheet1!A:A,0))</f>
        <v/>
      </c>
    </row>
    <row r="594">
      <c r="A594" t="n">
        <v>1433</v>
      </c>
      <c r="B594">
        <f>Sheet1!C594+Sheet1!D594+Sheet1!E594+Sheet1!F594+Sheet1!J594+Sheet1!K594+Sheet1!L594+Sheet1!M594</f>
        <v/>
      </c>
      <c r="C594">
        <f>IF(ISNUMBER(B594),B594,"")</f>
        <v/>
      </c>
      <c r="D594">
        <f>IF(ISNUMBER(C594),_xlfn.RANK.EQ(C594,$C$2:$C$1031),"")</f>
        <v/>
      </c>
      <c r="E594">
        <f>Sheet1!C594+Sheet1!D594+Sheet1!E594+Sheet1!F594+Sheet1!J594+Sheet1!K594+Sheet1!L594+Sheet1!M594+Sheet1!Q594+Sheet1!R594+Sheet1!S594+Sheet1!T594</f>
        <v/>
      </c>
      <c r="F594">
        <f>IF(ISNUMBER(E594),E594,"")</f>
        <v/>
      </c>
      <c r="G594">
        <f>IF(ISNUMBER(F594),_xlfn.RANK.EQ(F594,$F$2:$F$1031),"")</f>
        <v/>
      </c>
      <c r="H594">
        <f>INDEX(Sheet1!AH:AH,MATCH(A594,Sheet1!A:A,0))</f>
        <v/>
      </c>
    </row>
    <row r="595">
      <c r="A595" t="n">
        <v>1434</v>
      </c>
      <c r="B595">
        <f>Sheet1!C595+Sheet1!D595+Sheet1!E595+Sheet1!F595+Sheet1!J595+Sheet1!K595+Sheet1!L595+Sheet1!M595</f>
        <v/>
      </c>
      <c r="C595">
        <f>IF(ISNUMBER(B595),B595,"")</f>
        <v/>
      </c>
      <c r="D595">
        <f>IF(ISNUMBER(C595),_xlfn.RANK.EQ(C595,$C$2:$C$1031),"")</f>
        <v/>
      </c>
      <c r="E595">
        <f>Sheet1!C595+Sheet1!D595+Sheet1!E595+Sheet1!F595+Sheet1!J595+Sheet1!K595+Sheet1!L595+Sheet1!M595+Sheet1!Q595+Sheet1!R595+Sheet1!S595+Sheet1!T595</f>
        <v/>
      </c>
      <c r="F595">
        <f>IF(ISNUMBER(E595),E595,"")</f>
        <v/>
      </c>
      <c r="G595">
        <f>IF(ISNUMBER(F595),_xlfn.RANK.EQ(F595,$F$2:$F$1031),"")</f>
        <v/>
      </c>
      <c r="H595">
        <f>INDEX(Sheet1!AH:AH,MATCH(A595,Sheet1!A:A,0))</f>
        <v/>
      </c>
    </row>
    <row r="596">
      <c r="A596" t="n">
        <v>1435</v>
      </c>
      <c r="B596">
        <f>Sheet1!C596+Sheet1!D596+Sheet1!E596+Sheet1!F596+Sheet1!J596+Sheet1!K596+Sheet1!L596+Sheet1!M596</f>
        <v/>
      </c>
      <c r="C596">
        <f>IF(ISNUMBER(B596),B596,"")</f>
        <v/>
      </c>
      <c r="D596">
        <f>IF(ISNUMBER(C596),_xlfn.RANK.EQ(C596,$C$2:$C$1031),"")</f>
        <v/>
      </c>
      <c r="E596">
        <f>Sheet1!C596+Sheet1!D596+Sheet1!E596+Sheet1!F596+Sheet1!J596+Sheet1!K596+Sheet1!L596+Sheet1!M596+Sheet1!Q596+Sheet1!R596+Sheet1!S596+Sheet1!T596</f>
        <v/>
      </c>
      <c r="F596">
        <f>IF(ISNUMBER(E596),E596,"")</f>
        <v/>
      </c>
      <c r="G596">
        <f>IF(ISNUMBER(F596),_xlfn.RANK.EQ(F596,$F$2:$F$1031),"")</f>
        <v/>
      </c>
      <c r="H596">
        <f>INDEX(Sheet1!AH:AH,MATCH(A596,Sheet1!A:A,0))</f>
        <v/>
      </c>
    </row>
    <row r="597">
      <c r="A597" t="n">
        <v>1436</v>
      </c>
      <c r="B597">
        <f>Sheet1!C597+Sheet1!D597+Sheet1!E597+Sheet1!F597+Sheet1!J597+Sheet1!K597+Sheet1!L597+Sheet1!M597</f>
        <v/>
      </c>
      <c r="C597">
        <f>IF(ISNUMBER(B597),B597,"")</f>
        <v/>
      </c>
      <c r="D597">
        <f>IF(ISNUMBER(C597),_xlfn.RANK.EQ(C597,$C$2:$C$1031),"")</f>
        <v/>
      </c>
      <c r="E597">
        <f>Sheet1!C597+Sheet1!D597+Sheet1!E597+Sheet1!F597+Sheet1!J597+Sheet1!K597+Sheet1!L597+Sheet1!M597+Sheet1!Q597+Sheet1!R597+Sheet1!S597+Sheet1!T597</f>
        <v/>
      </c>
      <c r="F597">
        <f>IF(ISNUMBER(E597),E597,"")</f>
        <v/>
      </c>
      <c r="G597">
        <f>IF(ISNUMBER(F597),_xlfn.RANK.EQ(F597,$F$2:$F$1031),"")</f>
        <v/>
      </c>
      <c r="H597">
        <f>INDEX(Sheet1!AH:AH,MATCH(A597,Sheet1!A:A,0))</f>
        <v/>
      </c>
    </row>
    <row r="598">
      <c r="A598" t="n">
        <v>1439</v>
      </c>
      <c r="B598">
        <f>Sheet1!C598+Sheet1!D598+Sheet1!E598+Sheet1!F598+Sheet1!J598+Sheet1!K598+Sheet1!L598+Sheet1!M598</f>
        <v/>
      </c>
      <c r="C598">
        <f>IF(ISNUMBER(B598),B598,"")</f>
        <v/>
      </c>
      <c r="D598">
        <f>IF(ISNUMBER(C598),_xlfn.RANK.EQ(C598,$C$2:$C$1031),"")</f>
        <v/>
      </c>
      <c r="E598">
        <f>Sheet1!C598+Sheet1!D598+Sheet1!E598+Sheet1!F598+Sheet1!J598+Sheet1!K598+Sheet1!L598+Sheet1!M598+Sheet1!Q598+Sheet1!R598+Sheet1!S598+Sheet1!T598</f>
        <v/>
      </c>
      <c r="F598">
        <f>IF(ISNUMBER(E598),E598,"")</f>
        <v/>
      </c>
      <c r="G598">
        <f>IF(ISNUMBER(F598),_xlfn.RANK.EQ(F598,$F$2:$F$1031),"")</f>
        <v/>
      </c>
      <c r="H598">
        <f>INDEX(Sheet1!AH:AH,MATCH(A598,Sheet1!A:A,0))</f>
        <v/>
      </c>
    </row>
    <row r="599">
      <c r="A599" t="n">
        <v>1442</v>
      </c>
      <c r="B599">
        <f>Sheet1!C599+Sheet1!D599+Sheet1!E599+Sheet1!F599+Sheet1!J599+Sheet1!K599+Sheet1!L599+Sheet1!M599</f>
        <v/>
      </c>
      <c r="C599">
        <f>IF(ISNUMBER(B599),B599,"")</f>
        <v/>
      </c>
      <c r="D599">
        <f>IF(ISNUMBER(C599),_xlfn.RANK.EQ(C599,$C$2:$C$1031),"")</f>
        <v/>
      </c>
      <c r="E599">
        <f>Sheet1!C599+Sheet1!D599+Sheet1!E599+Sheet1!F599+Sheet1!J599+Sheet1!K599+Sheet1!L599+Sheet1!M599+Sheet1!Q599+Sheet1!R599+Sheet1!S599+Sheet1!T599</f>
        <v/>
      </c>
      <c r="F599">
        <f>IF(ISNUMBER(E599),E599,"")</f>
        <v/>
      </c>
      <c r="G599">
        <f>IF(ISNUMBER(F599),_xlfn.RANK.EQ(F599,$F$2:$F$1031),"")</f>
        <v/>
      </c>
      <c r="H599">
        <f>INDEX(Sheet1!AH:AH,MATCH(A599,Sheet1!A:A,0))</f>
        <v/>
      </c>
    </row>
    <row r="600">
      <c r="A600" t="n">
        <v>1443</v>
      </c>
      <c r="B600">
        <f>Sheet1!C600+Sheet1!D600+Sheet1!E600+Sheet1!F600+Sheet1!J600+Sheet1!K600+Sheet1!L600+Sheet1!M600</f>
        <v/>
      </c>
      <c r="C600">
        <f>IF(ISNUMBER(B600),B600,"")</f>
        <v/>
      </c>
      <c r="D600">
        <f>IF(ISNUMBER(C600),_xlfn.RANK.EQ(C600,$C$2:$C$1031),"")</f>
        <v/>
      </c>
      <c r="E600">
        <f>Sheet1!C600+Sheet1!D600+Sheet1!E600+Sheet1!F600+Sheet1!J600+Sheet1!K600+Sheet1!L600+Sheet1!M600+Sheet1!Q600+Sheet1!R600+Sheet1!S600+Sheet1!T600</f>
        <v/>
      </c>
      <c r="F600">
        <f>IF(ISNUMBER(E600),E600,"")</f>
        <v/>
      </c>
      <c r="G600">
        <f>IF(ISNUMBER(F600),_xlfn.RANK.EQ(F600,$F$2:$F$1031),"")</f>
        <v/>
      </c>
      <c r="H600">
        <f>INDEX(Sheet1!AH:AH,MATCH(A600,Sheet1!A:A,0))</f>
        <v/>
      </c>
    </row>
    <row r="601">
      <c r="A601" t="n">
        <v>1445</v>
      </c>
      <c r="B601">
        <f>Sheet1!C601+Sheet1!D601+Sheet1!E601+Sheet1!F601+Sheet1!J601+Sheet1!K601+Sheet1!L601+Sheet1!M601</f>
        <v/>
      </c>
      <c r="C601">
        <f>IF(ISNUMBER(B601),B601,"")</f>
        <v/>
      </c>
      <c r="D601">
        <f>IF(ISNUMBER(C601),_xlfn.RANK.EQ(C601,$C$2:$C$1031),"")</f>
        <v/>
      </c>
      <c r="E601">
        <f>Sheet1!C601+Sheet1!D601+Sheet1!E601+Sheet1!F601+Sheet1!J601+Sheet1!K601+Sheet1!L601+Sheet1!M601+Sheet1!Q601+Sheet1!R601+Sheet1!S601+Sheet1!T601</f>
        <v/>
      </c>
      <c r="F601">
        <f>IF(ISNUMBER(E601),E601,"")</f>
        <v/>
      </c>
      <c r="G601">
        <f>IF(ISNUMBER(F601),_xlfn.RANK.EQ(F601,$F$2:$F$1031),"")</f>
        <v/>
      </c>
      <c r="H601">
        <f>INDEX(Sheet1!AH:AH,MATCH(A601,Sheet1!A:A,0))</f>
        <v/>
      </c>
    </row>
    <row r="602">
      <c r="A602" t="n">
        <v>1446</v>
      </c>
      <c r="B602">
        <f>Sheet1!C602+Sheet1!D602+Sheet1!E602+Sheet1!F602+Sheet1!J602+Sheet1!K602+Sheet1!L602+Sheet1!M602</f>
        <v/>
      </c>
      <c r="C602">
        <f>IF(ISNUMBER(B602),B602,"")</f>
        <v/>
      </c>
      <c r="D602">
        <f>IF(ISNUMBER(C602),_xlfn.RANK.EQ(C602,$C$2:$C$1031),"")</f>
        <v/>
      </c>
      <c r="E602">
        <f>Sheet1!C602+Sheet1!D602+Sheet1!E602+Sheet1!F602+Sheet1!J602+Sheet1!K602+Sheet1!L602+Sheet1!M602+Sheet1!Q602+Sheet1!R602+Sheet1!S602+Sheet1!T602</f>
        <v/>
      </c>
      <c r="F602">
        <f>IF(ISNUMBER(E602),E602,"")</f>
        <v/>
      </c>
      <c r="G602">
        <f>IF(ISNUMBER(F602),_xlfn.RANK.EQ(F602,$F$2:$F$1031),"")</f>
        <v/>
      </c>
      <c r="H602">
        <f>INDEX(Sheet1!AH:AH,MATCH(A602,Sheet1!A:A,0))</f>
        <v/>
      </c>
    </row>
    <row r="603">
      <c r="A603" t="n">
        <v>1451</v>
      </c>
      <c r="B603">
        <f>Sheet1!C603+Sheet1!D603+Sheet1!E603+Sheet1!F603+Sheet1!J603+Sheet1!K603+Sheet1!L603+Sheet1!M603</f>
        <v/>
      </c>
      <c r="C603">
        <f>IF(ISNUMBER(B603),B603,"")</f>
        <v/>
      </c>
      <c r="D603">
        <f>IF(ISNUMBER(C603),_xlfn.RANK.EQ(C603,$C$2:$C$1031),"")</f>
        <v/>
      </c>
      <c r="E603">
        <f>Sheet1!C603+Sheet1!D603+Sheet1!E603+Sheet1!F603+Sheet1!J603+Sheet1!K603+Sheet1!L603+Sheet1!M603+Sheet1!Q603+Sheet1!R603+Sheet1!S603+Sheet1!T603</f>
        <v/>
      </c>
      <c r="F603">
        <f>IF(ISNUMBER(E603),E603,"")</f>
        <v/>
      </c>
      <c r="G603">
        <f>IF(ISNUMBER(F603),_xlfn.RANK.EQ(F603,$F$2:$F$1031),"")</f>
        <v/>
      </c>
      <c r="H603">
        <f>INDEX(Sheet1!AH:AH,MATCH(A603,Sheet1!A:A,0))</f>
        <v/>
      </c>
    </row>
    <row r="604">
      <c r="A604" t="n">
        <v>1452</v>
      </c>
      <c r="B604">
        <f>Sheet1!C604+Sheet1!D604+Sheet1!E604+Sheet1!F604+Sheet1!J604+Sheet1!K604+Sheet1!L604+Sheet1!M604</f>
        <v/>
      </c>
      <c r="C604">
        <f>IF(ISNUMBER(B604),B604,"")</f>
        <v/>
      </c>
      <c r="D604">
        <f>IF(ISNUMBER(C604),_xlfn.RANK.EQ(C604,$C$2:$C$1031),"")</f>
        <v/>
      </c>
      <c r="E604">
        <f>Sheet1!C604+Sheet1!D604+Sheet1!E604+Sheet1!F604+Sheet1!J604+Sheet1!K604+Sheet1!L604+Sheet1!M604+Sheet1!Q604+Sheet1!R604+Sheet1!S604+Sheet1!T604</f>
        <v/>
      </c>
      <c r="F604">
        <f>IF(ISNUMBER(E604),E604,"")</f>
        <v/>
      </c>
      <c r="G604">
        <f>IF(ISNUMBER(F604),_xlfn.RANK.EQ(F604,$F$2:$F$1031),"")</f>
        <v/>
      </c>
      <c r="H604">
        <f>INDEX(Sheet1!AH:AH,MATCH(A604,Sheet1!A:A,0))</f>
        <v/>
      </c>
    </row>
    <row r="605">
      <c r="A605" t="n">
        <v>1453</v>
      </c>
      <c r="B605">
        <f>Sheet1!C605+Sheet1!D605+Sheet1!E605+Sheet1!F605+Sheet1!J605+Sheet1!K605+Sheet1!L605+Sheet1!M605</f>
        <v/>
      </c>
      <c r="C605">
        <f>IF(ISNUMBER(B605),B605,"")</f>
        <v/>
      </c>
      <c r="D605">
        <f>IF(ISNUMBER(C605),_xlfn.RANK.EQ(C605,$C$2:$C$1031),"")</f>
        <v/>
      </c>
      <c r="E605">
        <f>Sheet1!C605+Sheet1!D605+Sheet1!E605+Sheet1!F605+Sheet1!J605+Sheet1!K605+Sheet1!L605+Sheet1!M605+Sheet1!Q605+Sheet1!R605+Sheet1!S605+Sheet1!T605</f>
        <v/>
      </c>
      <c r="F605">
        <f>IF(ISNUMBER(E605),E605,"")</f>
        <v/>
      </c>
      <c r="G605">
        <f>IF(ISNUMBER(F605),_xlfn.RANK.EQ(F605,$F$2:$F$1031),"")</f>
        <v/>
      </c>
      <c r="H605">
        <f>INDEX(Sheet1!AH:AH,MATCH(A605,Sheet1!A:A,0))</f>
        <v/>
      </c>
    </row>
    <row r="606">
      <c r="A606" t="n">
        <v>1455</v>
      </c>
      <c r="B606">
        <f>Sheet1!C606+Sheet1!D606+Sheet1!E606+Sheet1!F606+Sheet1!J606+Sheet1!K606+Sheet1!L606+Sheet1!M606</f>
        <v/>
      </c>
      <c r="C606">
        <f>IF(ISNUMBER(B606),B606,"")</f>
        <v/>
      </c>
      <c r="D606">
        <f>IF(ISNUMBER(C606),_xlfn.RANK.EQ(C606,$C$2:$C$1031),"")</f>
        <v/>
      </c>
      <c r="E606">
        <f>Sheet1!C606+Sheet1!D606+Sheet1!E606+Sheet1!F606+Sheet1!J606+Sheet1!K606+Sheet1!L606+Sheet1!M606+Sheet1!Q606+Sheet1!R606+Sheet1!S606+Sheet1!T606</f>
        <v/>
      </c>
      <c r="F606">
        <f>IF(ISNUMBER(E606),E606,"")</f>
        <v/>
      </c>
      <c r="G606">
        <f>IF(ISNUMBER(F606),_xlfn.RANK.EQ(F606,$F$2:$F$1031),"")</f>
        <v/>
      </c>
      <c r="H606">
        <f>INDEX(Sheet1!AH:AH,MATCH(A606,Sheet1!A:A,0))</f>
        <v/>
      </c>
    </row>
    <row r="607">
      <c r="A607" t="n">
        <v>1458</v>
      </c>
      <c r="B607">
        <f>Sheet1!C607+Sheet1!D607+Sheet1!E607+Sheet1!F607+Sheet1!J607+Sheet1!K607+Sheet1!L607+Sheet1!M607</f>
        <v/>
      </c>
      <c r="C607">
        <f>IF(ISNUMBER(B607),B607,"")</f>
        <v/>
      </c>
      <c r="D607">
        <f>IF(ISNUMBER(C607),_xlfn.RANK.EQ(C607,$C$2:$C$1031),"")</f>
        <v/>
      </c>
      <c r="E607">
        <f>Sheet1!C607+Sheet1!D607+Sheet1!E607+Sheet1!F607+Sheet1!J607+Sheet1!K607+Sheet1!L607+Sheet1!M607+Sheet1!Q607+Sheet1!R607+Sheet1!S607+Sheet1!T607</f>
        <v/>
      </c>
      <c r="F607">
        <f>IF(ISNUMBER(E607),E607,"")</f>
        <v/>
      </c>
      <c r="G607">
        <f>IF(ISNUMBER(F607),_xlfn.RANK.EQ(F607,$F$2:$F$1031),"")</f>
        <v/>
      </c>
      <c r="H607">
        <f>INDEX(Sheet1!AH:AH,MATCH(A607,Sheet1!A:A,0))</f>
        <v/>
      </c>
    </row>
    <row r="608">
      <c r="A608" t="n">
        <v>1459</v>
      </c>
      <c r="B608">
        <f>Sheet1!C608+Sheet1!D608+Sheet1!E608+Sheet1!F608+Sheet1!J608+Sheet1!K608+Sheet1!L608+Sheet1!M608</f>
        <v/>
      </c>
      <c r="C608">
        <f>IF(ISNUMBER(B608),B608,"")</f>
        <v/>
      </c>
      <c r="D608">
        <f>IF(ISNUMBER(C608),_xlfn.RANK.EQ(C608,$C$2:$C$1031),"")</f>
        <v/>
      </c>
      <c r="E608">
        <f>Sheet1!C608+Sheet1!D608+Sheet1!E608+Sheet1!F608+Sheet1!J608+Sheet1!K608+Sheet1!L608+Sheet1!M608+Sheet1!Q608+Sheet1!R608+Sheet1!S608+Sheet1!T608</f>
        <v/>
      </c>
      <c r="F608">
        <f>IF(ISNUMBER(E608),E608,"")</f>
        <v/>
      </c>
      <c r="G608">
        <f>IF(ISNUMBER(F608),_xlfn.RANK.EQ(F608,$F$2:$F$1031),"")</f>
        <v/>
      </c>
      <c r="H608">
        <f>INDEX(Sheet1!AH:AH,MATCH(A608,Sheet1!A:A,0))</f>
        <v/>
      </c>
    </row>
    <row r="609">
      <c r="A609" t="n">
        <v>1464</v>
      </c>
      <c r="B609">
        <f>Sheet1!C609+Sheet1!D609+Sheet1!E609+Sheet1!F609+Sheet1!J609+Sheet1!K609+Sheet1!L609+Sheet1!M609</f>
        <v/>
      </c>
      <c r="C609">
        <f>IF(ISNUMBER(B609),B609,"")</f>
        <v/>
      </c>
      <c r="D609">
        <f>IF(ISNUMBER(C609),_xlfn.RANK.EQ(C609,$C$2:$C$1031),"")</f>
        <v/>
      </c>
      <c r="E609">
        <f>Sheet1!C609+Sheet1!D609+Sheet1!E609+Sheet1!F609+Sheet1!J609+Sheet1!K609+Sheet1!L609+Sheet1!M609+Sheet1!Q609+Sheet1!R609+Sheet1!S609+Sheet1!T609</f>
        <v/>
      </c>
      <c r="F609">
        <f>IF(ISNUMBER(E609),E609,"")</f>
        <v/>
      </c>
      <c r="G609">
        <f>IF(ISNUMBER(F609),_xlfn.RANK.EQ(F609,$F$2:$F$1031),"")</f>
        <v/>
      </c>
      <c r="H609">
        <f>INDEX(Sheet1!AH:AH,MATCH(A609,Sheet1!A:A,0))</f>
        <v/>
      </c>
    </row>
    <row r="610">
      <c r="A610" t="n">
        <v>1465</v>
      </c>
      <c r="B610">
        <f>Sheet1!C610+Sheet1!D610+Sheet1!E610+Sheet1!F610+Sheet1!J610+Sheet1!K610+Sheet1!L610+Sheet1!M610</f>
        <v/>
      </c>
      <c r="C610">
        <f>IF(ISNUMBER(B610),B610,"")</f>
        <v/>
      </c>
      <c r="D610">
        <f>IF(ISNUMBER(C610),_xlfn.RANK.EQ(C610,$C$2:$C$1031),"")</f>
        <v/>
      </c>
      <c r="E610">
        <f>Sheet1!C610+Sheet1!D610+Sheet1!E610+Sheet1!F610+Sheet1!J610+Sheet1!K610+Sheet1!L610+Sheet1!M610+Sheet1!Q610+Sheet1!R610+Sheet1!S610+Sheet1!T610</f>
        <v/>
      </c>
      <c r="F610">
        <f>IF(ISNUMBER(E610),E610,"")</f>
        <v/>
      </c>
      <c r="G610">
        <f>IF(ISNUMBER(F610),_xlfn.RANK.EQ(F610,$F$2:$F$1031),"")</f>
        <v/>
      </c>
      <c r="H610">
        <f>INDEX(Sheet1!AH:AH,MATCH(A610,Sheet1!A:A,0))</f>
        <v/>
      </c>
    </row>
    <row r="611">
      <c r="A611" t="n">
        <v>1473</v>
      </c>
      <c r="B611">
        <f>Sheet1!C611+Sheet1!D611+Sheet1!E611+Sheet1!F611+Sheet1!J611+Sheet1!K611+Sheet1!L611+Sheet1!M611</f>
        <v/>
      </c>
      <c r="C611">
        <f>IF(ISNUMBER(B611),B611,"")</f>
        <v/>
      </c>
      <c r="D611">
        <f>IF(ISNUMBER(C611),_xlfn.RANK.EQ(C611,$C$2:$C$1031),"")</f>
        <v/>
      </c>
      <c r="E611">
        <f>Sheet1!C611+Sheet1!D611+Sheet1!E611+Sheet1!F611+Sheet1!J611+Sheet1!K611+Sheet1!L611+Sheet1!M611+Sheet1!Q611+Sheet1!R611+Sheet1!S611+Sheet1!T611</f>
        <v/>
      </c>
      <c r="F611">
        <f>IF(ISNUMBER(E611),E611,"")</f>
        <v/>
      </c>
      <c r="G611">
        <f>IF(ISNUMBER(F611),_xlfn.RANK.EQ(F611,$F$2:$F$1031),"")</f>
        <v/>
      </c>
      <c r="H611">
        <f>INDEX(Sheet1!AH:AH,MATCH(A611,Sheet1!A:A,0))</f>
        <v/>
      </c>
    </row>
    <row r="612">
      <c r="A612" t="n">
        <v>1477</v>
      </c>
      <c r="B612">
        <f>Sheet1!C612+Sheet1!D612+Sheet1!E612+Sheet1!F612+Sheet1!J612+Sheet1!K612+Sheet1!L612+Sheet1!M612</f>
        <v/>
      </c>
      <c r="C612">
        <f>IF(ISNUMBER(B612),B612,"")</f>
        <v/>
      </c>
      <c r="D612">
        <f>IF(ISNUMBER(C612),_xlfn.RANK.EQ(C612,$C$2:$C$1031),"")</f>
        <v/>
      </c>
      <c r="E612">
        <f>Sheet1!C612+Sheet1!D612+Sheet1!E612+Sheet1!F612+Sheet1!J612+Sheet1!K612+Sheet1!L612+Sheet1!M612+Sheet1!Q612+Sheet1!R612+Sheet1!S612+Sheet1!T612</f>
        <v/>
      </c>
      <c r="F612">
        <f>IF(ISNUMBER(E612),E612,"")</f>
        <v/>
      </c>
      <c r="G612">
        <f>IF(ISNUMBER(F612),_xlfn.RANK.EQ(F612,$F$2:$F$1031),"")</f>
        <v/>
      </c>
      <c r="H612">
        <f>INDEX(Sheet1!AH:AH,MATCH(A612,Sheet1!A:A,0))</f>
        <v/>
      </c>
    </row>
    <row r="613">
      <c r="A613" t="n">
        <v>1485</v>
      </c>
      <c r="B613">
        <f>Sheet1!C613+Sheet1!D613+Sheet1!E613+Sheet1!F613+Sheet1!J613+Sheet1!K613+Sheet1!L613+Sheet1!M613</f>
        <v/>
      </c>
      <c r="C613">
        <f>IF(ISNUMBER(B613),B613,"")</f>
        <v/>
      </c>
      <c r="D613">
        <f>IF(ISNUMBER(C613),_xlfn.RANK.EQ(C613,$C$2:$C$1031),"")</f>
        <v/>
      </c>
      <c r="E613">
        <f>Sheet1!C613+Sheet1!D613+Sheet1!E613+Sheet1!F613+Sheet1!J613+Sheet1!K613+Sheet1!L613+Sheet1!M613+Sheet1!Q613+Sheet1!R613+Sheet1!S613+Sheet1!T613</f>
        <v/>
      </c>
      <c r="F613">
        <f>IF(ISNUMBER(E613),E613,"")</f>
        <v/>
      </c>
      <c r="G613">
        <f>IF(ISNUMBER(F613),_xlfn.RANK.EQ(F613,$F$2:$F$1031),"")</f>
        <v/>
      </c>
      <c r="H613">
        <f>INDEX(Sheet1!AH:AH,MATCH(A613,Sheet1!A:A,0))</f>
        <v/>
      </c>
    </row>
    <row r="614">
      <c r="A614" t="n">
        <v>1486</v>
      </c>
      <c r="B614">
        <f>Sheet1!C614+Sheet1!D614+Sheet1!E614+Sheet1!F614+Sheet1!J614+Sheet1!K614+Sheet1!L614+Sheet1!M614</f>
        <v/>
      </c>
      <c r="C614">
        <f>IF(ISNUMBER(B614),B614,"")</f>
        <v/>
      </c>
      <c r="D614">
        <f>IF(ISNUMBER(C614),_xlfn.RANK.EQ(C614,$C$2:$C$1031),"")</f>
        <v/>
      </c>
      <c r="E614">
        <f>Sheet1!C614+Sheet1!D614+Sheet1!E614+Sheet1!F614+Sheet1!J614+Sheet1!K614+Sheet1!L614+Sheet1!M614+Sheet1!Q614+Sheet1!R614+Sheet1!S614+Sheet1!T614</f>
        <v/>
      </c>
      <c r="F614">
        <f>IF(ISNUMBER(E614),E614,"")</f>
        <v/>
      </c>
      <c r="G614">
        <f>IF(ISNUMBER(F614),_xlfn.RANK.EQ(F614,$F$2:$F$1031),"")</f>
        <v/>
      </c>
      <c r="H614">
        <f>INDEX(Sheet1!AH:AH,MATCH(A614,Sheet1!A:A,0))</f>
        <v/>
      </c>
    </row>
    <row r="615">
      <c r="A615" t="n">
        <v>1487</v>
      </c>
      <c r="B615">
        <f>Sheet1!C615+Sheet1!D615+Sheet1!E615+Sheet1!F615+Sheet1!J615+Sheet1!K615+Sheet1!L615+Sheet1!M615</f>
        <v/>
      </c>
      <c r="C615">
        <f>IF(ISNUMBER(B615),B615,"")</f>
        <v/>
      </c>
      <c r="D615">
        <f>IF(ISNUMBER(C615),_xlfn.RANK.EQ(C615,$C$2:$C$1031),"")</f>
        <v/>
      </c>
      <c r="E615">
        <f>Sheet1!C615+Sheet1!D615+Sheet1!E615+Sheet1!F615+Sheet1!J615+Sheet1!K615+Sheet1!L615+Sheet1!M615+Sheet1!Q615+Sheet1!R615+Sheet1!S615+Sheet1!T615</f>
        <v/>
      </c>
      <c r="F615">
        <f>IF(ISNUMBER(E615),E615,"")</f>
        <v/>
      </c>
      <c r="G615">
        <f>IF(ISNUMBER(F615),_xlfn.RANK.EQ(F615,$F$2:$F$1031),"")</f>
        <v/>
      </c>
      <c r="H615">
        <f>INDEX(Sheet1!AH:AH,MATCH(A615,Sheet1!A:A,0))</f>
        <v/>
      </c>
    </row>
    <row r="616">
      <c r="A616" t="n">
        <v>1488</v>
      </c>
      <c r="B616">
        <f>Sheet1!C616+Sheet1!D616+Sheet1!E616+Sheet1!F616+Sheet1!J616+Sheet1!K616+Sheet1!L616+Sheet1!M616</f>
        <v/>
      </c>
      <c r="C616">
        <f>IF(ISNUMBER(B616),B616,"")</f>
        <v/>
      </c>
      <c r="D616">
        <f>IF(ISNUMBER(C616),_xlfn.RANK.EQ(C616,$C$2:$C$1031),"")</f>
        <v/>
      </c>
      <c r="E616">
        <f>Sheet1!C616+Sheet1!D616+Sheet1!E616+Sheet1!F616+Sheet1!J616+Sheet1!K616+Sheet1!L616+Sheet1!M616+Sheet1!Q616+Sheet1!R616+Sheet1!S616+Sheet1!T616</f>
        <v/>
      </c>
      <c r="F616">
        <f>IF(ISNUMBER(E616),E616,"")</f>
        <v/>
      </c>
      <c r="G616">
        <f>IF(ISNUMBER(F616),_xlfn.RANK.EQ(F616,$F$2:$F$1031),"")</f>
        <v/>
      </c>
      <c r="H616">
        <f>INDEX(Sheet1!AH:AH,MATCH(A616,Sheet1!A:A,0))</f>
        <v/>
      </c>
    </row>
    <row r="617">
      <c r="A617" t="n">
        <v>1489</v>
      </c>
      <c r="B617">
        <f>Sheet1!C617+Sheet1!D617+Sheet1!E617+Sheet1!F617+Sheet1!J617+Sheet1!K617+Sheet1!L617+Sheet1!M617</f>
        <v/>
      </c>
      <c r="C617">
        <f>IF(ISNUMBER(B617),B617,"")</f>
        <v/>
      </c>
      <c r="D617">
        <f>IF(ISNUMBER(C617),_xlfn.RANK.EQ(C617,$C$2:$C$1031),"")</f>
        <v/>
      </c>
      <c r="E617">
        <f>Sheet1!C617+Sheet1!D617+Sheet1!E617+Sheet1!F617+Sheet1!J617+Sheet1!K617+Sheet1!L617+Sheet1!M617+Sheet1!Q617+Sheet1!R617+Sheet1!S617+Sheet1!T617</f>
        <v/>
      </c>
      <c r="F617">
        <f>IF(ISNUMBER(E617),E617,"")</f>
        <v/>
      </c>
      <c r="G617">
        <f>IF(ISNUMBER(F617),_xlfn.RANK.EQ(F617,$F$2:$F$1031),"")</f>
        <v/>
      </c>
      <c r="H617">
        <f>INDEX(Sheet1!AH:AH,MATCH(A617,Sheet1!A:A,0))</f>
        <v/>
      </c>
    </row>
    <row r="618">
      <c r="A618" t="n">
        <v>1492</v>
      </c>
      <c r="B618">
        <f>Sheet1!C618+Sheet1!D618+Sheet1!E618+Sheet1!F618+Sheet1!J618+Sheet1!K618+Sheet1!L618+Sheet1!M618</f>
        <v/>
      </c>
      <c r="C618">
        <f>IF(ISNUMBER(B618),B618,"")</f>
        <v/>
      </c>
      <c r="D618">
        <f>IF(ISNUMBER(C618),_xlfn.RANK.EQ(C618,$C$2:$C$1031),"")</f>
        <v/>
      </c>
      <c r="E618">
        <f>Sheet1!C618+Sheet1!D618+Sheet1!E618+Sheet1!F618+Sheet1!J618+Sheet1!K618+Sheet1!L618+Sheet1!M618+Sheet1!Q618+Sheet1!R618+Sheet1!S618+Sheet1!T618</f>
        <v/>
      </c>
      <c r="F618">
        <f>IF(ISNUMBER(E618),E618,"")</f>
        <v/>
      </c>
      <c r="G618">
        <f>IF(ISNUMBER(F618),_xlfn.RANK.EQ(F618,$F$2:$F$1031),"")</f>
        <v/>
      </c>
      <c r="H618">
        <f>INDEX(Sheet1!AH:AH,MATCH(A618,Sheet1!A:A,0))</f>
        <v/>
      </c>
    </row>
    <row r="619">
      <c r="A619" t="n">
        <v>1493</v>
      </c>
      <c r="B619">
        <f>Sheet1!C619+Sheet1!D619+Sheet1!E619+Sheet1!F619+Sheet1!J619+Sheet1!K619+Sheet1!L619+Sheet1!M619</f>
        <v/>
      </c>
      <c r="C619">
        <f>IF(ISNUMBER(B619),B619,"")</f>
        <v/>
      </c>
      <c r="D619">
        <f>IF(ISNUMBER(C619),_xlfn.RANK.EQ(C619,$C$2:$C$1031),"")</f>
        <v/>
      </c>
      <c r="E619">
        <f>Sheet1!C619+Sheet1!D619+Sheet1!E619+Sheet1!F619+Sheet1!J619+Sheet1!K619+Sheet1!L619+Sheet1!M619+Sheet1!Q619+Sheet1!R619+Sheet1!S619+Sheet1!T619</f>
        <v/>
      </c>
      <c r="F619">
        <f>IF(ISNUMBER(E619),E619,"")</f>
        <v/>
      </c>
      <c r="G619">
        <f>IF(ISNUMBER(F619),_xlfn.RANK.EQ(F619,$F$2:$F$1031),"")</f>
        <v/>
      </c>
      <c r="H619">
        <f>INDEX(Sheet1!AH:AH,MATCH(A619,Sheet1!A:A,0))</f>
        <v/>
      </c>
    </row>
    <row r="620">
      <c r="A620" t="n">
        <v>1498</v>
      </c>
      <c r="B620">
        <f>Sheet1!C620+Sheet1!D620+Sheet1!E620+Sheet1!F620+Sheet1!J620+Sheet1!K620+Sheet1!L620+Sheet1!M620</f>
        <v/>
      </c>
      <c r="C620">
        <f>IF(ISNUMBER(B620),B620,"")</f>
        <v/>
      </c>
      <c r="D620">
        <f>IF(ISNUMBER(C620),_xlfn.RANK.EQ(C620,$C$2:$C$1031),"")</f>
        <v/>
      </c>
      <c r="E620">
        <f>Sheet1!C620+Sheet1!D620+Sheet1!E620+Sheet1!F620+Sheet1!J620+Sheet1!K620+Sheet1!L620+Sheet1!M620+Sheet1!Q620+Sheet1!R620+Sheet1!S620+Sheet1!T620</f>
        <v/>
      </c>
      <c r="F620">
        <f>IF(ISNUMBER(E620),E620,"")</f>
        <v/>
      </c>
      <c r="G620">
        <f>IF(ISNUMBER(F620),_xlfn.RANK.EQ(F620,$F$2:$F$1031),"")</f>
        <v/>
      </c>
      <c r="H620">
        <f>INDEX(Sheet1!AH:AH,MATCH(A620,Sheet1!A:A,0))</f>
        <v/>
      </c>
    </row>
    <row r="621">
      <c r="A621" t="n">
        <v>1499</v>
      </c>
      <c r="B621">
        <f>Sheet1!C621+Sheet1!D621+Sheet1!E621+Sheet1!F621+Sheet1!J621+Sheet1!K621+Sheet1!L621+Sheet1!M621</f>
        <v/>
      </c>
      <c r="C621">
        <f>IF(ISNUMBER(B621),B621,"")</f>
        <v/>
      </c>
      <c r="D621">
        <f>IF(ISNUMBER(C621),_xlfn.RANK.EQ(C621,$C$2:$C$1031),"")</f>
        <v/>
      </c>
      <c r="E621">
        <f>Sheet1!C621+Sheet1!D621+Sheet1!E621+Sheet1!F621+Sheet1!J621+Sheet1!K621+Sheet1!L621+Sheet1!M621+Sheet1!Q621+Sheet1!R621+Sheet1!S621+Sheet1!T621</f>
        <v/>
      </c>
      <c r="F621">
        <f>IF(ISNUMBER(E621),E621,"")</f>
        <v/>
      </c>
      <c r="G621">
        <f>IF(ISNUMBER(F621),_xlfn.RANK.EQ(F621,$F$2:$F$1031),"")</f>
        <v/>
      </c>
      <c r="H621">
        <f>INDEX(Sheet1!AH:AH,MATCH(A621,Sheet1!A:A,0))</f>
        <v/>
      </c>
    </row>
    <row r="622">
      <c r="A622" t="n">
        <v>1500</v>
      </c>
      <c r="B622">
        <f>Sheet1!C622+Sheet1!D622+Sheet1!E622+Sheet1!F622+Sheet1!J622+Sheet1!K622+Sheet1!L622+Sheet1!M622</f>
        <v/>
      </c>
      <c r="C622">
        <f>IF(ISNUMBER(B622),B622,"")</f>
        <v/>
      </c>
      <c r="D622">
        <f>IF(ISNUMBER(C622),_xlfn.RANK.EQ(C622,$C$2:$C$1031),"")</f>
        <v/>
      </c>
      <c r="E622">
        <f>Sheet1!C622+Sheet1!D622+Sheet1!E622+Sheet1!F622+Sheet1!J622+Sheet1!K622+Sheet1!L622+Sheet1!M622+Sheet1!Q622+Sheet1!R622+Sheet1!S622+Sheet1!T622</f>
        <v/>
      </c>
      <c r="F622">
        <f>IF(ISNUMBER(E622),E622,"")</f>
        <v/>
      </c>
      <c r="G622">
        <f>IF(ISNUMBER(F622),_xlfn.RANK.EQ(F622,$F$2:$F$1031),"")</f>
        <v/>
      </c>
      <c r="H622">
        <f>INDEX(Sheet1!AH:AH,MATCH(A622,Sheet1!A:A,0))</f>
        <v/>
      </c>
    </row>
    <row r="623">
      <c r="A623" t="n">
        <v>1503</v>
      </c>
      <c r="B623">
        <f>Sheet1!C623+Sheet1!D623+Sheet1!E623+Sheet1!F623+Sheet1!J623+Sheet1!K623+Sheet1!L623+Sheet1!M623</f>
        <v/>
      </c>
      <c r="C623">
        <f>IF(ISNUMBER(B623),B623,"")</f>
        <v/>
      </c>
      <c r="D623">
        <f>IF(ISNUMBER(C623),_xlfn.RANK.EQ(C623,$C$2:$C$1031),"")</f>
        <v/>
      </c>
      <c r="E623">
        <f>Sheet1!C623+Sheet1!D623+Sheet1!E623+Sheet1!F623+Sheet1!J623+Sheet1!K623+Sheet1!L623+Sheet1!M623+Sheet1!Q623+Sheet1!R623+Sheet1!S623+Sheet1!T623</f>
        <v/>
      </c>
      <c r="F623">
        <f>IF(ISNUMBER(E623),E623,"")</f>
        <v/>
      </c>
      <c r="G623">
        <f>IF(ISNUMBER(F623),_xlfn.RANK.EQ(F623,$F$2:$F$1031),"")</f>
        <v/>
      </c>
      <c r="H623">
        <f>INDEX(Sheet1!AH:AH,MATCH(A623,Sheet1!A:A,0))</f>
        <v/>
      </c>
    </row>
    <row r="624">
      <c r="A624" t="n">
        <v>1504</v>
      </c>
      <c r="B624">
        <f>Sheet1!C624+Sheet1!D624+Sheet1!E624+Sheet1!F624+Sheet1!J624+Sheet1!K624+Sheet1!L624+Sheet1!M624</f>
        <v/>
      </c>
      <c r="C624">
        <f>IF(ISNUMBER(B624),B624,"")</f>
        <v/>
      </c>
      <c r="D624">
        <f>IF(ISNUMBER(C624),_xlfn.RANK.EQ(C624,$C$2:$C$1031),"")</f>
        <v/>
      </c>
      <c r="E624">
        <f>Sheet1!C624+Sheet1!D624+Sheet1!E624+Sheet1!F624+Sheet1!J624+Sheet1!K624+Sheet1!L624+Sheet1!M624+Sheet1!Q624+Sheet1!R624+Sheet1!S624+Sheet1!T624</f>
        <v/>
      </c>
      <c r="F624">
        <f>IF(ISNUMBER(E624),E624,"")</f>
        <v/>
      </c>
      <c r="G624">
        <f>IF(ISNUMBER(F624),_xlfn.RANK.EQ(F624,$F$2:$F$1031),"")</f>
        <v/>
      </c>
      <c r="H624">
        <f>INDEX(Sheet1!AH:AH,MATCH(A624,Sheet1!A:A,0))</f>
        <v/>
      </c>
    </row>
    <row r="625">
      <c r="A625" t="n">
        <v>1505</v>
      </c>
      <c r="B625">
        <f>Sheet1!C625+Sheet1!D625+Sheet1!E625+Sheet1!F625+Sheet1!J625+Sheet1!K625+Sheet1!L625+Sheet1!M625</f>
        <v/>
      </c>
      <c r="C625">
        <f>IF(ISNUMBER(B625),B625,"")</f>
        <v/>
      </c>
      <c r="D625">
        <f>IF(ISNUMBER(C625),_xlfn.RANK.EQ(C625,$C$2:$C$1031),"")</f>
        <v/>
      </c>
      <c r="E625">
        <f>Sheet1!C625+Sheet1!D625+Sheet1!E625+Sheet1!F625+Sheet1!J625+Sheet1!K625+Sheet1!L625+Sheet1!M625+Sheet1!Q625+Sheet1!R625+Sheet1!S625+Sheet1!T625</f>
        <v/>
      </c>
      <c r="F625">
        <f>IF(ISNUMBER(E625),E625,"")</f>
        <v/>
      </c>
      <c r="G625">
        <f>IF(ISNUMBER(F625),_xlfn.RANK.EQ(F625,$F$2:$F$1031),"")</f>
        <v/>
      </c>
      <c r="H625">
        <f>INDEX(Sheet1!AH:AH,MATCH(A625,Sheet1!A:A,0))</f>
        <v/>
      </c>
    </row>
    <row r="626">
      <c r="A626" t="n">
        <v>1508</v>
      </c>
      <c r="B626">
        <f>Sheet1!C626+Sheet1!D626+Sheet1!E626+Sheet1!F626+Sheet1!J626+Sheet1!K626+Sheet1!L626+Sheet1!M626</f>
        <v/>
      </c>
      <c r="C626">
        <f>IF(ISNUMBER(B626),B626,"")</f>
        <v/>
      </c>
      <c r="D626">
        <f>IF(ISNUMBER(C626),_xlfn.RANK.EQ(C626,$C$2:$C$1031),"")</f>
        <v/>
      </c>
      <c r="E626">
        <f>Sheet1!C626+Sheet1!D626+Sheet1!E626+Sheet1!F626+Sheet1!J626+Sheet1!K626+Sheet1!L626+Sheet1!M626+Sheet1!Q626+Sheet1!R626+Sheet1!S626+Sheet1!T626</f>
        <v/>
      </c>
      <c r="F626">
        <f>IF(ISNUMBER(E626),E626,"")</f>
        <v/>
      </c>
      <c r="G626">
        <f>IF(ISNUMBER(F626),_xlfn.RANK.EQ(F626,$F$2:$F$1031),"")</f>
        <v/>
      </c>
      <c r="H626">
        <f>INDEX(Sheet1!AH:AH,MATCH(A626,Sheet1!A:A,0))</f>
        <v/>
      </c>
    </row>
    <row r="627">
      <c r="A627" t="n">
        <v>1509</v>
      </c>
      <c r="B627">
        <f>Sheet1!C627+Sheet1!D627+Sheet1!E627+Sheet1!F627+Sheet1!J627+Sheet1!K627+Sheet1!L627+Sheet1!M627</f>
        <v/>
      </c>
      <c r="C627">
        <f>IF(ISNUMBER(B627),B627,"")</f>
        <v/>
      </c>
      <c r="D627">
        <f>IF(ISNUMBER(C627),_xlfn.RANK.EQ(C627,$C$2:$C$1031),"")</f>
        <v/>
      </c>
      <c r="E627">
        <f>Sheet1!C627+Sheet1!D627+Sheet1!E627+Sheet1!F627+Sheet1!J627+Sheet1!K627+Sheet1!L627+Sheet1!M627+Sheet1!Q627+Sheet1!R627+Sheet1!S627+Sheet1!T627</f>
        <v/>
      </c>
      <c r="F627">
        <f>IF(ISNUMBER(E627),E627,"")</f>
        <v/>
      </c>
      <c r="G627">
        <f>IF(ISNUMBER(F627),_xlfn.RANK.EQ(F627,$F$2:$F$1031),"")</f>
        <v/>
      </c>
      <c r="H627">
        <f>INDEX(Sheet1!AH:AH,MATCH(A627,Sheet1!A:A,0))</f>
        <v/>
      </c>
    </row>
    <row r="628">
      <c r="A628" t="n">
        <v>1510</v>
      </c>
      <c r="B628">
        <f>Sheet1!C628+Sheet1!D628+Sheet1!E628+Sheet1!F628+Sheet1!J628+Sheet1!K628+Sheet1!L628+Sheet1!M628</f>
        <v/>
      </c>
      <c r="C628">
        <f>IF(ISNUMBER(B628),B628,"")</f>
        <v/>
      </c>
      <c r="D628">
        <f>IF(ISNUMBER(C628),_xlfn.RANK.EQ(C628,$C$2:$C$1031),"")</f>
        <v/>
      </c>
      <c r="E628">
        <f>Sheet1!C628+Sheet1!D628+Sheet1!E628+Sheet1!F628+Sheet1!J628+Sheet1!K628+Sheet1!L628+Sheet1!M628+Sheet1!Q628+Sheet1!R628+Sheet1!S628+Sheet1!T628</f>
        <v/>
      </c>
      <c r="F628">
        <f>IF(ISNUMBER(E628),E628,"")</f>
        <v/>
      </c>
      <c r="G628">
        <f>IF(ISNUMBER(F628),_xlfn.RANK.EQ(F628,$F$2:$F$1031),"")</f>
        <v/>
      </c>
      <c r="H628">
        <f>INDEX(Sheet1!AH:AH,MATCH(A628,Sheet1!A:A,0))</f>
        <v/>
      </c>
    </row>
    <row r="629">
      <c r="A629" t="n">
        <v>1511</v>
      </c>
      <c r="B629">
        <f>Sheet1!C629+Sheet1!D629+Sheet1!E629+Sheet1!F629+Sheet1!J629+Sheet1!K629+Sheet1!L629+Sheet1!M629</f>
        <v/>
      </c>
      <c r="C629">
        <f>IF(ISNUMBER(B629),B629,"")</f>
        <v/>
      </c>
      <c r="D629">
        <f>IF(ISNUMBER(C629),_xlfn.RANK.EQ(C629,$C$2:$C$1031),"")</f>
        <v/>
      </c>
      <c r="E629">
        <f>Sheet1!C629+Sheet1!D629+Sheet1!E629+Sheet1!F629+Sheet1!J629+Sheet1!K629+Sheet1!L629+Sheet1!M629+Sheet1!Q629+Sheet1!R629+Sheet1!S629+Sheet1!T629</f>
        <v/>
      </c>
      <c r="F629">
        <f>IF(ISNUMBER(E629),E629,"")</f>
        <v/>
      </c>
      <c r="G629">
        <f>IF(ISNUMBER(F629),_xlfn.RANK.EQ(F629,$F$2:$F$1031),"")</f>
        <v/>
      </c>
      <c r="H629">
        <f>INDEX(Sheet1!AH:AH,MATCH(A629,Sheet1!A:A,0))</f>
        <v/>
      </c>
    </row>
    <row r="630">
      <c r="A630" t="n">
        <v>1512</v>
      </c>
      <c r="B630">
        <f>Sheet1!C630+Sheet1!D630+Sheet1!E630+Sheet1!F630+Sheet1!J630+Sheet1!K630+Sheet1!L630+Sheet1!M630</f>
        <v/>
      </c>
      <c r="C630">
        <f>IF(ISNUMBER(B630),B630,"")</f>
        <v/>
      </c>
      <c r="D630">
        <f>IF(ISNUMBER(C630),_xlfn.RANK.EQ(C630,$C$2:$C$1031),"")</f>
        <v/>
      </c>
      <c r="E630">
        <f>Sheet1!C630+Sheet1!D630+Sheet1!E630+Sheet1!F630+Sheet1!J630+Sheet1!K630+Sheet1!L630+Sheet1!M630+Sheet1!Q630+Sheet1!R630+Sheet1!S630+Sheet1!T630</f>
        <v/>
      </c>
      <c r="F630">
        <f>IF(ISNUMBER(E630),E630,"")</f>
        <v/>
      </c>
      <c r="G630">
        <f>IF(ISNUMBER(F630),_xlfn.RANK.EQ(F630,$F$2:$F$1031),"")</f>
        <v/>
      </c>
      <c r="H630">
        <f>INDEX(Sheet1!AH:AH,MATCH(A630,Sheet1!A:A,0))</f>
        <v/>
      </c>
    </row>
    <row r="631">
      <c r="A631" t="n">
        <v>1513</v>
      </c>
      <c r="B631">
        <f>Sheet1!C631+Sheet1!D631+Sheet1!E631+Sheet1!F631+Sheet1!J631+Sheet1!K631+Sheet1!L631+Sheet1!M631</f>
        <v/>
      </c>
      <c r="C631">
        <f>IF(ISNUMBER(B631),B631,"")</f>
        <v/>
      </c>
      <c r="D631">
        <f>IF(ISNUMBER(C631),_xlfn.RANK.EQ(C631,$C$2:$C$1031),"")</f>
        <v/>
      </c>
      <c r="E631">
        <f>Sheet1!C631+Sheet1!D631+Sheet1!E631+Sheet1!F631+Sheet1!J631+Sheet1!K631+Sheet1!L631+Sheet1!M631+Sheet1!Q631+Sheet1!R631+Sheet1!S631+Sheet1!T631</f>
        <v/>
      </c>
      <c r="F631">
        <f>IF(ISNUMBER(E631),E631,"")</f>
        <v/>
      </c>
      <c r="G631">
        <f>IF(ISNUMBER(F631),_xlfn.RANK.EQ(F631,$F$2:$F$1031),"")</f>
        <v/>
      </c>
      <c r="H631">
        <f>INDEX(Sheet1!AH:AH,MATCH(A631,Sheet1!A:A,0))</f>
        <v/>
      </c>
    </row>
    <row r="632">
      <c r="A632" t="n">
        <v>1514</v>
      </c>
      <c r="B632">
        <f>Sheet1!C632+Sheet1!D632+Sheet1!E632+Sheet1!F632+Sheet1!J632+Sheet1!K632+Sheet1!L632+Sheet1!M632</f>
        <v/>
      </c>
      <c r="C632">
        <f>IF(ISNUMBER(B632),B632,"")</f>
        <v/>
      </c>
      <c r="D632">
        <f>IF(ISNUMBER(C632),_xlfn.RANK.EQ(C632,$C$2:$C$1031),"")</f>
        <v/>
      </c>
      <c r="E632">
        <f>Sheet1!C632+Sheet1!D632+Sheet1!E632+Sheet1!F632+Sheet1!J632+Sheet1!K632+Sheet1!L632+Sheet1!M632+Sheet1!Q632+Sheet1!R632+Sheet1!S632+Sheet1!T632</f>
        <v/>
      </c>
      <c r="F632">
        <f>IF(ISNUMBER(E632),E632,"")</f>
        <v/>
      </c>
      <c r="G632">
        <f>IF(ISNUMBER(F632),_xlfn.RANK.EQ(F632,$F$2:$F$1031),"")</f>
        <v/>
      </c>
      <c r="H632">
        <f>INDEX(Sheet1!AH:AH,MATCH(A632,Sheet1!A:A,0))</f>
        <v/>
      </c>
    </row>
    <row r="633">
      <c r="A633" t="n">
        <v>1515</v>
      </c>
      <c r="B633">
        <f>Sheet1!C633+Sheet1!D633+Sheet1!E633+Sheet1!F633+Sheet1!J633+Sheet1!K633+Sheet1!L633+Sheet1!M633</f>
        <v/>
      </c>
      <c r="C633">
        <f>IF(ISNUMBER(B633),B633,"")</f>
        <v/>
      </c>
      <c r="D633">
        <f>IF(ISNUMBER(C633),_xlfn.RANK.EQ(C633,$C$2:$C$1031),"")</f>
        <v/>
      </c>
      <c r="E633">
        <f>Sheet1!C633+Sheet1!D633+Sheet1!E633+Sheet1!F633+Sheet1!J633+Sheet1!K633+Sheet1!L633+Sheet1!M633+Sheet1!Q633+Sheet1!R633+Sheet1!S633+Sheet1!T633</f>
        <v/>
      </c>
      <c r="F633">
        <f>IF(ISNUMBER(E633),E633,"")</f>
        <v/>
      </c>
      <c r="G633">
        <f>IF(ISNUMBER(F633),_xlfn.RANK.EQ(F633,$F$2:$F$1031),"")</f>
        <v/>
      </c>
      <c r="H633">
        <f>INDEX(Sheet1!AH:AH,MATCH(A633,Sheet1!A:A,0))</f>
        <v/>
      </c>
    </row>
    <row r="634">
      <c r="A634" t="n">
        <v>1516</v>
      </c>
      <c r="B634">
        <f>Sheet1!C634+Sheet1!D634+Sheet1!E634+Sheet1!F634+Sheet1!J634+Sheet1!K634+Sheet1!L634+Sheet1!M634</f>
        <v/>
      </c>
      <c r="C634">
        <f>IF(ISNUMBER(B634),B634,"")</f>
        <v/>
      </c>
      <c r="D634">
        <f>IF(ISNUMBER(C634),_xlfn.RANK.EQ(C634,$C$2:$C$1031),"")</f>
        <v/>
      </c>
      <c r="E634">
        <f>Sheet1!C634+Sheet1!D634+Sheet1!E634+Sheet1!F634+Sheet1!J634+Sheet1!K634+Sheet1!L634+Sheet1!M634+Sheet1!Q634+Sheet1!R634+Sheet1!S634+Sheet1!T634</f>
        <v/>
      </c>
      <c r="F634">
        <f>IF(ISNUMBER(E634),E634,"")</f>
        <v/>
      </c>
      <c r="G634">
        <f>IF(ISNUMBER(F634),_xlfn.RANK.EQ(F634,$F$2:$F$1031),"")</f>
        <v/>
      </c>
      <c r="H634">
        <f>INDEX(Sheet1!AH:AH,MATCH(A634,Sheet1!A:A,0))</f>
        <v/>
      </c>
    </row>
    <row r="635">
      <c r="A635" t="n">
        <v>1523</v>
      </c>
      <c r="B635">
        <f>Sheet1!C635+Sheet1!D635+Sheet1!E635+Sheet1!F635+Sheet1!J635+Sheet1!K635+Sheet1!L635+Sheet1!M635</f>
        <v/>
      </c>
      <c r="C635">
        <f>IF(ISNUMBER(B635),B635,"")</f>
        <v/>
      </c>
      <c r="D635">
        <f>IF(ISNUMBER(C635),_xlfn.RANK.EQ(C635,$C$2:$C$1031),"")</f>
        <v/>
      </c>
      <c r="E635">
        <f>Sheet1!C635+Sheet1!D635+Sheet1!E635+Sheet1!F635+Sheet1!J635+Sheet1!K635+Sheet1!L635+Sheet1!M635+Sheet1!Q635+Sheet1!R635+Sheet1!S635+Sheet1!T635</f>
        <v/>
      </c>
      <c r="F635">
        <f>IF(ISNUMBER(E635),E635,"")</f>
        <v/>
      </c>
      <c r="G635">
        <f>IF(ISNUMBER(F635),_xlfn.RANK.EQ(F635,$F$2:$F$1031),"")</f>
        <v/>
      </c>
      <c r="H635">
        <f>INDEX(Sheet1!AH:AH,MATCH(A635,Sheet1!A:A,0))</f>
        <v/>
      </c>
    </row>
    <row r="636">
      <c r="A636" t="n">
        <v>1528</v>
      </c>
      <c r="B636">
        <f>Sheet1!C636+Sheet1!D636+Sheet1!E636+Sheet1!F636+Sheet1!J636+Sheet1!K636+Sheet1!L636+Sheet1!M636</f>
        <v/>
      </c>
      <c r="C636">
        <f>IF(ISNUMBER(B636),B636,"")</f>
        <v/>
      </c>
      <c r="D636">
        <f>IF(ISNUMBER(C636),_xlfn.RANK.EQ(C636,$C$2:$C$1031),"")</f>
        <v/>
      </c>
      <c r="E636">
        <f>Sheet1!C636+Sheet1!D636+Sheet1!E636+Sheet1!F636+Sheet1!J636+Sheet1!K636+Sheet1!L636+Sheet1!M636+Sheet1!Q636+Sheet1!R636+Sheet1!S636+Sheet1!T636</f>
        <v/>
      </c>
      <c r="F636">
        <f>IF(ISNUMBER(E636),E636,"")</f>
        <v/>
      </c>
      <c r="G636">
        <f>IF(ISNUMBER(F636),_xlfn.RANK.EQ(F636,$F$2:$F$1031),"")</f>
        <v/>
      </c>
      <c r="H636">
        <f>INDEX(Sheet1!AH:AH,MATCH(A636,Sheet1!A:A,0))</f>
        <v/>
      </c>
    </row>
    <row r="637">
      <c r="A637" t="n">
        <v>1529</v>
      </c>
      <c r="B637">
        <f>Sheet1!C637+Sheet1!D637+Sheet1!E637+Sheet1!F637+Sheet1!J637+Sheet1!K637+Sheet1!L637+Sheet1!M637</f>
        <v/>
      </c>
      <c r="C637">
        <f>IF(ISNUMBER(B637),B637,"")</f>
        <v/>
      </c>
      <c r="D637">
        <f>IF(ISNUMBER(C637),_xlfn.RANK.EQ(C637,$C$2:$C$1031),"")</f>
        <v/>
      </c>
      <c r="E637">
        <f>Sheet1!C637+Sheet1!D637+Sheet1!E637+Sheet1!F637+Sheet1!J637+Sheet1!K637+Sheet1!L637+Sheet1!M637+Sheet1!Q637+Sheet1!R637+Sheet1!S637+Sheet1!T637</f>
        <v/>
      </c>
      <c r="F637">
        <f>IF(ISNUMBER(E637),E637,"")</f>
        <v/>
      </c>
      <c r="G637">
        <f>IF(ISNUMBER(F637),_xlfn.RANK.EQ(F637,$F$2:$F$1031),"")</f>
        <v/>
      </c>
      <c r="H637">
        <f>INDEX(Sheet1!AH:AH,MATCH(A637,Sheet1!A:A,0))</f>
        <v/>
      </c>
    </row>
    <row r="638">
      <c r="A638" t="n">
        <v>1543</v>
      </c>
      <c r="B638">
        <f>Sheet1!C638+Sheet1!D638+Sheet1!E638+Sheet1!F638+Sheet1!J638+Sheet1!K638+Sheet1!L638+Sheet1!M638</f>
        <v/>
      </c>
      <c r="C638">
        <f>IF(ISNUMBER(B638),B638,"")</f>
        <v/>
      </c>
      <c r="D638">
        <f>IF(ISNUMBER(C638),_xlfn.RANK.EQ(C638,$C$2:$C$1031),"")</f>
        <v/>
      </c>
      <c r="E638">
        <f>Sheet1!C638+Sheet1!D638+Sheet1!E638+Sheet1!F638+Sheet1!J638+Sheet1!K638+Sheet1!L638+Sheet1!M638+Sheet1!Q638+Sheet1!R638+Sheet1!S638+Sheet1!T638</f>
        <v/>
      </c>
      <c r="F638">
        <f>IF(ISNUMBER(E638),E638,"")</f>
        <v/>
      </c>
      <c r="G638">
        <f>IF(ISNUMBER(F638),_xlfn.RANK.EQ(F638,$F$2:$F$1031),"")</f>
        <v/>
      </c>
      <c r="H638">
        <f>INDEX(Sheet1!AH:AH,MATCH(A638,Sheet1!A:A,0))</f>
        <v/>
      </c>
    </row>
    <row r="639">
      <c r="A639" t="n">
        <v>1544</v>
      </c>
      <c r="B639">
        <f>Sheet1!C639+Sheet1!D639+Sheet1!E639+Sheet1!F639+Sheet1!J639+Sheet1!K639+Sheet1!L639+Sheet1!M639</f>
        <v/>
      </c>
      <c r="C639">
        <f>IF(ISNUMBER(B639),B639,"")</f>
        <v/>
      </c>
      <c r="D639">
        <f>IF(ISNUMBER(C639),_xlfn.RANK.EQ(C639,$C$2:$C$1031),"")</f>
        <v/>
      </c>
      <c r="E639">
        <f>Sheet1!C639+Sheet1!D639+Sheet1!E639+Sheet1!F639+Sheet1!J639+Sheet1!K639+Sheet1!L639+Sheet1!M639+Sheet1!Q639+Sheet1!R639+Sheet1!S639+Sheet1!T639</f>
        <v/>
      </c>
      <c r="F639">
        <f>IF(ISNUMBER(E639),E639,"")</f>
        <v/>
      </c>
      <c r="G639">
        <f>IF(ISNUMBER(F639),_xlfn.RANK.EQ(F639,$F$2:$F$1031),"")</f>
        <v/>
      </c>
      <c r="H639">
        <f>INDEX(Sheet1!AH:AH,MATCH(A639,Sheet1!A:A,0))</f>
        <v/>
      </c>
    </row>
    <row r="640">
      <c r="A640" t="n">
        <v>1548</v>
      </c>
      <c r="B640">
        <f>Sheet1!C640+Sheet1!D640+Sheet1!E640+Sheet1!F640+Sheet1!J640+Sheet1!K640+Sheet1!L640+Sheet1!M640</f>
        <v/>
      </c>
      <c r="C640">
        <f>IF(ISNUMBER(B640),B640,"")</f>
        <v/>
      </c>
      <c r="D640">
        <f>IF(ISNUMBER(C640),_xlfn.RANK.EQ(C640,$C$2:$C$1031),"")</f>
        <v/>
      </c>
      <c r="E640">
        <f>Sheet1!C640+Sheet1!D640+Sheet1!E640+Sheet1!F640+Sheet1!J640+Sheet1!K640+Sheet1!L640+Sheet1!M640+Sheet1!Q640+Sheet1!R640+Sheet1!S640+Sheet1!T640</f>
        <v/>
      </c>
      <c r="F640">
        <f>IF(ISNUMBER(E640),E640,"")</f>
        <v/>
      </c>
      <c r="G640">
        <f>IF(ISNUMBER(F640),_xlfn.RANK.EQ(F640,$F$2:$F$1031),"")</f>
        <v/>
      </c>
      <c r="H640">
        <f>INDEX(Sheet1!AH:AH,MATCH(A640,Sheet1!A:A,0))</f>
        <v/>
      </c>
    </row>
    <row r="641">
      <c r="A641" t="n">
        <v>1553</v>
      </c>
      <c r="B641">
        <f>Sheet1!C641+Sheet1!D641+Sheet1!E641+Sheet1!F641+Sheet1!J641+Sheet1!K641+Sheet1!L641+Sheet1!M641</f>
        <v/>
      </c>
      <c r="C641">
        <f>IF(ISNUMBER(B641),B641,"")</f>
        <v/>
      </c>
      <c r="D641">
        <f>IF(ISNUMBER(C641),_xlfn.RANK.EQ(C641,$C$2:$C$1031),"")</f>
        <v/>
      </c>
      <c r="E641">
        <f>Sheet1!C641+Sheet1!D641+Sheet1!E641+Sheet1!F641+Sheet1!J641+Sheet1!K641+Sheet1!L641+Sheet1!M641+Sheet1!Q641+Sheet1!R641+Sheet1!S641+Sheet1!T641</f>
        <v/>
      </c>
      <c r="F641">
        <f>IF(ISNUMBER(E641),E641,"")</f>
        <v/>
      </c>
      <c r="G641">
        <f>IF(ISNUMBER(F641),_xlfn.RANK.EQ(F641,$F$2:$F$1031),"")</f>
        <v/>
      </c>
      <c r="H641">
        <f>INDEX(Sheet1!AH:AH,MATCH(A641,Sheet1!A:A,0))</f>
        <v/>
      </c>
    </row>
    <row r="642">
      <c r="A642" t="n">
        <v>1554</v>
      </c>
      <c r="B642">
        <f>Sheet1!C642+Sheet1!D642+Sheet1!E642+Sheet1!F642+Sheet1!J642+Sheet1!K642+Sheet1!L642+Sheet1!M642</f>
        <v/>
      </c>
      <c r="C642">
        <f>IF(ISNUMBER(B642),B642,"")</f>
        <v/>
      </c>
      <c r="D642">
        <f>IF(ISNUMBER(C642),_xlfn.RANK.EQ(C642,$C$2:$C$1031),"")</f>
        <v/>
      </c>
      <c r="E642">
        <f>Sheet1!C642+Sheet1!D642+Sheet1!E642+Sheet1!F642+Sheet1!J642+Sheet1!K642+Sheet1!L642+Sheet1!M642+Sheet1!Q642+Sheet1!R642+Sheet1!S642+Sheet1!T642</f>
        <v/>
      </c>
      <c r="F642">
        <f>IF(ISNUMBER(E642),E642,"")</f>
        <v/>
      </c>
      <c r="G642">
        <f>IF(ISNUMBER(F642),_xlfn.RANK.EQ(F642,$F$2:$F$1031),"")</f>
        <v/>
      </c>
      <c r="H642">
        <f>INDEX(Sheet1!AH:AH,MATCH(A642,Sheet1!A:A,0))</f>
        <v/>
      </c>
    </row>
    <row r="643">
      <c r="A643" t="n">
        <v>1555</v>
      </c>
      <c r="B643">
        <f>Sheet1!C643+Sheet1!D643+Sheet1!E643+Sheet1!F643+Sheet1!J643+Sheet1!K643+Sheet1!L643+Sheet1!M643</f>
        <v/>
      </c>
      <c r="C643">
        <f>IF(ISNUMBER(B643),B643,"")</f>
        <v/>
      </c>
      <c r="D643">
        <f>IF(ISNUMBER(C643),_xlfn.RANK.EQ(C643,$C$2:$C$1031),"")</f>
        <v/>
      </c>
      <c r="E643">
        <f>Sheet1!C643+Sheet1!D643+Sheet1!E643+Sheet1!F643+Sheet1!J643+Sheet1!K643+Sheet1!L643+Sheet1!M643+Sheet1!Q643+Sheet1!R643+Sheet1!S643+Sheet1!T643</f>
        <v/>
      </c>
      <c r="F643">
        <f>IF(ISNUMBER(E643),E643,"")</f>
        <v/>
      </c>
      <c r="G643">
        <f>IF(ISNUMBER(F643),_xlfn.RANK.EQ(F643,$F$2:$F$1031),"")</f>
        <v/>
      </c>
      <c r="H643">
        <f>INDEX(Sheet1!AH:AH,MATCH(A643,Sheet1!A:A,0))</f>
        <v/>
      </c>
    </row>
    <row r="644">
      <c r="A644" t="n">
        <v>1556</v>
      </c>
      <c r="B644">
        <f>Sheet1!C644+Sheet1!D644+Sheet1!E644+Sheet1!F644+Sheet1!J644+Sheet1!K644+Sheet1!L644+Sheet1!M644</f>
        <v/>
      </c>
      <c r="C644">
        <f>IF(ISNUMBER(B644),B644,"")</f>
        <v/>
      </c>
      <c r="D644">
        <f>IF(ISNUMBER(C644),_xlfn.RANK.EQ(C644,$C$2:$C$1031),"")</f>
        <v/>
      </c>
      <c r="E644">
        <f>Sheet1!C644+Sheet1!D644+Sheet1!E644+Sheet1!F644+Sheet1!J644+Sheet1!K644+Sheet1!L644+Sheet1!M644+Sheet1!Q644+Sheet1!R644+Sheet1!S644+Sheet1!T644</f>
        <v/>
      </c>
      <c r="F644">
        <f>IF(ISNUMBER(E644),E644,"")</f>
        <v/>
      </c>
      <c r="G644">
        <f>IF(ISNUMBER(F644),_xlfn.RANK.EQ(F644,$F$2:$F$1031),"")</f>
        <v/>
      </c>
      <c r="H644">
        <f>INDEX(Sheet1!AH:AH,MATCH(A644,Sheet1!A:A,0))</f>
        <v/>
      </c>
    </row>
    <row r="645">
      <c r="A645" t="n">
        <v>1565</v>
      </c>
      <c r="B645">
        <f>Sheet1!C645+Sheet1!D645+Sheet1!E645+Sheet1!F645+Sheet1!J645+Sheet1!K645+Sheet1!L645+Sheet1!M645</f>
        <v/>
      </c>
      <c r="C645">
        <f>IF(ISNUMBER(B645),B645,"")</f>
        <v/>
      </c>
      <c r="D645">
        <f>IF(ISNUMBER(C645),_xlfn.RANK.EQ(C645,$C$2:$C$1031),"")</f>
        <v/>
      </c>
      <c r="E645">
        <f>Sheet1!C645+Sheet1!D645+Sheet1!E645+Sheet1!F645+Sheet1!J645+Sheet1!K645+Sheet1!L645+Sheet1!M645+Sheet1!Q645+Sheet1!R645+Sheet1!S645+Sheet1!T645</f>
        <v/>
      </c>
      <c r="F645">
        <f>IF(ISNUMBER(E645),E645,"")</f>
        <v/>
      </c>
      <c r="G645">
        <f>IF(ISNUMBER(F645),_xlfn.RANK.EQ(F645,$F$2:$F$1031),"")</f>
        <v/>
      </c>
      <c r="H645">
        <f>INDEX(Sheet1!AH:AH,MATCH(A645,Sheet1!A:A,0))</f>
        <v/>
      </c>
    </row>
    <row r="646">
      <c r="A646" t="n">
        <v>1566</v>
      </c>
      <c r="B646">
        <f>Sheet1!C646+Sheet1!D646+Sheet1!E646+Sheet1!F646+Sheet1!J646+Sheet1!K646+Sheet1!L646+Sheet1!M646</f>
        <v/>
      </c>
      <c r="C646">
        <f>IF(ISNUMBER(B646),B646,"")</f>
        <v/>
      </c>
      <c r="D646">
        <f>IF(ISNUMBER(C646),_xlfn.RANK.EQ(C646,$C$2:$C$1031),"")</f>
        <v/>
      </c>
      <c r="E646">
        <f>Sheet1!C646+Sheet1!D646+Sheet1!E646+Sheet1!F646+Sheet1!J646+Sheet1!K646+Sheet1!L646+Sheet1!M646+Sheet1!Q646+Sheet1!R646+Sheet1!S646+Sheet1!T646</f>
        <v/>
      </c>
      <c r="F646">
        <f>IF(ISNUMBER(E646),E646,"")</f>
        <v/>
      </c>
      <c r="G646">
        <f>IF(ISNUMBER(F646),_xlfn.RANK.EQ(F646,$F$2:$F$1031),"")</f>
        <v/>
      </c>
      <c r="H646">
        <f>INDEX(Sheet1!AH:AH,MATCH(A646,Sheet1!A:A,0))</f>
        <v/>
      </c>
    </row>
    <row r="647">
      <c r="A647" t="n">
        <v>1567</v>
      </c>
      <c r="B647">
        <f>Sheet1!C647+Sheet1!D647+Sheet1!E647+Sheet1!F647+Sheet1!J647+Sheet1!K647+Sheet1!L647+Sheet1!M647</f>
        <v/>
      </c>
      <c r="C647">
        <f>IF(ISNUMBER(B647),B647,"")</f>
        <v/>
      </c>
      <c r="D647">
        <f>IF(ISNUMBER(C647),_xlfn.RANK.EQ(C647,$C$2:$C$1031),"")</f>
        <v/>
      </c>
      <c r="E647">
        <f>Sheet1!C647+Sheet1!D647+Sheet1!E647+Sheet1!F647+Sheet1!J647+Sheet1!K647+Sheet1!L647+Sheet1!M647+Sheet1!Q647+Sheet1!R647+Sheet1!S647+Sheet1!T647</f>
        <v/>
      </c>
      <c r="F647">
        <f>IF(ISNUMBER(E647),E647,"")</f>
        <v/>
      </c>
      <c r="G647">
        <f>IF(ISNUMBER(F647),_xlfn.RANK.EQ(F647,$F$2:$F$1031),"")</f>
        <v/>
      </c>
      <c r="H647">
        <f>INDEX(Sheet1!AH:AH,MATCH(A647,Sheet1!A:A,0))</f>
        <v/>
      </c>
    </row>
    <row r="648">
      <c r="A648" t="n">
        <v>1568</v>
      </c>
      <c r="B648">
        <f>Sheet1!C648+Sheet1!D648+Sheet1!E648+Sheet1!F648+Sheet1!J648+Sheet1!K648+Sheet1!L648+Sheet1!M648</f>
        <v/>
      </c>
      <c r="C648">
        <f>IF(ISNUMBER(B648),B648,"")</f>
        <v/>
      </c>
      <c r="D648">
        <f>IF(ISNUMBER(C648),_xlfn.RANK.EQ(C648,$C$2:$C$1031),"")</f>
        <v/>
      </c>
      <c r="E648">
        <f>Sheet1!C648+Sheet1!D648+Sheet1!E648+Sheet1!F648+Sheet1!J648+Sheet1!K648+Sheet1!L648+Sheet1!M648+Sheet1!Q648+Sheet1!R648+Sheet1!S648+Sheet1!T648</f>
        <v/>
      </c>
      <c r="F648">
        <f>IF(ISNUMBER(E648),E648,"")</f>
        <v/>
      </c>
      <c r="G648">
        <f>IF(ISNUMBER(F648),_xlfn.RANK.EQ(F648,$F$2:$F$1031),"")</f>
        <v/>
      </c>
      <c r="H648">
        <f>INDEX(Sheet1!AH:AH,MATCH(A648,Sheet1!A:A,0))</f>
        <v/>
      </c>
    </row>
    <row r="649">
      <c r="A649" t="n">
        <v>1569</v>
      </c>
      <c r="B649">
        <f>Sheet1!C649+Sheet1!D649+Sheet1!E649+Sheet1!F649+Sheet1!J649+Sheet1!K649+Sheet1!L649+Sheet1!M649</f>
        <v/>
      </c>
      <c r="C649">
        <f>IF(ISNUMBER(B649),B649,"")</f>
        <v/>
      </c>
      <c r="D649">
        <f>IF(ISNUMBER(C649),_xlfn.RANK.EQ(C649,$C$2:$C$1031),"")</f>
        <v/>
      </c>
      <c r="E649">
        <f>Sheet1!C649+Sheet1!D649+Sheet1!E649+Sheet1!F649+Sheet1!J649+Sheet1!K649+Sheet1!L649+Sheet1!M649+Sheet1!Q649+Sheet1!R649+Sheet1!S649+Sheet1!T649</f>
        <v/>
      </c>
      <c r="F649">
        <f>IF(ISNUMBER(E649),E649,"")</f>
        <v/>
      </c>
      <c r="G649">
        <f>IF(ISNUMBER(F649),_xlfn.RANK.EQ(F649,$F$2:$F$1031),"")</f>
        <v/>
      </c>
      <c r="H649">
        <f>INDEX(Sheet1!AH:AH,MATCH(A649,Sheet1!A:A,0))</f>
        <v/>
      </c>
    </row>
    <row r="650">
      <c r="A650" t="n">
        <v>1570</v>
      </c>
      <c r="B650">
        <f>Sheet1!C650+Sheet1!D650+Sheet1!E650+Sheet1!F650+Sheet1!J650+Sheet1!K650+Sheet1!L650+Sheet1!M650</f>
        <v/>
      </c>
      <c r="C650">
        <f>IF(ISNUMBER(B650),B650,"")</f>
        <v/>
      </c>
      <c r="D650">
        <f>IF(ISNUMBER(C650),_xlfn.RANK.EQ(C650,$C$2:$C$1031),"")</f>
        <v/>
      </c>
      <c r="E650">
        <f>Sheet1!C650+Sheet1!D650+Sheet1!E650+Sheet1!F650+Sheet1!J650+Sheet1!K650+Sheet1!L650+Sheet1!M650+Sheet1!Q650+Sheet1!R650+Sheet1!S650+Sheet1!T650</f>
        <v/>
      </c>
      <c r="F650">
        <f>IF(ISNUMBER(E650),E650,"")</f>
        <v/>
      </c>
      <c r="G650">
        <f>IF(ISNUMBER(F650),_xlfn.RANK.EQ(F650,$F$2:$F$1031),"")</f>
        <v/>
      </c>
      <c r="H650">
        <f>INDEX(Sheet1!AH:AH,MATCH(A650,Sheet1!A:A,0))</f>
        <v/>
      </c>
    </row>
    <row r="651">
      <c r="A651" t="n">
        <v>1571</v>
      </c>
      <c r="B651">
        <f>Sheet1!C651+Sheet1!D651+Sheet1!E651+Sheet1!F651+Sheet1!J651+Sheet1!K651+Sheet1!L651+Sheet1!M651</f>
        <v/>
      </c>
      <c r="C651">
        <f>IF(ISNUMBER(B651),B651,"")</f>
        <v/>
      </c>
      <c r="D651">
        <f>IF(ISNUMBER(C651),_xlfn.RANK.EQ(C651,$C$2:$C$1031),"")</f>
        <v/>
      </c>
      <c r="E651">
        <f>Sheet1!C651+Sheet1!D651+Sheet1!E651+Sheet1!F651+Sheet1!J651+Sheet1!K651+Sheet1!L651+Sheet1!M651+Sheet1!Q651+Sheet1!R651+Sheet1!S651+Sheet1!T651</f>
        <v/>
      </c>
      <c r="F651">
        <f>IF(ISNUMBER(E651),E651,"")</f>
        <v/>
      </c>
      <c r="G651">
        <f>IF(ISNUMBER(F651),_xlfn.RANK.EQ(F651,$F$2:$F$1031),"")</f>
        <v/>
      </c>
      <c r="H651">
        <f>INDEX(Sheet1!AH:AH,MATCH(A651,Sheet1!A:A,0))</f>
        <v/>
      </c>
    </row>
    <row r="652">
      <c r="A652" t="n">
        <v>1572</v>
      </c>
      <c r="B652">
        <f>Sheet1!C652+Sheet1!D652+Sheet1!E652+Sheet1!F652+Sheet1!J652+Sheet1!K652+Sheet1!L652+Sheet1!M652</f>
        <v/>
      </c>
      <c r="C652">
        <f>IF(ISNUMBER(B652),B652,"")</f>
        <v/>
      </c>
      <c r="D652">
        <f>IF(ISNUMBER(C652),_xlfn.RANK.EQ(C652,$C$2:$C$1031),"")</f>
        <v/>
      </c>
      <c r="E652">
        <f>Sheet1!C652+Sheet1!D652+Sheet1!E652+Sheet1!F652+Sheet1!J652+Sheet1!K652+Sheet1!L652+Sheet1!M652+Sheet1!Q652+Sheet1!R652+Sheet1!S652+Sheet1!T652</f>
        <v/>
      </c>
      <c r="F652">
        <f>IF(ISNUMBER(E652),E652,"")</f>
        <v/>
      </c>
      <c r="G652">
        <f>IF(ISNUMBER(F652),_xlfn.RANK.EQ(F652,$F$2:$F$1031),"")</f>
        <v/>
      </c>
      <c r="H652">
        <f>INDEX(Sheet1!AH:AH,MATCH(A652,Sheet1!A:A,0))</f>
        <v/>
      </c>
    </row>
    <row r="653">
      <c r="A653" t="n">
        <v>1573</v>
      </c>
      <c r="B653">
        <f>Sheet1!C653+Sheet1!D653+Sheet1!E653+Sheet1!F653+Sheet1!J653+Sheet1!K653+Sheet1!L653+Sheet1!M653</f>
        <v/>
      </c>
      <c r="C653">
        <f>IF(ISNUMBER(B653),B653,"")</f>
        <v/>
      </c>
      <c r="D653">
        <f>IF(ISNUMBER(C653),_xlfn.RANK.EQ(C653,$C$2:$C$1031),"")</f>
        <v/>
      </c>
      <c r="E653">
        <f>Sheet1!C653+Sheet1!D653+Sheet1!E653+Sheet1!F653+Sheet1!J653+Sheet1!K653+Sheet1!L653+Sheet1!M653+Sheet1!Q653+Sheet1!R653+Sheet1!S653+Sheet1!T653</f>
        <v/>
      </c>
      <c r="F653">
        <f>IF(ISNUMBER(E653),E653,"")</f>
        <v/>
      </c>
      <c r="G653">
        <f>IF(ISNUMBER(F653),_xlfn.RANK.EQ(F653,$F$2:$F$1031),"")</f>
        <v/>
      </c>
      <c r="H653">
        <f>INDEX(Sheet1!AH:AH,MATCH(A653,Sheet1!A:A,0))</f>
        <v/>
      </c>
    </row>
    <row r="654">
      <c r="A654" t="n">
        <v>1574</v>
      </c>
      <c r="B654">
        <f>Sheet1!C654+Sheet1!D654+Sheet1!E654+Sheet1!F654+Sheet1!J654+Sheet1!K654+Sheet1!L654+Sheet1!M654</f>
        <v/>
      </c>
      <c r="C654">
        <f>IF(ISNUMBER(B654),B654,"")</f>
        <v/>
      </c>
      <c r="D654">
        <f>IF(ISNUMBER(C654),_xlfn.RANK.EQ(C654,$C$2:$C$1031),"")</f>
        <v/>
      </c>
      <c r="E654">
        <f>Sheet1!C654+Sheet1!D654+Sheet1!E654+Sheet1!F654+Sheet1!J654+Sheet1!K654+Sheet1!L654+Sheet1!M654+Sheet1!Q654+Sheet1!R654+Sheet1!S654+Sheet1!T654</f>
        <v/>
      </c>
      <c r="F654">
        <f>IF(ISNUMBER(E654),E654,"")</f>
        <v/>
      </c>
      <c r="G654">
        <f>IF(ISNUMBER(F654),_xlfn.RANK.EQ(F654,$F$2:$F$1031),"")</f>
        <v/>
      </c>
      <c r="H654">
        <f>INDEX(Sheet1!AH:AH,MATCH(A654,Sheet1!A:A,0))</f>
        <v/>
      </c>
    </row>
    <row r="655">
      <c r="A655" t="n">
        <v>1578</v>
      </c>
      <c r="B655">
        <f>Sheet1!C655+Sheet1!D655+Sheet1!E655+Sheet1!F655+Sheet1!J655+Sheet1!K655+Sheet1!L655+Sheet1!M655</f>
        <v/>
      </c>
      <c r="C655">
        <f>IF(ISNUMBER(B655),B655,"")</f>
        <v/>
      </c>
      <c r="D655">
        <f>IF(ISNUMBER(C655),_xlfn.RANK.EQ(C655,$C$2:$C$1031),"")</f>
        <v/>
      </c>
      <c r="E655">
        <f>Sheet1!C655+Sheet1!D655+Sheet1!E655+Sheet1!F655+Sheet1!J655+Sheet1!K655+Sheet1!L655+Sheet1!M655+Sheet1!Q655+Sheet1!R655+Sheet1!S655+Sheet1!T655</f>
        <v/>
      </c>
      <c r="F655">
        <f>IF(ISNUMBER(E655),E655,"")</f>
        <v/>
      </c>
      <c r="G655">
        <f>IF(ISNUMBER(F655),_xlfn.RANK.EQ(F655,$F$2:$F$1031),"")</f>
        <v/>
      </c>
      <c r="H655">
        <f>INDEX(Sheet1!AH:AH,MATCH(A655,Sheet1!A:A,0))</f>
        <v/>
      </c>
    </row>
    <row r="656">
      <c r="A656" t="n">
        <v>1588</v>
      </c>
      <c r="B656">
        <f>Sheet1!C656+Sheet1!D656+Sheet1!E656+Sheet1!F656+Sheet1!J656+Sheet1!K656+Sheet1!L656+Sheet1!M656</f>
        <v/>
      </c>
      <c r="C656">
        <f>IF(ISNUMBER(B656),B656,"")</f>
        <v/>
      </c>
      <c r="D656">
        <f>IF(ISNUMBER(C656),_xlfn.RANK.EQ(C656,$C$2:$C$1031),"")</f>
        <v/>
      </c>
      <c r="E656">
        <f>Sheet1!C656+Sheet1!D656+Sheet1!E656+Sheet1!F656+Sheet1!J656+Sheet1!K656+Sheet1!L656+Sheet1!M656+Sheet1!Q656+Sheet1!R656+Sheet1!S656+Sheet1!T656</f>
        <v/>
      </c>
      <c r="F656">
        <f>IF(ISNUMBER(E656),E656,"")</f>
        <v/>
      </c>
      <c r="G656">
        <f>IF(ISNUMBER(F656),_xlfn.RANK.EQ(F656,$F$2:$F$1031),"")</f>
        <v/>
      </c>
      <c r="H656">
        <f>INDEX(Sheet1!AH:AH,MATCH(A656,Sheet1!A:A,0))</f>
        <v/>
      </c>
    </row>
    <row r="657">
      <c r="A657" t="n">
        <v>1591</v>
      </c>
      <c r="B657">
        <f>Sheet1!C657+Sheet1!D657+Sheet1!E657+Sheet1!F657+Sheet1!J657+Sheet1!K657+Sheet1!L657+Sheet1!M657</f>
        <v/>
      </c>
      <c r="C657">
        <f>IF(ISNUMBER(B657),B657,"")</f>
        <v/>
      </c>
      <c r="D657">
        <f>IF(ISNUMBER(C657),_xlfn.RANK.EQ(C657,$C$2:$C$1031),"")</f>
        <v/>
      </c>
      <c r="E657">
        <f>Sheet1!C657+Sheet1!D657+Sheet1!E657+Sheet1!F657+Sheet1!J657+Sheet1!K657+Sheet1!L657+Sheet1!M657+Sheet1!Q657+Sheet1!R657+Sheet1!S657+Sheet1!T657</f>
        <v/>
      </c>
      <c r="F657">
        <f>IF(ISNUMBER(E657),E657,"")</f>
        <v/>
      </c>
      <c r="G657">
        <f>IF(ISNUMBER(F657),_xlfn.RANK.EQ(F657,$F$2:$F$1031),"")</f>
        <v/>
      </c>
      <c r="H657">
        <f>INDEX(Sheet1!AH:AH,MATCH(A657,Sheet1!A:A,0))</f>
        <v/>
      </c>
    </row>
    <row r="658">
      <c r="A658" t="n">
        <v>1592</v>
      </c>
      <c r="B658">
        <f>Sheet1!C658+Sheet1!D658+Sheet1!E658+Sheet1!F658+Sheet1!J658+Sheet1!K658+Sheet1!L658+Sheet1!M658</f>
        <v/>
      </c>
      <c r="C658">
        <f>IF(ISNUMBER(B658),B658,"")</f>
        <v/>
      </c>
      <c r="D658">
        <f>IF(ISNUMBER(C658),_xlfn.RANK.EQ(C658,$C$2:$C$1031),"")</f>
        <v/>
      </c>
      <c r="E658">
        <f>Sheet1!C658+Sheet1!D658+Sheet1!E658+Sheet1!F658+Sheet1!J658+Sheet1!K658+Sheet1!L658+Sheet1!M658+Sheet1!Q658+Sheet1!R658+Sheet1!S658+Sheet1!T658</f>
        <v/>
      </c>
      <c r="F658">
        <f>IF(ISNUMBER(E658),E658,"")</f>
        <v/>
      </c>
      <c r="G658">
        <f>IF(ISNUMBER(F658),_xlfn.RANK.EQ(F658,$F$2:$F$1031),"")</f>
        <v/>
      </c>
      <c r="H658">
        <f>INDEX(Sheet1!AH:AH,MATCH(A658,Sheet1!A:A,0))</f>
        <v/>
      </c>
    </row>
    <row r="659">
      <c r="A659" t="n">
        <v>1597</v>
      </c>
      <c r="B659">
        <f>Sheet1!C659+Sheet1!D659+Sheet1!E659+Sheet1!F659+Sheet1!J659+Sheet1!K659+Sheet1!L659+Sheet1!M659</f>
        <v/>
      </c>
      <c r="C659">
        <f>IF(ISNUMBER(B659),B659,"")</f>
        <v/>
      </c>
      <c r="D659">
        <f>IF(ISNUMBER(C659),_xlfn.RANK.EQ(C659,$C$2:$C$1031),"")</f>
        <v/>
      </c>
      <c r="E659">
        <f>Sheet1!C659+Sheet1!D659+Sheet1!E659+Sheet1!F659+Sheet1!J659+Sheet1!K659+Sheet1!L659+Sheet1!M659+Sheet1!Q659+Sheet1!R659+Sheet1!S659+Sheet1!T659</f>
        <v/>
      </c>
      <c r="F659">
        <f>IF(ISNUMBER(E659),E659,"")</f>
        <v/>
      </c>
      <c r="G659">
        <f>IF(ISNUMBER(F659),_xlfn.RANK.EQ(F659,$F$2:$F$1031),"")</f>
        <v/>
      </c>
      <c r="H659">
        <f>INDEX(Sheet1!AH:AH,MATCH(A659,Sheet1!A:A,0))</f>
        <v/>
      </c>
    </row>
    <row r="660">
      <c r="A660" t="n">
        <v>1600</v>
      </c>
      <c r="B660">
        <f>Sheet1!C660+Sheet1!D660+Sheet1!E660+Sheet1!F660+Sheet1!J660+Sheet1!K660+Sheet1!L660+Sheet1!M660</f>
        <v/>
      </c>
      <c r="C660">
        <f>IF(ISNUMBER(B660),B660,"")</f>
        <v/>
      </c>
      <c r="D660">
        <f>IF(ISNUMBER(C660),_xlfn.RANK.EQ(C660,$C$2:$C$1031),"")</f>
        <v/>
      </c>
      <c r="E660">
        <f>Sheet1!C660+Sheet1!D660+Sheet1!E660+Sheet1!F660+Sheet1!J660+Sheet1!K660+Sheet1!L660+Sheet1!M660+Sheet1!Q660+Sheet1!R660+Sheet1!S660+Sheet1!T660</f>
        <v/>
      </c>
      <c r="F660">
        <f>IF(ISNUMBER(E660),E660,"")</f>
        <v/>
      </c>
      <c r="G660">
        <f>IF(ISNUMBER(F660),_xlfn.RANK.EQ(F660,$F$2:$F$1031),"")</f>
        <v/>
      </c>
      <c r="H660">
        <f>INDEX(Sheet1!AH:AH,MATCH(A660,Sheet1!A:A,0))</f>
        <v/>
      </c>
    </row>
    <row r="661">
      <c r="A661" t="n">
        <v>1601</v>
      </c>
      <c r="B661">
        <f>Sheet1!C661+Sheet1!D661+Sheet1!E661+Sheet1!F661+Sheet1!J661+Sheet1!K661+Sheet1!L661+Sheet1!M661</f>
        <v/>
      </c>
      <c r="C661">
        <f>IF(ISNUMBER(B661),B661,"")</f>
        <v/>
      </c>
      <c r="D661">
        <f>IF(ISNUMBER(C661),_xlfn.RANK.EQ(C661,$C$2:$C$1031),"")</f>
        <v/>
      </c>
      <c r="E661">
        <f>Sheet1!C661+Sheet1!D661+Sheet1!E661+Sheet1!F661+Sheet1!J661+Sheet1!K661+Sheet1!L661+Sheet1!M661+Sheet1!Q661+Sheet1!R661+Sheet1!S661+Sheet1!T661</f>
        <v/>
      </c>
      <c r="F661">
        <f>IF(ISNUMBER(E661),E661,"")</f>
        <v/>
      </c>
      <c r="G661">
        <f>IF(ISNUMBER(F661),_xlfn.RANK.EQ(F661,$F$2:$F$1031),"")</f>
        <v/>
      </c>
      <c r="H661">
        <f>INDEX(Sheet1!AH:AH,MATCH(A661,Sheet1!A:A,0))</f>
        <v/>
      </c>
    </row>
    <row r="662">
      <c r="A662" t="n">
        <v>1602</v>
      </c>
      <c r="B662">
        <f>Sheet1!C662+Sheet1!D662+Sheet1!E662+Sheet1!F662+Sheet1!J662+Sheet1!K662+Sheet1!L662+Sheet1!M662</f>
        <v/>
      </c>
      <c r="C662">
        <f>IF(ISNUMBER(B662),B662,"")</f>
        <v/>
      </c>
      <c r="D662">
        <f>IF(ISNUMBER(C662),_xlfn.RANK.EQ(C662,$C$2:$C$1031),"")</f>
        <v/>
      </c>
      <c r="E662">
        <f>Sheet1!C662+Sheet1!D662+Sheet1!E662+Sheet1!F662+Sheet1!J662+Sheet1!K662+Sheet1!L662+Sheet1!M662+Sheet1!Q662+Sheet1!R662+Sheet1!S662+Sheet1!T662</f>
        <v/>
      </c>
      <c r="F662">
        <f>IF(ISNUMBER(E662),E662,"")</f>
        <v/>
      </c>
      <c r="G662">
        <f>IF(ISNUMBER(F662),_xlfn.RANK.EQ(F662,$F$2:$F$1031),"")</f>
        <v/>
      </c>
      <c r="H662">
        <f>INDEX(Sheet1!AH:AH,MATCH(A662,Sheet1!A:A,0))</f>
        <v/>
      </c>
    </row>
    <row r="663">
      <c r="A663" t="n">
        <v>1603</v>
      </c>
      <c r="B663">
        <f>Sheet1!C663+Sheet1!D663+Sheet1!E663+Sheet1!F663+Sheet1!J663+Sheet1!K663+Sheet1!L663+Sheet1!M663</f>
        <v/>
      </c>
      <c r="C663">
        <f>IF(ISNUMBER(B663),B663,"")</f>
        <v/>
      </c>
      <c r="D663">
        <f>IF(ISNUMBER(C663),_xlfn.RANK.EQ(C663,$C$2:$C$1031),"")</f>
        <v/>
      </c>
      <c r="E663">
        <f>Sheet1!C663+Sheet1!D663+Sheet1!E663+Sheet1!F663+Sheet1!J663+Sheet1!K663+Sheet1!L663+Sheet1!M663+Sheet1!Q663+Sheet1!R663+Sheet1!S663+Sheet1!T663</f>
        <v/>
      </c>
      <c r="F663">
        <f>IF(ISNUMBER(E663),E663,"")</f>
        <v/>
      </c>
      <c r="G663">
        <f>IF(ISNUMBER(F663),_xlfn.RANK.EQ(F663,$F$2:$F$1031),"")</f>
        <v/>
      </c>
      <c r="H663">
        <f>INDEX(Sheet1!AH:AH,MATCH(A663,Sheet1!A:A,0))</f>
        <v/>
      </c>
    </row>
    <row r="664">
      <c r="A664" t="n">
        <v>1605</v>
      </c>
      <c r="B664">
        <f>Sheet1!C664+Sheet1!D664+Sheet1!E664+Sheet1!F664+Sheet1!J664+Sheet1!K664+Sheet1!L664+Sheet1!M664</f>
        <v/>
      </c>
      <c r="C664">
        <f>IF(ISNUMBER(B664),B664,"")</f>
        <v/>
      </c>
      <c r="D664">
        <f>IF(ISNUMBER(C664),_xlfn.RANK.EQ(C664,$C$2:$C$1031),"")</f>
        <v/>
      </c>
      <c r="E664">
        <f>Sheet1!C664+Sheet1!D664+Sheet1!E664+Sheet1!F664+Sheet1!J664+Sheet1!K664+Sheet1!L664+Sheet1!M664+Sheet1!Q664+Sheet1!R664+Sheet1!S664+Sheet1!T664</f>
        <v/>
      </c>
      <c r="F664">
        <f>IF(ISNUMBER(E664),E664,"")</f>
        <v/>
      </c>
      <c r="G664">
        <f>IF(ISNUMBER(F664),_xlfn.RANK.EQ(F664,$F$2:$F$1031),"")</f>
        <v/>
      </c>
      <c r="H664">
        <f>INDEX(Sheet1!AH:AH,MATCH(A664,Sheet1!A:A,0))</f>
        <v/>
      </c>
    </row>
    <row r="665">
      <c r="A665" t="n">
        <v>1606</v>
      </c>
      <c r="B665">
        <f>Sheet1!C665+Sheet1!D665+Sheet1!E665+Sheet1!F665+Sheet1!J665+Sheet1!K665+Sheet1!L665+Sheet1!M665</f>
        <v/>
      </c>
      <c r="C665">
        <f>IF(ISNUMBER(B665),B665,"")</f>
        <v/>
      </c>
      <c r="D665">
        <f>IF(ISNUMBER(C665),_xlfn.RANK.EQ(C665,$C$2:$C$1031),"")</f>
        <v/>
      </c>
      <c r="E665">
        <f>Sheet1!C665+Sheet1!D665+Sheet1!E665+Sheet1!F665+Sheet1!J665+Sheet1!K665+Sheet1!L665+Sheet1!M665+Sheet1!Q665+Sheet1!R665+Sheet1!S665+Sheet1!T665</f>
        <v/>
      </c>
      <c r="F665">
        <f>IF(ISNUMBER(E665),E665,"")</f>
        <v/>
      </c>
      <c r="G665">
        <f>IF(ISNUMBER(F665),_xlfn.RANK.EQ(F665,$F$2:$F$1031),"")</f>
        <v/>
      </c>
      <c r="H665">
        <f>INDEX(Sheet1!AH:AH,MATCH(A665,Sheet1!A:A,0))</f>
        <v/>
      </c>
    </row>
    <row r="666">
      <c r="A666" t="n">
        <v>1607</v>
      </c>
      <c r="B666">
        <f>Sheet1!C666+Sheet1!D666+Sheet1!E666+Sheet1!F666+Sheet1!J666+Sheet1!K666+Sheet1!L666+Sheet1!M666</f>
        <v/>
      </c>
      <c r="C666">
        <f>IF(ISNUMBER(B666),B666,"")</f>
        <v/>
      </c>
      <c r="D666">
        <f>IF(ISNUMBER(C666),_xlfn.RANK.EQ(C666,$C$2:$C$1031),"")</f>
        <v/>
      </c>
      <c r="E666">
        <f>Sheet1!C666+Sheet1!D666+Sheet1!E666+Sheet1!F666+Sheet1!J666+Sheet1!K666+Sheet1!L666+Sheet1!M666+Sheet1!Q666+Sheet1!R666+Sheet1!S666+Sheet1!T666</f>
        <v/>
      </c>
      <c r="F666">
        <f>IF(ISNUMBER(E666),E666,"")</f>
        <v/>
      </c>
      <c r="G666">
        <f>IF(ISNUMBER(F666),_xlfn.RANK.EQ(F666,$F$2:$F$1031),"")</f>
        <v/>
      </c>
      <c r="H666">
        <f>INDEX(Sheet1!AH:AH,MATCH(A666,Sheet1!A:A,0))</f>
        <v/>
      </c>
    </row>
    <row r="667">
      <c r="A667" t="n">
        <v>1609</v>
      </c>
      <c r="B667">
        <f>Sheet1!C667+Sheet1!D667+Sheet1!E667+Sheet1!F667+Sheet1!J667+Sheet1!K667+Sheet1!L667+Sheet1!M667</f>
        <v/>
      </c>
      <c r="C667">
        <f>IF(ISNUMBER(B667),B667,"")</f>
        <v/>
      </c>
      <c r="D667">
        <f>IF(ISNUMBER(C667),_xlfn.RANK.EQ(C667,$C$2:$C$1031),"")</f>
        <v/>
      </c>
      <c r="E667">
        <f>Sheet1!C667+Sheet1!D667+Sheet1!E667+Sheet1!F667+Sheet1!J667+Sheet1!K667+Sheet1!L667+Sheet1!M667+Sheet1!Q667+Sheet1!R667+Sheet1!S667+Sheet1!T667</f>
        <v/>
      </c>
      <c r="F667">
        <f>IF(ISNUMBER(E667),E667,"")</f>
        <v/>
      </c>
      <c r="G667">
        <f>IF(ISNUMBER(F667),_xlfn.RANK.EQ(F667,$F$2:$F$1031),"")</f>
        <v/>
      </c>
      <c r="H667">
        <f>INDEX(Sheet1!AH:AH,MATCH(A667,Sheet1!A:A,0))</f>
        <v/>
      </c>
    </row>
    <row r="668">
      <c r="A668" t="n">
        <v>1610</v>
      </c>
      <c r="B668">
        <f>Sheet1!C668+Sheet1!D668+Sheet1!E668+Sheet1!F668+Sheet1!J668+Sheet1!K668+Sheet1!L668+Sheet1!M668</f>
        <v/>
      </c>
      <c r="C668">
        <f>IF(ISNUMBER(B668),B668,"")</f>
        <v/>
      </c>
      <c r="D668">
        <f>IF(ISNUMBER(C668),_xlfn.RANK.EQ(C668,$C$2:$C$1031),"")</f>
        <v/>
      </c>
      <c r="E668">
        <f>Sheet1!C668+Sheet1!D668+Sheet1!E668+Sheet1!F668+Sheet1!J668+Sheet1!K668+Sheet1!L668+Sheet1!M668+Sheet1!Q668+Sheet1!R668+Sheet1!S668+Sheet1!T668</f>
        <v/>
      </c>
      <c r="F668">
        <f>IF(ISNUMBER(E668),E668,"")</f>
        <v/>
      </c>
      <c r="G668">
        <f>IF(ISNUMBER(F668),_xlfn.RANK.EQ(F668,$F$2:$F$1031),"")</f>
        <v/>
      </c>
      <c r="H668">
        <f>INDEX(Sheet1!AH:AH,MATCH(A668,Sheet1!A:A,0))</f>
        <v/>
      </c>
    </row>
    <row r="669">
      <c r="A669" t="n">
        <v>1613</v>
      </c>
      <c r="B669">
        <f>Sheet1!C669+Sheet1!D669+Sheet1!E669+Sheet1!F669+Sheet1!J669+Sheet1!K669+Sheet1!L669+Sheet1!M669</f>
        <v/>
      </c>
      <c r="C669">
        <f>IF(ISNUMBER(B669),B669,"")</f>
        <v/>
      </c>
      <c r="D669">
        <f>IF(ISNUMBER(C669),_xlfn.RANK.EQ(C669,$C$2:$C$1031),"")</f>
        <v/>
      </c>
      <c r="E669">
        <f>Sheet1!C669+Sheet1!D669+Sheet1!E669+Sheet1!F669+Sheet1!J669+Sheet1!K669+Sheet1!L669+Sheet1!M669+Sheet1!Q669+Sheet1!R669+Sheet1!S669+Sheet1!T669</f>
        <v/>
      </c>
      <c r="F669">
        <f>IF(ISNUMBER(E669),E669,"")</f>
        <v/>
      </c>
      <c r="G669">
        <f>IF(ISNUMBER(F669),_xlfn.RANK.EQ(F669,$F$2:$F$1031),"")</f>
        <v/>
      </c>
      <c r="H669">
        <f>INDEX(Sheet1!AH:AH,MATCH(A669,Sheet1!A:A,0))</f>
        <v/>
      </c>
    </row>
    <row r="670">
      <c r="A670" t="n">
        <v>1614</v>
      </c>
      <c r="B670">
        <f>Sheet1!C670+Sheet1!D670+Sheet1!E670+Sheet1!F670+Sheet1!J670+Sheet1!K670+Sheet1!L670+Sheet1!M670</f>
        <v/>
      </c>
      <c r="C670">
        <f>IF(ISNUMBER(B670),B670,"")</f>
        <v/>
      </c>
      <c r="D670">
        <f>IF(ISNUMBER(C670),_xlfn.RANK.EQ(C670,$C$2:$C$1031),"")</f>
        <v/>
      </c>
      <c r="E670">
        <f>Sheet1!C670+Sheet1!D670+Sheet1!E670+Sheet1!F670+Sheet1!J670+Sheet1!K670+Sheet1!L670+Sheet1!M670+Sheet1!Q670+Sheet1!R670+Sheet1!S670+Sheet1!T670</f>
        <v/>
      </c>
      <c r="F670">
        <f>IF(ISNUMBER(E670),E670,"")</f>
        <v/>
      </c>
      <c r="G670">
        <f>IF(ISNUMBER(F670),_xlfn.RANK.EQ(F670,$F$2:$F$1031),"")</f>
        <v/>
      </c>
      <c r="H670">
        <f>INDEX(Sheet1!AH:AH,MATCH(A670,Sheet1!A:A,0))</f>
        <v/>
      </c>
    </row>
    <row r="671">
      <c r="A671" t="n">
        <v>1615</v>
      </c>
      <c r="B671">
        <f>Sheet1!C671+Sheet1!D671+Sheet1!E671+Sheet1!F671+Sheet1!J671+Sheet1!K671+Sheet1!L671+Sheet1!M671</f>
        <v/>
      </c>
      <c r="C671">
        <f>IF(ISNUMBER(B671),B671,"")</f>
        <v/>
      </c>
      <c r="D671">
        <f>IF(ISNUMBER(C671),_xlfn.RANK.EQ(C671,$C$2:$C$1031),"")</f>
        <v/>
      </c>
      <c r="E671">
        <f>Sheet1!C671+Sheet1!D671+Sheet1!E671+Sheet1!F671+Sheet1!J671+Sheet1!K671+Sheet1!L671+Sheet1!M671+Sheet1!Q671+Sheet1!R671+Sheet1!S671+Sheet1!T671</f>
        <v/>
      </c>
      <c r="F671">
        <f>IF(ISNUMBER(E671),E671,"")</f>
        <v/>
      </c>
      <c r="G671">
        <f>IF(ISNUMBER(F671),_xlfn.RANK.EQ(F671,$F$2:$F$1031),"")</f>
        <v/>
      </c>
      <c r="H671">
        <f>INDEX(Sheet1!AH:AH,MATCH(A671,Sheet1!A:A,0))</f>
        <v/>
      </c>
    </row>
    <row r="672">
      <c r="A672" t="n">
        <v>1616</v>
      </c>
      <c r="B672">
        <f>Sheet1!C672+Sheet1!D672+Sheet1!E672+Sheet1!F672+Sheet1!J672+Sheet1!K672+Sheet1!L672+Sheet1!M672</f>
        <v/>
      </c>
      <c r="C672">
        <f>IF(ISNUMBER(B672),B672,"")</f>
        <v/>
      </c>
      <c r="D672">
        <f>IF(ISNUMBER(C672),_xlfn.RANK.EQ(C672,$C$2:$C$1031),"")</f>
        <v/>
      </c>
      <c r="E672">
        <f>Sheet1!C672+Sheet1!D672+Sheet1!E672+Sheet1!F672+Sheet1!J672+Sheet1!K672+Sheet1!L672+Sheet1!M672+Sheet1!Q672+Sheet1!R672+Sheet1!S672+Sheet1!T672</f>
        <v/>
      </c>
      <c r="F672">
        <f>IF(ISNUMBER(E672),E672,"")</f>
        <v/>
      </c>
      <c r="G672">
        <f>IF(ISNUMBER(F672),_xlfn.RANK.EQ(F672,$F$2:$F$1031),"")</f>
        <v/>
      </c>
      <c r="H672">
        <f>INDEX(Sheet1!AH:AH,MATCH(A672,Sheet1!A:A,0))</f>
        <v/>
      </c>
    </row>
    <row r="673">
      <c r="A673" t="n">
        <v>1618</v>
      </c>
      <c r="B673">
        <f>Sheet1!C673+Sheet1!D673+Sheet1!E673+Sheet1!F673+Sheet1!J673+Sheet1!K673+Sheet1!L673+Sheet1!M673</f>
        <v/>
      </c>
      <c r="C673">
        <f>IF(ISNUMBER(B673),B673,"")</f>
        <v/>
      </c>
      <c r="D673">
        <f>IF(ISNUMBER(C673),_xlfn.RANK.EQ(C673,$C$2:$C$1031),"")</f>
        <v/>
      </c>
      <c r="E673">
        <f>Sheet1!C673+Sheet1!D673+Sheet1!E673+Sheet1!F673+Sheet1!J673+Sheet1!K673+Sheet1!L673+Sheet1!M673+Sheet1!Q673+Sheet1!R673+Sheet1!S673+Sheet1!T673</f>
        <v/>
      </c>
      <c r="F673">
        <f>IF(ISNUMBER(E673),E673,"")</f>
        <v/>
      </c>
      <c r="G673">
        <f>IF(ISNUMBER(F673),_xlfn.RANK.EQ(F673,$F$2:$F$1031),"")</f>
        <v/>
      </c>
      <c r="H673">
        <f>INDEX(Sheet1!AH:AH,MATCH(A673,Sheet1!A:A,0))</f>
        <v/>
      </c>
    </row>
    <row r="674">
      <c r="A674" t="n">
        <v>1622</v>
      </c>
      <c r="B674">
        <f>Sheet1!C674+Sheet1!D674+Sheet1!E674+Sheet1!F674+Sheet1!J674+Sheet1!K674+Sheet1!L674+Sheet1!M674</f>
        <v/>
      </c>
      <c r="C674">
        <f>IF(ISNUMBER(B674),B674,"")</f>
        <v/>
      </c>
      <c r="D674">
        <f>IF(ISNUMBER(C674),_xlfn.RANK.EQ(C674,$C$2:$C$1031),"")</f>
        <v/>
      </c>
      <c r="E674">
        <f>Sheet1!C674+Sheet1!D674+Sheet1!E674+Sheet1!F674+Sheet1!J674+Sheet1!K674+Sheet1!L674+Sheet1!M674+Sheet1!Q674+Sheet1!R674+Sheet1!S674+Sheet1!T674</f>
        <v/>
      </c>
      <c r="F674">
        <f>IF(ISNUMBER(E674),E674,"")</f>
        <v/>
      </c>
      <c r="G674">
        <f>IF(ISNUMBER(F674),_xlfn.RANK.EQ(F674,$F$2:$F$1031),"")</f>
        <v/>
      </c>
      <c r="H674">
        <f>INDEX(Sheet1!AH:AH,MATCH(A674,Sheet1!A:A,0))</f>
        <v/>
      </c>
    </row>
    <row r="675">
      <c r="A675" t="n">
        <v>1628</v>
      </c>
      <c r="B675">
        <f>Sheet1!C675+Sheet1!D675+Sheet1!E675+Sheet1!F675+Sheet1!J675+Sheet1!K675+Sheet1!L675+Sheet1!M675</f>
        <v/>
      </c>
      <c r="C675">
        <f>IF(ISNUMBER(B675),B675,"")</f>
        <v/>
      </c>
      <c r="D675">
        <f>IF(ISNUMBER(C675),_xlfn.RANK.EQ(C675,$C$2:$C$1031),"")</f>
        <v/>
      </c>
      <c r="E675">
        <f>Sheet1!C675+Sheet1!D675+Sheet1!E675+Sheet1!F675+Sheet1!J675+Sheet1!K675+Sheet1!L675+Sheet1!M675+Sheet1!Q675+Sheet1!R675+Sheet1!S675+Sheet1!T675</f>
        <v/>
      </c>
      <c r="F675">
        <f>IF(ISNUMBER(E675),E675,"")</f>
        <v/>
      </c>
      <c r="G675">
        <f>IF(ISNUMBER(F675),_xlfn.RANK.EQ(F675,$F$2:$F$1031),"")</f>
        <v/>
      </c>
      <c r="H675">
        <f>INDEX(Sheet1!AH:AH,MATCH(A675,Sheet1!A:A,0))</f>
        <v/>
      </c>
    </row>
    <row r="676">
      <c r="A676" t="n">
        <v>1630</v>
      </c>
      <c r="B676">
        <f>Sheet1!C676+Sheet1!D676+Sheet1!E676+Sheet1!F676+Sheet1!J676+Sheet1!K676+Sheet1!L676+Sheet1!M676</f>
        <v/>
      </c>
      <c r="C676">
        <f>IF(ISNUMBER(B676),B676,"")</f>
        <v/>
      </c>
      <c r="D676">
        <f>IF(ISNUMBER(C676),_xlfn.RANK.EQ(C676,$C$2:$C$1031),"")</f>
        <v/>
      </c>
      <c r="E676">
        <f>Sheet1!C676+Sheet1!D676+Sheet1!E676+Sheet1!F676+Sheet1!J676+Sheet1!K676+Sheet1!L676+Sheet1!M676+Sheet1!Q676+Sheet1!R676+Sheet1!S676+Sheet1!T676</f>
        <v/>
      </c>
      <c r="F676">
        <f>IF(ISNUMBER(E676),E676,"")</f>
        <v/>
      </c>
      <c r="G676">
        <f>IF(ISNUMBER(F676),_xlfn.RANK.EQ(F676,$F$2:$F$1031),"")</f>
        <v/>
      </c>
      <c r="H676">
        <f>INDEX(Sheet1!AH:AH,MATCH(A676,Sheet1!A:A,0))</f>
        <v/>
      </c>
    </row>
    <row r="677">
      <c r="A677" t="n">
        <v>1631</v>
      </c>
      <c r="B677">
        <f>Sheet1!C677+Sheet1!D677+Sheet1!E677+Sheet1!F677+Sheet1!J677+Sheet1!K677+Sheet1!L677+Sheet1!M677</f>
        <v/>
      </c>
      <c r="C677">
        <f>IF(ISNUMBER(B677),B677,"")</f>
        <v/>
      </c>
      <c r="D677">
        <f>IF(ISNUMBER(C677),_xlfn.RANK.EQ(C677,$C$2:$C$1031),"")</f>
        <v/>
      </c>
      <c r="E677">
        <f>Sheet1!C677+Sheet1!D677+Sheet1!E677+Sheet1!F677+Sheet1!J677+Sheet1!K677+Sheet1!L677+Sheet1!M677+Sheet1!Q677+Sheet1!R677+Sheet1!S677+Sheet1!T677</f>
        <v/>
      </c>
      <c r="F677">
        <f>IF(ISNUMBER(E677),E677,"")</f>
        <v/>
      </c>
      <c r="G677">
        <f>IF(ISNUMBER(F677),_xlfn.RANK.EQ(F677,$F$2:$F$1031),"")</f>
        <v/>
      </c>
      <c r="H677">
        <f>INDEX(Sheet1!AH:AH,MATCH(A677,Sheet1!A:A,0))</f>
        <v/>
      </c>
    </row>
    <row r="678">
      <c r="A678" t="n">
        <v>1633</v>
      </c>
      <c r="B678">
        <f>Sheet1!C678+Sheet1!D678+Sheet1!E678+Sheet1!F678+Sheet1!J678+Sheet1!K678+Sheet1!L678+Sheet1!M678</f>
        <v/>
      </c>
      <c r="C678">
        <f>IF(ISNUMBER(B678),B678,"")</f>
        <v/>
      </c>
      <c r="D678">
        <f>IF(ISNUMBER(C678),_xlfn.RANK.EQ(C678,$C$2:$C$1031),"")</f>
        <v/>
      </c>
      <c r="E678">
        <f>Sheet1!C678+Sheet1!D678+Sheet1!E678+Sheet1!F678+Sheet1!J678+Sheet1!K678+Sheet1!L678+Sheet1!M678+Sheet1!Q678+Sheet1!R678+Sheet1!S678+Sheet1!T678</f>
        <v/>
      </c>
      <c r="F678">
        <f>IF(ISNUMBER(E678),E678,"")</f>
        <v/>
      </c>
      <c r="G678">
        <f>IF(ISNUMBER(F678),_xlfn.RANK.EQ(F678,$F$2:$F$1031),"")</f>
        <v/>
      </c>
      <c r="H678">
        <f>INDEX(Sheet1!AH:AH,MATCH(A678,Sheet1!A:A,0))</f>
        <v/>
      </c>
    </row>
    <row r="679">
      <c r="A679" t="n">
        <v>1634</v>
      </c>
      <c r="B679">
        <f>Sheet1!C679+Sheet1!D679+Sheet1!E679+Sheet1!F679+Sheet1!J679+Sheet1!K679+Sheet1!L679+Sheet1!M679</f>
        <v/>
      </c>
      <c r="C679">
        <f>IF(ISNUMBER(B679),B679,"")</f>
        <v/>
      </c>
      <c r="D679">
        <f>IF(ISNUMBER(C679),_xlfn.RANK.EQ(C679,$C$2:$C$1031),"")</f>
        <v/>
      </c>
      <c r="E679">
        <f>Sheet1!C679+Sheet1!D679+Sheet1!E679+Sheet1!F679+Sheet1!J679+Sheet1!K679+Sheet1!L679+Sheet1!M679+Sheet1!Q679+Sheet1!R679+Sheet1!S679+Sheet1!T679</f>
        <v/>
      </c>
      <c r="F679">
        <f>IF(ISNUMBER(E679),E679,"")</f>
        <v/>
      </c>
      <c r="G679">
        <f>IF(ISNUMBER(F679),_xlfn.RANK.EQ(F679,$F$2:$F$1031),"")</f>
        <v/>
      </c>
      <c r="H679">
        <f>INDEX(Sheet1!AH:AH,MATCH(A679,Sheet1!A:A,0))</f>
        <v/>
      </c>
    </row>
    <row r="680">
      <c r="A680" t="n">
        <v>1641</v>
      </c>
      <c r="B680">
        <f>Sheet1!C680+Sheet1!D680+Sheet1!E680+Sheet1!F680+Sheet1!J680+Sheet1!K680+Sheet1!L680+Sheet1!M680</f>
        <v/>
      </c>
      <c r="C680">
        <f>IF(ISNUMBER(B680),B680,"")</f>
        <v/>
      </c>
      <c r="D680">
        <f>IF(ISNUMBER(C680),_xlfn.RANK.EQ(C680,$C$2:$C$1031),"")</f>
        <v/>
      </c>
      <c r="E680">
        <f>Sheet1!C680+Sheet1!D680+Sheet1!E680+Sheet1!F680+Sheet1!J680+Sheet1!K680+Sheet1!L680+Sheet1!M680+Sheet1!Q680+Sheet1!R680+Sheet1!S680+Sheet1!T680</f>
        <v/>
      </c>
      <c r="F680">
        <f>IF(ISNUMBER(E680),E680,"")</f>
        <v/>
      </c>
      <c r="G680">
        <f>IF(ISNUMBER(F680),_xlfn.RANK.EQ(F680,$F$2:$F$1031),"")</f>
        <v/>
      </c>
      <c r="H680">
        <f>INDEX(Sheet1!AH:AH,MATCH(A680,Sheet1!A:A,0))</f>
        <v/>
      </c>
    </row>
    <row r="681">
      <c r="A681" t="n">
        <v>1643</v>
      </c>
      <c r="B681">
        <f>Sheet1!C681+Sheet1!D681+Sheet1!E681+Sheet1!F681+Sheet1!J681+Sheet1!K681+Sheet1!L681+Sheet1!M681</f>
        <v/>
      </c>
      <c r="C681">
        <f>IF(ISNUMBER(B681),B681,"")</f>
        <v/>
      </c>
      <c r="D681">
        <f>IF(ISNUMBER(C681),_xlfn.RANK.EQ(C681,$C$2:$C$1031),"")</f>
        <v/>
      </c>
      <c r="E681">
        <f>Sheet1!C681+Sheet1!D681+Sheet1!E681+Sheet1!F681+Sheet1!J681+Sheet1!K681+Sheet1!L681+Sheet1!M681+Sheet1!Q681+Sheet1!R681+Sheet1!S681+Sheet1!T681</f>
        <v/>
      </c>
      <c r="F681">
        <f>IF(ISNUMBER(E681),E681,"")</f>
        <v/>
      </c>
      <c r="G681">
        <f>IF(ISNUMBER(F681),_xlfn.RANK.EQ(F681,$F$2:$F$1031),"")</f>
        <v/>
      </c>
      <c r="H681">
        <f>INDEX(Sheet1!AH:AH,MATCH(A681,Sheet1!A:A,0))</f>
        <v/>
      </c>
    </row>
    <row r="682">
      <c r="A682" t="n">
        <v>1644</v>
      </c>
      <c r="B682">
        <f>Sheet1!C682+Sheet1!D682+Sheet1!E682+Sheet1!F682+Sheet1!J682+Sheet1!K682+Sheet1!L682+Sheet1!M682</f>
        <v/>
      </c>
      <c r="C682">
        <f>IF(ISNUMBER(B682),B682,"")</f>
        <v/>
      </c>
      <c r="D682">
        <f>IF(ISNUMBER(C682),_xlfn.RANK.EQ(C682,$C$2:$C$1031),"")</f>
        <v/>
      </c>
      <c r="E682">
        <f>Sheet1!C682+Sheet1!D682+Sheet1!E682+Sheet1!F682+Sheet1!J682+Sheet1!K682+Sheet1!L682+Sheet1!M682+Sheet1!Q682+Sheet1!R682+Sheet1!S682+Sheet1!T682</f>
        <v/>
      </c>
      <c r="F682">
        <f>IF(ISNUMBER(E682),E682,"")</f>
        <v/>
      </c>
      <c r="G682">
        <f>IF(ISNUMBER(F682),_xlfn.RANK.EQ(F682,$F$2:$F$1031),"")</f>
        <v/>
      </c>
      <c r="H682">
        <f>INDEX(Sheet1!AH:AH,MATCH(A682,Sheet1!A:A,0))</f>
        <v/>
      </c>
    </row>
    <row r="683">
      <c r="A683" t="n">
        <v>1647</v>
      </c>
      <c r="B683">
        <f>Sheet1!C683+Sheet1!D683+Sheet1!E683+Sheet1!F683+Sheet1!J683+Sheet1!K683+Sheet1!L683+Sheet1!M683</f>
        <v/>
      </c>
      <c r="C683">
        <f>IF(ISNUMBER(B683),B683,"")</f>
        <v/>
      </c>
      <c r="D683">
        <f>IF(ISNUMBER(C683),_xlfn.RANK.EQ(C683,$C$2:$C$1031),"")</f>
        <v/>
      </c>
      <c r="E683">
        <f>Sheet1!C683+Sheet1!D683+Sheet1!E683+Sheet1!F683+Sheet1!J683+Sheet1!K683+Sheet1!L683+Sheet1!M683+Sheet1!Q683+Sheet1!R683+Sheet1!S683+Sheet1!T683</f>
        <v/>
      </c>
      <c r="F683">
        <f>IF(ISNUMBER(E683),E683,"")</f>
        <v/>
      </c>
      <c r="G683">
        <f>IF(ISNUMBER(F683),_xlfn.RANK.EQ(F683,$F$2:$F$1031),"")</f>
        <v/>
      </c>
      <c r="H683">
        <f>INDEX(Sheet1!AH:AH,MATCH(A683,Sheet1!A:A,0))</f>
        <v/>
      </c>
    </row>
    <row r="684">
      <c r="A684" t="n">
        <v>1651</v>
      </c>
      <c r="B684">
        <f>Sheet1!C684+Sheet1!D684+Sheet1!E684+Sheet1!F684+Sheet1!J684+Sheet1!K684+Sheet1!L684+Sheet1!M684</f>
        <v/>
      </c>
      <c r="C684">
        <f>IF(ISNUMBER(B684),B684,"")</f>
        <v/>
      </c>
      <c r="D684">
        <f>IF(ISNUMBER(C684),_xlfn.RANK.EQ(C684,$C$2:$C$1031),"")</f>
        <v/>
      </c>
      <c r="E684">
        <f>Sheet1!C684+Sheet1!D684+Sheet1!E684+Sheet1!F684+Sheet1!J684+Sheet1!K684+Sheet1!L684+Sheet1!M684+Sheet1!Q684+Sheet1!R684+Sheet1!S684+Sheet1!T684</f>
        <v/>
      </c>
      <c r="F684">
        <f>IF(ISNUMBER(E684),E684,"")</f>
        <v/>
      </c>
      <c r="G684">
        <f>IF(ISNUMBER(F684),_xlfn.RANK.EQ(F684,$F$2:$F$1031),"")</f>
        <v/>
      </c>
      <c r="H684">
        <f>INDEX(Sheet1!AH:AH,MATCH(A684,Sheet1!A:A,0))</f>
        <v/>
      </c>
    </row>
    <row r="685">
      <c r="A685" t="n">
        <v>1652</v>
      </c>
      <c r="B685">
        <f>Sheet1!C685+Sheet1!D685+Sheet1!E685+Sheet1!F685+Sheet1!J685+Sheet1!K685+Sheet1!L685+Sheet1!M685</f>
        <v/>
      </c>
      <c r="C685">
        <f>IF(ISNUMBER(B685),B685,"")</f>
        <v/>
      </c>
      <c r="D685">
        <f>IF(ISNUMBER(C685),_xlfn.RANK.EQ(C685,$C$2:$C$1031),"")</f>
        <v/>
      </c>
      <c r="E685">
        <f>Sheet1!C685+Sheet1!D685+Sheet1!E685+Sheet1!F685+Sheet1!J685+Sheet1!K685+Sheet1!L685+Sheet1!M685+Sheet1!Q685+Sheet1!R685+Sheet1!S685+Sheet1!T685</f>
        <v/>
      </c>
      <c r="F685">
        <f>IF(ISNUMBER(E685),E685,"")</f>
        <v/>
      </c>
      <c r="G685">
        <f>IF(ISNUMBER(F685),_xlfn.RANK.EQ(F685,$F$2:$F$1031),"")</f>
        <v/>
      </c>
      <c r="H685">
        <f>INDEX(Sheet1!AH:AH,MATCH(A685,Sheet1!A:A,0))</f>
        <v/>
      </c>
    </row>
    <row r="686">
      <c r="A686" t="n">
        <v>1664</v>
      </c>
      <c r="B686">
        <f>Sheet1!C686+Sheet1!D686+Sheet1!E686+Sheet1!F686+Sheet1!J686+Sheet1!K686+Sheet1!L686+Sheet1!M686</f>
        <v/>
      </c>
      <c r="C686">
        <f>IF(ISNUMBER(B686),B686,"")</f>
        <v/>
      </c>
      <c r="D686">
        <f>IF(ISNUMBER(C686),_xlfn.RANK.EQ(C686,$C$2:$C$1031),"")</f>
        <v/>
      </c>
      <c r="E686">
        <f>Sheet1!C686+Sheet1!D686+Sheet1!E686+Sheet1!F686+Sheet1!J686+Sheet1!K686+Sheet1!L686+Sheet1!M686+Sheet1!Q686+Sheet1!R686+Sheet1!S686+Sheet1!T686</f>
        <v/>
      </c>
      <c r="F686">
        <f>IF(ISNUMBER(E686),E686,"")</f>
        <v/>
      </c>
      <c r="G686">
        <f>IF(ISNUMBER(F686),_xlfn.RANK.EQ(F686,$F$2:$F$1031),"")</f>
        <v/>
      </c>
      <c r="H686">
        <f>INDEX(Sheet1!AH:AH,MATCH(A686,Sheet1!A:A,0))</f>
        <v/>
      </c>
    </row>
    <row r="687">
      <c r="A687" t="n">
        <v>1668</v>
      </c>
      <c r="B687">
        <f>Sheet1!C687+Sheet1!D687+Sheet1!E687+Sheet1!F687+Sheet1!J687+Sheet1!K687+Sheet1!L687+Sheet1!M687</f>
        <v/>
      </c>
      <c r="C687">
        <f>IF(ISNUMBER(B687),B687,"")</f>
        <v/>
      </c>
      <c r="D687">
        <f>IF(ISNUMBER(C687),_xlfn.RANK.EQ(C687,$C$2:$C$1031),"")</f>
        <v/>
      </c>
      <c r="E687">
        <f>Sheet1!C687+Sheet1!D687+Sheet1!E687+Sheet1!F687+Sheet1!J687+Sheet1!K687+Sheet1!L687+Sheet1!M687+Sheet1!Q687+Sheet1!R687+Sheet1!S687+Sheet1!T687</f>
        <v/>
      </c>
      <c r="F687">
        <f>IF(ISNUMBER(E687),E687,"")</f>
        <v/>
      </c>
      <c r="G687">
        <f>IF(ISNUMBER(F687),_xlfn.RANK.EQ(F687,$F$2:$F$1031),"")</f>
        <v/>
      </c>
      <c r="H687">
        <f>INDEX(Sheet1!AH:AH,MATCH(A687,Sheet1!A:A,0))</f>
        <v/>
      </c>
    </row>
    <row r="688">
      <c r="A688" t="n">
        <v>1671</v>
      </c>
      <c r="B688">
        <f>Sheet1!C688+Sheet1!D688+Sheet1!E688+Sheet1!F688+Sheet1!J688+Sheet1!K688+Sheet1!L688+Sheet1!M688</f>
        <v/>
      </c>
      <c r="C688">
        <f>IF(ISNUMBER(B688),B688,"")</f>
        <v/>
      </c>
      <c r="D688">
        <f>IF(ISNUMBER(C688),_xlfn.RANK.EQ(C688,$C$2:$C$1031),"")</f>
        <v/>
      </c>
      <c r="E688">
        <f>Sheet1!C688+Sheet1!D688+Sheet1!E688+Sheet1!F688+Sheet1!J688+Sheet1!K688+Sheet1!L688+Sheet1!M688+Sheet1!Q688+Sheet1!R688+Sheet1!S688+Sheet1!T688</f>
        <v/>
      </c>
      <c r="F688">
        <f>IF(ISNUMBER(E688),E688,"")</f>
        <v/>
      </c>
      <c r="G688">
        <f>IF(ISNUMBER(F688),_xlfn.RANK.EQ(F688,$F$2:$F$1031),"")</f>
        <v/>
      </c>
      <c r="H688">
        <f>INDEX(Sheet1!AH:AH,MATCH(A688,Sheet1!A:A,0))</f>
        <v/>
      </c>
    </row>
    <row r="689">
      <c r="A689" t="n">
        <v>1676</v>
      </c>
      <c r="B689">
        <f>Sheet1!C689+Sheet1!D689+Sheet1!E689+Sheet1!F689+Sheet1!J689+Sheet1!K689+Sheet1!L689+Sheet1!M689</f>
        <v/>
      </c>
      <c r="C689">
        <f>IF(ISNUMBER(B689),B689,"")</f>
        <v/>
      </c>
      <c r="D689">
        <f>IF(ISNUMBER(C689),_xlfn.RANK.EQ(C689,$C$2:$C$1031),"")</f>
        <v/>
      </c>
      <c r="E689">
        <f>Sheet1!C689+Sheet1!D689+Sheet1!E689+Sheet1!F689+Sheet1!J689+Sheet1!K689+Sheet1!L689+Sheet1!M689+Sheet1!Q689+Sheet1!R689+Sheet1!S689+Sheet1!T689</f>
        <v/>
      </c>
      <c r="F689">
        <f>IF(ISNUMBER(E689),E689,"")</f>
        <v/>
      </c>
      <c r="G689">
        <f>IF(ISNUMBER(F689),_xlfn.RANK.EQ(F689,$F$2:$F$1031),"")</f>
        <v/>
      </c>
      <c r="H689">
        <f>INDEX(Sheet1!AH:AH,MATCH(A689,Sheet1!A:A,0))</f>
        <v/>
      </c>
    </row>
    <row r="690">
      <c r="A690" t="n">
        <v>1677</v>
      </c>
      <c r="B690">
        <f>Sheet1!C690+Sheet1!D690+Sheet1!E690+Sheet1!F690+Sheet1!J690+Sheet1!K690+Sheet1!L690+Sheet1!M690</f>
        <v/>
      </c>
      <c r="C690">
        <f>IF(ISNUMBER(B690),B690,"")</f>
        <v/>
      </c>
      <c r="D690">
        <f>IF(ISNUMBER(C690),_xlfn.RANK.EQ(C690,$C$2:$C$1031),"")</f>
        <v/>
      </c>
      <c r="E690">
        <f>Sheet1!C690+Sheet1!D690+Sheet1!E690+Sheet1!F690+Sheet1!J690+Sheet1!K690+Sheet1!L690+Sheet1!M690+Sheet1!Q690+Sheet1!R690+Sheet1!S690+Sheet1!T690</f>
        <v/>
      </c>
      <c r="F690">
        <f>IF(ISNUMBER(E690),E690,"")</f>
        <v/>
      </c>
      <c r="G690">
        <f>IF(ISNUMBER(F690),_xlfn.RANK.EQ(F690,$F$2:$F$1031),"")</f>
        <v/>
      </c>
      <c r="H690">
        <f>INDEX(Sheet1!AH:AH,MATCH(A690,Sheet1!A:A,0))</f>
        <v/>
      </c>
    </row>
    <row r="691">
      <c r="A691" t="n">
        <v>1684</v>
      </c>
      <c r="B691">
        <f>Sheet1!C691+Sheet1!D691+Sheet1!E691+Sheet1!F691+Sheet1!J691+Sheet1!K691+Sheet1!L691+Sheet1!M691</f>
        <v/>
      </c>
      <c r="C691">
        <f>IF(ISNUMBER(B691),B691,"")</f>
        <v/>
      </c>
      <c r="D691">
        <f>IF(ISNUMBER(C691),_xlfn.RANK.EQ(C691,$C$2:$C$1031),"")</f>
        <v/>
      </c>
      <c r="E691">
        <f>Sheet1!C691+Sheet1!D691+Sheet1!E691+Sheet1!F691+Sheet1!J691+Sheet1!K691+Sheet1!L691+Sheet1!M691+Sheet1!Q691+Sheet1!R691+Sheet1!S691+Sheet1!T691</f>
        <v/>
      </c>
      <c r="F691">
        <f>IF(ISNUMBER(E691),E691,"")</f>
        <v/>
      </c>
      <c r="G691">
        <f>IF(ISNUMBER(F691),_xlfn.RANK.EQ(F691,$F$2:$F$1031),"")</f>
        <v/>
      </c>
      <c r="H691">
        <f>INDEX(Sheet1!AH:AH,MATCH(A691,Sheet1!A:A,0))</f>
        <v/>
      </c>
    </row>
    <row r="692">
      <c r="A692" t="n">
        <v>1686</v>
      </c>
      <c r="B692">
        <f>Sheet1!C692+Sheet1!D692+Sheet1!E692+Sheet1!F692+Sheet1!J692+Sheet1!K692+Sheet1!L692+Sheet1!M692</f>
        <v/>
      </c>
      <c r="C692">
        <f>IF(ISNUMBER(B692),B692,"")</f>
        <v/>
      </c>
      <c r="D692">
        <f>IF(ISNUMBER(C692),_xlfn.RANK.EQ(C692,$C$2:$C$1031),"")</f>
        <v/>
      </c>
      <c r="E692">
        <f>Sheet1!C692+Sheet1!D692+Sheet1!E692+Sheet1!F692+Sheet1!J692+Sheet1!K692+Sheet1!L692+Sheet1!M692+Sheet1!Q692+Sheet1!R692+Sheet1!S692+Sheet1!T692</f>
        <v/>
      </c>
      <c r="F692">
        <f>IF(ISNUMBER(E692),E692,"")</f>
        <v/>
      </c>
      <c r="G692">
        <f>IF(ISNUMBER(F692),_xlfn.RANK.EQ(F692,$F$2:$F$1031),"")</f>
        <v/>
      </c>
      <c r="H692">
        <f>INDEX(Sheet1!AH:AH,MATCH(A692,Sheet1!A:A,0))</f>
        <v/>
      </c>
    </row>
    <row r="693">
      <c r="A693" t="n">
        <v>1687</v>
      </c>
      <c r="B693">
        <f>Sheet1!C693+Sheet1!D693+Sheet1!E693+Sheet1!F693+Sheet1!J693+Sheet1!K693+Sheet1!L693+Sheet1!M693</f>
        <v/>
      </c>
      <c r="C693">
        <f>IF(ISNUMBER(B693),B693,"")</f>
        <v/>
      </c>
      <c r="D693">
        <f>IF(ISNUMBER(C693),_xlfn.RANK.EQ(C693,$C$2:$C$1031),"")</f>
        <v/>
      </c>
      <c r="E693">
        <f>Sheet1!C693+Sheet1!D693+Sheet1!E693+Sheet1!F693+Sheet1!J693+Sheet1!K693+Sheet1!L693+Sheet1!M693+Sheet1!Q693+Sheet1!R693+Sheet1!S693+Sheet1!T693</f>
        <v/>
      </c>
      <c r="F693">
        <f>IF(ISNUMBER(E693),E693,"")</f>
        <v/>
      </c>
      <c r="G693">
        <f>IF(ISNUMBER(F693),_xlfn.RANK.EQ(F693,$F$2:$F$1031),"")</f>
        <v/>
      </c>
      <c r="H693">
        <f>INDEX(Sheet1!AH:AH,MATCH(A693,Sheet1!A:A,0))</f>
        <v/>
      </c>
    </row>
    <row r="694">
      <c r="A694" t="n">
        <v>1689</v>
      </c>
      <c r="B694">
        <f>Sheet1!C694+Sheet1!D694+Sheet1!E694+Sheet1!F694+Sheet1!J694+Sheet1!K694+Sheet1!L694+Sheet1!M694</f>
        <v/>
      </c>
      <c r="C694">
        <f>IF(ISNUMBER(B694),B694,"")</f>
        <v/>
      </c>
      <c r="D694">
        <f>IF(ISNUMBER(C694),_xlfn.RANK.EQ(C694,$C$2:$C$1031),"")</f>
        <v/>
      </c>
      <c r="E694">
        <f>Sheet1!C694+Sheet1!D694+Sheet1!E694+Sheet1!F694+Sheet1!J694+Sheet1!K694+Sheet1!L694+Sheet1!M694+Sheet1!Q694+Sheet1!R694+Sheet1!S694+Sheet1!T694</f>
        <v/>
      </c>
      <c r="F694">
        <f>IF(ISNUMBER(E694),E694,"")</f>
        <v/>
      </c>
      <c r="G694">
        <f>IF(ISNUMBER(F694),_xlfn.RANK.EQ(F694,$F$2:$F$1031),"")</f>
        <v/>
      </c>
      <c r="H694">
        <f>INDEX(Sheet1!AH:AH,MATCH(A694,Sheet1!A:A,0))</f>
        <v/>
      </c>
    </row>
    <row r="695">
      <c r="A695" t="n">
        <v>1692</v>
      </c>
      <c r="B695">
        <f>Sheet1!C695+Sheet1!D695+Sheet1!E695+Sheet1!F695+Sheet1!J695+Sheet1!K695+Sheet1!L695+Sheet1!M695</f>
        <v/>
      </c>
      <c r="C695">
        <f>IF(ISNUMBER(B695),B695,"")</f>
        <v/>
      </c>
      <c r="D695">
        <f>IF(ISNUMBER(C695),_xlfn.RANK.EQ(C695,$C$2:$C$1031),"")</f>
        <v/>
      </c>
      <c r="E695">
        <f>Sheet1!C695+Sheet1!D695+Sheet1!E695+Sheet1!F695+Sheet1!J695+Sheet1!K695+Sheet1!L695+Sheet1!M695+Sheet1!Q695+Sheet1!R695+Sheet1!S695+Sheet1!T695</f>
        <v/>
      </c>
      <c r="F695">
        <f>IF(ISNUMBER(E695),E695,"")</f>
        <v/>
      </c>
      <c r="G695">
        <f>IF(ISNUMBER(F695),_xlfn.RANK.EQ(F695,$F$2:$F$1031),"")</f>
        <v/>
      </c>
      <c r="H695">
        <f>INDEX(Sheet1!AH:AH,MATCH(A695,Sheet1!A:A,0))</f>
        <v/>
      </c>
    </row>
    <row r="696">
      <c r="A696" t="n">
        <v>1695</v>
      </c>
      <c r="B696">
        <f>Sheet1!C696+Sheet1!D696+Sheet1!E696+Sheet1!F696+Sheet1!J696+Sheet1!K696+Sheet1!L696+Sheet1!M696</f>
        <v/>
      </c>
      <c r="C696">
        <f>IF(ISNUMBER(B696),B696,"")</f>
        <v/>
      </c>
      <c r="D696">
        <f>IF(ISNUMBER(C696),_xlfn.RANK.EQ(C696,$C$2:$C$1031),"")</f>
        <v/>
      </c>
      <c r="E696">
        <f>Sheet1!C696+Sheet1!D696+Sheet1!E696+Sheet1!F696+Sheet1!J696+Sheet1!K696+Sheet1!L696+Sheet1!M696+Sheet1!Q696+Sheet1!R696+Sheet1!S696+Sheet1!T696</f>
        <v/>
      </c>
      <c r="F696">
        <f>IF(ISNUMBER(E696),E696,"")</f>
        <v/>
      </c>
      <c r="G696">
        <f>IF(ISNUMBER(F696),_xlfn.RANK.EQ(F696,$F$2:$F$1031),"")</f>
        <v/>
      </c>
      <c r="H696">
        <f>INDEX(Sheet1!AH:AH,MATCH(A696,Sheet1!A:A,0))</f>
        <v/>
      </c>
    </row>
    <row r="697">
      <c r="A697" t="n">
        <v>1699</v>
      </c>
      <c r="B697">
        <f>Sheet1!C697+Sheet1!D697+Sheet1!E697+Sheet1!F697+Sheet1!J697+Sheet1!K697+Sheet1!L697+Sheet1!M697</f>
        <v/>
      </c>
      <c r="C697">
        <f>IF(ISNUMBER(B697),B697,"")</f>
        <v/>
      </c>
      <c r="D697">
        <f>IF(ISNUMBER(C697),_xlfn.RANK.EQ(C697,$C$2:$C$1031),"")</f>
        <v/>
      </c>
      <c r="E697">
        <f>Sheet1!C697+Sheet1!D697+Sheet1!E697+Sheet1!F697+Sheet1!J697+Sheet1!K697+Sheet1!L697+Sheet1!M697+Sheet1!Q697+Sheet1!R697+Sheet1!S697+Sheet1!T697</f>
        <v/>
      </c>
      <c r="F697">
        <f>IF(ISNUMBER(E697),E697,"")</f>
        <v/>
      </c>
      <c r="G697">
        <f>IF(ISNUMBER(F697),_xlfn.RANK.EQ(F697,$F$2:$F$1031),"")</f>
        <v/>
      </c>
      <c r="H697">
        <f>INDEX(Sheet1!AH:AH,MATCH(A697,Sheet1!A:A,0))</f>
        <v/>
      </c>
    </row>
    <row r="698">
      <c r="A698" t="n">
        <v>1702</v>
      </c>
      <c r="B698">
        <f>Sheet1!C698+Sheet1!D698+Sheet1!E698+Sheet1!F698+Sheet1!J698+Sheet1!K698+Sheet1!L698+Sheet1!M698</f>
        <v/>
      </c>
      <c r="C698">
        <f>IF(ISNUMBER(B698),B698,"")</f>
        <v/>
      </c>
      <c r="D698">
        <f>IF(ISNUMBER(C698),_xlfn.RANK.EQ(C698,$C$2:$C$1031),"")</f>
        <v/>
      </c>
      <c r="E698">
        <f>Sheet1!C698+Sheet1!D698+Sheet1!E698+Sheet1!F698+Sheet1!J698+Sheet1!K698+Sheet1!L698+Sheet1!M698+Sheet1!Q698+Sheet1!R698+Sheet1!S698+Sheet1!T698</f>
        <v/>
      </c>
      <c r="F698">
        <f>IF(ISNUMBER(E698),E698,"")</f>
        <v/>
      </c>
      <c r="G698">
        <f>IF(ISNUMBER(F698),_xlfn.RANK.EQ(F698,$F$2:$F$1031),"")</f>
        <v/>
      </c>
      <c r="H698">
        <f>INDEX(Sheet1!AH:AH,MATCH(A698,Sheet1!A:A,0))</f>
        <v/>
      </c>
    </row>
    <row r="699">
      <c r="A699" t="n">
        <v>1703</v>
      </c>
      <c r="B699">
        <f>Sheet1!C699+Sheet1!D699+Sheet1!E699+Sheet1!F699+Sheet1!J699+Sheet1!K699+Sheet1!L699+Sheet1!M699</f>
        <v/>
      </c>
      <c r="C699">
        <f>IF(ISNUMBER(B699),B699,"")</f>
        <v/>
      </c>
      <c r="D699">
        <f>IF(ISNUMBER(C699),_xlfn.RANK.EQ(C699,$C$2:$C$1031),"")</f>
        <v/>
      </c>
      <c r="E699">
        <f>Sheet1!C699+Sheet1!D699+Sheet1!E699+Sheet1!F699+Sheet1!J699+Sheet1!K699+Sheet1!L699+Sheet1!M699+Sheet1!Q699+Sheet1!R699+Sheet1!S699+Sheet1!T699</f>
        <v/>
      </c>
      <c r="F699">
        <f>IF(ISNUMBER(E699),E699,"")</f>
        <v/>
      </c>
      <c r="G699">
        <f>IF(ISNUMBER(F699),_xlfn.RANK.EQ(F699,$F$2:$F$1031),"")</f>
        <v/>
      </c>
      <c r="H699">
        <f>INDEX(Sheet1!AH:AH,MATCH(A699,Sheet1!A:A,0))</f>
        <v/>
      </c>
    </row>
    <row r="700">
      <c r="A700" t="n">
        <v>1705</v>
      </c>
      <c r="B700">
        <f>Sheet1!C700+Sheet1!D700+Sheet1!E700+Sheet1!F700+Sheet1!J700+Sheet1!K700+Sheet1!L700+Sheet1!M700</f>
        <v/>
      </c>
      <c r="C700">
        <f>IF(ISNUMBER(B700),B700,"")</f>
        <v/>
      </c>
      <c r="D700">
        <f>IF(ISNUMBER(C700),_xlfn.RANK.EQ(C700,$C$2:$C$1031),"")</f>
        <v/>
      </c>
      <c r="E700">
        <f>Sheet1!C700+Sheet1!D700+Sheet1!E700+Sheet1!F700+Sheet1!J700+Sheet1!K700+Sheet1!L700+Sheet1!M700+Sheet1!Q700+Sheet1!R700+Sheet1!S700+Sheet1!T700</f>
        <v/>
      </c>
      <c r="F700">
        <f>IF(ISNUMBER(E700),E700,"")</f>
        <v/>
      </c>
      <c r="G700">
        <f>IF(ISNUMBER(F700),_xlfn.RANK.EQ(F700,$F$2:$F$1031),"")</f>
        <v/>
      </c>
      <c r="H700">
        <f>INDEX(Sheet1!AH:AH,MATCH(A700,Sheet1!A:A,0))</f>
        <v/>
      </c>
    </row>
    <row r="701">
      <c r="A701" t="n">
        <v>1706</v>
      </c>
      <c r="B701">
        <f>Sheet1!C701+Sheet1!D701+Sheet1!E701+Sheet1!F701+Sheet1!J701+Sheet1!K701+Sheet1!L701+Sheet1!M701</f>
        <v/>
      </c>
      <c r="C701">
        <f>IF(ISNUMBER(B701),B701,"")</f>
        <v/>
      </c>
      <c r="D701">
        <f>IF(ISNUMBER(C701),_xlfn.RANK.EQ(C701,$C$2:$C$1031),"")</f>
        <v/>
      </c>
      <c r="E701">
        <f>Sheet1!C701+Sheet1!D701+Sheet1!E701+Sheet1!F701+Sheet1!J701+Sheet1!K701+Sheet1!L701+Sheet1!M701+Sheet1!Q701+Sheet1!R701+Sheet1!S701+Sheet1!T701</f>
        <v/>
      </c>
      <c r="F701">
        <f>IF(ISNUMBER(E701),E701,"")</f>
        <v/>
      </c>
      <c r="G701">
        <f>IF(ISNUMBER(F701),_xlfn.RANK.EQ(F701,$F$2:$F$1031),"")</f>
        <v/>
      </c>
      <c r="H701">
        <f>INDEX(Sheet1!AH:AH,MATCH(A701,Sheet1!A:A,0))</f>
        <v/>
      </c>
    </row>
    <row r="702">
      <c r="A702" t="n">
        <v>1708</v>
      </c>
      <c r="B702">
        <f>Sheet1!C702+Sheet1!D702+Sheet1!E702+Sheet1!F702+Sheet1!J702+Sheet1!K702+Sheet1!L702+Sheet1!M702</f>
        <v/>
      </c>
      <c r="C702">
        <f>IF(ISNUMBER(B702),B702,"")</f>
        <v/>
      </c>
      <c r="D702">
        <f>IF(ISNUMBER(C702),_xlfn.RANK.EQ(C702,$C$2:$C$1031),"")</f>
        <v/>
      </c>
      <c r="E702">
        <f>Sheet1!C702+Sheet1!D702+Sheet1!E702+Sheet1!F702+Sheet1!J702+Sheet1!K702+Sheet1!L702+Sheet1!M702+Sheet1!Q702+Sheet1!R702+Sheet1!S702+Sheet1!T702</f>
        <v/>
      </c>
      <c r="F702">
        <f>IF(ISNUMBER(E702),E702,"")</f>
        <v/>
      </c>
      <c r="G702">
        <f>IF(ISNUMBER(F702),_xlfn.RANK.EQ(F702,$F$2:$F$1031),"")</f>
        <v/>
      </c>
      <c r="H702">
        <f>INDEX(Sheet1!AH:AH,MATCH(A702,Sheet1!A:A,0))</f>
        <v/>
      </c>
    </row>
    <row r="703">
      <c r="A703" t="n">
        <v>1710</v>
      </c>
      <c r="B703">
        <f>Sheet1!C703+Sheet1!D703+Sheet1!E703+Sheet1!F703+Sheet1!J703+Sheet1!K703+Sheet1!L703+Sheet1!M703</f>
        <v/>
      </c>
      <c r="C703">
        <f>IF(ISNUMBER(B703),B703,"")</f>
        <v/>
      </c>
      <c r="D703">
        <f>IF(ISNUMBER(C703),_xlfn.RANK.EQ(C703,$C$2:$C$1031),"")</f>
        <v/>
      </c>
      <c r="E703">
        <f>Sheet1!C703+Sheet1!D703+Sheet1!E703+Sheet1!F703+Sheet1!J703+Sheet1!K703+Sheet1!L703+Sheet1!M703+Sheet1!Q703+Sheet1!R703+Sheet1!S703+Sheet1!T703</f>
        <v/>
      </c>
      <c r="F703">
        <f>IF(ISNUMBER(E703),E703,"")</f>
        <v/>
      </c>
      <c r="G703">
        <f>IF(ISNUMBER(F703),_xlfn.RANK.EQ(F703,$F$2:$F$1031),"")</f>
        <v/>
      </c>
      <c r="H703">
        <f>INDEX(Sheet1!AH:AH,MATCH(A703,Sheet1!A:A,0))</f>
        <v/>
      </c>
    </row>
    <row r="704">
      <c r="A704" t="n">
        <v>1714</v>
      </c>
      <c r="B704">
        <f>Sheet1!C704+Sheet1!D704+Sheet1!E704+Sheet1!F704+Sheet1!J704+Sheet1!K704+Sheet1!L704+Sheet1!M704</f>
        <v/>
      </c>
      <c r="C704">
        <f>IF(ISNUMBER(B704),B704,"")</f>
        <v/>
      </c>
      <c r="D704">
        <f>IF(ISNUMBER(C704),_xlfn.RANK.EQ(C704,$C$2:$C$1031),"")</f>
        <v/>
      </c>
      <c r="E704">
        <f>Sheet1!C704+Sheet1!D704+Sheet1!E704+Sheet1!F704+Sheet1!J704+Sheet1!K704+Sheet1!L704+Sheet1!M704+Sheet1!Q704+Sheet1!R704+Sheet1!S704+Sheet1!T704</f>
        <v/>
      </c>
      <c r="F704">
        <f>IF(ISNUMBER(E704),E704,"")</f>
        <v/>
      </c>
      <c r="G704">
        <f>IF(ISNUMBER(F704),_xlfn.RANK.EQ(F704,$F$2:$F$1031),"")</f>
        <v/>
      </c>
      <c r="H704">
        <f>INDEX(Sheet1!AH:AH,MATCH(A704,Sheet1!A:A,0))</f>
        <v/>
      </c>
    </row>
    <row r="705">
      <c r="A705" t="n">
        <v>1715</v>
      </c>
      <c r="B705">
        <f>Sheet1!C705+Sheet1!D705+Sheet1!E705+Sheet1!F705+Sheet1!J705+Sheet1!K705+Sheet1!L705+Sheet1!M705</f>
        <v/>
      </c>
      <c r="C705">
        <f>IF(ISNUMBER(B705),B705,"")</f>
        <v/>
      </c>
      <c r="D705">
        <f>IF(ISNUMBER(C705),_xlfn.RANK.EQ(C705,$C$2:$C$1031),"")</f>
        <v/>
      </c>
      <c r="E705">
        <f>Sheet1!C705+Sheet1!D705+Sheet1!E705+Sheet1!F705+Sheet1!J705+Sheet1!K705+Sheet1!L705+Sheet1!M705+Sheet1!Q705+Sheet1!R705+Sheet1!S705+Sheet1!T705</f>
        <v/>
      </c>
      <c r="F705">
        <f>IF(ISNUMBER(E705),E705,"")</f>
        <v/>
      </c>
      <c r="G705">
        <f>IF(ISNUMBER(F705),_xlfn.RANK.EQ(F705,$F$2:$F$1031),"")</f>
        <v/>
      </c>
      <c r="H705">
        <f>INDEX(Sheet1!AH:AH,MATCH(A705,Sheet1!A:A,0))</f>
        <v/>
      </c>
    </row>
    <row r="706">
      <c r="A706" t="n">
        <v>1718</v>
      </c>
      <c r="B706">
        <f>Sheet1!C706+Sheet1!D706+Sheet1!E706+Sheet1!F706+Sheet1!J706+Sheet1!K706+Sheet1!L706+Sheet1!M706</f>
        <v/>
      </c>
      <c r="C706">
        <f>IF(ISNUMBER(B706),B706,"")</f>
        <v/>
      </c>
      <c r="D706">
        <f>IF(ISNUMBER(C706),_xlfn.RANK.EQ(C706,$C$2:$C$1031),"")</f>
        <v/>
      </c>
      <c r="E706">
        <f>Sheet1!C706+Sheet1!D706+Sheet1!E706+Sheet1!F706+Sheet1!J706+Sheet1!K706+Sheet1!L706+Sheet1!M706+Sheet1!Q706+Sheet1!R706+Sheet1!S706+Sheet1!T706</f>
        <v/>
      </c>
      <c r="F706">
        <f>IF(ISNUMBER(E706),E706,"")</f>
        <v/>
      </c>
      <c r="G706">
        <f>IF(ISNUMBER(F706),_xlfn.RANK.EQ(F706,$F$2:$F$1031),"")</f>
        <v/>
      </c>
      <c r="H706">
        <f>INDEX(Sheet1!AH:AH,MATCH(A706,Sheet1!A:A,0))</f>
        <v/>
      </c>
    </row>
    <row r="707">
      <c r="A707" t="n">
        <v>1720</v>
      </c>
      <c r="B707">
        <f>Sheet1!C707+Sheet1!D707+Sheet1!E707+Sheet1!F707+Sheet1!J707+Sheet1!K707+Sheet1!L707+Sheet1!M707</f>
        <v/>
      </c>
      <c r="C707">
        <f>IF(ISNUMBER(B707),B707,"")</f>
        <v/>
      </c>
      <c r="D707">
        <f>IF(ISNUMBER(C707),_xlfn.RANK.EQ(C707,$C$2:$C$1031),"")</f>
        <v/>
      </c>
      <c r="E707">
        <f>Sheet1!C707+Sheet1!D707+Sheet1!E707+Sheet1!F707+Sheet1!J707+Sheet1!K707+Sheet1!L707+Sheet1!M707+Sheet1!Q707+Sheet1!R707+Sheet1!S707+Sheet1!T707</f>
        <v/>
      </c>
      <c r="F707">
        <f>IF(ISNUMBER(E707),E707,"")</f>
        <v/>
      </c>
      <c r="G707">
        <f>IF(ISNUMBER(F707),_xlfn.RANK.EQ(F707,$F$2:$F$1031),"")</f>
        <v/>
      </c>
      <c r="H707">
        <f>INDEX(Sheet1!AH:AH,MATCH(A707,Sheet1!A:A,0))</f>
        <v/>
      </c>
    </row>
    <row r="708">
      <c r="A708" t="n">
        <v>1727</v>
      </c>
      <c r="B708">
        <f>Sheet1!C708+Sheet1!D708+Sheet1!E708+Sheet1!F708+Sheet1!J708+Sheet1!K708+Sheet1!L708+Sheet1!M708</f>
        <v/>
      </c>
      <c r="C708">
        <f>IF(ISNUMBER(B708),B708,"")</f>
        <v/>
      </c>
      <c r="D708">
        <f>IF(ISNUMBER(C708),_xlfn.RANK.EQ(C708,$C$2:$C$1031),"")</f>
        <v/>
      </c>
      <c r="E708">
        <f>Sheet1!C708+Sheet1!D708+Sheet1!E708+Sheet1!F708+Sheet1!J708+Sheet1!K708+Sheet1!L708+Sheet1!M708+Sheet1!Q708+Sheet1!R708+Sheet1!S708+Sheet1!T708</f>
        <v/>
      </c>
      <c r="F708">
        <f>IF(ISNUMBER(E708),E708,"")</f>
        <v/>
      </c>
      <c r="G708">
        <f>IF(ISNUMBER(F708),_xlfn.RANK.EQ(F708,$F$2:$F$1031),"")</f>
        <v/>
      </c>
      <c r="H708">
        <f>INDEX(Sheet1!AH:AH,MATCH(A708,Sheet1!A:A,0))</f>
        <v/>
      </c>
    </row>
    <row r="709">
      <c r="A709" t="n">
        <v>1729</v>
      </c>
      <c r="B709">
        <f>Sheet1!C709+Sheet1!D709+Sheet1!E709+Sheet1!F709+Sheet1!J709+Sheet1!K709+Sheet1!L709+Sheet1!M709</f>
        <v/>
      </c>
      <c r="C709">
        <f>IF(ISNUMBER(B709),B709,"")</f>
        <v/>
      </c>
      <c r="D709">
        <f>IF(ISNUMBER(C709),_xlfn.RANK.EQ(C709,$C$2:$C$1031),"")</f>
        <v/>
      </c>
      <c r="E709">
        <f>Sheet1!C709+Sheet1!D709+Sheet1!E709+Sheet1!F709+Sheet1!J709+Sheet1!K709+Sheet1!L709+Sheet1!M709+Sheet1!Q709+Sheet1!R709+Sheet1!S709+Sheet1!T709</f>
        <v/>
      </c>
      <c r="F709">
        <f>IF(ISNUMBER(E709),E709,"")</f>
        <v/>
      </c>
      <c r="G709">
        <f>IF(ISNUMBER(F709),_xlfn.RANK.EQ(F709,$F$2:$F$1031),"")</f>
        <v/>
      </c>
      <c r="H709">
        <f>INDEX(Sheet1!AH:AH,MATCH(A709,Sheet1!A:A,0))</f>
        <v/>
      </c>
    </row>
    <row r="710">
      <c r="A710" t="n">
        <v>1730</v>
      </c>
      <c r="B710">
        <f>Sheet1!C710+Sheet1!D710+Sheet1!E710+Sheet1!F710+Sheet1!J710+Sheet1!K710+Sheet1!L710+Sheet1!M710</f>
        <v/>
      </c>
      <c r="C710">
        <f>IF(ISNUMBER(B710),B710,"")</f>
        <v/>
      </c>
      <c r="D710">
        <f>IF(ISNUMBER(C710),_xlfn.RANK.EQ(C710,$C$2:$C$1031),"")</f>
        <v/>
      </c>
      <c r="E710">
        <f>Sheet1!C710+Sheet1!D710+Sheet1!E710+Sheet1!F710+Sheet1!J710+Sheet1!K710+Sheet1!L710+Sheet1!M710+Sheet1!Q710+Sheet1!R710+Sheet1!S710+Sheet1!T710</f>
        <v/>
      </c>
      <c r="F710">
        <f>IF(ISNUMBER(E710),E710,"")</f>
        <v/>
      </c>
      <c r="G710">
        <f>IF(ISNUMBER(F710),_xlfn.RANK.EQ(F710,$F$2:$F$1031),"")</f>
        <v/>
      </c>
      <c r="H710">
        <f>INDEX(Sheet1!AH:AH,MATCH(A710,Sheet1!A:A,0))</f>
        <v/>
      </c>
    </row>
    <row r="711">
      <c r="A711" t="n">
        <v>1733</v>
      </c>
      <c r="B711">
        <f>Sheet1!C711+Sheet1!D711+Sheet1!E711+Sheet1!F711+Sheet1!J711+Sheet1!K711+Sheet1!L711+Sheet1!M711</f>
        <v/>
      </c>
      <c r="C711">
        <f>IF(ISNUMBER(B711),B711,"")</f>
        <v/>
      </c>
      <c r="D711">
        <f>IF(ISNUMBER(C711),_xlfn.RANK.EQ(C711,$C$2:$C$1031),"")</f>
        <v/>
      </c>
      <c r="E711">
        <f>Sheet1!C711+Sheet1!D711+Sheet1!E711+Sheet1!F711+Sheet1!J711+Sheet1!K711+Sheet1!L711+Sheet1!M711+Sheet1!Q711+Sheet1!R711+Sheet1!S711+Sheet1!T711</f>
        <v/>
      </c>
      <c r="F711">
        <f>IF(ISNUMBER(E711),E711,"")</f>
        <v/>
      </c>
      <c r="G711">
        <f>IF(ISNUMBER(F711),_xlfn.RANK.EQ(F711,$F$2:$F$1031),"")</f>
        <v/>
      </c>
      <c r="H711">
        <f>INDEX(Sheet1!AH:AH,MATCH(A711,Sheet1!A:A,0))</f>
        <v/>
      </c>
    </row>
    <row r="712">
      <c r="A712" t="n">
        <v>1737</v>
      </c>
      <c r="B712">
        <f>Sheet1!C712+Sheet1!D712+Sheet1!E712+Sheet1!F712+Sheet1!J712+Sheet1!K712+Sheet1!L712+Sheet1!M712</f>
        <v/>
      </c>
      <c r="C712">
        <f>IF(ISNUMBER(B712),B712,"")</f>
        <v/>
      </c>
      <c r="D712">
        <f>IF(ISNUMBER(C712),_xlfn.RANK.EQ(C712,$C$2:$C$1031),"")</f>
        <v/>
      </c>
      <c r="E712">
        <f>Sheet1!C712+Sheet1!D712+Sheet1!E712+Sheet1!F712+Sheet1!J712+Sheet1!K712+Sheet1!L712+Sheet1!M712+Sheet1!Q712+Sheet1!R712+Sheet1!S712+Sheet1!T712</f>
        <v/>
      </c>
      <c r="F712">
        <f>IF(ISNUMBER(E712),E712,"")</f>
        <v/>
      </c>
      <c r="G712">
        <f>IF(ISNUMBER(F712),_xlfn.RANK.EQ(F712,$F$2:$F$1031),"")</f>
        <v/>
      </c>
      <c r="H712">
        <f>INDEX(Sheet1!AH:AH,MATCH(A712,Sheet1!A:A,0))</f>
        <v/>
      </c>
    </row>
    <row r="713">
      <c r="A713" t="n">
        <v>1738</v>
      </c>
      <c r="B713">
        <f>Sheet1!C713+Sheet1!D713+Sheet1!E713+Sheet1!F713+Sheet1!J713+Sheet1!K713+Sheet1!L713+Sheet1!M713</f>
        <v/>
      </c>
      <c r="C713">
        <f>IF(ISNUMBER(B713),B713,"")</f>
        <v/>
      </c>
      <c r="D713">
        <f>IF(ISNUMBER(C713),_xlfn.RANK.EQ(C713,$C$2:$C$1031),"")</f>
        <v/>
      </c>
      <c r="E713">
        <f>Sheet1!C713+Sheet1!D713+Sheet1!E713+Sheet1!F713+Sheet1!J713+Sheet1!K713+Sheet1!L713+Sheet1!M713+Sheet1!Q713+Sheet1!R713+Sheet1!S713+Sheet1!T713</f>
        <v/>
      </c>
      <c r="F713">
        <f>IF(ISNUMBER(E713),E713,"")</f>
        <v/>
      </c>
      <c r="G713">
        <f>IF(ISNUMBER(F713),_xlfn.RANK.EQ(F713,$F$2:$F$1031),"")</f>
        <v/>
      </c>
      <c r="H713">
        <f>INDEX(Sheet1!AH:AH,MATCH(A713,Sheet1!A:A,0))</f>
        <v/>
      </c>
    </row>
    <row r="714">
      <c r="A714" t="n">
        <v>1739</v>
      </c>
      <c r="B714">
        <f>Sheet1!C714+Sheet1!D714+Sheet1!E714+Sheet1!F714+Sheet1!J714+Sheet1!K714+Sheet1!L714+Sheet1!M714</f>
        <v/>
      </c>
      <c r="C714">
        <f>IF(ISNUMBER(B714),B714,"")</f>
        <v/>
      </c>
      <c r="D714">
        <f>IF(ISNUMBER(C714),_xlfn.RANK.EQ(C714,$C$2:$C$1031),"")</f>
        <v/>
      </c>
      <c r="E714">
        <f>Sheet1!C714+Sheet1!D714+Sheet1!E714+Sheet1!F714+Sheet1!J714+Sheet1!K714+Sheet1!L714+Sheet1!M714+Sheet1!Q714+Sheet1!R714+Sheet1!S714+Sheet1!T714</f>
        <v/>
      </c>
      <c r="F714">
        <f>IF(ISNUMBER(E714),E714,"")</f>
        <v/>
      </c>
      <c r="G714">
        <f>IF(ISNUMBER(F714),_xlfn.RANK.EQ(F714,$F$2:$F$1031),"")</f>
        <v/>
      </c>
      <c r="H714">
        <f>INDEX(Sheet1!AH:AH,MATCH(A714,Sheet1!A:A,0))</f>
        <v/>
      </c>
    </row>
    <row r="715">
      <c r="A715" t="n">
        <v>1740</v>
      </c>
      <c r="B715">
        <f>Sheet1!C715+Sheet1!D715+Sheet1!E715+Sheet1!F715+Sheet1!J715+Sheet1!K715+Sheet1!L715+Sheet1!M715</f>
        <v/>
      </c>
      <c r="C715">
        <f>IF(ISNUMBER(B715),B715,"")</f>
        <v/>
      </c>
      <c r="D715">
        <f>IF(ISNUMBER(C715),_xlfn.RANK.EQ(C715,$C$2:$C$1031),"")</f>
        <v/>
      </c>
      <c r="E715">
        <f>Sheet1!C715+Sheet1!D715+Sheet1!E715+Sheet1!F715+Sheet1!J715+Sheet1!K715+Sheet1!L715+Sheet1!M715+Sheet1!Q715+Sheet1!R715+Sheet1!S715+Sheet1!T715</f>
        <v/>
      </c>
      <c r="F715">
        <f>IF(ISNUMBER(E715),E715,"")</f>
        <v/>
      </c>
      <c r="G715">
        <f>IF(ISNUMBER(F715),_xlfn.RANK.EQ(F715,$F$2:$F$1031),"")</f>
        <v/>
      </c>
      <c r="H715">
        <f>INDEX(Sheet1!AH:AH,MATCH(A715,Sheet1!A:A,0))</f>
        <v/>
      </c>
    </row>
    <row r="716">
      <c r="A716" t="n">
        <v>1743</v>
      </c>
      <c r="B716">
        <f>Sheet1!C716+Sheet1!D716+Sheet1!E716+Sheet1!F716+Sheet1!J716+Sheet1!K716+Sheet1!L716+Sheet1!M716</f>
        <v/>
      </c>
      <c r="C716">
        <f>IF(ISNUMBER(B716),B716,"")</f>
        <v/>
      </c>
      <c r="D716">
        <f>IF(ISNUMBER(C716),_xlfn.RANK.EQ(C716,$C$2:$C$1031),"")</f>
        <v/>
      </c>
      <c r="E716">
        <f>Sheet1!C716+Sheet1!D716+Sheet1!E716+Sheet1!F716+Sheet1!J716+Sheet1!K716+Sheet1!L716+Sheet1!M716+Sheet1!Q716+Sheet1!R716+Sheet1!S716+Sheet1!T716</f>
        <v/>
      </c>
      <c r="F716">
        <f>IF(ISNUMBER(E716),E716,"")</f>
        <v/>
      </c>
      <c r="G716">
        <f>IF(ISNUMBER(F716),_xlfn.RANK.EQ(F716,$F$2:$F$1031),"")</f>
        <v/>
      </c>
      <c r="H716">
        <f>INDEX(Sheet1!AH:AH,MATCH(A716,Sheet1!A:A,0))</f>
        <v/>
      </c>
    </row>
    <row r="717">
      <c r="A717" t="n">
        <v>1751</v>
      </c>
      <c r="B717">
        <f>Sheet1!C717+Sheet1!D717+Sheet1!E717+Sheet1!F717+Sheet1!J717+Sheet1!K717+Sheet1!L717+Sheet1!M717</f>
        <v/>
      </c>
      <c r="C717">
        <f>IF(ISNUMBER(B717),B717,"")</f>
        <v/>
      </c>
      <c r="D717">
        <f>IF(ISNUMBER(C717),_xlfn.RANK.EQ(C717,$C$2:$C$1031),"")</f>
        <v/>
      </c>
      <c r="E717">
        <f>Sheet1!C717+Sheet1!D717+Sheet1!E717+Sheet1!F717+Sheet1!J717+Sheet1!K717+Sheet1!L717+Sheet1!M717+Sheet1!Q717+Sheet1!R717+Sheet1!S717+Sheet1!T717</f>
        <v/>
      </c>
      <c r="F717">
        <f>IF(ISNUMBER(E717),E717,"")</f>
        <v/>
      </c>
      <c r="G717">
        <f>IF(ISNUMBER(F717),_xlfn.RANK.EQ(F717,$F$2:$F$1031),"")</f>
        <v/>
      </c>
      <c r="H717">
        <f>INDEX(Sheet1!AH:AH,MATCH(A717,Sheet1!A:A,0))</f>
        <v/>
      </c>
    </row>
    <row r="718">
      <c r="A718" t="n">
        <v>1754</v>
      </c>
      <c r="B718">
        <f>Sheet1!C718+Sheet1!D718+Sheet1!E718+Sheet1!F718+Sheet1!J718+Sheet1!K718+Sheet1!L718+Sheet1!M718</f>
        <v/>
      </c>
      <c r="C718">
        <f>IF(ISNUMBER(B718),B718,"")</f>
        <v/>
      </c>
      <c r="D718">
        <f>IF(ISNUMBER(C718),_xlfn.RANK.EQ(C718,$C$2:$C$1031),"")</f>
        <v/>
      </c>
      <c r="E718">
        <f>Sheet1!C718+Sheet1!D718+Sheet1!E718+Sheet1!F718+Sheet1!J718+Sheet1!K718+Sheet1!L718+Sheet1!M718+Sheet1!Q718+Sheet1!R718+Sheet1!S718+Sheet1!T718</f>
        <v/>
      </c>
      <c r="F718">
        <f>IF(ISNUMBER(E718),E718,"")</f>
        <v/>
      </c>
      <c r="G718">
        <f>IF(ISNUMBER(F718),_xlfn.RANK.EQ(F718,$F$2:$F$1031),"")</f>
        <v/>
      </c>
      <c r="H718">
        <f>INDEX(Sheet1!AH:AH,MATCH(A718,Sheet1!A:A,0))</f>
        <v/>
      </c>
    </row>
    <row r="719">
      <c r="A719" t="n">
        <v>1763</v>
      </c>
      <c r="B719">
        <f>Sheet1!C719+Sheet1!D719+Sheet1!E719+Sheet1!F719+Sheet1!J719+Sheet1!K719+Sheet1!L719+Sheet1!M719</f>
        <v/>
      </c>
      <c r="C719">
        <f>IF(ISNUMBER(B719),B719,"")</f>
        <v/>
      </c>
      <c r="D719">
        <f>IF(ISNUMBER(C719),_xlfn.RANK.EQ(C719,$C$2:$C$1031),"")</f>
        <v/>
      </c>
      <c r="E719">
        <f>Sheet1!C719+Sheet1!D719+Sheet1!E719+Sheet1!F719+Sheet1!J719+Sheet1!K719+Sheet1!L719+Sheet1!M719+Sheet1!Q719+Sheet1!R719+Sheet1!S719+Sheet1!T719</f>
        <v/>
      </c>
      <c r="F719">
        <f>IF(ISNUMBER(E719),E719,"")</f>
        <v/>
      </c>
      <c r="G719">
        <f>IF(ISNUMBER(F719),_xlfn.RANK.EQ(F719,$F$2:$F$1031),"")</f>
        <v/>
      </c>
      <c r="H719">
        <f>INDEX(Sheet1!AH:AH,MATCH(A719,Sheet1!A:A,0))</f>
        <v/>
      </c>
    </row>
    <row r="720">
      <c r="A720" t="n">
        <v>1764</v>
      </c>
      <c r="B720">
        <f>Sheet1!C720+Sheet1!D720+Sheet1!E720+Sheet1!F720+Sheet1!J720+Sheet1!K720+Sheet1!L720+Sheet1!M720</f>
        <v/>
      </c>
      <c r="C720">
        <f>IF(ISNUMBER(B720),B720,"")</f>
        <v/>
      </c>
      <c r="D720">
        <f>IF(ISNUMBER(C720),_xlfn.RANK.EQ(C720,$C$2:$C$1031),"")</f>
        <v/>
      </c>
      <c r="E720">
        <f>Sheet1!C720+Sheet1!D720+Sheet1!E720+Sheet1!F720+Sheet1!J720+Sheet1!K720+Sheet1!L720+Sheet1!M720+Sheet1!Q720+Sheet1!R720+Sheet1!S720+Sheet1!T720</f>
        <v/>
      </c>
      <c r="F720">
        <f>IF(ISNUMBER(E720),E720,"")</f>
        <v/>
      </c>
      <c r="G720">
        <f>IF(ISNUMBER(F720),_xlfn.RANK.EQ(F720,$F$2:$F$1031),"")</f>
        <v/>
      </c>
      <c r="H720">
        <f>INDEX(Sheet1!AH:AH,MATCH(A720,Sheet1!A:A,0))</f>
        <v/>
      </c>
    </row>
    <row r="721">
      <c r="A721" t="n">
        <v>1766</v>
      </c>
      <c r="B721">
        <f>Sheet1!C721+Sheet1!D721+Sheet1!E721+Sheet1!F721+Sheet1!J721+Sheet1!K721+Sheet1!L721+Sheet1!M721</f>
        <v/>
      </c>
      <c r="C721">
        <f>IF(ISNUMBER(B721),B721,"")</f>
        <v/>
      </c>
      <c r="D721">
        <f>IF(ISNUMBER(C721),_xlfn.RANK.EQ(C721,$C$2:$C$1031),"")</f>
        <v/>
      </c>
      <c r="E721">
        <f>Sheet1!C721+Sheet1!D721+Sheet1!E721+Sheet1!F721+Sheet1!J721+Sheet1!K721+Sheet1!L721+Sheet1!M721+Sheet1!Q721+Sheet1!R721+Sheet1!S721+Sheet1!T721</f>
        <v/>
      </c>
      <c r="F721">
        <f>IF(ISNUMBER(E721),E721,"")</f>
        <v/>
      </c>
      <c r="G721">
        <f>IF(ISNUMBER(F721),_xlfn.RANK.EQ(F721,$F$2:$F$1031),"")</f>
        <v/>
      </c>
      <c r="H721">
        <f>INDEX(Sheet1!AH:AH,MATCH(A721,Sheet1!A:A,0))</f>
        <v/>
      </c>
    </row>
    <row r="722">
      <c r="A722" t="n">
        <v>1768</v>
      </c>
      <c r="B722">
        <f>Sheet1!C722+Sheet1!D722+Sheet1!E722+Sheet1!F722+Sheet1!J722+Sheet1!K722+Sheet1!L722+Sheet1!M722</f>
        <v/>
      </c>
      <c r="C722">
        <f>IF(ISNUMBER(B722),B722,"")</f>
        <v/>
      </c>
      <c r="D722">
        <f>IF(ISNUMBER(C722),_xlfn.RANK.EQ(C722,$C$2:$C$1031),"")</f>
        <v/>
      </c>
      <c r="E722">
        <f>Sheet1!C722+Sheet1!D722+Sheet1!E722+Sheet1!F722+Sheet1!J722+Sheet1!K722+Sheet1!L722+Sheet1!M722+Sheet1!Q722+Sheet1!R722+Sheet1!S722+Sheet1!T722</f>
        <v/>
      </c>
      <c r="F722">
        <f>IF(ISNUMBER(E722),E722,"")</f>
        <v/>
      </c>
      <c r="G722">
        <f>IF(ISNUMBER(F722),_xlfn.RANK.EQ(F722,$F$2:$F$1031),"")</f>
        <v/>
      </c>
      <c r="H722">
        <f>INDEX(Sheet1!AH:AH,MATCH(A722,Sheet1!A:A,0))</f>
        <v/>
      </c>
    </row>
    <row r="723">
      <c r="A723" t="n">
        <v>1773</v>
      </c>
      <c r="B723">
        <f>Sheet1!C723+Sheet1!D723+Sheet1!E723+Sheet1!F723+Sheet1!J723+Sheet1!K723+Sheet1!L723+Sheet1!M723</f>
        <v/>
      </c>
      <c r="C723">
        <f>IF(ISNUMBER(B723),B723,"")</f>
        <v/>
      </c>
      <c r="D723">
        <f>IF(ISNUMBER(C723),_xlfn.RANK.EQ(C723,$C$2:$C$1031),"")</f>
        <v/>
      </c>
      <c r="E723">
        <f>Sheet1!C723+Sheet1!D723+Sheet1!E723+Sheet1!F723+Sheet1!J723+Sheet1!K723+Sheet1!L723+Sheet1!M723+Sheet1!Q723+Sheet1!R723+Sheet1!S723+Sheet1!T723</f>
        <v/>
      </c>
      <c r="F723">
        <f>IF(ISNUMBER(E723),E723,"")</f>
        <v/>
      </c>
      <c r="G723">
        <f>IF(ISNUMBER(F723),_xlfn.RANK.EQ(F723,$F$2:$F$1031),"")</f>
        <v/>
      </c>
      <c r="H723">
        <f>INDEX(Sheet1!AH:AH,MATCH(A723,Sheet1!A:A,0))</f>
        <v/>
      </c>
    </row>
    <row r="724">
      <c r="A724" t="n">
        <v>1774</v>
      </c>
      <c r="B724">
        <f>Sheet1!C724+Sheet1!D724+Sheet1!E724+Sheet1!F724+Sheet1!J724+Sheet1!K724+Sheet1!L724+Sheet1!M724</f>
        <v/>
      </c>
      <c r="C724">
        <f>IF(ISNUMBER(B724),B724,"")</f>
        <v/>
      </c>
      <c r="D724">
        <f>IF(ISNUMBER(C724),_xlfn.RANK.EQ(C724,$C$2:$C$1031),"")</f>
        <v/>
      </c>
      <c r="E724">
        <f>Sheet1!C724+Sheet1!D724+Sheet1!E724+Sheet1!F724+Sheet1!J724+Sheet1!K724+Sheet1!L724+Sheet1!M724+Sheet1!Q724+Sheet1!R724+Sheet1!S724+Sheet1!T724</f>
        <v/>
      </c>
      <c r="F724">
        <f>IF(ISNUMBER(E724),E724,"")</f>
        <v/>
      </c>
      <c r="G724">
        <f>IF(ISNUMBER(F724),_xlfn.RANK.EQ(F724,$F$2:$F$1031),"")</f>
        <v/>
      </c>
      <c r="H724">
        <f>INDEX(Sheet1!AH:AH,MATCH(A724,Sheet1!A:A,0))</f>
        <v/>
      </c>
    </row>
    <row r="725">
      <c r="A725" t="n">
        <v>1775</v>
      </c>
      <c r="B725">
        <f>Sheet1!C725+Sheet1!D725+Sheet1!E725+Sheet1!F725+Sheet1!J725+Sheet1!K725+Sheet1!L725+Sheet1!M725</f>
        <v/>
      </c>
      <c r="C725">
        <f>IF(ISNUMBER(B725),B725,"")</f>
        <v/>
      </c>
      <c r="D725">
        <f>IF(ISNUMBER(C725),_xlfn.RANK.EQ(C725,$C$2:$C$1031),"")</f>
        <v/>
      </c>
      <c r="E725">
        <f>Sheet1!C725+Sheet1!D725+Sheet1!E725+Sheet1!F725+Sheet1!J725+Sheet1!K725+Sheet1!L725+Sheet1!M725+Sheet1!Q725+Sheet1!R725+Sheet1!S725+Sheet1!T725</f>
        <v/>
      </c>
      <c r="F725">
        <f>IF(ISNUMBER(E725),E725,"")</f>
        <v/>
      </c>
      <c r="G725">
        <f>IF(ISNUMBER(F725),_xlfn.RANK.EQ(F725,$F$2:$F$1031),"")</f>
        <v/>
      </c>
      <c r="H725">
        <f>INDEX(Sheet1!AH:AH,MATCH(A725,Sheet1!A:A,0))</f>
        <v/>
      </c>
    </row>
    <row r="726">
      <c r="A726" t="n">
        <v>1776</v>
      </c>
      <c r="B726">
        <f>Sheet1!C726+Sheet1!D726+Sheet1!E726+Sheet1!F726+Sheet1!J726+Sheet1!K726+Sheet1!L726+Sheet1!M726</f>
        <v/>
      </c>
      <c r="C726">
        <f>IF(ISNUMBER(B726),B726,"")</f>
        <v/>
      </c>
      <c r="D726">
        <f>IF(ISNUMBER(C726),_xlfn.RANK.EQ(C726,$C$2:$C$1031),"")</f>
        <v/>
      </c>
      <c r="E726">
        <f>Sheet1!C726+Sheet1!D726+Sheet1!E726+Sheet1!F726+Sheet1!J726+Sheet1!K726+Sheet1!L726+Sheet1!M726+Sheet1!Q726+Sheet1!R726+Sheet1!S726+Sheet1!T726</f>
        <v/>
      </c>
      <c r="F726">
        <f>IF(ISNUMBER(E726),E726,"")</f>
        <v/>
      </c>
      <c r="G726">
        <f>IF(ISNUMBER(F726),_xlfn.RANK.EQ(F726,$F$2:$F$1031),"")</f>
        <v/>
      </c>
      <c r="H726">
        <f>INDEX(Sheet1!AH:AH,MATCH(A726,Sheet1!A:A,0))</f>
        <v/>
      </c>
    </row>
    <row r="727">
      <c r="A727" t="n">
        <v>1778</v>
      </c>
      <c r="B727">
        <f>Sheet1!C727+Sheet1!D727+Sheet1!E727+Sheet1!F727+Sheet1!J727+Sheet1!K727+Sheet1!L727+Sheet1!M727</f>
        <v/>
      </c>
      <c r="C727">
        <f>IF(ISNUMBER(B727),B727,"")</f>
        <v/>
      </c>
      <c r="D727">
        <f>IF(ISNUMBER(C727),_xlfn.RANK.EQ(C727,$C$2:$C$1031),"")</f>
        <v/>
      </c>
      <c r="E727">
        <f>Sheet1!C727+Sheet1!D727+Sheet1!E727+Sheet1!F727+Sheet1!J727+Sheet1!K727+Sheet1!L727+Sheet1!M727+Sheet1!Q727+Sheet1!R727+Sheet1!S727+Sheet1!T727</f>
        <v/>
      </c>
      <c r="F727">
        <f>IF(ISNUMBER(E727),E727,"")</f>
        <v/>
      </c>
      <c r="G727">
        <f>IF(ISNUMBER(F727),_xlfn.RANK.EQ(F727,$F$2:$F$1031),"")</f>
        <v/>
      </c>
      <c r="H727">
        <f>INDEX(Sheet1!AH:AH,MATCH(A727,Sheet1!A:A,0))</f>
        <v/>
      </c>
    </row>
    <row r="728">
      <c r="A728" t="n">
        <v>1781</v>
      </c>
      <c r="B728">
        <f>Sheet1!C728+Sheet1!D728+Sheet1!E728+Sheet1!F728+Sheet1!J728+Sheet1!K728+Sheet1!L728+Sheet1!M728</f>
        <v/>
      </c>
      <c r="C728">
        <f>IF(ISNUMBER(B728),B728,"")</f>
        <v/>
      </c>
      <c r="D728">
        <f>IF(ISNUMBER(C728),_xlfn.RANK.EQ(C728,$C$2:$C$1031),"")</f>
        <v/>
      </c>
      <c r="E728">
        <f>Sheet1!C728+Sheet1!D728+Sheet1!E728+Sheet1!F728+Sheet1!J728+Sheet1!K728+Sheet1!L728+Sheet1!M728+Sheet1!Q728+Sheet1!R728+Sheet1!S728+Sheet1!T728</f>
        <v/>
      </c>
      <c r="F728">
        <f>IF(ISNUMBER(E728),E728,"")</f>
        <v/>
      </c>
      <c r="G728">
        <f>IF(ISNUMBER(F728),_xlfn.RANK.EQ(F728,$F$2:$F$1031),"")</f>
        <v/>
      </c>
      <c r="H728">
        <f>INDEX(Sheet1!AH:AH,MATCH(A728,Sheet1!A:A,0))</f>
        <v/>
      </c>
    </row>
    <row r="729">
      <c r="A729" t="n">
        <v>1782</v>
      </c>
      <c r="B729">
        <f>Sheet1!C729+Sheet1!D729+Sheet1!E729+Sheet1!F729+Sheet1!J729+Sheet1!K729+Sheet1!L729+Sheet1!M729</f>
        <v/>
      </c>
      <c r="C729">
        <f>IF(ISNUMBER(B729),B729,"")</f>
        <v/>
      </c>
      <c r="D729">
        <f>IF(ISNUMBER(C729),_xlfn.RANK.EQ(C729,$C$2:$C$1031),"")</f>
        <v/>
      </c>
      <c r="E729">
        <f>Sheet1!C729+Sheet1!D729+Sheet1!E729+Sheet1!F729+Sheet1!J729+Sheet1!K729+Sheet1!L729+Sheet1!M729+Sheet1!Q729+Sheet1!R729+Sheet1!S729+Sheet1!T729</f>
        <v/>
      </c>
      <c r="F729">
        <f>IF(ISNUMBER(E729),E729,"")</f>
        <v/>
      </c>
      <c r="G729">
        <f>IF(ISNUMBER(F729),_xlfn.RANK.EQ(F729,$F$2:$F$1031),"")</f>
        <v/>
      </c>
      <c r="H729">
        <f>INDEX(Sheet1!AH:AH,MATCH(A729,Sheet1!A:A,0))</f>
        <v/>
      </c>
    </row>
    <row r="730">
      <c r="A730" t="n">
        <v>1784</v>
      </c>
      <c r="B730">
        <f>Sheet1!C730+Sheet1!D730+Sheet1!E730+Sheet1!F730+Sheet1!J730+Sheet1!K730+Sheet1!L730+Sheet1!M730</f>
        <v/>
      </c>
      <c r="C730">
        <f>IF(ISNUMBER(B730),B730,"")</f>
        <v/>
      </c>
      <c r="D730">
        <f>IF(ISNUMBER(C730),_xlfn.RANK.EQ(C730,$C$2:$C$1031),"")</f>
        <v/>
      </c>
      <c r="E730">
        <f>Sheet1!C730+Sheet1!D730+Sheet1!E730+Sheet1!F730+Sheet1!J730+Sheet1!K730+Sheet1!L730+Sheet1!M730+Sheet1!Q730+Sheet1!R730+Sheet1!S730+Sheet1!T730</f>
        <v/>
      </c>
      <c r="F730">
        <f>IF(ISNUMBER(E730),E730,"")</f>
        <v/>
      </c>
      <c r="G730">
        <f>IF(ISNUMBER(F730),_xlfn.RANK.EQ(F730,$F$2:$F$1031),"")</f>
        <v/>
      </c>
      <c r="H730">
        <f>INDEX(Sheet1!AH:AH,MATCH(A730,Sheet1!A:A,0))</f>
        <v/>
      </c>
    </row>
    <row r="731">
      <c r="A731" t="n">
        <v>1785</v>
      </c>
      <c r="B731">
        <f>Sheet1!C731+Sheet1!D731+Sheet1!E731+Sheet1!F731+Sheet1!J731+Sheet1!K731+Sheet1!L731+Sheet1!M731</f>
        <v/>
      </c>
      <c r="C731">
        <f>IF(ISNUMBER(B731),B731,"")</f>
        <v/>
      </c>
      <c r="D731">
        <f>IF(ISNUMBER(C731),_xlfn.RANK.EQ(C731,$C$2:$C$1031),"")</f>
        <v/>
      </c>
      <c r="E731">
        <f>Sheet1!C731+Sheet1!D731+Sheet1!E731+Sheet1!F731+Sheet1!J731+Sheet1!K731+Sheet1!L731+Sheet1!M731+Sheet1!Q731+Sheet1!R731+Sheet1!S731+Sheet1!T731</f>
        <v/>
      </c>
      <c r="F731">
        <f>IF(ISNUMBER(E731),E731,"")</f>
        <v/>
      </c>
      <c r="G731">
        <f>IF(ISNUMBER(F731),_xlfn.RANK.EQ(F731,$F$2:$F$1031),"")</f>
        <v/>
      </c>
      <c r="H731">
        <f>INDEX(Sheet1!AH:AH,MATCH(A731,Sheet1!A:A,0))</f>
        <v/>
      </c>
    </row>
    <row r="732">
      <c r="A732" t="n">
        <v>1794</v>
      </c>
      <c r="B732">
        <f>Sheet1!C732+Sheet1!D732+Sheet1!E732+Sheet1!F732+Sheet1!J732+Sheet1!K732+Sheet1!L732+Sheet1!M732</f>
        <v/>
      </c>
      <c r="C732">
        <f>IF(ISNUMBER(B732),B732,"")</f>
        <v/>
      </c>
      <c r="D732">
        <f>IF(ISNUMBER(C732),_xlfn.RANK.EQ(C732,$C$2:$C$1031),"")</f>
        <v/>
      </c>
      <c r="E732">
        <f>Sheet1!C732+Sheet1!D732+Sheet1!E732+Sheet1!F732+Sheet1!J732+Sheet1!K732+Sheet1!L732+Sheet1!M732+Sheet1!Q732+Sheet1!R732+Sheet1!S732+Sheet1!T732</f>
        <v/>
      </c>
      <c r="F732">
        <f>IF(ISNUMBER(E732),E732,"")</f>
        <v/>
      </c>
      <c r="G732">
        <f>IF(ISNUMBER(F732),_xlfn.RANK.EQ(F732,$F$2:$F$1031),"")</f>
        <v/>
      </c>
      <c r="H732">
        <f>INDEX(Sheet1!AH:AH,MATCH(A732,Sheet1!A:A,0))</f>
        <v/>
      </c>
    </row>
    <row r="733">
      <c r="A733" t="n">
        <v>1804</v>
      </c>
      <c r="B733">
        <f>Sheet1!C733+Sheet1!D733+Sheet1!E733+Sheet1!F733+Sheet1!J733+Sheet1!K733+Sheet1!L733+Sheet1!M733</f>
        <v/>
      </c>
      <c r="C733">
        <f>IF(ISNUMBER(B733),B733,"")</f>
        <v/>
      </c>
      <c r="D733">
        <f>IF(ISNUMBER(C733),_xlfn.RANK.EQ(C733,$C$2:$C$1031),"")</f>
        <v/>
      </c>
      <c r="E733">
        <f>Sheet1!C733+Sheet1!D733+Sheet1!E733+Sheet1!F733+Sheet1!J733+Sheet1!K733+Sheet1!L733+Sheet1!M733+Sheet1!Q733+Sheet1!R733+Sheet1!S733+Sheet1!T733</f>
        <v/>
      </c>
      <c r="F733">
        <f>IF(ISNUMBER(E733),E733,"")</f>
        <v/>
      </c>
      <c r="G733">
        <f>IF(ISNUMBER(F733),_xlfn.RANK.EQ(F733,$F$2:$F$1031),"")</f>
        <v/>
      </c>
      <c r="H733">
        <f>INDEX(Sheet1!AH:AH,MATCH(A733,Sheet1!A:A,0))</f>
        <v/>
      </c>
    </row>
    <row r="734">
      <c r="A734" t="n">
        <v>1805</v>
      </c>
      <c r="B734">
        <f>Sheet1!C734+Sheet1!D734+Sheet1!E734+Sheet1!F734+Sheet1!J734+Sheet1!K734+Sheet1!L734+Sheet1!M734</f>
        <v/>
      </c>
      <c r="C734">
        <f>IF(ISNUMBER(B734),B734,"")</f>
        <v/>
      </c>
      <c r="D734">
        <f>IF(ISNUMBER(C734),_xlfn.RANK.EQ(C734,$C$2:$C$1031),"")</f>
        <v/>
      </c>
      <c r="E734">
        <f>Sheet1!C734+Sheet1!D734+Sheet1!E734+Sheet1!F734+Sheet1!J734+Sheet1!K734+Sheet1!L734+Sheet1!M734+Sheet1!Q734+Sheet1!R734+Sheet1!S734+Sheet1!T734</f>
        <v/>
      </c>
      <c r="F734">
        <f>IF(ISNUMBER(E734),E734,"")</f>
        <v/>
      </c>
      <c r="G734">
        <f>IF(ISNUMBER(F734),_xlfn.RANK.EQ(F734,$F$2:$F$1031),"")</f>
        <v/>
      </c>
      <c r="H734">
        <f>INDEX(Sheet1!AH:AH,MATCH(A734,Sheet1!A:A,0))</f>
        <v/>
      </c>
    </row>
    <row r="735">
      <c r="A735" t="n">
        <v>1813</v>
      </c>
      <c r="B735">
        <f>Sheet1!C735+Sheet1!D735+Sheet1!E735+Sheet1!F735+Sheet1!J735+Sheet1!K735+Sheet1!L735+Sheet1!M735</f>
        <v/>
      </c>
      <c r="C735">
        <f>IF(ISNUMBER(B735),B735,"")</f>
        <v/>
      </c>
      <c r="D735">
        <f>IF(ISNUMBER(C735),_xlfn.RANK.EQ(C735,$C$2:$C$1031),"")</f>
        <v/>
      </c>
      <c r="E735">
        <f>Sheet1!C735+Sheet1!D735+Sheet1!E735+Sheet1!F735+Sheet1!J735+Sheet1!K735+Sheet1!L735+Sheet1!M735+Sheet1!Q735+Sheet1!R735+Sheet1!S735+Sheet1!T735</f>
        <v/>
      </c>
      <c r="F735">
        <f>IF(ISNUMBER(E735),E735,"")</f>
        <v/>
      </c>
      <c r="G735">
        <f>IF(ISNUMBER(F735),_xlfn.RANK.EQ(F735,$F$2:$F$1031),"")</f>
        <v/>
      </c>
      <c r="H735">
        <f>INDEX(Sheet1!AH:AH,MATCH(A735,Sheet1!A:A,0))</f>
        <v/>
      </c>
    </row>
    <row r="736">
      <c r="A736" t="n">
        <v>1816</v>
      </c>
      <c r="B736">
        <f>Sheet1!C736+Sheet1!D736+Sheet1!E736+Sheet1!F736+Sheet1!J736+Sheet1!K736+Sheet1!L736+Sheet1!M736</f>
        <v/>
      </c>
      <c r="C736">
        <f>IF(ISNUMBER(B736),B736,"")</f>
        <v/>
      </c>
      <c r="D736">
        <f>IF(ISNUMBER(C736),_xlfn.RANK.EQ(C736,$C$2:$C$1031),"")</f>
        <v/>
      </c>
      <c r="E736">
        <f>Sheet1!C736+Sheet1!D736+Sheet1!E736+Sheet1!F736+Sheet1!J736+Sheet1!K736+Sheet1!L736+Sheet1!M736+Sheet1!Q736+Sheet1!R736+Sheet1!S736+Sheet1!T736</f>
        <v/>
      </c>
      <c r="F736">
        <f>IF(ISNUMBER(E736),E736,"")</f>
        <v/>
      </c>
      <c r="G736">
        <f>IF(ISNUMBER(F736),_xlfn.RANK.EQ(F736,$F$2:$F$1031),"")</f>
        <v/>
      </c>
      <c r="H736">
        <f>INDEX(Sheet1!AH:AH,MATCH(A736,Sheet1!A:A,0))</f>
        <v/>
      </c>
    </row>
    <row r="737">
      <c r="A737" t="n">
        <v>1817</v>
      </c>
      <c r="B737">
        <f>Sheet1!C737+Sheet1!D737+Sheet1!E737+Sheet1!F737+Sheet1!J737+Sheet1!K737+Sheet1!L737+Sheet1!M737</f>
        <v/>
      </c>
      <c r="C737">
        <f>IF(ISNUMBER(B737),B737,"")</f>
        <v/>
      </c>
      <c r="D737">
        <f>IF(ISNUMBER(C737),_xlfn.RANK.EQ(C737,$C$2:$C$1031),"")</f>
        <v/>
      </c>
      <c r="E737">
        <f>Sheet1!C737+Sheet1!D737+Sheet1!E737+Sheet1!F737+Sheet1!J737+Sheet1!K737+Sheet1!L737+Sheet1!M737+Sheet1!Q737+Sheet1!R737+Sheet1!S737+Sheet1!T737</f>
        <v/>
      </c>
      <c r="F737">
        <f>IF(ISNUMBER(E737),E737,"")</f>
        <v/>
      </c>
      <c r="G737">
        <f>IF(ISNUMBER(F737),_xlfn.RANK.EQ(F737,$F$2:$F$1031),"")</f>
        <v/>
      </c>
      <c r="H737">
        <f>INDEX(Sheet1!AH:AH,MATCH(A737,Sheet1!A:A,0))</f>
        <v/>
      </c>
    </row>
    <row r="738">
      <c r="A738" t="n">
        <v>1821</v>
      </c>
      <c r="B738">
        <f>Sheet1!C738+Sheet1!D738+Sheet1!E738+Sheet1!F738+Sheet1!J738+Sheet1!K738+Sheet1!L738+Sheet1!M738</f>
        <v/>
      </c>
      <c r="C738">
        <f>IF(ISNUMBER(B738),B738,"")</f>
        <v/>
      </c>
      <c r="D738">
        <f>IF(ISNUMBER(C738),_xlfn.RANK.EQ(C738,$C$2:$C$1031),"")</f>
        <v/>
      </c>
      <c r="E738">
        <f>Sheet1!C738+Sheet1!D738+Sheet1!E738+Sheet1!F738+Sheet1!J738+Sheet1!K738+Sheet1!L738+Sheet1!M738+Sheet1!Q738+Sheet1!R738+Sheet1!S738+Sheet1!T738</f>
        <v/>
      </c>
      <c r="F738">
        <f>IF(ISNUMBER(E738),E738,"")</f>
        <v/>
      </c>
      <c r="G738">
        <f>IF(ISNUMBER(F738),_xlfn.RANK.EQ(F738,$F$2:$F$1031),"")</f>
        <v/>
      </c>
      <c r="H738">
        <f>INDEX(Sheet1!AH:AH,MATCH(A738,Sheet1!A:A,0))</f>
        <v/>
      </c>
    </row>
    <row r="739">
      <c r="A739" t="n">
        <v>1822</v>
      </c>
      <c r="B739">
        <f>Sheet1!C739+Sheet1!D739+Sheet1!E739+Sheet1!F739+Sheet1!J739+Sheet1!K739+Sheet1!L739+Sheet1!M739</f>
        <v/>
      </c>
      <c r="C739">
        <f>IF(ISNUMBER(B739),B739,"")</f>
        <v/>
      </c>
      <c r="D739">
        <f>IF(ISNUMBER(C739),_xlfn.RANK.EQ(C739,$C$2:$C$1031),"")</f>
        <v/>
      </c>
      <c r="E739">
        <f>Sheet1!C739+Sheet1!D739+Sheet1!E739+Sheet1!F739+Sheet1!J739+Sheet1!K739+Sheet1!L739+Sheet1!M739+Sheet1!Q739+Sheet1!R739+Sheet1!S739+Sheet1!T739</f>
        <v/>
      </c>
      <c r="F739">
        <f>IF(ISNUMBER(E739),E739,"")</f>
        <v/>
      </c>
      <c r="G739">
        <f>IF(ISNUMBER(F739),_xlfn.RANK.EQ(F739,$F$2:$F$1031),"")</f>
        <v/>
      </c>
      <c r="H739">
        <f>INDEX(Sheet1!AH:AH,MATCH(A739,Sheet1!A:A,0))</f>
        <v/>
      </c>
    </row>
    <row r="740">
      <c r="A740" t="n">
        <v>1829</v>
      </c>
      <c r="B740">
        <f>Sheet1!C740+Sheet1!D740+Sheet1!E740+Sheet1!F740+Sheet1!J740+Sheet1!K740+Sheet1!L740+Sheet1!M740</f>
        <v/>
      </c>
      <c r="C740">
        <f>IF(ISNUMBER(B740),B740,"")</f>
        <v/>
      </c>
      <c r="D740">
        <f>IF(ISNUMBER(C740),_xlfn.RANK.EQ(C740,$C$2:$C$1031),"")</f>
        <v/>
      </c>
      <c r="E740">
        <f>Sheet1!C740+Sheet1!D740+Sheet1!E740+Sheet1!F740+Sheet1!J740+Sheet1!K740+Sheet1!L740+Sheet1!M740+Sheet1!Q740+Sheet1!R740+Sheet1!S740+Sheet1!T740</f>
        <v/>
      </c>
      <c r="F740">
        <f>IF(ISNUMBER(E740),E740,"")</f>
        <v/>
      </c>
      <c r="G740">
        <f>IF(ISNUMBER(F740),_xlfn.RANK.EQ(F740,$F$2:$F$1031),"")</f>
        <v/>
      </c>
      <c r="H740">
        <f>INDEX(Sheet1!AH:AH,MATCH(A740,Sheet1!A:A,0))</f>
        <v/>
      </c>
    </row>
    <row r="741">
      <c r="A741" t="n">
        <v>1830</v>
      </c>
      <c r="B741">
        <f>Sheet1!C741+Sheet1!D741+Sheet1!E741+Sheet1!F741+Sheet1!J741+Sheet1!K741+Sheet1!L741+Sheet1!M741</f>
        <v/>
      </c>
      <c r="C741">
        <f>IF(ISNUMBER(B741),B741,"")</f>
        <v/>
      </c>
      <c r="D741">
        <f>IF(ISNUMBER(C741),_xlfn.RANK.EQ(C741,$C$2:$C$1031),"")</f>
        <v/>
      </c>
      <c r="E741">
        <f>Sheet1!C741+Sheet1!D741+Sheet1!E741+Sheet1!F741+Sheet1!J741+Sheet1!K741+Sheet1!L741+Sheet1!M741+Sheet1!Q741+Sheet1!R741+Sheet1!S741+Sheet1!T741</f>
        <v/>
      </c>
      <c r="F741">
        <f>IF(ISNUMBER(E741),E741,"")</f>
        <v/>
      </c>
      <c r="G741">
        <f>IF(ISNUMBER(F741),_xlfn.RANK.EQ(F741,$F$2:$F$1031),"")</f>
        <v/>
      </c>
      <c r="H741">
        <f>INDEX(Sheet1!AH:AH,MATCH(A741,Sheet1!A:A,0))</f>
        <v/>
      </c>
    </row>
    <row r="742">
      <c r="A742" t="n">
        <v>1832</v>
      </c>
      <c r="B742">
        <f>Sheet1!C742+Sheet1!D742+Sheet1!E742+Sheet1!F742+Sheet1!J742+Sheet1!K742+Sheet1!L742+Sheet1!M742</f>
        <v/>
      </c>
      <c r="C742">
        <f>IF(ISNUMBER(B742),B742,"")</f>
        <v/>
      </c>
      <c r="D742">
        <f>IF(ISNUMBER(C742),_xlfn.RANK.EQ(C742,$C$2:$C$1031),"")</f>
        <v/>
      </c>
      <c r="E742">
        <f>Sheet1!C742+Sheet1!D742+Sheet1!E742+Sheet1!F742+Sheet1!J742+Sheet1!K742+Sheet1!L742+Sheet1!M742+Sheet1!Q742+Sheet1!R742+Sheet1!S742+Sheet1!T742</f>
        <v/>
      </c>
      <c r="F742">
        <f>IF(ISNUMBER(E742),E742,"")</f>
        <v/>
      </c>
      <c r="G742">
        <f>IF(ISNUMBER(F742),_xlfn.RANK.EQ(F742,$F$2:$F$1031),"")</f>
        <v/>
      </c>
      <c r="H742">
        <f>INDEX(Sheet1!AH:AH,MATCH(A742,Sheet1!A:A,0))</f>
        <v/>
      </c>
    </row>
    <row r="743">
      <c r="A743" t="n">
        <v>1833</v>
      </c>
      <c r="B743">
        <f>Sheet1!C743+Sheet1!D743+Sheet1!E743+Sheet1!F743+Sheet1!J743+Sheet1!K743+Sheet1!L743+Sheet1!M743</f>
        <v/>
      </c>
      <c r="C743">
        <f>IF(ISNUMBER(B743),B743,"")</f>
        <v/>
      </c>
      <c r="D743">
        <f>IF(ISNUMBER(C743),_xlfn.RANK.EQ(C743,$C$2:$C$1031),"")</f>
        <v/>
      </c>
      <c r="E743">
        <f>Sheet1!C743+Sheet1!D743+Sheet1!E743+Sheet1!F743+Sheet1!J743+Sheet1!K743+Sheet1!L743+Sheet1!M743+Sheet1!Q743+Sheet1!R743+Sheet1!S743+Sheet1!T743</f>
        <v/>
      </c>
      <c r="F743">
        <f>IF(ISNUMBER(E743),E743,"")</f>
        <v/>
      </c>
      <c r="G743">
        <f>IF(ISNUMBER(F743),_xlfn.RANK.EQ(F743,$F$2:$F$1031),"")</f>
        <v/>
      </c>
      <c r="H743">
        <f>INDEX(Sheet1!AH:AH,MATCH(A743,Sheet1!A:A,0))</f>
        <v/>
      </c>
    </row>
    <row r="744">
      <c r="A744" t="n">
        <v>1834</v>
      </c>
      <c r="B744">
        <f>Sheet1!C744+Sheet1!D744+Sheet1!E744+Sheet1!F744+Sheet1!J744+Sheet1!K744+Sheet1!L744+Sheet1!M744</f>
        <v/>
      </c>
      <c r="C744">
        <f>IF(ISNUMBER(B744),B744,"")</f>
        <v/>
      </c>
      <c r="D744">
        <f>IF(ISNUMBER(C744),_xlfn.RANK.EQ(C744,$C$2:$C$1031),"")</f>
        <v/>
      </c>
      <c r="E744">
        <f>Sheet1!C744+Sheet1!D744+Sheet1!E744+Sheet1!F744+Sheet1!J744+Sheet1!K744+Sheet1!L744+Sheet1!M744+Sheet1!Q744+Sheet1!R744+Sheet1!S744+Sheet1!T744</f>
        <v/>
      </c>
      <c r="F744">
        <f>IF(ISNUMBER(E744),E744,"")</f>
        <v/>
      </c>
      <c r="G744">
        <f>IF(ISNUMBER(F744),_xlfn.RANK.EQ(F744,$F$2:$F$1031),"")</f>
        <v/>
      </c>
      <c r="H744">
        <f>INDEX(Sheet1!AH:AH,MATCH(A744,Sheet1!A:A,0))</f>
        <v/>
      </c>
    </row>
    <row r="745">
      <c r="A745" t="n">
        <v>1836</v>
      </c>
      <c r="B745">
        <f>Sheet1!C745+Sheet1!D745+Sheet1!E745+Sheet1!F745+Sheet1!J745+Sheet1!K745+Sheet1!L745+Sheet1!M745</f>
        <v/>
      </c>
      <c r="C745">
        <f>IF(ISNUMBER(B745),B745,"")</f>
        <v/>
      </c>
      <c r="D745">
        <f>IF(ISNUMBER(C745),_xlfn.RANK.EQ(C745,$C$2:$C$1031),"")</f>
        <v/>
      </c>
      <c r="E745">
        <f>Sheet1!C745+Sheet1!D745+Sheet1!E745+Sheet1!F745+Sheet1!J745+Sheet1!K745+Sheet1!L745+Sheet1!M745+Sheet1!Q745+Sheet1!R745+Sheet1!S745+Sheet1!T745</f>
        <v/>
      </c>
      <c r="F745">
        <f>IF(ISNUMBER(E745),E745,"")</f>
        <v/>
      </c>
      <c r="G745">
        <f>IF(ISNUMBER(F745),_xlfn.RANK.EQ(F745,$F$2:$F$1031),"")</f>
        <v/>
      </c>
      <c r="H745">
        <f>INDEX(Sheet1!AH:AH,MATCH(A745,Sheet1!A:A,0))</f>
        <v/>
      </c>
    </row>
    <row r="746">
      <c r="A746" t="n">
        <v>1837</v>
      </c>
      <c r="B746">
        <f>Sheet1!C746+Sheet1!D746+Sheet1!E746+Sheet1!F746+Sheet1!J746+Sheet1!K746+Sheet1!L746+Sheet1!M746</f>
        <v/>
      </c>
      <c r="C746">
        <f>IF(ISNUMBER(B746),B746,"")</f>
        <v/>
      </c>
      <c r="D746">
        <f>IF(ISNUMBER(C746),_xlfn.RANK.EQ(C746,$C$2:$C$1031),"")</f>
        <v/>
      </c>
      <c r="E746">
        <f>Sheet1!C746+Sheet1!D746+Sheet1!E746+Sheet1!F746+Sheet1!J746+Sheet1!K746+Sheet1!L746+Sheet1!M746+Sheet1!Q746+Sheet1!R746+Sheet1!S746+Sheet1!T746</f>
        <v/>
      </c>
      <c r="F746">
        <f>IF(ISNUMBER(E746),E746,"")</f>
        <v/>
      </c>
      <c r="G746">
        <f>IF(ISNUMBER(F746),_xlfn.RANK.EQ(F746,$F$2:$F$1031),"")</f>
        <v/>
      </c>
      <c r="H746">
        <f>INDEX(Sheet1!AH:AH,MATCH(A746,Sheet1!A:A,0))</f>
        <v/>
      </c>
    </row>
    <row r="747">
      <c r="A747" t="n">
        <v>1839</v>
      </c>
      <c r="B747">
        <f>Sheet1!C747+Sheet1!D747+Sheet1!E747+Sheet1!F747+Sheet1!J747+Sheet1!K747+Sheet1!L747+Sheet1!M747</f>
        <v/>
      </c>
      <c r="C747">
        <f>IF(ISNUMBER(B747),B747,"")</f>
        <v/>
      </c>
      <c r="D747">
        <f>IF(ISNUMBER(C747),_xlfn.RANK.EQ(C747,$C$2:$C$1031),"")</f>
        <v/>
      </c>
      <c r="E747">
        <f>Sheet1!C747+Sheet1!D747+Sheet1!E747+Sheet1!F747+Sheet1!J747+Sheet1!K747+Sheet1!L747+Sheet1!M747+Sheet1!Q747+Sheet1!R747+Sheet1!S747+Sheet1!T747</f>
        <v/>
      </c>
      <c r="F747">
        <f>IF(ISNUMBER(E747),E747,"")</f>
        <v/>
      </c>
      <c r="G747">
        <f>IF(ISNUMBER(F747),_xlfn.RANK.EQ(F747,$F$2:$F$1031),"")</f>
        <v/>
      </c>
      <c r="H747">
        <f>INDEX(Sheet1!AH:AH,MATCH(A747,Sheet1!A:A,0))</f>
        <v/>
      </c>
    </row>
    <row r="748">
      <c r="A748" t="n">
        <v>1840</v>
      </c>
      <c r="B748">
        <f>Sheet1!C748+Sheet1!D748+Sheet1!E748+Sheet1!F748+Sheet1!J748+Sheet1!K748+Sheet1!L748+Sheet1!M748</f>
        <v/>
      </c>
      <c r="C748">
        <f>IF(ISNUMBER(B748),B748,"")</f>
        <v/>
      </c>
      <c r="D748">
        <f>IF(ISNUMBER(C748),_xlfn.RANK.EQ(C748,$C$2:$C$1031),"")</f>
        <v/>
      </c>
      <c r="E748">
        <f>Sheet1!C748+Sheet1!D748+Sheet1!E748+Sheet1!F748+Sheet1!J748+Sheet1!K748+Sheet1!L748+Sheet1!M748+Sheet1!Q748+Sheet1!R748+Sheet1!S748+Sheet1!T748</f>
        <v/>
      </c>
      <c r="F748">
        <f>IF(ISNUMBER(E748),E748,"")</f>
        <v/>
      </c>
      <c r="G748">
        <f>IF(ISNUMBER(F748),_xlfn.RANK.EQ(F748,$F$2:$F$1031),"")</f>
        <v/>
      </c>
      <c r="H748">
        <f>INDEX(Sheet1!AH:AH,MATCH(A748,Sheet1!A:A,0))</f>
        <v/>
      </c>
    </row>
    <row r="749">
      <c r="A749" t="n">
        <v>1842</v>
      </c>
      <c r="B749">
        <f>Sheet1!C749+Sheet1!D749+Sheet1!E749+Sheet1!F749+Sheet1!J749+Sheet1!K749+Sheet1!L749+Sheet1!M749</f>
        <v/>
      </c>
      <c r="C749">
        <f>IF(ISNUMBER(B749),B749,"")</f>
        <v/>
      </c>
      <c r="D749">
        <f>IF(ISNUMBER(C749),_xlfn.RANK.EQ(C749,$C$2:$C$1031),"")</f>
        <v/>
      </c>
      <c r="E749">
        <f>Sheet1!C749+Sheet1!D749+Sheet1!E749+Sheet1!F749+Sheet1!J749+Sheet1!K749+Sheet1!L749+Sheet1!M749+Sheet1!Q749+Sheet1!R749+Sheet1!S749+Sheet1!T749</f>
        <v/>
      </c>
      <c r="F749">
        <f>IF(ISNUMBER(E749),E749,"")</f>
        <v/>
      </c>
      <c r="G749">
        <f>IF(ISNUMBER(F749),_xlfn.RANK.EQ(F749,$F$2:$F$1031),"")</f>
        <v/>
      </c>
      <c r="H749">
        <f>INDEX(Sheet1!AH:AH,MATCH(A749,Sheet1!A:A,0))</f>
        <v/>
      </c>
    </row>
    <row r="750">
      <c r="A750" t="n">
        <v>1843</v>
      </c>
      <c r="B750">
        <f>Sheet1!C750+Sheet1!D750+Sheet1!E750+Sheet1!F750+Sheet1!J750+Sheet1!K750+Sheet1!L750+Sheet1!M750</f>
        <v/>
      </c>
      <c r="C750">
        <f>IF(ISNUMBER(B750),B750,"")</f>
        <v/>
      </c>
      <c r="D750">
        <f>IF(ISNUMBER(C750),_xlfn.RANK.EQ(C750,$C$2:$C$1031),"")</f>
        <v/>
      </c>
      <c r="E750">
        <f>Sheet1!C750+Sheet1!D750+Sheet1!E750+Sheet1!F750+Sheet1!J750+Sheet1!K750+Sheet1!L750+Sheet1!M750+Sheet1!Q750+Sheet1!R750+Sheet1!S750+Sheet1!T750</f>
        <v/>
      </c>
      <c r="F750">
        <f>IF(ISNUMBER(E750),E750,"")</f>
        <v/>
      </c>
      <c r="G750">
        <f>IF(ISNUMBER(F750),_xlfn.RANK.EQ(F750,$F$2:$F$1031),"")</f>
        <v/>
      </c>
      <c r="H750">
        <f>INDEX(Sheet1!AH:AH,MATCH(A750,Sheet1!A:A,0))</f>
        <v/>
      </c>
    </row>
    <row r="751">
      <c r="A751" t="n">
        <v>1844</v>
      </c>
      <c r="B751">
        <f>Sheet1!C751+Sheet1!D751+Sheet1!E751+Sheet1!F751+Sheet1!J751+Sheet1!K751+Sheet1!L751+Sheet1!M751</f>
        <v/>
      </c>
      <c r="C751">
        <f>IF(ISNUMBER(B751),B751,"")</f>
        <v/>
      </c>
      <c r="D751">
        <f>IF(ISNUMBER(C751),_xlfn.RANK.EQ(C751,$C$2:$C$1031),"")</f>
        <v/>
      </c>
      <c r="E751">
        <f>Sheet1!C751+Sheet1!D751+Sheet1!E751+Sheet1!F751+Sheet1!J751+Sheet1!K751+Sheet1!L751+Sheet1!M751+Sheet1!Q751+Sheet1!R751+Sheet1!S751+Sheet1!T751</f>
        <v/>
      </c>
      <c r="F751">
        <f>IF(ISNUMBER(E751),E751,"")</f>
        <v/>
      </c>
      <c r="G751">
        <f>IF(ISNUMBER(F751),_xlfn.RANK.EQ(F751,$F$2:$F$1031),"")</f>
        <v/>
      </c>
      <c r="H751">
        <f>INDEX(Sheet1!AH:AH,MATCH(A751,Sheet1!A:A,0))</f>
        <v/>
      </c>
    </row>
    <row r="752">
      <c r="A752" t="n">
        <v>1847</v>
      </c>
      <c r="B752">
        <f>Sheet1!C752+Sheet1!D752+Sheet1!E752+Sheet1!F752+Sheet1!J752+Sheet1!K752+Sheet1!L752+Sheet1!M752</f>
        <v/>
      </c>
      <c r="C752">
        <f>IF(ISNUMBER(B752),B752,"")</f>
        <v/>
      </c>
      <c r="D752">
        <f>IF(ISNUMBER(C752),_xlfn.RANK.EQ(C752,$C$2:$C$1031),"")</f>
        <v/>
      </c>
      <c r="E752">
        <f>Sheet1!C752+Sheet1!D752+Sheet1!E752+Sheet1!F752+Sheet1!J752+Sheet1!K752+Sheet1!L752+Sheet1!M752+Sheet1!Q752+Sheet1!R752+Sheet1!S752+Sheet1!T752</f>
        <v/>
      </c>
      <c r="F752">
        <f>IF(ISNUMBER(E752),E752,"")</f>
        <v/>
      </c>
      <c r="G752">
        <f>IF(ISNUMBER(F752),_xlfn.RANK.EQ(F752,$F$2:$F$1031),"")</f>
        <v/>
      </c>
      <c r="H752">
        <f>INDEX(Sheet1!AH:AH,MATCH(A752,Sheet1!A:A,0))</f>
        <v/>
      </c>
    </row>
    <row r="753">
      <c r="A753" t="n">
        <v>1848</v>
      </c>
      <c r="B753">
        <f>Sheet1!C753+Sheet1!D753+Sheet1!E753+Sheet1!F753+Sheet1!J753+Sheet1!K753+Sheet1!L753+Sheet1!M753</f>
        <v/>
      </c>
      <c r="C753">
        <f>IF(ISNUMBER(B753),B753,"")</f>
        <v/>
      </c>
      <c r="D753">
        <f>IF(ISNUMBER(C753),_xlfn.RANK.EQ(C753,$C$2:$C$1031),"")</f>
        <v/>
      </c>
      <c r="E753">
        <f>Sheet1!C753+Sheet1!D753+Sheet1!E753+Sheet1!F753+Sheet1!J753+Sheet1!K753+Sheet1!L753+Sheet1!M753+Sheet1!Q753+Sheet1!R753+Sheet1!S753+Sheet1!T753</f>
        <v/>
      </c>
      <c r="F753">
        <f>IF(ISNUMBER(E753),E753,"")</f>
        <v/>
      </c>
      <c r="G753">
        <f>IF(ISNUMBER(F753),_xlfn.RANK.EQ(F753,$F$2:$F$1031),"")</f>
        <v/>
      </c>
      <c r="H753">
        <f>INDEX(Sheet1!AH:AH,MATCH(A753,Sheet1!A:A,0))</f>
        <v/>
      </c>
    </row>
    <row r="754">
      <c r="A754" t="n">
        <v>1850</v>
      </c>
      <c r="B754">
        <f>Sheet1!C754+Sheet1!D754+Sheet1!E754+Sheet1!F754+Sheet1!J754+Sheet1!K754+Sheet1!L754+Sheet1!M754</f>
        <v/>
      </c>
      <c r="C754">
        <f>IF(ISNUMBER(B754),B754,"")</f>
        <v/>
      </c>
      <c r="D754">
        <f>IF(ISNUMBER(C754),_xlfn.RANK.EQ(C754,$C$2:$C$1031),"")</f>
        <v/>
      </c>
      <c r="E754">
        <f>Sheet1!C754+Sheet1!D754+Sheet1!E754+Sheet1!F754+Sheet1!J754+Sheet1!K754+Sheet1!L754+Sheet1!M754+Sheet1!Q754+Sheet1!R754+Sheet1!S754+Sheet1!T754</f>
        <v/>
      </c>
      <c r="F754">
        <f>IF(ISNUMBER(E754),E754,"")</f>
        <v/>
      </c>
      <c r="G754">
        <f>IF(ISNUMBER(F754),_xlfn.RANK.EQ(F754,$F$2:$F$1031),"")</f>
        <v/>
      </c>
      <c r="H754">
        <f>INDEX(Sheet1!AH:AH,MATCH(A754,Sheet1!A:A,0))</f>
        <v/>
      </c>
    </row>
    <row r="755">
      <c r="A755" t="n">
        <v>1853</v>
      </c>
      <c r="B755">
        <f>Sheet1!C755+Sheet1!D755+Sheet1!E755+Sheet1!F755+Sheet1!J755+Sheet1!K755+Sheet1!L755+Sheet1!M755</f>
        <v/>
      </c>
      <c r="C755">
        <f>IF(ISNUMBER(B755),B755,"")</f>
        <v/>
      </c>
      <c r="D755">
        <f>IF(ISNUMBER(C755),_xlfn.RANK.EQ(C755,$C$2:$C$1031),"")</f>
        <v/>
      </c>
      <c r="E755">
        <f>Sheet1!C755+Sheet1!D755+Sheet1!E755+Sheet1!F755+Sheet1!J755+Sheet1!K755+Sheet1!L755+Sheet1!M755+Sheet1!Q755+Sheet1!R755+Sheet1!S755+Sheet1!T755</f>
        <v/>
      </c>
      <c r="F755">
        <f>IF(ISNUMBER(E755),E755,"")</f>
        <v/>
      </c>
      <c r="G755">
        <f>IF(ISNUMBER(F755),_xlfn.RANK.EQ(F755,$F$2:$F$1031),"")</f>
        <v/>
      </c>
      <c r="H755">
        <f>INDEX(Sheet1!AH:AH,MATCH(A755,Sheet1!A:A,0))</f>
        <v/>
      </c>
    </row>
    <row r="756">
      <c r="A756" t="n">
        <v>1854</v>
      </c>
      <c r="B756">
        <f>Sheet1!C756+Sheet1!D756+Sheet1!E756+Sheet1!F756+Sheet1!J756+Sheet1!K756+Sheet1!L756+Sheet1!M756</f>
        <v/>
      </c>
      <c r="C756">
        <f>IF(ISNUMBER(B756),B756,"")</f>
        <v/>
      </c>
      <c r="D756">
        <f>IF(ISNUMBER(C756),_xlfn.RANK.EQ(C756,$C$2:$C$1031),"")</f>
        <v/>
      </c>
      <c r="E756">
        <f>Sheet1!C756+Sheet1!D756+Sheet1!E756+Sheet1!F756+Sheet1!J756+Sheet1!K756+Sheet1!L756+Sheet1!M756+Sheet1!Q756+Sheet1!R756+Sheet1!S756+Sheet1!T756</f>
        <v/>
      </c>
      <c r="F756">
        <f>IF(ISNUMBER(E756),E756,"")</f>
        <v/>
      </c>
      <c r="G756">
        <f>IF(ISNUMBER(F756),_xlfn.RANK.EQ(F756,$F$2:$F$1031),"")</f>
        <v/>
      </c>
      <c r="H756">
        <f>INDEX(Sheet1!AH:AH,MATCH(A756,Sheet1!A:A,0))</f>
        <v/>
      </c>
    </row>
    <row r="757">
      <c r="A757" t="n">
        <v>1855</v>
      </c>
      <c r="B757">
        <f>Sheet1!C757+Sheet1!D757+Sheet1!E757+Sheet1!F757+Sheet1!J757+Sheet1!K757+Sheet1!L757+Sheet1!M757</f>
        <v/>
      </c>
      <c r="C757">
        <f>IF(ISNUMBER(B757),B757,"")</f>
        <v/>
      </c>
      <c r="D757">
        <f>IF(ISNUMBER(C757),_xlfn.RANK.EQ(C757,$C$2:$C$1031),"")</f>
        <v/>
      </c>
      <c r="E757">
        <f>Sheet1!C757+Sheet1!D757+Sheet1!E757+Sheet1!F757+Sheet1!J757+Sheet1!K757+Sheet1!L757+Sheet1!M757+Sheet1!Q757+Sheet1!R757+Sheet1!S757+Sheet1!T757</f>
        <v/>
      </c>
      <c r="F757">
        <f>IF(ISNUMBER(E757),E757,"")</f>
        <v/>
      </c>
      <c r="G757">
        <f>IF(ISNUMBER(F757),_xlfn.RANK.EQ(F757,$F$2:$F$1031),"")</f>
        <v/>
      </c>
      <c r="H757">
        <f>INDEX(Sheet1!AH:AH,MATCH(A757,Sheet1!A:A,0))</f>
        <v/>
      </c>
    </row>
    <row r="758">
      <c r="A758" t="n">
        <v>1859</v>
      </c>
      <c r="B758">
        <f>Sheet1!C758+Sheet1!D758+Sheet1!E758+Sheet1!F758+Sheet1!J758+Sheet1!K758+Sheet1!L758+Sheet1!M758</f>
        <v/>
      </c>
      <c r="C758">
        <f>IF(ISNUMBER(B758),B758,"")</f>
        <v/>
      </c>
      <c r="D758">
        <f>IF(ISNUMBER(C758),_xlfn.RANK.EQ(C758,$C$2:$C$1031),"")</f>
        <v/>
      </c>
      <c r="E758">
        <f>Sheet1!C758+Sheet1!D758+Sheet1!E758+Sheet1!F758+Sheet1!J758+Sheet1!K758+Sheet1!L758+Sheet1!M758+Sheet1!Q758+Sheet1!R758+Sheet1!S758+Sheet1!T758</f>
        <v/>
      </c>
      <c r="F758">
        <f>IF(ISNUMBER(E758),E758,"")</f>
        <v/>
      </c>
      <c r="G758">
        <f>IF(ISNUMBER(F758),_xlfn.RANK.EQ(F758,$F$2:$F$1031),"")</f>
        <v/>
      </c>
      <c r="H758">
        <f>INDEX(Sheet1!AH:AH,MATCH(A758,Sheet1!A:A,0))</f>
        <v/>
      </c>
    </row>
    <row r="759">
      <c r="A759" t="n">
        <v>1864</v>
      </c>
      <c r="B759">
        <f>Sheet1!C759+Sheet1!D759+Sheet1!E759+Sheet1!F759+Sheet1!J759+Sheet1!K759+Sheet1!L759+Sheet1!M759</f>
        <v/>
      </c>
      <c r="C759">
        <f>IF(ISNUMBER(B759),B759,"")</f>
        <v/>
      </c>
      <c r="D759">
        <f>IF(ISNUMBER(C759),_xlfn.RANK.EQ(C759,$C$2:$C$1031),"")</f>
        <v/>
      </c>
      <c r="E759">
        <f>Sheet1!C759+Sheet1!D759+Sheet1!E759+Sheet1!F759+Sheet1!J759+Sheet1!K759+Sheet1!L759+Sheet1!M759+Sheet1!Q759+Sheet1!R759+Sheet1!S759+Sheet1!T759</f>
        <v/>
      </c>
      <c r="F759">
        <f>IF(ISNUMBER(E759),E759,"")</f>
        <v/>
      </c>
      <c r="G759">
        <f>IF(ISNUMBER(F759),_xlfn.RANK.EQ(F759,$F$2:$F$1031),"")</f>
        <v/>
      </c>
      <c r="H759">
        <f>INDEX(Sheet1!AH:AH,MATCH(A759,Sheet1!A:A,0))</f>
        <v/>
      </c>
    </row>
    <row r="760">
      <c r="A760" t="n">
        <v>1867</v>
      </c>
      <c r="B760">
        <f>Sheet1!C760+Sheet1!D760+Sheet1!E760+Sheet1!F760+Sheet1!J760+Sheet1!K760+Sheet1!L760+Sheet1!M760</f>
        <v/>
      </c>
      <c r="C760">
        <f>IF(ISNUMBER(B760),B760,"")</f>
        <v/>
      </c>
      <c r="D760">
        <f>IF(ISNUMBER(C760),_xlfn.RANK.EQ(C760,$C$2:$C$1031),"")</f>
        <v/>
      </c>
      <c r="E760">
        <f>Sheet1!C760+Sheet1!D760+Sheet1!E760+Sheet1!F760+Sheet1!J760+Sheet1!K760+Sheet1!L760+Sheet1!M760+Sheet1!Q760+Sheet1!R760+Sheet1!S760+Sheet1!T760</f>
        <v/>
      </c>
      <c r="F760">
        <f>IF(ISNUMBER(E760),E760,"")</f>
        <v/>
      </c>
      <c r="G760">
        <f>IF(ISNUMBER(F760),_xlfn.RANK.EQ(F760,$F$2:$F$1031),"")</f>
        <v/>
      </c>
      <c r="H760">
        <f>INDEX(Sheet1!AH:AH,MATCH(A760,Sheet1!A:A,0))</f>
        <v/>
      </c>
    </row>
    <row r="761">
      <c r="A761" t="n">
        <v>1870</v>
      </c>
      <c r="B761">
        <f>Sheet1!C761+Sheet1!D761+Sheet1!E761+Sheet1!F761+Sheet1!J761+Sheet1!K761+Sheet1!L761+Sheet1!M761</f>
        <v/>
      </c>
      <c r="C761">
        <f>IF(ISNUMBER(B761),B761,"")</f>
        <v/>
      </c>
      <c r="D761">
        <f>IF(ISNUMBER(C761),_xlfn.RANK.EQ(C761,$C$2:$C$1031),"")</f>
        <v/>
      </c>
      <c r="E761">
        <f>Sheet1!C761+Sheet1!D761+Sheet1!E761+Sheet1!F761+Sheet1!J761+Sheet1!K761+Sheet1!L761+Sheet1!M761+Sheet1!Q761+Sheet1!R761+Sheet1!S761+Sheet1!T761</f>
        <v/>
      </c>
      <c r="F761">
        <f>IF(ISNUMBER(E761),E761,"")</f>
        <v/>
      </c>
      <c r="G761">
        <f>IF(ISNUMBER(F761),_xlfn.RANK.EQ(F761,$F$2:$F$1031),"")</f>
        <v/>
      </c>
      <c r="H761">
        <f>INDEX(Sheet1!AH:AH,MATCH(A761,Sheet1!A:A,0))</f>
        <v/>
      </c>
    </row>
    <row r="762">
      <c r="A762" t="n">
        <v>1871</v>
      </c>
      <c r="B762">
        <f>Sheet1!C762+Sheet1!D762+Sheet1!E762+Sheet1!F762+Sheet1!J762+Sheet1!K762+Sheet1!L762+Sheet1!M762</f>
        <v/>
      </c>
      <c r="C762">
        <f>IF(ISNUMBER(B762),B762,"")</f>
        <v/>
      </c>
      <c r="D762">
        <f>IF(ISNUMBER(C762),_xlfn.RANK.EQ(C762,$C$2:$C$1031),"")</f>
        <v/>
      </c>
      <c r="E762">
        <f>Sheet1!C762+Sheet1!D762+Sheet1!E762+Sheet1!F762+Sheet1!J762+Sheet1!K762+Sheet1!L762+Sheet1!M762+Sheet1!Q762+Sheet1!R762+Sheet1!S762+Sheet1!T762</f>
        <v/>
      </c>
      <c r="F762">
        <f>IF(ISNUMBER(E762),E762,"")</f>
        <v/>
      </c>
      <c r="G762">
        <f>IF(ISNUMBER(F762),_xlfn.RANK.EQ(F762,$F$2:$F$1031),"")</f>
        <v/>
      </c>
      <c r="H762">
        <f>INDEX(Sheet1!AH:AH,MATCH(A762,Sheet1!A:A,0))</f>
        <v/>
      </c>
    </row>
    <row r="763">
      <c r="A763" t="n">
        <v>1872</v>
      </c>
      <c r="B763">
        <f>Sheet1!C763+Sheet1!D763+Sheet1!E763+Sheet1!F763+Sheet1!J763+Sheet1!K763+Sheet1!L763+Sheet1!M763</f>
        <v/>
      </c>
      <c r="C763">
        <f>IF(ISNUMBER(B763),B763,"")</f>
        <v/>
      </c>
      <c r="D763">
        <f>IF(ISNUMBER(C763),_xlfn.RANK.EQ(C763,$C$2:$C$1031),"")</f>
        <v/>
      </c>
      <c r="E763">
        <f>Sheet1!C763+Sheet1!D763+Sheet1!E763+Sheet1!F763+Sheet1!J763+Sheet1!K763+Sheet1!L763+Sheet1!M763+Sheet1!Q763+Sheet1!R763+Sheet1!S763+Sheet1!T763</f>
        <v/>
      </c>
      <c r="F763">
        <f>IF(ISNUMBER(E763),E763,"")</f>
        <v/>
      </c>
      <c r="G763">
        <f>IF(ISNUMBER(F763),_xlfn.RANK.EQ(F763,$F$2:$F$1031),"")</f>
        <v/>
      </c>
      <c r="H763">
        <f>INDEX(Sheet1!AH:AH,MATCH(A763,Sheet1!A:A,0))</f>
        <v/>
      </c>
    </row>
    <row r="764">
      <c r="A764" t="n">
        <v>1877</v>
      </c>
      <c r="B764">
        <f>Sheet1!C764+Sheet1!D764+Sheet1!E764+Sheet1!F764+Sheet1!J764+Sheet1!K764+Sheet1!L764+Sheet1!M764</f>
        <v/>
      </c>
      <c r="C764">
        <f>IF(ISNUMBER(B764),B764,"")</f>
        <v/>
      </c>
      <c r="D764">
        <f>IF(ISNUMBER(C764),_xlfn.RANK.EQ(C764,$C$2:$C$1031),"")</f>
        <v/>
      </c>
      <c r="E764">
        <f>Sheet1!C764+Sheet1!D764+Sheet1!E764+Sheet1!F764+Sheet1!J764+Sheet1!K764+Sheet1!L764+Sheet1!M764+Sheet1!Q764+Sheet1!R764+Sheet1!S764+Sheet1!T764</f>
        <v/>
      </c>
      <c r="F764">
        <f>IF(ISNUMBER(E764),E764,"")</f>
        <v/>
      </c>
      <c r="G764">
        <f>IF(ISNUMBER(F764),_xlfn.RANK.EQ(F764,$F$2:$F$1031),"")</f>
        <v/>
      </c>
      <c r="H764">
        <f>INDEX(Sheet1!AH:AH,MATCH(A764,Sheet1!A:A,0))</f>
        <v/>
      </c>
    </row>
    <row r="765">
      <c r="A765" t="n">
        <v>1878</v>
      </c>
      <c r="B765">
        <f>Sheet1!C765+Sheet1!D765+Sheet1!E765+Sheet1!F765+Sheet1!J765+Sheet1!K765+Sheet1!L765+Sheet1!M765</f>
        <v/>
      </c>
      <c r="C765">
        <f>IF(ISNUMBER(B765),B765,"")</f>
        <v/>
      </c>
      <c r="D765">
        <f>IF(ISNUMBER(C765),_xlfn.RANK.EQ(C765,$C$2:$C$1031),"")</f>
        <v/>
      </c>
      <c r="E765">
        <f>Sheet1!C765+Sheet1!D765+Sheet1!E765+Sheet1!F765+Sheet1!J765+Sheet1!K765+Sheet1!L765+Sheet1!M765+Sheet1!Q765+Sheet1!R765+Sheet1!S765+Sheet1!T765</f>
        <v/>
      </c>
      <c r="F765">
        <f>IF(ISNUMBER(E765),E765,"")</f>
        <v/>
      </c>
      <c r="G765">
        <f>IF(ISNUMBER(F765),_xlfn.RANK.EQ(F765,$F$2:$F$1031),"")</f>
        <v/>
      </c>
      <c r="H765">
        <f>INDEX(Sheet1!AH:AH,MATCH(A765,Sheet1!A:A,0))</f>
        <v/>
      </c>
    </row>
    <row r="766">
      <c r="A766" t="n">
        <v>1883</v>
      </c>
      <c r="B766">
        <f>Sheet1!C766+Sheet1!D766+Sheet1!E766+Sheet1!F766+Sheet1!J766+Sheet1!K766+Sheet1!L766+Sheet1!M766</f>
        <v/>
      </c>
      <c r="C766">
        <f>IF(ISNUMBER(B766),B766,"")</f>
        <v/>
      </c>
      <c r="D766">
        <f>IF(ISNUMBER(C766),_xlfn.RANK.EQ(C766,$C$2:$C$1031),"")</f>
        <v/>
      </c>
      <c r="E766">
        <f>Sheet1!C766+Sheet1!D766+Sheet1!E766+Sheet1!F766+Sheet1!J766+Sheet1!K766+Sheet1!L766+Sheet1!M766+Sheet1!Q766+Sheet1!R766+Sheet1!S766+Sheet1!T766</f>
        <v/>
      </c>
      <c r="F766">
        <f>IF(ISNUMBER(E766),E766,"")</f>
        <v/>
      </c>
      <c r="G766">
        <f>IF(ISNUMBER(F766),_xlfn.RANK.EQ(F766,$F$2:$F$1031),"")</f>
        <v/>
      </c>
      <c r="H766">
        <f>INDEX(Sheet1!AH:AH,MATCH(A766,Sheet1!A:A,0))</f>
        <v/>
      </c>
    </row>
    <row r="767">
      <c r="A767" t="n">
        <v>1885</v>
      </c>
      <c r="B767">
        <f>Sheet1!C767+Sheet1!D767+Sheet1!E767+Sheet1!F767+Sheet1!J767+Sheet1!K767+Sheet1!L767+Sheet1!M767</f>
        <v/>
      </c>
      <c r="C767">
        <f>IF(ISNUMBER(B767),B767,"")</f>
        <v/>
      </c>
      <c r="D767">
        <f>IF(ISNUMBER(C767),_xlfn.RANK.EQ(C767,$C$2:$C$1031),"")</f>
        <v/>
      </c>
      <c r="E767">
        <f>Sheet1!C767+Sheet1!D767+Sheet1!E767+Sheet1!F767+Sheet1!J767+Sheet1!K767+Sheet1!L767+Sheet1!M767+Sheet1!Q767+Sheet1!R767+Sheet1!S767+Sheet1!T767</f>
        <v/>
      </c>
      <c r="F767">
        <f>IF(ISNUMBER(E767),E767,"")</f>
        <v/>
      </c>
      <c r="G767">
        <f>IF(ISNUMBER(F767),_xlfn.RANK.EQ(F767,$F$2:$F$1031),"")</f>
        <v/>
      </c>
      <c r="H767">
        <f>INDEX(Sheet1!AH:AH,MATCH(A767,Sheet1!A:A,0))</f>
        <v/>
      </c>
    </row>
    <row r="768">
      <c r="A768" t="n">
        <v>1886</v>
      </c>
      <c r="B768">
        <f>Sheet1!C768+Sheet1!D768+Sheet1!E768+Sheet1!F768+Sheet1!J768+Sheet1!K768+Sheet1!L768+Sheet1!M768</f>
        <v/>
      </c>
      <c r="C768">
        <f>IF(ISNUMBER(B768),B768,"")</f>
        <v/>
      </c>
      <c r="D768">
        <f>IF(ISNUMBER(C768),_xlfn.RANK.EQ(C768,$C$2:$C$1031),"")</f>
        <v/>
      </c>
      <c r="E768">
        <f>Sheet1!C768+Sheet1!D768+Sheet1!E768+Sheet1!F768+Sheet1!J768+Sheet1!K768+Sheet1!L768+Sheet1!M768+Sheet1!Q768+Sheet1!R768+Sheet1!S768+Sheet1!T768</f>
        <v/>
      </c>
      <c r="F768">
        <f>IF(ISNUMBER(E768),E768,"")</f>
        <v/>
      </c>
      <c r="G768">
        <f>IF(ISNUMBER(F768),_xlfn.RANK.EQ(F768,$F$2:$F$1031),"")</f>
        <v/>
      </c>
      <c r="H768">
        <f>INDEX(Sheet1!AH:AH,MATCH(A768,Sheet1!A:A,0))</f>
        <v/>
      </c>
    </row>
    <row r="769">
      <c r="A769" t="n">
        <v>1887</v>
      </c>
      <c r="B769">
        <f>Sheet1!C769+Sheet1!D769+Sheet1!E769+Sheet1!F769+Sheet1!J769+Sheet1!K769+Sheet1!L769+Sheet1!M769</f>
        <v/>
      </c>
      <c r="C769">
        <f>IF(ISNUMBER(B769),B769,"")</f>
        <v/>
      </c>
      <c r="D769">
        <f>IF(ISNUMBER(C769),_xlfn.RANK.EQ(C769,$C$2:$C$1031),"")</f>
        <v/>
      </c>
      <c r="E769">
        <f>Sheet1!C769+Sheet1!D769+Sheet1!E769+Sheet1!F769+Sheet1!J769+Sheet1!K769+Sheet1!L769+Sheet1!M769+Sheet1!Q769+Sheet1!R769+Sheet1!S769+Sheet1!T769</f>
        <v/>
      </c>
      <c r="F769">
        <f>IF(ISNUMBER(E769),E769,"")</f>
        <v/>
      </c>
      <c r="G769">
        <f>IF(ISNUMBER(F769),_xlfn.RANK.EQ(F769,$F$2:$F$1031),"")</f>
        <v/>
      </c>
      <c r="H769">
        <f>INDEX(Sheet1!AH:AH,MATCH(A769,Sheet1!A:A,0))</f>
        <v/>
      </c>
    </row>
    <row r="770">
      <c r="A770" t="n">
        <v>1888</v>
      </c>
      <c r="B770">
        <f>Sheet1!C770+Sheet1!D770+Sheet1!E770+Sheet1!F770+Sheet1!J770+Sheet1!K770+Sheet1!L770+Sheet1!M770</f>
        <v/>
      </c>
      <c r="C770">
        <f>IF(ISNUMBER(B770),B770,"")</f>
        <v/>
      </c>
      <c r="D770">
        <f>IF(ISNUMBER(C770),_xlfn.RANK.EQ(C770,$C$2:$C$1031),"")</f>
        <v/>
      </c>
      <c r="E770">
        <f>Sheet1!C770+Sheet1!D770+Sheet1!E770+Sheet1!F770+Sheet1!J770+Sheet1!K770+Sheet1!L770+Sheet1!M770+Sheet1!Q770+Sheet1!R770+Sheet1!S770+Sheet1!T770</f>
        <v/>
      </c>
      <c r="F770">
        <f>IF(ISNUMBER(E770),E770,"")</f>
        <v/>
      </c>
      <c r="G770">
        <f>IF(ISNUMBER(F770),_xlfn.RANK.EQ(F770,$F$2:$F$1031),"")</f>
        <v/>
      </c>
      <c r="H770">
        <f>INDEX(Sheet1!AH:AH,MATCH(A770,Sheet1!A:A,0))</f>
        <v/>
      </c>
    </row>
    <row r="771">
      <c r="A771" t="n">
        <v>1889</v>
      </c>
      <c r="B771">
        <f>Sheet1!C771+Sheet1!D771+Sheet1!E771+Sheet1!F771+Sheet1!J771+Sheet1!K771+Sheet1!L771+Sheet1!M771</f>
        <v/>
      </c>
      <c r="C771">
        <f>IF(ISNUMBER(B771),B771,"")</f>
        <v/>
      </c>
      <c r="D771">
        <f>IF(ISNUMBER(C771),_xlfn.RANK.EQ(C771,$C$2:$C$1031),"")</f>
        <v/>
      </c>
      <c r="E771">
        <f>Sheet1!C771+Sheet1!D771+Sheet1!E771+Sheet1!F771+Sheet1!J771+Sheet1!K771+Sheet1!L771+Sheet1!M771+Sheet1!Q771+Sheet1!R771+Sheet1!S771+Sheet1!T771</f>
        <v/>
      </c>
      <c r="F771">
        <f>IF(ISNUMBER(E771),E771,"")</f>
        <v/>
      </c>
      <c r="G771">
        <f>IF(ISNUMBER(F771),_xlfn.RANK.EQ(F771,$F$2:$F$1031),"")</f>
        <v/>
      </c>
      <c r="H771">
        <f>INDEX(Sheet1!AH:AH,MATCH(A771,Sheet1!A:A,0))</f>
        <v/>
      </c>
    </row>
    <row r="772">
      <c r="A772" t="n">
        <v>1890</v>
      </c>
      <c r="B772">
        <f>Sheet1!C772+Sheet1!D772+Sheet1!E772+Sheet1!F772+Sheet1!J772+Sheet1!K772+Sheet1!L772+Sheet1!M772</f>
        <v/>
      </c>
      <c r="C772">
        <f>IF(ISNUMBER(B772),B772,"")</f>
        <v/>
      </c>
      <c r="D772">
        <f>IF(ISNUMBER(C772),_xlfn.RANK.EQ(C772,$C$2:$C$1031),"")</f>
        <v/>
      </c>
      <c r="E772">
        <f>Sheet1!C772+Sheet1!D772+Sheet1!E772+Sheet1!F772+Sheet1!J772+Sheet1!K772+Sheet1!L772+Sheet1!M772+Sheet1!Q772+Sheet1!R772+Sheet1!S772+Sheet1!T772</f>
        <v/>
      </c>
      <c r="F772">
        <f>IF(ISNUMBER(E772),E772,"")</f>
        <v/>
      </c>
      <c r="G772">
        <f>IF(ISNUMBER(F772),_xlfn.RANK.EQ(F772,$F$2:$F$1031),"")</f>
        <v/>
      </c>
      <c r="H772">
        <f>INDEX(Sheet1!AH:AH,MATCH(A772,Sheet1!A:A,0))</f>
        <v/>
      </c>
    </row>
    <row r="773">
      <c r="A773" t="n">
        <v>1891</v>
      </c>
      <c r="B773">
        <f>Sheet1!C773+Sheet1!D773+Sheet1!E773+Sheet1!F773+Sheet1!J773+Sheet1!K773+Sheet1!L773+Sheet1!M773</f>
        <v/>
      </c>
      <c r="C773">
        <f>IF(ISNUMBER(B773),B773,"")</f>
        <v/>
      </c>
      <c r="D773">
        <f>IF(ISNUMBER(C773),_xlfn.RANK.EQ(C773,$C$2:$C$1031),"")</f>
        <v/>
      </c>
      <c r="E773">
        <f>Sheet1!C773+Sheet1!D773+Sheet1!E773+Sheet1!F773+Sheet1!J773+Sheet1!K773+Sheet1!L773+Sheet1!M773+Sheet1!Q773+Sheet1!R773+Sheet1!S773+Sheet1!T773</f>
        <v/>
      </c>
      <c r="F773">
        <f>IF(ISNUMBER(E773),E773,"")</f>
        <v/>
      </c>
      <c r="G773">
        <f>IF(ISNUMBER(F773),_xlfn.RANK.EQ(F773,$F$2:$F$1031),"")</f>
        <v/>
      </c>
      <c r="H773">
        <f>INDEX(Sheet1!AH:AH,MATCH(A773,Sheet1!A:A,0))</f>
        <v/>
      </c>
    </row>
    <row r="774">
      <c r="A774" t="n">
        <v>1892</v>
      </c>
      <c r="B774">
        <f>Sheet1!C774+Sheet1!D774+Sheet1!E774+Sheet1!F774+Sheet1!J774+Sheet1!K774+Sheet1!L774+Sheet1!M774</f>
        <v/>
      </c>
      <c r="C774">
        <f>IF(ISNUMBER(B774),B774,"")</f>
        <v/>
      </c>
      <c r="D774">
        <f>IF(ISNUMBER(C774),_xlfn.RANK.EQ(C774,$C$2:$C$1031),"")</f>
        <v/>
      </c>
      <c r="E774">
        <f>Sheet1!C774+Sheet1!D774+Sheet1!E774+Sheet1!F774+Sheet1!J774+Sheet1!K774+Sheet1!L774+Sheet1!M774+Sheet1!Q774+Sheet1!R774+Sheet1!S774+Sheet1!T774</f>
        <v/>
      </c>
      <c r="F774">
        <f>IF(ISNUMBER(E774),E774,"")</f>
        <v/>
      </c>
      <c r="G774">
        <f>IF(ISNUMBER(F774),_xlfn.RANK.EQ(F774,$F$2:$F$1031),"")</f>
        <v/>
      </c>
      <c r="H774">
        <f>INDEX(Sheet1!AH:AH,MATCH(A774,Sheet1!A:A,0))</f>
        <v/>
      </c>
    </row>
    <row r="775">
      <c r="A775" t="n">
        <v>1893</v>
      </c>
      <c r="B775">
        <f>Sheet1!C775+Sheet1!D775+Sheet1!E775+Sheet1!F775+Sheet1!J775+Sheet1!K775+Sheet1!L775+Sheet1!M775</f>
        <v/>
      </c>
      <c r="C775">
        <f>IF(ISNUMBER(B775),B775,"")</f>
        <v/>
      </c>
      <c r="D775">
        <f>IF(ISNUMBER(C775),_xlfn.RANK.EQ(C775,$C$2:$C$1031),"")</f>
        <v/>
      </c>
      <c r="E775">
        <f>Sheet1!C775+Sheet1!D775+Sheet1!E775+Sheet1!F775+Sheet1!J775+Sheet1!K775+Sheet1!L775+Sheet1!M775+Sheet1!Q775+Sheet1!R775+Sheet1!S775+Sheet1!T775</f>
        <v/>
      </c>
      <c r="F775">
        <f>IF(ISNUMBER(E775),E775,"")</f>
        <v/>
      </c>
      <c r="G775">
        <f>IF(ISNUMBER(F775),_xlfn.RANK.EQ(F775,$F$2:$F$1031),"")</f>
        <v/>
      </c>
      <c r="H775">
        <f>INDEX(Sheet1!AH:AH,MATCH(A775,Sheet1!A:A,0))</f>
        <v/>
      </c>
    </row>
    <row r="776">
      <c r="A776" t="n">
        <v>1895</v>
      </c>
      <c r="B776">
        <f>Sheet1!C776+Sheet1!D776+Sheet1!E776+Sheet1!F776+Sheet1!J776+Sheet1!K776+Sheet1!L776+Sheet1!M776</f>
        <v/>
      </c>
      <c r="C776">
        <f>IF(ISNUMBER(B776),B776,"")</f>
        <v/>
      </c>
      <c r="D776">
        <f>IF(ISNUMBER(C776),_xlfn.RANK.EQ(C776,$C$2:$C$1031),"")</f>
        <v/>
      </c>
      <c r="E776">
        <f>Sheet1!C776+Sheet1!D776+Sheet1!E776+Sheet1!F776+Sheet1!J776+Sheet1!K776+Sheet1!L776+Sheet1!M776+Sheet1!Q776+Sheet1!R776+Sheet1!S776+Sheet1!T776</f>
        <v/>
      </c>
      <c r="F776">
        <f>IF(ISNUMBER(E776),E776,"")</f>
        <v/>
      </c>
      <c r="G776">
        <f>IF(ISNUMBER(F776),_xlfn.RANK.EQ(F776,$F$2:$F$1031),"")</f>
        <v/>
      </c>
      <c r="H776">
        <f>INDEX(Sheet1!AH:AH,MATCH(A776,Sheet1!A:A,0))</f>
        <v/>
      </c>
    </row>
    <row r="777">
      <c r="A777" t="n">
        <v>1896</v>
      </c>
      <c r="B777">
        <f>Sheet1!C777+Sheet1!D777+Sheet1!E777+Sheet1!F777+Sheet1!J777+Sheet1!K777+Sheet1!L777+Sheet1!M777</f>
        <v/>
      </c>
      <c r="C777">
        <f>IF(ISNUMBER(B777),B777,"")</f>
        <v/>
      </c>
      <c r="D777">
        <f>IF(ISNUMBER(C777),_xlfn.RANK.EQ(C777,$C$2:$C$1031),"")</f>
        <v/>
      </c>
      <c r="E777">
        <f>Sheet1!C777+Sheet1!D777+Sheet1!E777+Sheet1!F777+Sheet1!J777+Sheet1!K777+Sheet1!L777+Sheet1!M777+Sheet1!Q777+Sheet1!R777+Sheet1!S777+Sheet1!T777</f>
        <v/>
      </c>
      <c r="F777">
        <f>IF(ISNUMBER(E777),E777,"")</f>
        <v/>
      </c>
      <c r="G777">
        <f>IF(ISNUMBER(F777),_xlfn.RANK.EQ(F777,$F$2:$F$1031),"")</f>
        <v/>
      </c>
      <c r="H777">
        <f>INDEX(Sheet1!AH:AH,MATCH(A777,Sheet1!A:A,0))</f>
        <v/>
      </c>
    </row>
    <row r="778">
      <c r="A778" t="n">
        <v>1897</v>
      </c>
      <c r="B778">
        <f>Sheet1!C778+Sheet1!D778+Sheet1!E778+Sheet1!F778+Sheet1!J778+Sheet1!K778+Sheet1!L778+Sheet1!M778</f>
        <v/>
      </c>
      <c r="C778">
        <f>IF(ISNUMBER(B778),B778,"")</f>
        <v/>
      </c>
      <c r="D778">
        <f>IF(ISNUMBER(C778),_xlfn.RANK.EQ(C778,$C$2:$C$1031),"")</f>
        <v/>
      </c>
      <c r="E778">
        <f>Sheet1!C778+Sheet1!D778+Sheet1!E778+Sheet1!F778+Sheet1!J778+Sheet1!K778+Sheet1!L778+Sheet1!M778+Sheet1!Q778+Sheet1!R778+Sheet1!S778+Sheet1!T778</f>
        <v/>
      </c>
      <c r="F778">
        <f>IF(ISNUMBER(E778),E778,"")</f>
        <v/>
      </c>
      <c r="G778">
        <f>IF(ISNUMBER(F778),_xlfn.RANK.EQ(F778,$F$2:$F$1031),"")</f>
        <v/>
      </c>
      <c r="H778">
        <f>INDEX(Sheet1!AH:AH,MATCH(A778,Sheet1!A:A,0))</f>
        <v/>
      </c>
    </row>
    <row r="779">
      <c r="A779" t="n">
        <v>1898</v>
      </c>
      <c r="B779">
        <f>Sheet1!C779+Sheet1!D779+Sheet1!E779+Sheet1!F779+Sheet1!J779+Sheet1!K779+Sheet1!L779+Sheet1!M779</f>
        <v/>
      </c>
      <c r="C779">
        <f>IF(ISNUMBER(B779),B779,"")</f>
        <v/>
      </c>
      <c r="D779">
        <f>IF(ISNUMBER(C779),_xlfn.RANK.EQ(C779,$C$2:$C$1031),"")</f>
        <v/>
      </c>
      <c r="E779">
        <f>Sheet1!C779+Sheet1!D779+Sheet1!E779+Sheet1!F779+Sheet1!J779+Sheet1!K779+Sheet1!L779+Sheet1!M779+Sheet1!Q779+Sheet1!R779+Sheet1!S779+Sheet1!T779</f>
        <v/>
      </c>
      <c r="F779">
        <f>IF(ISNUMBER(E779),E779,"")</f>
        <v/>
      </c>
      <c r="G779">
        <f>IF(ISNUMBER(F779),_xlfn.RANK.EQ(F779,$F$2:$F$1031),"")</f>
        <v/>
      </c>
      <c r="H779">
        <f>INDEX(Sheet1!AH:AH,MATCH(A779,Sheet1!A:A,0))</f>
        <v/>
      </c>
    </row>
    <row r="780">
      <c r="A780" t="n">
        <v>1899</v>
      </c>
      <c r="B780">
        <f>Sheet1!C780+Sheet1!D780+Sheet1!E780+Sheet1!F780+Sheet1!J780+Sheet1!K780+Sheet1!L780+Sheet1!M780</f>
        <v/>
      </c>
      <c r="C780">
        <f>IF(ISNUMBER(B780),B780,"")</f>
        <v/>
      </c>
      <c r="D780">
        <f>IF(ISNUMBER(C780),_xlfn.RANK.EQ(C780,$C$2:$C$1031),"")</f>
        <v/>
      </c>
      <c r="E780">
        <f>Sheet1!C780+Sheet1!D780+Sheet1!E780+Sheet1!F780+Sheet1!J780+Sheet1!K780+Sheet1!L780+Sheet1!M780+Sheet1!Q780+Sheet1!R780+Sheet1!S780+Sheet1!T780</f>
        <v/>
      </c>
      <c r="F780">
        <f>IF(ISNUMBER(E780),E780,"")</f>
        <v/>
      </c>
      <c r="G780">
        <f>IF(ISNUMBER(F780),_xlfn.RANK.EQ(F780,$F$2:$F$1031),"")</f>
        <v/>
      </c>
      <c r="H780">
        <f>INDEX(Sheet1!AH:AH,MATCH(A780,Sheet1!A:A,0))</f>
        <v/>
      </c>
    </row>
    <row r="781">
      <c r="A781" t="n">
        <v>1900</v>
      </c>
      <c r="B781">
        <f>Sheet1!C781+Sheet1!D781+Sheet1!E781+Sheet1!F781+Sheet1!J781+Sheet1!K781+Sheet1!L781+Sheet1!M781</f>
        <v/>
      </c>
      <c r="C781">
        <f>IF(ISNUMBER(B781),B781,"")</f>
        <v/>
      </c>
      <c r="D781">
        <f>IF(ISNUMBER(C781),_xlfn.RANK.EQ(C781,$C$2:$C$1031),"")</f>
        <v/>
      </c>
      <c r="E781">
        <f>Sheet1!C781+Sheet1!D781+Sheet1!E781+Sheet1!F781+Sheet1!J781+Sheet1!K781+Sheet1!L781+Sheet1!M781+Sheet1!Q781+Sheet1!R781+Sheet1!S781+Sheet1!T781</f>
        <v/>
      </c>
      <c r="F781">
        <f>IF(ISNUMBER(E781),E781,"")</f>
        <v/>
      </c>
      <c r="G781">
        <f>IF(ISNUMBER(F781),_xlfn.RANK.EQ(F781,$F$2:$F$1031),"")</f>
        <v/>
      </c>
      <c r="H781">
        <f>INDEX(Sheet1!AH:AH,MATCH(A781,Sheet1!A:A,0))</f>
        <v/>
      </c>
    </row>
    <row r="782">
      <c r="A782" t="n">
        <v>1901</v>
      </c>
      <c r="B782">
        <f>Sheet1!C782+Sheet1!D782+Sheet1!E782+Sheet1!F782+Sheet1!J782+Sheet1!K782+Sheet1!L782+Sheet1!M782</f>
        <v/>
      </c>
      <c r="C782">
        <f>IF(ISNUMBER(B782),B782,"")</f>
        <v/>
      </c>
      <c r="D782">
        <f>IF(ISNUMBER(C782),_xlfn.RANK.EQ(C782,$C$2:$C$1031),"")</f>
        <v/>
      </c>
      <c r="E782">
        <f>Sheet1!C782+Sheet1!D782+Sheet1!E782+Sheet1!F782+Sheet1!J782+Sheet1!K782+Sheet1!L782+Sheet1!M782+Sheet1!Q782+Sheet1!R782+Sheet1!S782+Sheet1!T782</f>
        <v/>
      </c>
      <c r="F782">
        <f>IF(ISNUMBER(E782),E782,"")</f>
        <v/>
      </c>
      <c r="G782">
        <f>IF(ISNUMBER(F782),_xlfn.RANK.EQ(F782,$F$2:$F$1031),"")</f>
        <v/>
      </c>
      <c r="H782">
        <f>INDEX(Sheet1!AH:AH,MATCH(A782,Sheet1!A:A,0))</f>
        <v/>
      </c>
    </row>
    <row r="783">
      <c r="A783" t="n">
        <v>1902</v>
      </c>
      <c r="B783">
        <f>Sheet1!C783+Sheet1!D783+Sheet1!E783+Sheet1!F783+Sheet1!J783+Sheet1!K783+Sheet1!L783+Sheet1!M783</f>
        <v/>
      </c>
      <c r="C783">
        <f>IF(ISNUMBER(B783),B783,"")</f>
        <v/>
      </c>
      <c r="D783">
        <f>IF(ISNUMBER(C783),_xlfn.RANK.EQ(C783,$C$2:$C$1031),"")</f>
        <v/>
      </c>
      <c r="E783">
        <f>Sheet1!C783+Sheet1!D783+Sheet1!E783+Sheet1!F783+Sheet1!J783+Sheet1!K783+Sheet1!L783+Sheet1!M783+Sheet1!Q783+Sheet1!R783+Sheet1!S783+Sheet1!T783</f>
        <v/>
      </c>
      <c r="F783">
        <f>IF(ISNUMBER(E783),E783,"")</f>
        <v/>
      </c>
      <c r="G783">
        <f>IF(ISNUMBER(F783),_xlfn.RANK.EQ(F783,$F$2:$F$1031),"")</f>
        <v/>
      </c>
      <c r="H783">
        <f>INDEX(Sheet1!AH:AH,MATCH(A783,Sheet1!A:A,0))</f>
        <v/>
      </c>
    </row>
    <row r="784">
      <c r="A784" t="n">
        <v>1903</v>
      </c>
      <c r="B784">
        <f>Sheet1!C784+Sheet1!D784+Sheet1!E784+Sheet1!F784+Sheet1!J784+Sheet1!K784+Sheet1!L784+Sheet1!M784</f>
        <v/>
      </c>
      <c r="C784">
        <f>IF(ISNUMBER(B784),B784,"")</f>
        <v/>
      </c>
      <c r="D784">
        <f>IF(ISNUMBER(C784),_xlfn.RANK.EQ(C784,$C$2:$C$1031),"")</f>
        <v/>
      </c>
      <c r="E784">
        <f>Sheet1!C784+Sheet1!D784+Sheet1!E784+Sheet1!F784+Sheet1!J784+Sheet1!K784+Sheet1!L784+Sheet1!M784+Sheet1!Q784+Sheet1!R784+Sheet1!S784+Sheet1!T784</f>
        <v/>
      </c>
      <c r="F784">
        <f>IF(ISNUMBER(E784),E784,"")</f>
        <v/>
      </c>
      <c r="G784">
        <f>IF(ISNUMBER(F784),_xlfn.RANK.EQ(F784,$F$2:$F$1031),"")</f>
        <v/>
      </c>
      <c r="H784">
        <f>INDEX(Sheet1!AH:AH,MATCH(A784,Sheet1!A:A,0))</f>
        <v/>
      </c>
    </row>
    <row r="785">
      <c r="A785" t="n">
        <v>1906</v>
      </c>
      <c r="B785">
        <f>Sheet1!C785+Sheet1!D785+Sheet1!E785+Sheet1!F785+Sheet1!J785+Sheet1!K785+Sheet1!L785+Sheet1!M785</f>
        <v/>
      </c>
      <c r="C785">
        <f>IF(ISNUMBER(B785),B785,"")</f>
        <v/>
      </c>
      <c r="D785">
        <f>IF(ISNUMBER(C785),_xlfn.RANK.EQ(C785,$C$2:$C$1031),"")</f>
        <v/>
      </c>
      <c r="E785">
        <f>Sheet1!C785+Sheet1!D785+Sheet1!E785+Sheet1!F785+Sheet1!J785+Sheet1!K785+Sheet1!L785+Sheet1!M785+Sheet1!Q785+Sheet1!R785+Sheet1!S785+Sheet1!T785</f>
        <v/>
      </c>
      <c r="F785">
        <f>IF(ISNUMBER(E785),E785,"")</f>
        <v/>
      </c>
      <c r="G785">
        <f>IF(ISNUMBER(F785),_xlfn.RANK.EQ(F785,$F$2:$F$1031),"")</f>
        <v/>
      </c>
      <c r="H785">
        <f>INDEX(Sheet1!AH:AH,MATCH(A785,Sheet1!A:A,0))</f>
        <v/>
      </c>
    </row>
    <row r="786">
      <c r="A786" t="n">
        <v>1907</v>
      </c>
      <c r="B786">
        <f>Sheet1!C786+Sheet1!D786+Sheet1!E786+Sheet1!F786+Sheet1!J786+Sheet1!K786+Sheet1!L786+Sheet1!M786</f>
        <v/>
      </c>
      <c r="C786">
        <f>IF(ISNUMBER(B786),B786,"")</f>
        <v/>
      </c>
      <c r="D786">
        <f>IF(ISNUMBER(C786),_xlfn.RANK.EQ(C786,$C$2:$C$1031),"")</f>
        <v/>
      </c>
      <c r="E786">
        <f>Sheet1!C786+Sheet1!D786+Sheet1!E786+Sheet1!F786+Sheet1!J786+Sheet1!K786+Sheet1!L786+Sheet1!M786+Sheet1!Q786+Sheet1!R786+Sheet1!S786+Sheet1!T786</f>
        <v/>
      </c>
      <c r="F786">
        <f>IF(ISNUMBER(E786),E786,"")</f>
        <v/>
      </c>
      <c r="G786">
        <f>IF(ISNUMBER(F786),_xlfn.RANK.EQ(F786,$F$2:$F$1031),"")</f>
        <v/>
      </c>
      <c r="H786">
        <f>INDEX(Sheet1!AH:AH,MATCH(A786,Sheet1!A:A,0))</f>
        <v/>
      </c>
    </row>
    <row r="787">
      <c r="A787" t="n">
        <v>1908</v>
      </c>
      <c r="B787">
        <f>Sheet1!C787+Sheet1!D787+Sheet1!E787+Sheet1!F787+Sheet1!J787+Sheet1!K787+Sheet1!L787+Sheet1!M787</f>
        <v/>
      </c>
      <c r="C787">
        <f>IF(ISNUMBER(B787),B787,"")</f>
        <v/>
      </c>
      <c r="D787">
        <f>IF(ISNUMBER(C787),_xlfn.RANK.EQ(C787,$C$2:$C$1031),"")</f>
        <v/>
      </c>
      <c r="E787">
        <f>Sheet1!C787+Sheet1!D787+Sheet1!E787+Sheet1!F787+Sheet1!J787+Sheet1!K787+Sheet1!L787+Sheet1!M787+Sheet1!Q787+Sheet1!R787+Sheet1!S787+Sheet1!T787</f>
        <v/>
      </c>
      <c r="F787">
        <f>IF(ISNUMBER(E787),E787,"")</f>
        <v/>
      </c>
      <c r="G787">
        <f>IF(ISNUMBER(F787),_xlfn.RANK.EQ(F787,$F$2:$F$1031),"")</f>
        <v/>
      </c>
      <c r="H787">
        <f>INDEX(Sheet1!AH:AH,MATCH(A787,Sheet1!A:A,0))</f>
        <v/>
      </c>
    </row>
    <row r="788">
      <c r="A788" t="n">
        <v>1909</v>
      </c>
      <c r="B788">
        <f>Sheet1!C788+Sheet1!D788+Sheet1!E788+Sheet1!F788+Sheet1!J788+Sheet1!K788+Sheet1!L788+Sheet1!M788</f>
        <v/>
      </c>
      <c r="C788">
        <f>IF(ISNUMBER(B788),B788,"")</f>
        <v/>
      </c>
      <c r="D788">
        <f>IF(ISNUMBER(C788),_xlfn.RANK.EQ(C788,$C$2:$C$1031),"")</f>
        <v/>
      </c>
      <c r="E788">
        <f>Sheet1!C788+Sheet1!D788+Sheet1!E788+Sheet1!F788+Sheet1!J788+Sheet1!K788+Sheet1!L788+Sheet1!M788+Sheet1!Q788+Sheet1!R788+Sheet1!S788+Sheet1!T788</f>
        <v/>
      </c>
      <c r="F788">
        <f>IF(ISNUMBER(E788),E788,"")</f>
        <v/>
      </c>
      <c r="G788">
        <f>IF(ISNUMBER(F788),_xlfn.RANK.EQ(F788,$F$2:$F$1031),"")</f>
        <v/>
      </c>
      <c r="H788">
        <f>INDEX(Sheet1!AH:AH,MATCH(A788,Sheet1!A:A,0))</f>
        <v/>
      </c>
    </row>
    <row r="789">
      <c r="A789" t="n">
        <v>1910</v>
      </c>
      <c r="B789">
        <f>Sheet1!C789+Sheet1!D789+Sheet1!E789+Sheet1!F789+Sheet1!J789+Sheet1!K789+Sheet1!L789+Sheet1!M789</f>
        <v/>
      </c>
      <c r="C789">
        <f>IF(ISNUMBER(B789),B789,"")</f>
        <v/>
      </c>
      <c r="D789">
        <f>IF(ISNUMBER(C789),_xlfn.RANK.EQ(C789,$C$2:$C$1031),"")</f>
        <v/>
      </c>
      <c r="E789">
        <f>Sheet1!C789+Sheet1!D789+Sheet1!E789+Sheet1!F789+Sheet1!J789+Sheet1!K789+Sheet1!L789+Sheet1!M789+Sheet1!Q789+Sheet1!R789+Sheet1!S789+Sheet1!T789</f>
        <v/>
      </c>
      <c r="F789">
        <f>IF(ISNUMBER(E789),E789,"")</f>
        <v/>
      </c>
      <c r="G789">
        <f>IF(ISNUMBER(F789),_xlfn.RANK.EQ(F789,$F$2:$F$1031),"")</f>
        <v/>
      </c>
      <c r="H789">
        <f>INDEX(Sheet1!AH:AH,MATCH(A789,Sheet1!A:A,0))</f>
        <v/>
      </c>
    </row>
    <row r="790">
      <c r="A790" t="n">
        <v>1911</v>
      </c>
      <c r="B790">
        <f>Sheet1!C790+Sheet1!D790+Sheet1!E790+Sheet1!F790+Sheet1!J790+Sheet1!K790+Sheet1!L790+Sheet1!M790</f>
        <v/>
      </c>
      <c r="C790">
        <f>IF(ISNUMBER(B790),B790,"")</f>
        <v/>
      </c>
      <c r="D790">
        <f>IF(ISNUMBER(C790),_xlfn.RANK.EQ(C790,$C$2:$C$1031),"")</f>
        <v/>
      </c>
      <c r="E790">
        <f>Sheet1!C790+Sheet1!D790+Sheet1!E790+Sheet1!F790+Sheet1!J790+Sheet1!K790+Sheet1!L790+Sheet1!M790+Sheet1!Q790+Sheet1!R790+Sheet1!S790+Sheet1!T790</f>
        <v/>
      </c>
      <c r="F790">
        <f>IF(ISNUMBER(E790),E790,"")</f>
        <v/>
      </c>
      <c r="G790">
        <f>IF(ISNUMBER(F790),_xlfn.RANK.EQ(F790,$F$2:$F$1031),"")</f>
        <v/>
      </c>
      <c r="H790">
        <f>INDEX(Sheet1!AH:AH,MATCH(A790,Sheet1!A:A,0))</f>
        <v/>
      </c>
    </row>
    <row r="791">
      <c r="A791" t="n">
        <v>1912</v>
      </c>
      <c r="B791">
        <f>Sheet1!C791+Sheet1!D791+Sheet1!E791+Sheet1!F791+Sheet1!J791+Sheet1!K791+Sheet1!L791+Sheet1!M791</f>
        <v/>
      </c>
      <c r="C791">
        <f>IF(ISNUMBER(B791),B791,"")</f>
        <v/>
      </c>
      <c r="D791">
        <f>IF(ISNUMBER(C791),_xlfn.RANK.EQ(C791,$C$2:$C$1031),"")</f>
        <v/>
      </c>
      <c r="E791">
        <f>Sheet1!C791+Sheet1!D791+Sheet1!E791+Sheet1!F791+Sheet1!J791+Sheet1!K791+Sheet1!L791+Sheet1!M791+Sheet1!Q791+Sheet1!R791+Sheet1!S791+Sheet1!T791</f>
        <v/>
      </c>
      <c r="F791">
        <f>IF(ISNUMBER(E791),E791,"")</f>
        <v/>
      </c>
      <c r="G791">
        <f>IF(ISNUMBER(F791),_xlfn.RANK.EQ(F791,$F$2:$F$1031),"")</f>
        <v/>
      </c>
      <c r="H791">
        <f>INDEX(Sheet1!AH:AH,MATCH(A791,Sheet1!A:A,0))</f>
        <v/>
      </c>
    </row>
    <row r="792">
      <c r="A792" t="n">
        <v>1913</v>
      </c>
      <c r="B792">
        <f>Sheet1!C792+Sheet1!D792+Sheet1!E792+Sheet1!F792+Sheet1!J792+Sheet1!K792+Sheet1!L792+Sheet1!M792</f>
        <v/>
      </c>
      <c r="C792">
        <f>IF(ISNUMBER(B792),B792,"")</f>
        <v/>
      </c>
      <c r="D792">
        <f>IF(ISNUMBER(C792),_xlfn.RANK.EQ(C792,$C$2:$C$1031),"")</f>
        <v/>
      </c>
      <c r="E792">
        <f>Sheet1!C792+Sheet1!D792+Sheet1!E792+Sheet1!F792+Sheet1!J792+Sheet1!K792+Sheet1!L792+Sheet1!M792+Sheet1!Q792+Sheet1!R792+Sheet1!S792+Sheet1!T792</f>
        <v/>
      </c>
      <c r="F792">
        <f>IF(ISNUMBER(E792),E792,"")</f>
        <v/>
      </c>
      <c r="G792">
        <f>IF(ISNUMBER(F792),_xlfn.RANK.EQ(F792,$F$2:$F$1031),"")</f>
        <v/>
      </c>
      <c r="H792">
        <f>INDEX(Sheet1!AH:AH,MATCH(A792,Sheet1!A:A,0))</f>
        <v/>
      </c>
    </row>
    <row r="793">
      <c r="A793" t="n">
        <v>1914</v>
      </c>
      <c r="B793">
        <f>Sheet1!C793+Sheet1!D793+Sheet1!E793+Sheet1!F793+Sheet1!J793+Sheet1!K793+Sheet1!L793+Sheet1!M793</f>
        <v/>
      </c>
      <c r="C793">
        <f>IF(ISNUMBER(B793),B793,"")</f>
        <v/>
      </c>
      <c r="D793">
        <f>IF(ISNUMBER(C793),_xlfn.RANK.EQ(C793,$C$2:$C$1031),"")</f>
        <v/>
      </c>
      <c r="E793">
        <f>Sheet1!C793+Sheet1!D793+Sheet1!E793+Sheet1!F793+Sheet1!J793+Sheet1!K793+Sheet1!L793+Sheet1!M793+Sheet1!Q793+Sheet1!R793+Sheet1!S793+Sheet1!T793</f>
        <v/>
      </c>
      <c r="F793">
        <f>IF(ISNUMBER(E793),E793,"")</f>
        <v/>
      </c>
      <c r="G793">
        <f>IF(ISNUMBER(F793),_xlfn.RANK.EQ(F793,$F$2:$F$1031),"")</f>
        <v/>
      </c>
      <c r="H793">
        <f>INDEX(Sheet1!AH:AH,MATCH(A793,Sheet1!A:A,0))</f>
        <v/>
      </c>
    </row>
    <row r="794">
      <c r="A794" t="n">
        <v>1916</v>
      </c>
      <c r="B794">
        <f>Sheet1!C794+Sheet1!D794+Sheet1!E794+Sheet1!F794+Sheet1!J794+Sheet1!K794+Sheet1!L794+Sheet1!M794</f>
        <v/>
      </c>
      <c r="C794">
        <f>IF(ISNUMBER(B794),B794,"")</f>
        <v/>
      </c>
      <c r="D794">
        <f>IF(ISNUMBER(C794),_xlfn.RANK.EQ(C794,$C$2:$C$1031),"")</f>
        <v/>
      </c>
      <c r="E794">
        <f>Sheet1!C794+Sheet1!D794+Sheet1!E794+Sheet1!F794+Sheet1!J794+Sheet1!K794+Sheet1!L794+Sheet1!M794+Sheet1!Q794+Sheet1!R794+Sheet1!S794+Sheet1!T794</f>
        <v/>
      </c>
      <c r="F794">
        <f>IF(ISNUMBER(E794),E794,"")</f>
        <v/>
      </c>
      <c r="G794">
        <f>IF(ISNUMBER(F794),_xlfn.RANK.EQ(F794,$F$2:$F$1031),"")</f>
        <v/>
      </c>
      <c r="H794">
        <f>INDEX(Sheet1!AH:AH,MATCH(A794,Sheet1!A:A,0))</f>
        <v/>
      </c>
    </row>
    <row r="795">
      <c r="A795" t="n">
        <v>1917</v>
      </c>
      <c r="B795">
        <f>Sheet1!C795+Sheet1!D795+Sheet1!E795+Sheet1!F795+Sheet1!J795+Sheet1!K795+Sheet1!L795+Sheet1!M795</f>
        <v/>
      </c>
      <c r="C795">
        <f>IF(ISNUMBER(B795),B795,"")</f>
        <v/>
      </c>
      <c r="D795">
        <f>IF(ISNUMBER(C795),_xlfn.RANK.EQ(C795,$C$2:$C$1031),"")</f>
        <v/>
      </c>
      <c r="E795">
        <f>Sheet1!C795+Sheet1!D795+Sheet1!E795+Sheet1!F795+Sheet1!J795+Sheet1!K795+Sheet1!L795+Sheet1!M795+Sheet1!Q795+Sheet1!R795+Sheet1!S795+Sheet1!T795</f>
        <v/>
      </c>
      <c r="F795">
        <f>IF(ISNUMBER(E795),E795,"")</f>
        <v/>
      </c>
      <c r="G795">
        <f>IF(ISNUMBER(F795),_xlfn.RANK.EQ(F795,$F$2:$F$1031),"")</f>
        <v/>
      </c>
      <c r="H795">
        <f>INDEX(Sheet1!AH:AH,MATCH(A795,Sheet1!A:A,0))</f>
        <v/>
      </c>
    </row>
    <row r="796">
      <c r="A796" t="n">
        <v>1918</v>
      </c>
      <c r="B796">
        <f>Sheet1!C796+Sheet1!D796+Sheet1!E796+Sheet1!F796+Sheet1!J796+Sheet1!K796+Sheet1!L796+Sheet1!M796</f>
        <v/>
      </c>
      <c r="C796">
        <f>IF(ISNUMBER(B796),B796,"")</f>
        <v/>
      </c>
      <c r="D796">
        <f>IF(ISNUMBER(C796),_xlfn.RANK.EQ(C796,$C$2:$C$1031),"")</f>
        <v/>
      </c>
      <c r="E796">
        <f>Sheet1!C796+Sheet1!D796+Sheet1!E796+Sheet1!F796+Sheet1!J796+Sheet1!K796+Sheet1!L796+Sheet1!M796+Sheet1!Q796+Sheet1!R796+Sheet1!S796+Sheet1!T796</f>
        <v/>
      </c>
      <c r="F796">
        <f>IF(ISNUMBER(E796),E796,"")</f>
        <v/>
      </c>
      <c r="G796">
        <f>IF(ISNUMBER(F796),_xlfn.RANK.EQ(F796,$F$2:$F$1031),"")</f>
        <v/>
      </c>
      <c r="H796">
        <f>INDEX(Sheet1!AH:AH,MATCH(A796,Sheet1!A:A,0))</f>
        <v/>
      </c>
    </row>
    <row r="797">
      <c r="A797" t="n">
        <v>1919</v>
      </c>
      <c r="B797">
        <f>Sheet1!C797+Sheet1!D797+Sheet1!E797+Sheet1!F797+Sheet1!J797+Sheet1!K797+Sheet1!L797+Sheet1!M797</f>
        <v/>
      </c>
      <c r="C797">
        <f>IF(ISNUMBER(B797),B797,"")</f>
        <v/>
      </c>
      <c r="D797">
        <f>IF(ISNUMBER(C797),_xlfn.RANK.EQ(C797,$C$2:$C$1031),"")</f>
        <v/>
      </c>
      <c r="E797">
        <f>Sheet1!C797+Sheet1!D797+Sheet1!E797+Sheet1!F797+Sheet1!J797+Sheet1!K797+Sheet1!L797+Sheet1!M797+Sheet1!Q797+Sheet1!R797+Sheet1!S797+Sheet1!T797</f>
        <v/>
      </c>
      <c r="F797">
        <f>IF(ISNUMBER(E797),E797,"")</f>
        <v/>
      </c>
      <c r="G797">
        <f>IF(ISNUMBER(F797),_xlfn.RANK.EQ(F797,$F$2:$F$1031),"")</f>
        <v/>
      </c>
      <c r="H797">
        <f>INDEX(Sheet1!AH:AH,MATCH(A797,Sheet1!A:A,0))</f>
        <v/>
      </c>
    </row>
    <row r="798">
      <c r="A798" t="n">
        <v>1920</v>
      </c>
      <c r="B798">
        <f>Sheet1!C798+Sheet1!D798+Sheet1!E798+Sheet1!F798+Sheet1!J798+Sheet1!K798+Sheet1!L798+Sheet1!M798</f>
        <v/>
      </c>
      <c r="C798">
        <f>IF(ISNUMBER(B798),B798,"")</f>
        <v/>
      </c>
      <c r="D798">
        <f>IF(ISNUMBER(C798),_xlfn.RANK.EQ(C798,$C$2:$C$1031),"")</f>
        <v/>
      </c>
      <c r="E798">
        <f>Sheet1!C798+Sheet1!D798+Sheet1!E798+Sheet1!F798+Sheet1!J798+Sheet1!K798+Sheet1!L798+Sheet1!M798+Sheet1!Q798+Sheet1!R798+Sheet1!S798+Sheet1!T798</f>
        <v/>
      </c>
      <c r="F798">
        <f>IF(ISNUMBER(E798),E798,"")</f>
        <v/>
      </c>
      <c r="G798">
        <f>IF(ISNUMBER(F798),_xlfn.RANK.EQ(F798,$F$2:$F$1031),"")</f>
        <v/>
      </c>
      <c r="H798">
        <f>INDEX(Sheet1!AH:AH,MATCH(A798,Sheet1!A:A,0))</f>
        <v/>
      </c>
    </row>
    <row r="799">
      <c r="A799" t="n">
        <v>1922</v>
      </c>
      <c r="B799">
        <f>Sheet1!C799+Sheet1!D799+Sheet1!E799+Sheet1!F799+Sheet1!J799+Sheet1!K799+Sheet1!L799+Sheet1!M799</f>
        <v/>
      </c>
      <c r="C799">
        <f>IF(ISNUMBER(B799),B799,"")</f>
        <v/>
      </c>
      <c r="D799">
        <f>IF(ISNUMBER(C799),_xlfn.RANK.EQ(C799,$C$2:$C$1031),"")</f>
        <v/>
      </c>
      <c r="E799">
        <f>Sheet1!C799+Sheet1!D799+Sheet1!E799+Sheet1!F799+Sheet1!J799+Sheet1!K799+Sheet1!L799+Sheet1!M799+Sheet1!Q799+Sheet1!R799+Sheet1!S799+Sheet1!T799</f>
        <v/>
      </c>
      <c r="F799">
        <f>IF(ISNUMBER(E799),E799,"")</f>
        <v/>
      </c>
      <c r="G799">
        <f>IF(ISNUMBER(F799),_xlfn.RANK.EQ(F799,$F$2:$F$1031),"")</f>
        <v/>
      </c>
      <c r="H799">
        <f>INDEX(Sheet1!AH:AH,MATCH(A799,Sheet1!A:A,0))</f>
        <v/>
      </c>
    </row>
    <row r="800">
      <c r="A800" t="n">
        <v>1923</v>
      </c>
      <c r="B800">
        <f>Sheet1!C800+Sheet1!D800+Sheet1!E800+Sheet1!F800+Sheet1!J800+Sheet1!K800+Sheet1!L800+Sheet1!M800</f>
        <v/>
      </c>
      <c r="C800">
        <f>IF(ISNUMBER(B800),B800,"")</f>
        <v/>
      </c>
      <c r="D800">
        <f>IF(ISNUMBER(C800),_xlfn.RANK.EQ(C800,$C$2:$C$1031),"")</f>
        <v/>
      </c>
      <c r="E800">
        <f>Sheet1!C800+Sheet1!D800+Sheet1!E800+Sheet1!F800+Sheet1!J800+Sheet1!K800+Sheet1!L800+Sheet1!M800+Sheet1!Q800+Sheet1!R800+Sheet1!S800+Sheet1!T800</f>
        <v/>
      </c>
      <c r="F800">
        <f>IF(ISNUMBER(E800),E800,"")</f>
        <v/>
      </c>
      <c r="G800">
        <f>IF(ISNUMBER(F800),_xlfn.RANK.EQ(F800,$F$2:$F$1031),"")</f>
        <v/>
      </c>
      <c r="H800">
        <f>INDEX(Sheet1!AH:AH,MATCH(A800,Sheet1!A:A,0))</f>
        <v/>
      </c>
    </row>
    <row r="801">
      <c r="A801" t="n">
        <v>1927</v>
      </c>
      <c r="B801">
        <f>Sheet1!C801+Sheet1!D801+Sheet1!E801+Sheet1!F801+Sheet1!J801+Sheet1!K801+Sheet1!L801+Sheet1!M801</f>
        <v/>
      </c>
      <c r="C801">
        <f>IF(ISNUMBER(B801),B801,"")</f>
        <v/>
      </c>
      <c r="D801">
        <f>IF(ISNUMBER(C801),_xlfn.RANK.EQ(C801,$C$2:$C$1031),"")</f>
        <v/>
      </c>
      <c r="E801">
        <f>Sheet1!C801+Sheet1!D801+Sheet1!E801+Sheet1!F801+Sheet1!J801+Sheet1!K801+Sheet1!L801+Sheet1!M801+Sheet1!Q801+Sheet1!R801+Sheet1!S801+Sheet1!T801</f>
        <v/>
      </c>
      <c r="F801">
        <f>IF(ISNUMBER(E801),E801,"")</f>
        <v/>
      </c>
      <c r="G801">
        <f>IF(ISNUMBER(F801),_xlfn.RANK.EQ(F801,$F$2:$F$1031),"")</f>
        <v/>
      </c>
      <c r="H801">
        <f>INDEX(Sheet1!AH:AH,MATCH(A801,Sheet1!A:A,0))</f>
        <v/>
      </c>
    </row>
    <row r="802">
      <c r="A802" t="n">
        <v>1928</v>
      </c>
      <c r="B802">
        <f>Sheet1!C802+Sheet1!D802+Sheet1!E802+Sheet1!F802+Sheet1!J802+Sheet1!K802+Sheet1!L802+Sheet1!M802</f>
        <v/>
      </c>
      <c r="C802">
        <f>IF(ISNUMBER(B802),B802,"")</f>
        <v/>
      </c>
      <c r="D802">
        <f>IF(ISNUMBER(C802),_xlfn.RANK.EQ(C802,$C$2:$C$1031),"")</f>
        <v/>
      </c>
      <c r="E802">
        <f>Sheet1!C802+Sheet1!D802+Sheet1!E802+Sheet1!F802+Sheet1!J802+Sheet1!K802+Sheet1!L802+Sheet1!M802+Sheet1!Q802+Sheet1!R802+Sheet1!S802+Sheet1!T802</f>
        <v/>
      </c>
      <c r="F802">
        <f>IF(ISNUMBER(E802),E802,"")</f>
        <v/>
      </c>
      <c r="G802">
        <f>IF(ISNUMBER(F802),_xlfn.RANK.EQ(F802,$F$2:$F$1031),"")</f>
        <v/>
      </c>
      <c r="H802">
        <f>INDEX(Sheet1!AH:AH,MATCH(A802,Sheet1!A:A,0))</f>
        <v/>
      </c>
    </row>
    <row r="803">
      <c r="A803" t="n">
        <v>1929</v>
      </c>
      <c r="B803">
        <f>Sheet1!C803+Sheet1!D803+Sheet1!E803+Sheet1!F803+Sheet1!J803+Sheet1!K803+Sheet1!L803+Sheet1!M803</f>
        <v/>
      </c>
      <c r="C803">
        <f>IF(ISNUMBER(B803),B803,"")</f>
        <v/>
      </c>
      <c r="D803">
        <f>IF(ISNUMBER(C803),_xlfn.RANK.EQ(C803,$C$2:$C$1031),"")</f>
        <v/>
      </c>
      <c r="E803">
        <f>Sheet1!C803+Sheet1!D803+Sheet1!E803+Sheet1!F803+Sheet1!J803+Sheet1!K803+Sheet1!L803+Sheet1!M803+Sheet1!Q803+Sheet1!R803+Sheet1!S803+Sheet1!T803</f>
        <v/>
      </c>
      <c r="F803">
        <f>IF(ISNUMBER(E803),E803,"")</f>
        <v/>
      </c>
      <c r="G803">
        <f>IF(ISNUMBER(F803),_xlfn.RANK.EQ(F803,$F$2:$F$1031),"")</f>
        <v/>
      </c>
      <c r="H803">
        <f>INDEX(Sheet1!AH:AH,MATCH(A803,Sheet1!A:A,0))</f>
        <v/>
      </c>
    </row>
    <row r="804">
      <c r="A804" t="n">
        <v>1932</v>
      </c>
      <c r="B804">
        <f>Sheet1!C804+Sheet1!D804+Sheet1!E804+Sheet1!F804+Sheet1!J804+Sheet1!K804+Sheet1!L804+Sheet1!M804</f>
        <v/>
      </c>
      <c r="C804">
        <f>IF(ISNUMBER(B804),B804,"")</f>
        <v/>
      </c>
      <c r="D804">
        <f>IF(ISNUMBER(C804),_xlfn.RANK.EQ(C804,$C$2:$C$1031),"")</f>
        <v/>
      </c>
      <c r="E804">
        <f>Sheet1!C804+Sheet1!D804+Sheet1!E804+Sheet1!F804+Sheet1!J804+Sheet1!K804+Sheet1!L804+Sheet1!M804+Sheet1!Q804+Sheet1!R804+Sheet1!S804+Sheet1!T804</f>
        <v/>
      </c>
      <c r="F804">
        <f>IF(ISNUMBER(E804),E804,"")</f>
        <v/>
      </c>
      <c r="G804">
        <f>IF(ISNUMBER(F804),_xlfn.RANK.EQ(F804,$F$2:$F$1031),"")</f>
        <v/>
      </c>
      <c r="H804">
        <f>INDEX(Sheet1!AH:AH,MATCH(A804,Sheet1!A:A,0))</f>
        <v/>
      </c>
    </row>
    <row r="805">
      <c r="A805" t="n">
        <v>1933</v>
      </c>
      <c r="B805">
        <f>Sheet1!C805+Sheet1!D805+Sheet1!E805+Sheet1!F805+Sheet1!J805+Sheet1!K805+Sheet1!L805+Sheet1!M805</f>
        <v/>
      </c>
      <c r="C805">
        <f>IF(ISNUMBER(B805),B805,"")</f>
        <v/>
      </c>
      <c r="D805">
        <f>IF(ISNUMBER(C805),_xlfn.RANK.EQ(C805,$C$2:$C$1031),"")</f>
        <v/>
      </c>
      <c r="E805">
        <f>Sheet1!C805+Sheet1!D805+Sheet1!E805+Sheet1!F805+Sheet1!J805+Sheet1!K805+Sheet1!L805+Sheet1!M805+Sheet1!Q805+Sheet1!R805+Sheet1!S805+Sheet1!T805</f>
        <v/>
      </c>
      <c r="F805">
        <f>IF(ISNUMBER(E805),E805,"")</f>
        <v/>
      </c>
      <c r="G805">
        <f>IF(ISNUMBER(F805),_xlfn.RANK.EQ(F805,$F$2:$F$1031),"")</f>
        <v/>
      </c>
      <c r="H805">
        <f>INDEX(Sheet1!AH:AH,MATCH(A805,Sheet1!A:A,0))</f>
        <v/>
      </c>
    </row>
    <row r="806">
      <c r="A806" t="n">
        <v>1934</v>
      </c>
      <c r="B806">
        <f>Sheet1!C806+Sheet1!D806+Sheet1!E806+Sheet1!F806+Sheet1!J806+Sheet1!K806+Sheet1!L806+Sheet1!M806</f>
        <v/>
      </c>
      <c r="C806">
        <f>IF(ISNUMBER(B806),B806,"")</f>
        <v/>
      </c>
      <c r="D806">
        <f>IF(ISNUMBER(C806),_xlfn.RANK.EQ(C806,$C$2:$C$1031),"")</f>
        <v/>
      </c>
      <c r="E806">
        <f>Sheet1!C806+Sheet1!D806+Sheet1!E806+Sheet1!F806+Sheet1!J806+Sheet1!K806+Sheet1!L806+Sheet1!M806+Sheet1!Q806+Sheet1!R806+Sheet1!S806+Sheet1!T806</f>
        <v/>
      </c>
      <c r="F806">
        <f>IF(ISNUMBER(E806),E806,"")</f>
        <v/>
      </c>
      <c r="G806">
        <f>IF(ISNUMBER(F806),_xlfn.RANK.EQ(F806,$F$2:$F$1031),"")</f>
        <v/>
      </c>
      <c r="H806">
        <f>INDEX(Sheet1!AH:AH,MATCH(A806,Sheet1!A:A,0))</f>
        <v/>
      </c>
    </row>
    <row r="807">
      <c r="A807" t="n">
        <v>1936</v>
      </c>
      <c r="B807">
        <f>Sheet1!C807+Sheet1!D807+Sheet1!E807+Sheet1!F807+Sheet1!J807+Sheet1!K807+Sheet1!L807+Sheet1!M807</f>
        <v/>
      </c>
      <c r="C807">
        <f>IF(ISNUMBER(B807),B807,"")</f>
        <v/>
      </c>
      <c r="D807">
        <f>IF(ISNUMBER(C807),_xlfn.RANK.EQ(C807,$C$2:$C$1031),"")</f>
        <v/>
      </c>
      <c r="E807">
        <f>Sheet1!C807+Sheet1!D807+Sheet1!E807+Sheet1!F807+Sheet1!J807+Sheet1!K807+Sheet1!L807+Sheet1!M807+Sheet1!Q807+Sheet1!R807+Sheet1!S807+Sheet1!T807</f>
        <v/>
      </c>
      <c r="F807">
        <f>IF(ISNUMBER(E807),E807,"")</f>
        <v/>
      </c>
      <c r="G807">
        <f>IF(ISNUMBER(F807),_xlfn.RANK.EQ(F807,$F$2:$F$1031),"")</f>
        <v/>
      </c>
      <c r="H807">
        <f>INDEX(Sheet1!AH:AH,MATCH(A807,Sheet1!A:A,0))</f>
        <v/>
      </c>
    </row>
    <row r="808">
      <c r="A808" t="n">
        <v>1937</v>
      </c>
      <c r="B808">
        <f>Sheet1!C808+Sheet1!D808+Sheet1!E808+Sheet1!F808+Sheet1!J808+Sheet1!K808+Sheet1!L808+Sheet1!M808</f>
        <v/>
      </c>
      <c r="C808">
        <f>IF(ISNUMBER(B808),B808,"")</f>
        <v/>
      </c>
      <c r="D808">
        <f>IF(ISNUMBER(C808),_xlfn.RANK.EQ(C808,$C$2:$C$1031),"")</f>
        <v/>
      </c>
      <c r="E808">
        <f>Sheet1!C808+Sheet1!D808+Sheet1!E808+Sheet1!F808+Sheet1!J808+Sheet1!K808+Sheet1!L808+Sheet1!M808+Sheet1!Q808+Sheet1!R808+Sheet1!S808+Sheet1!T808</f>
        <v/>
      </c>
      <c r="F808">
        <f>IF(ISNUMBER(E808),E808,"")</f>
        <v/>
      </c>
      <c r="G808">
        <f>IF(ISNUMBER(F808),_xlfn.RANK.EQ(F808,$F$2:$F$1031),"")</f>
        <v/>
      </c>
      <c r="H808">
        <f>INDEX(Sheet1!AH:AH,MATCH(A808,Sheet1!A:A,0))</f>
        <v/>
      </c>
    </row>
    <row r="809">
      <c r="A809" t="n">
        <v>1939</v>
      </c>
      <c r="B809">
        <f>Sheet1!C809+Sheet1!D809+Sheet1!E809+Sheet1!F809+Sheet1!J809+Sheet1!K809+Sheet1!L809+Sheet1!M809</f>
        <v/>
      </c>
      <c r="C809">
        <f>IF(ISNUMBER(B809),B809,"")</f>
        <v/>
      </c>
      <c r="D809">
        <f>IF(ISNUMBER(C809),_xlfn.RANK.EQ(C809,$C$2:$C$1031),"")</f>
        <v/>
      </c>
      <c r="E809">
        <f>Sheet1!C809+Sheet1!D809+Sheet1!E809+Sheet1!F809+Sheet1!J809+Sheet1!K809+Sheet1!L809+Sheet1!M809+Sheet1!Q809+Sheet1!R809+Sheet1!S809+Sheet1!T809</f>
        <v/>
      </c>
      <c r="F809">
        <f>IF(ISNUMBER(E809),E809,"")</f>
        <v/>
      </c>
      <c r="G809">
        <f>IF(ISNUMBER(F809),_xlfn.RANK.EQ(F809,$F$2:$F$1031),"")</f>
        <v/>
      </c>
      <c r="H809">
        <f>INDEX(Sheet1!AH:AH,MATCH(A809,Sheet1!A:A,0))</f>
        <v/>
      </c>
    </row>
    <row r="810">
      <c r="A810" t="n">
        <v>1943</v>
      </c>
      <c r="B810">
        <f>Sheet1!C810+Sheet1!D810+Sheet1!E810+Sheet1!F810+Sheet1!J810+Sheet1!K810+Sheet1!L810+Sheet1!M810</f>
        <v/>
      </c>
      <c r="C810">
        <f>IF(ISNUMBER(B810),B810,"")</f>
        <v/>
      </c>
      <c r="D810">
        <f>IF(ISNUMBER(C810),_xlfn.RANK.EQ(C810,$C$2:$C$1031),"")</f>
        <v/>
      </c>
      <c r="E810">
        <f>Sheet1!C810+Sheet1!D810+Sheet1!E810+Sheet1!F810+Sheet1!J810+Sheet1!K810+Sheet1!L810+Sheet1!M810+Sheet1!Q810+Sheet1!R810+Sheet1!S810+Sheet1!T810</f>
        <v/>
      </c>
      <c r="F810">
        <f>IF(ISNUMBER(E810),E810,"")</f>
        <v/>
      </c>
      <c r="G810">
        <f>IF(ISNUMBER(F810),_xlfn.RANK.EQ(F810,$F$2:$F$1031),"")</f>
        <v/>
      </c>
      <c r="H810">
        <f>INDEX(Sheet1!AH:AH,MATCH(A810,Sheet1!A:A,0))</f>
        <v/>
      </c>
    </row>
    <row r="811">
      <c r="A811" t="n">
        <v>1946</v>
      </c>
      <c r="B811">
        <f>Sheet1!C811+Sheet1!D811+Sheet1!E811+Sheet1!F811+Sheet1!J811+Sheet1!K811+Sheet1!L811+Sheet1!M811</f>
        <v/>
      </c>
      <c r="C811">
        <f>IF(ISNUMBER(B811),B811,"")</f>
        <v/>
      </c>
      <c r="D811">
        <f>IF(ISNUMBER(C811),_xlfn.RANK.EQ(C811,$C$2:$C$1031),"")</f>
        <v/>
      </c>
      <c r="E811">
        <f>Sheet1!C811+Sheet1!D811+Sheet1!E811+Sheet1!F811+Sheet1!J811+Sheet1!K811+Sheet1!L811+Sheet1!M811+Sheet1!Q811+Sheet1!R811+Sheet1!S811+Sheet1!T811</f>
        <v/>
      </c>
      <c r="F811">
        <f>IF(ISNUMBER(E811),E811,"")</f>
        <v/>
      </c>
      <c r="G811">
        <f>IF(ISNUMBER(F811),_xlfn.RANK.EQ(F811,$F$2:$F$1031),"")</f>
        <v/>
      </c>
      <c r="H811">
        <f>INDEX(Sheet1!AH:AH,MATCH(A811,Sheet1!A:A,0))</f>
        <v/>
      </c>
    </row>
    <row r="812">
      <c r="A812" t="n">
        <v>1947</v>
      </c>
      <c r="B812">
        <f>Sheet1!C812+Sheet1!D812+Sheet1!E812+Sheet1!F812+Sheet1!J812+Sheet1!K812+Sheet1!L812+Sheet1!M812</f>
        <v/>
      </c>
      <c r="C812">
        <f>IF(ISNUMBER(B812),B812,"")</f>
        <v/>
      </c>
      <c r="D812">
        <f>IF(ISNUMBER(C812),_xlfn.RANK.EQ(C812,$C$2:$C$1031),"")</f>
        <v/>
      </c>
      <c r="E812">
        <f>Sheet1!C812+Sheet1!D812+Sheet1!E812+Sheet1!F812+Sheet1!J812+Sheet1!K812+Sheet1!L812+Sheet1!M812+Sheet1!Q812+Sheet1!R812+Sheet1!S812+Sheet1!T812</f>
        <v/>
      </c>
      <c r="F812">
        <f>IF(ISNUMBER(E812),E812,"")</f>
        <v/>
      </c>
      <c r="G812">
        <f>IF(ISNUMBER(F812),_xlfn.RANK.EQ(F812,$F$2:$F$1031),"")</f>
        <v/>
      </c>
      <c r="H812">
        <f>INDEX(Sheet1!AH:AH,MATCH(A812,Sheet1!A:A,0))</f>
        <v/>
      </c>
    </row>
    <row r="813">
      <c r="A813" t="n">
        <v>1950</v>
      </c>
      <c r="B813">
        <f>Sheet1!C813+Sheet1!D813+Sheet1!E813+Sheet1!F813+Sheet1!J813+Sheet1!K813+Sheet1!L813+Sheet1!M813</f>
        <v/>
      </c>
      <c r="C813">
        <f>IF(ISNUMBER(B813),B813,"")</f>
        <v/>
      </c>
      <c r="D813">
        <f>IF(ISNUMBER(C813),_xlfn.RANK.EQ(C813,$C$2:$C$1031),"")</f>
        <v/>
      </c>
      <c r="E813">
        <f>Sheet1!C813+Sheet1!D813+Sheet1!E813+Sheet1!F813+Sheet1!J813+Sheet1!K813+Sheet1!L813+Sheet1!M813+Sheet1!Q813+Sheet1!R813+Sheet1!S813+Sheet1!T813</f>
        <v/>
      </c>
      <c r="F813">
        <f>IF(ISNUMBER(E813),E813,"")</f>
        <v/>
      </c>
      <c r="G813">
        <f>IF(ISNUMBER(F813),_xlfn.RANK.EQ(F813,$F$2:$F$1031),"")</f>
        <v/>
      </c>
      <c r="H813">
        <f>INDEX(Sheet1!AH:AH,MATCH(A813,Sheet1!A:A,0))</f>
        <v/>
      </c>
    </row>
    <row r="814">
      <c r="A814" t="n">
        <v>1953</v>
      </c>
      <c r="B814">
        <f>Sheet1!C814+Sheet1!D814+Sheet1!E814+Sheet1!F814+Sheet1!J814+Sheet1!K814+Sheet1!L814+Sheet1!M814</f>
        <v/>
      </c>
      <c r="C814">
        <f>IF(ISNUMBER(B814),B814,"")</f>
        <v/>
      </c>
      <c r="D814">
        <f>IF(ISNUMBER(C814),_xlfn.RANK.EQ(C814,$C$2:$C$1031),"")</f>
        <v/>
      </c>
      <c r="E814">
        <f>Sheet1!C814+Sheet1!D814+Sheet1!E814+Sheet1!F814+Sheet1!J814+Sheet1!K814+Sheet1!L814+Sheet1!M814+Sheet1!Q814+Sheet1!R814+Sheet1!S814+Sheet1!T814</f>
        <v/>
      </c>
      <c r="F814">
        <f>IF(ISNUMBER(E814),E814,"")</f>
        <v/>
      </c>
      <c r="G814">
        <f>IF(ISNUMBER(F814),_xlfn.RANK.EQ(F814,$F$2:$F$1031),"")</f>
        <v/>
      </c>
      <c r="H814">
        <f>INDEX(Sheet1!AH:AH,MATCH(A814,Sheet1!A:A,0))</f>
        <v/>
      </c>
    </row>
    <row r="815">
      <c r="A815" t="n">
        <v>1967</v>
      </c>
      <c r="B815">
        <f>Sheet1!C815+Sheet1!D815+Sheet1!E815+Sheet1!F815+Sheet1!J815+Sheet1!K815+Sheet1!L815+Sheet1!M815</f>
        <v/>
      </c>
      <c r="C815">
        <f>IF(ISNUMBER(B815),B815,"")</f>
        <v/>
      </c>
      <c r="D815">
        <f>IF(ISNUMBER(C815),_xlfn.RANK.EQ(C815,$C$2:$C$1031),"")</f>
        <v/>
      </c>
      <c r="E815">
        <f>Sheet1!C815+Sheet1!D815+Sheet1!E815+Sheet1!F815+Sheet1!J815+Sheet1!K815+Sheet1!L815+Sheet1!M815+Sheet1!Q815+Sheet1!R815+Sheet1!S815+Sheet1!T815</f>
        <v/>
      </c>
      <c r="F815">
        <f>IF(ISNUMBER(E815),E815,"")</f>
        <v/>
      </c>
      <c r="G815">
        <f>IF(ISNUMBER(F815),_xlfn.RANK.EQ(F815,$F$2:$F$1031),"")</f>
        <v/>
      </c>
      <c r="H815">
        <f>INDEX(Sheet1!AH:AH,MATCH(A815,Sheet1!A:A,0))</f>
        <v/>
      </c>
    </row>
    <row r="816">
      <c r="A816" t="n">
        <v>1968</v>
      </c>
      <c r="B816">
        <f>Sheet1!C816+Sheet1!D816+Sheet1!E816+Sheet1!F816+Sheet1!J816+Sheet1!K816+Sheet1!L816+Sheet1!M816</f>
        <v/>
      </c>
      <c r="C816">
        <f>IF(ISNUMBER(B816),B816,"")</f>
        <v/>
      </c>
      <c r="D816">
        <f>IF(ISNUMBER(C816),_xlfn.RANK.EQ(C816,$C$2:$C$1031),"")</f>
        <v/>
      </c>
      <c r="E816">
        <f>Sheet1!C816+Sheet1!D816+Sheet1!E816+Sheet1!F816+Sheet1!J816+Sheet1!K816+Sheet1!L816+Sheet1!M816+Sheet1!Q816+Sheet1!R816+Sheet1!S816+Sheet1!T816</f>
        <v/>
      </c>
      <c r="F816">
        <f>IF(ISNUMBER(E816),E816,"")</f>
        <v/>
      </c>
      <c r="G816">
        <f>IF(ISNUMBER(F816),_xlfn.RANK.EQ(F816,$F$2:$F$1031),"")</f>
        <v/>
      </c>
      <c r="H816">
        <f>INDEX(Sheet1!AH:AH,MATCH(A816,Sheet1!A:A,0))</f>
        <v/>
      </c>
    </row>
    <row r="817">
      <c r="A817" t="n">
        <v>1969</v>
      </c>
      <c r="B817">
        <f>Sheet1!C817+Sheet1!D817+Sheet1!E817+Sheet1!F817+Sheet1!J817+Sheet1!K817+Sheet1!L817+Sheet1!M817</f>
        <v/>
      </c>
      <c r="C817">
        <f>IF(ISNUMBER(B817),B817,"")</f>
        <v/>
      </c>
      <c r="D817">
        <f>IF(ISNUMBER(C817),_xlfn.RANK.EQ(C817,$C$2:$C$1031),"")</f>
        <v/>
      </c>
      <c r="E817">
        <f>Sheet1!C817+Sheet1!D817+Sheet1!E817+Sheet1!F817+Sheet1!J817+Sheet1!K817+Sheet1!L817+Sheet1!M817+Sheet1!Q817+Sheet1!R817+Sheet1!S817+Sheet1!T817</f>
        <v/>
      </c>
      <c r="F817">
        <f>IF(ISNUMBER(E817),E817,"")</f>
        <v/>
      </c>
      <c r="G817">
        <f>IF(ISNUMBER(F817),_xlfn.RANK.EQ(F817,$F$2:$F$1031),"")</f>
        <v/>
      </c>
      <c r="H817">
        <f>INDEX(Sheet1!AH:AH,MATCH(A817,Sheet1!A:A,0))</f>
        <v/>
      </c>
    </row>
    <row r="818">
      <c r="A818" t="n">
        <v>1970</v>
      </c>
      <c r="B818">
        <f>Sheet1!C818+Sheet1!D818+Sheet1!E818+Sheet1!F818+Sheet1!J818+Sheet1!K818+Sheet1!L818+Sheet1!M818</f>
        <v/>
      </c>
      <c r="C818">
        <f>IF(ISNUMBER(B818),B818,"")</f>
        <v/>
      </c>
      <c r="D818">
        <f>IF(ISNUMBER(C818),_xlfn.RANK.EQ(C818,$C$2:$C$1031),"")</f>
        <v/>
      </c>
      <c r="E818">
        <f>Sheet1!C818+Sheet1!D818+Sheet1!E818+Sheet1!F818+Sheet1!J818+Sheet1!K818+Sheet1!L818+Sheet1!M818+Sheet1!Q818+Sheet1!R818+Sheet1!S818+Sheet1!T818</f>
        <v/>
      </c>
      <c r="F818">
        <f>IF(ISNUMBER(E818),E818,"")</f>
        <v/>
      </c>
      <c r="G818">
        <f>IF(ISNUMBER(F818),_xlfn.RANK.EQ(F818,$F$2:$F$1031),"")</f>
        <v/>
      </c>
      <c r="H818">
        <f>INDEX(Sheet1!AH:AH,MATCH(A818,Sheet1!A:A,0))</f>
        <v/>
      </c>
    </row>
    <row r="819">
      <c r="A819" t="n">
        <v>1971</v>
      </c>
      <c r="B819">
        <f>Sheet1!C819+Sheet1!D819+Sheet1!E819+Sheet1!F819+Sheet1!J819+Sheet1!K819+Sheet1!L819+Sheet1!M819</f>
        <v/>
      </c>
      <c r="C819">
        <f>IF(ISNUMBER(B819),B819,"")</f>
        <v/>
      </c>
      <c r="D819">
        <f>IF(ISNUMBER(C819),_xlfn.RANK.EQ(C819,$C$2:$C$1031),"")</f>
        <v/>
      </c>
      <c r="E819">
        <f>Sheet1!C819+Sheet1!D819+Sheet1!E819+Sheet1!F819+Sheet1!J819+Sheet1!K819+Sheet1!L819+Sheet1!M819+Sheet1!Q819+Sheet1!R819+Sheet1!S819+Sheet1!T819</f>
        <v/>
      </c>
      <c r="F819">
        <f>IF(ISNUMBER(E819),E819,"")</f>
        <v/>
      </c>
      <c r="G819">
        <f>IF(ISNUMBER(F819),_xlfn.RANK.EQ(F819,$F$2:$F$1031),"")</f>
        <v/>
      </c>
      <c r="H819">
        <f>INDEX(Sheet1!AH:AH,MATCH(A819,Sheet1!A:A,0))</f>
        <v/>
      </c>
    </row>
    <row r="820">
      <c r="A820" t="n">
        <v>1972</v>
      </c>
      <c r="B820">
        <f>Sheet1!C820+Sheet1!D820+Sheet1!E820+Sheet1!F820+Sheet1!J820+Sheet1!K820+Sheet1!L820+Sheet1!M820</f>
        <v/>
      </c>
      <c r="C820">
        <f>IF(ISNUMBER(B820),B820,"")</f>
        <v/>
      </c>
      <c r="D820">
        <f>IF(ISNUMBER(C820),_xlfn.RANK.EQ(C820,$C$2:$C$1031),"")</f>
        <v/>
      </c>
      <c r="E820">
        <f>Sheet1!C820+Sheet1!D820+Sheet1!E820+Sheet1!F820+Sheet1!J820+Sheet1!K820+Sheet1!L820+Sheet1!M820+Sheet1!Q820+Sheet1!R820+Sheet1!S820+Sheet1!T820</f>
        <v/>
      </c>
      <c r="F820">
        <f>IF(ISNUMBER(E820),E820,"")</f>
        <v/>
      </c>
      <c r="G820">
        <f>IF(ISNUMBER(F820),_xlfn.RANK.EQ(F820,$F$2:$F$1031),"")</f>
        <v/>
      </c>
      <c r="H820">
        <f>INDEX(Sheet1!AH:AH,MATCH(A820,Sheet1!A:A,0))</f>
        <v/>
      </c>
    </row>
    <row r="821">
      <c r="A821" t="n">
        <v>1973</v>
      </c>
      <c r="B821">
        <f>Sheet1!C821+Sheet1!D821+Sheet1!E821+Sheet1!F821+Sheet1!J821+Sheet1!K821+Sheet1!L821+Sheet1!M821</f>
        <v/>
      </c>
      <c r="C821">
        <f>IF(ISNUMBER(B821),B821,"")</f>
        <v/>
      </c>
      <c r="D821">
        <f>IF(ISNUMBER(C821),_xlfn.RANK.EQ(C821,$C$2:$C$1031),"")</f>
        <v/>
      </c>
      <c r="E821">
        <f>Sheet1!C821+Sheet1!D821+Sheet1!E821+Sheet1!F821+Sheet1!J821+Sheet1!K821+Sheet1!L821+Sheet1!M821+Sheet1!Q821+Sheet1!R821+Sheet1!S821+Sheet1!T821</f>
        <v/>
      </c>
      <c r="F821">
        <f>IF(ISNUMBER(E821),E821,"")</f>
        <v/>
      </c>
      <c r="G821">
        <f>IF(ISNUMBER(F821),_xlfn.RANK.EQ(F821,$F$2:$F$1031),"")</f>
        <v/>
      </c>
      <c r="H821">
        <f>INDEX(Sheet1!AH:AH,MATCH(A821,Sheet1!A:A,0))</f>
        <v/>
      </c>
    </row>
    <row r="822">
      <c r="A822" t="n">
        <v>1974</v>
      </c>
      <c r="B822">
        <f>Sheet1!C822+Sheet1!D822+Sheet1!E822+Sheet1!F822+Sheet1!J822+Sheet1!K822+Sheet1!L822+Sheet1!M822</f>
        <v/>
      </c>
      <c r="C822">
        <f>IF(ISNUMBER(B822),B822,"")</f>
        <v/>
      </c>
      <c r="D822">
        <f>IF(ISNUMBER(C822),_xlfn.RANK.EQ(C822,$C$2:$C$1031),"")</f>
        <v/>
      </c>
      <c r="E822">
        <f>Sheet1!C822+Sheet1!D822+Sheet1!E822+Sheet1!F822+Sheet1!J822+Sheet1!K822+Sheet1!L822+Sheet1!M822+Sheet1!Q822+Sheet1!R822+Sheet1!S822+Sheet1!T822</f>
        <v/>
      </c>
      <c r="F822">
        <f>IF(ISNUMBER(E822),E822,"")</f>
        <v/>
      </c>
      <c r="G822">
        <f>IF(ISNUMBER(F822),_xlfn.RANK.EQ(F822,$F$2:$F$1031),"")</f>
        <v/>
      </c>
      <c r="H822">
        <f>INDEX(Sheet1!AH:AH,MATCH(A822,Sheet1!A:A,0))</f>
        <v/>
      </c>
    </row>
    <row r="823">
      <c r="A823" t="n">
        <v>1975</v>
      </c>
      <c r="B823">
        <f>Sheet1!C823+Sheet1!D823+Sheet1!E823+Sheet1!F823+Sheet1!J823+Sheet1!K823+Sheet1!L823+Sheet1!M823</f>
        <v/>
      </c>
      <c r="C823">
        <f>IF(ISNUMBER(B823),B823,"")</f>
        <v/>
      </c>
      <c r="D823">
        <f>IF(ISNUMBER(C823),_xlfn.RANK.EQ(C823,$C$2:$C$1031),"")</f>
        <v/>
      </c>
      <c r="E823">
        <f>Sheet1!C823+Sheet1!D823+Sheet1!E823+Sheet1!F823+Sheet1!J823+Sheet1!K823+Sheet1!L823+Sheet1!M823+Sheet1!Q823+Sheet1!R823+Sheet1!S823+Sheet1!T823</f>
        <v/>
      </c>
      <c r="F823">
        <f>IF(ISNUMBER(E823),E823,"")</f>
        <v/>
      </c>
      <c r="G823">
        <f>IF(ISNUMBER(F823),_xlfn.RANK.EQ(F823,$F$2:$F$1031),"")</f>
        <v/>
      </c>
      <c r="H823">
        <f>INDEX(Sheet1!AH:AH,MATCH(A823,Sheet1!A:A,0))</f>
        <v/>
      </c>
    </row>
    <row r="824">
      <c r="A824" t="n">
        <v>1976</v>
      </c>
      <c r="B824">
        <f>Sheet1!C824+Sheet1!D824+Sheet1!E824+Sheet1!F824+Sheet1!J824+Sheet1!K824+Sheet1!L824+Sheet1!M824</f>
        <v/>
      </c>
      <c r="C824">
        <f>IF(ISNUMBER(B824),B824,"")</f>
        <v/>
      </c>
      <c r="D824">
        <f>IF(ISNUMBER(C824),_xlfn.RANK.EQ(C824,$C$2:$C$1031),"")</f>
        <v/>
      </c>
      <c r="E824">
        <f>Sheet1!C824+Sheet1!D824+Sheet1!E824+Sheet1!F824+Sheet1!J824+Sheet1!K824+Sheet1!L824+Sheet1!M824+Sheet1!Q824+Sheet1!R824+Sheet1!S824+Sheet1!T824</f>
        <v/>
      </c>
      <c r="F824">
        <f>IF(ISNUMBER(E824),E824,"")</f>
        <v/>
      </c>
      <c r="G824">
        <f>IF(ISNUMBER(F824),_xlfn.RANK.EQ(F824,$F$2:$F$1031),"")</f>
        <v/>
      </c>
      <c r="H824">
        <f>INDEX(Sheet1!AH:AH,MATCH(A824,Sheet1!A:A,0))</f>
        <v/>
      </c>
    </row>
    <row r="825">
      <c r="A825" t="n">
        <v>1977</v>
      </c>
      <c r="B825">
        <f>Sheet1!C825+Sheet1!D825+Sheet1!E825+Sheet1!F825+Sheet1!J825+Sheet1!K825+Sheet1!L825+Sheet1!M825</f>
        <v/>
      </c>
      <c r="C825">
        <f>IF(ISNUMBER(B825),B825,"")</f>
        <v/>
      </c>
      <c r="D825">
        <f>IF(ISNUMBER(C825),_xlfn.RANK.EQ(C825,$C$2:$C$1031),"")</f>
        <v/>
      </c>
      <c r="E825">
        <f>Sheet1!C825+Sheet1!D825+Sheet1!E825+Sheet1!F825+Sheet1!J825+Sheet1!K825+Sheet1!L825+Sheet1!M825+Sheet1!Q825+Sheet1!R825+Sheet1!S825+Sheet1!T825</f>
        <v/>
      </c>
      <c r="F825">
        <f>IF(ISNUMBER(E825),E825,"")</f>
        <v/>
      </c>
      <c r="G825">
        <f>IF(ISNUMBER(F825),_xlfn.RANK.EQ(F825,$F$2:$F$1031),"")</f>
        <v/>
      </c>
      <c r="H825">
        <f>INDEX(Sheet1!AH:AH,MATCH(A825,Sheet1!A:A,0))</f>
        <v/>
      </c>
    </row>
    <row r="826">
      <c r="A826" t="n">
        <v>1978</v>
      </c>
      <c r="B826">
        <f>Sheet1!C826+Sheet1!D826+Sheet1!E826+Sheet1!F826+Sheet1!J826+Sheet1!K826+Sheet1!L826+Sheet1!M826</f>
        <v/>
      </c>
      <c r="C826">
        <f>IF(ISNUMBER(B826),B826,"")</f>
        <v/>
      </c>
      <c r="D826">
        <f>IF(ISNUMBER(C826),_xlfn.RANK.EQ(C826,$C$2:$C$1031),"")</f>
        <v/>
      </c>
      <c r="E826">
        <f>Sheet1!C826+Sheet1!D826+Sheet1!E826+Sheet1!F826+Sheet1!J826+Sheet1!K826+Sheet1!L826+Sheet1!M826+Sheet1!Q826+Sheet1!R826+Sheet1!S826+Sheet1!T826</f>
        <v/>
      </c>
      <c r="F826">
        <f>IF(ISNUMBER(E826),E826,"")</f>
        <v/>
      </c>
      <c r="G826">
        <f>IF(ISNUMBER(F826),_xlfn.RANK.EQ(F826,$F$2:$F$1031),"")</f>
        <v/>
      </c>
      <c r="H826">
        <f>INDEX(Sheet1!AH:AH,MATCH(A826,Sheet1!A:A,0))</f>
        <v/>
      </c>
    </row>
    <row r="827">
      <c r="A827" t="n">
        <v>1979</v>
      </c>
      <c r="B827">
        <f>Sheet1!C827+Sheet1!D827+Sheet1!E827+Sheet1!F827+Sheet1!J827+Sheet1!K827+Sheet1!L827+Sheet1!M827</f>
        <v/>
      </c>
      <c r="C827">
        <f>IF(ISNUMBER(B827),B827,"")</f>
        <v/>
      </c>
      <c r="D827">
        <f>IF(ISNUMBER(C827),_xlfn.RANK.EQ(C827,$C$2:$C$1031),"")</f>
        <v/>
      </c>
      <c r="E827">
        <f>Sheet1!C827+Sheet1!D827+Sheet1!E827+Sheet1!F827+Sheet1!J827+Sheet1!K827+Sheet1!L827+Sheet1!M827+Sheet1!Q827+Sheet1!R827+Sheet1!S827+Sheet1!T827</f>
        <v/>
      </c>
      <c r="F827">
        <f>IF(ISNUMBER(E827),E827,"")</f>
        <v/>
      </c>
      <c r="G827">
        <f>IF(ISNUMBER(F827),_xlfn.RANK.EQ(F827,$F$2:$F$1031),"")</f>
        <v/>
      </c>
      <c r="H827">
        <f>INDEX(Sheet1!AH:AH,MATCH(A827,Sheet1!A:A,0))</f>
        <v/>
      </c>
    </row>
    <row r="828">
      <c r="A828" t="n">
        <v>1980</v>
      </c>
      <c r="B828">
        <f>Sheet1!C828+Sheet1!D828+Sheet1!E828+Sheet1!F828+Sheet1!J828+Sheet1!K828+Sheet1!L828+Sheet1!M828</f>
        <v/>
      </c>
      <c r="C828">
        <f>IF(ISNUMBER(B828),B828,"")</f>
        <v/>
      </c>
      <c r="D828">
        <f>IF(ISNUMBER(C828),_xlfn.RANK.EQ(C828,$C$2:$C$1031),"")</f>
        <v/>
      </c>
      <c r="E828">
        <f>Sheet1!C828+Sheet1!D828+Sheet1!E828+Sheet1!F828+Sheet1!J828+Sheet1!K828+Sheet1!L828+Sheet1!M828+Sheet1!Q828+Sheet1!R828+Sheet1!S828+Sheet1!T828</f>
        <v/>
      </c>
      <c r="F828">
        <f>IF(ISNUMBER(E828),E828,"")</f>
        <v/>
      </c>
      <c r="G828">
        <f>IF(ISNUMBER(F828),_xlfn.RANK.EQ(F828,$F$2:$F$1031),"")</f>
        <v/>
      </c>
      <c r="H828">
        <f>INDEX(Sheet1!AH:AH,MATCH(A828,Sheet1!A:A,0))</f>
        <v/>
      </c>
    </row>
    <row r="829">
      <c r="A829" t="n">
        <v>1981</v>
      </c>
      <c r="B829">
        <f>Sheet1!C829+Sheet1!D829+Sheet1!E829+Sheet1!F829+Sheet1!J829+Sheet1!K829+Sheet1!L829+Sheet1!M829</f>
        <v/>
      </c>
      <c r="C829">
        <f>IF(ISNUMBER(B829),B829,"")</f>
        <v/>
      </c>
      <c r="D829">
        <f>IF(ISNUMBER(C829),_xlfn.RANK.EQ(C829,$C$2:$C$1031),"")</f>
        <v/>
      </c>
      <c r="E829">
        <f>Sheet1!C829+Sheet1!D829+Sheet1!E829+Sheet1!F829+Sheet1!J829+Sheet1!K829+Sheet1!L829+Sheet1!M829+Sheet1!Q829+Sheet1!R829+Sheet1!S829+Sheet1!T829</f>
        <v/>
      </c>
      <c r="F829">
        <f>IF(ISNUMBER(E829),E829,"")</f>
        <v/>
      </c>
      <c r="G829">
        <f>IF(ISNUMBER(F829),_xlfn.RANK.EQ(F829,$F$2:$F$1031),"")</f>
        <v/>
      </c>
      <c r="H829">
        <f>INDEX(Sheet1!AH:AH,MATCH(A829,Sheet1!A:A,0))</f>
        <v/>
      </c>
    </row>
    <row r="830">
      <c r="A830" t="n">
        <v>1982</v>
      </c>
      <c r="B830">
        <f>Sheet1!C830+Sheet1!D830+Sheet1!E830+Sheet1!F830+Sheet1!J830+Sheet1!K830+Sheet1!L830+Sheet1!M830</f>
        <v/>
      </c>
      <c r="C830">
        <f>IF(ISNUMBER(B830),B830,"")</f>
        <v/>
      </c>
      <c r="D830">
        <f>IF(ISNUMBER(C830),_xlfn.RANK.EQ(C830,$C$2:$C$1031),"")</f>
        <v/>
      </c>
      <c r="E830">
        <f>Sheet1!C830+Sheet1!D830+Sheet1!E830+Sheet1!F830+Sheet1!J830+Sheet1!K830+Sheet1!L830+Sheet1!M830+Sheet1!Q830+Sheet1!R830+Sheet1!S830+Sheet1!T830</f>
        <v/>
      </c>
      <c r="F830">
        <f>IF(ISNUMBER(E830),E830,"")</f>
        <v/>
      </c>
      <c r="G830">
        <f>IF(ISNUMBER(F830),_xlfn.RANK.EQ(F830,$F$2:$F$1031),"")</f>
        <v/>
      </c>
      <c r="H830">
        <f>INDEX(Sheet1!AH:AH,MATCH(A830,Sheet1!A:A,0))</f>
        <v/>
      </c>
    </row>
    <row r="831">
      <c r="A831" t="n">
        <v>1986</v>
      </c>
      <c r="B831">
        <f>Sheet1!C831+Sheet1!D831+Sheet1!E831+Sheet1!F831+Sheet1!J831+Sheet1!K831+Sheet1!L831+Sheet1!M831</f>
        <v/>
      </c>
      <c r="C831">
        <f>IF(ISNUMBER(B831),B831,"")</f>
        <v/>
      </c>
      <c r="D831">
        <f>IF(ISNUMBER(C831),_xlfn.RANK.EQ(C831,$C$2:$C$1031),"")</f>
        <v/>
      </c>
      <c r="E831">
        <f>Sheet1!C831+Sheet1!D831+Sheet1!E831+Sheet1!F831+Sheet1!J831+Sheet1!K831+Sheet1!L831+Sheet1!M831+Sheet1!Q831+Sheet1!R831+Sheet1!S831+Sheet1!T831</f>
        <v/>
      </c>
      <c r="F831">
        <f>IF(ISNUMBER(E831),E831,"")</f>
        <v/>
      </c>
      <c r="G831">
        <f>IF(ISNUMBER(F831),_xlfn.RANK.EQ(F831,$F$2:$F$1031),"")</f>
        <v/>
      </c>
      <c r="H831">
        <f>INDEX(Sheet1!AH:AH,MATCH(A831,Sheet1!A:A,0))</f>
        <v/>
      </c>
    </row>
    <row r="832">
      <c r="A832" t="n">
        <v>1987</v>
      </c>
      <c r="B832">
        <f>Sheet1!C832+Sheet1!D832+Sheet1!E832+Sheet1!F832+Sheet1!J832+Sheet1!K832+Sheet1!L832+Sheet1!M832</f>
        <v/>
      </c>
      <c r="C832">
        <f>IF(ISNUMBER(B832),B832,"")</f>
        <v/>
      </c>
      <c r="D832">
        <f>IF(ISNUMBER(C832),_xlfn.RANK.EQ(C832,$C$2:$C$1031),"")</f>
        <v/>
      </c>
      <c r="E832">
        <f>Sheet1!C832+Sheet1!D832+Sheet1!E832+Sheet1!F832+Sheet1!J832+Sheet1!K832+Sheet1!L832+Sheet1!M832+Sheet1!Q832+Sheet1!R832+Sheet1!S832+Sheet1!T832</f>
        <v/>
      </c>
      <c r="F832">
        <f>IF(ISNUMBER(E832),E832,"")</f>
        <v/>
      </c>
      <c r="G832">
        <f>IF(ISNUMBER(F832),_xlfn.RANK.EQ(F832,$F$2:$F$1031),"")</f>
        <v/>
      </c>
      <c r="H832">
        <f>INDEX(Sheet1!AH:AH,MATCH(A832,Sheet1!A:A,0))</f>
        <v/>
      </c>
    </row>
    <row r="833">
      <c r="A833" t="n">
        <v>1989</v>
      </c>
      <c r="B833">
        <f>Sheet1!C833+Sheet1!D833+Sheet1!E833+Sheet1!F833+Sheet1!J833+Sheet1!K833+Sheet1!L833+Sheet1!M833</f>
        <v/>
      </c>
      <c r="C833">
        <f>IF(ISNUMBER(B833),B833,"")</f>
        <v/>
      </c>
      <c r="D833">
        <f>IF(ISNUMBER(C833),_xlfn.RANK.EQ(C833,$C$2:$C$1031),"")</f>
        <v/>
      </c>
      <c r="E833">
        <f>Sheet1!C833+Sheet1!D833+Sheet1!E833+Sheet1!F833+Sheet1!J833+Sheet1!K833+Sheet1!L833+Sheet1!M833+Sheet1!Q833+Sheet1!R833+Sheet1!S833+Sheet1!T833</f>
        <v/>
      </c>
      <c r="F833">
        <f>IF(ISNUMBER(E833),E833,"")</f>
        <v/>
      </c>
      <c r="G833">
        <f>IF(ISNUMBER(F833),_xlfn.RANK.EQ(F833,$F$2:$F$1031),"")</f>
        <v/>
      </c>
      <c r="H833">
        <f>INDEX(Sheet1!AH:AH,MATCH(A833,Sheet1!A:A,0))</f>
        <v/>
      </c>
    </row>
    <row r="834">
      <c r="A834" t="n">
        <v>1994</v>
      </c>
      <c r="B834">
        <f>Sheet1!C834+Sheet1!D834+Sheet1!E834+Sheet1!F834+Sheet1!J834+Sheet1!K834+Sheet1!L834+Sheet1!M834</f>
        <v/>
      </c>
      <c r="C834">
        <f>IF(ISNUMBER(B834),B834,"")</f>
        <v/>
      </c>
      <c r="D834">
        <f>IF(ISNUMBER(C834),_xlfn.RANK.EQ(C834,$C$2:$C$1031),"")</f>
        <v/>
      </c>
      <c r="E834">
        <f>Sheet1!C834+Sheet1!D834+Sheet1!E834+Sheet1!F834+Sheet1!J834+Sheet1!K834+Sheet1!L834+Sheet1!M834+Sheet1!Q834+Sheet1!R834+Sheet1!S834+Sheet1!T834</f>
        <v/>
      </c>
      <c r="F834">
        <f>IF(ISNUMBER(E834),E834,"")</f>
        <v/>
      </c>
      <c r="G834">
        <f>IF(ISNUMBER(F834),_xlfn.RANK.EQ(F834,$F$2:$F$1031),"")</f>
        <v/>
      </c>
      <c r="H834">
        <f>INDEX(Sheet1!AH:AH,MATCH(A834,Sheet1!A:A,0))</f>
        <v/>
      </c>
    </row>
    <row r="835">
      <c r="A835" t="n">
        <v>1996</v>
      </c>
      <c r="B835">
        <f>Sheet1!C835+Sheet1!D835+Sheet1!E835+Sheet1!F835+Sheet1!J835+Sheet1!K835+Sheet1!L835+Sheet1!M835</f>
        <v/>
      </c>
      <c r="C835">
        <f>IF(ISNUMBER(B835),B835,"")</f>
        <v/>
      </c>
      <c r="D835">
        <f>IF(ISNUMBER(C835),_xlfn.RANK.EQ(C835,$C$2:$C$1031),"")</f>
        <v/>
      </c>
      <c r="E835">
        <f>Sheet1!C835+Sheet1!D835+Sheet1!E835+Sheet1!F835+Sheet1!J835+Sheet1!K835+Sheet1!L835+Sheet1!M835+Sheet1!Q835+Sheet1!R835+Sheet1!S835+Sheet1!T835</f>
        <v/>
      </c>
      <c r="F835">
        <f>IF(ISNUMBER(E835),E835,"")</f>
        <v/>
      </c>
      <c r="G835">
        <f>IF(ISNUMBER(F835),_xlfn.RANK.EQ(F835,$F$2:$F$1031),"")</f>
        <v/>
      </c>
      <c r="H835">
        <f>INDEX(Sheet1!AH:AH,MATCH(A835,Sheet1!A:A,0))</f>
        <v/>
      </c>
    </row>
    <row r="836">
      <c r="A836" t="n">
        <v>1997</v>
      </c>
      <c r="B836">
        <f>Sheet1!C836+Sheet1!D836+Sheet1!E836+Sheet1!F836+Sheet1!J836+Sheet1!K836+Sheet1!L836+Sheet1!M836</f>
        <v/>
      </c>
      <c r="C836">
        <f>IF(ISNUMBER(B836),B836,"")</f>
        <v/>
      </c>
      <c r="D836">
        <f>IF(ISNUMBER(C836),_xlfn.RANK.EQ(C836,$C$2:$C$1031),"")</f>
        <v/>
      </c>
      <c r="E836">
        <f>Sheet1!C836+Sheet1!D836+Sheet1!E836+Sheet1!F836+Sheet1!J836+Sheet1!K836+Sheet1!L836+Sheet1!M836+Sheet1!Q836+Sheet1!R836+Sheet1!S836+Sheet1!T836</f>
        <v/>
      </c>
      <c r="F836">
        <f>IF(ISNUMBER(E836),E836,"")</f>
        <v/>
      </c>
      <c r="G836">
        <f>IF(ISNUMBER(F836),_xlfn.RANK.EQ(F836,$F$2:$F$1031),"")</f>
        <v/>
      </c>
      <c r="H836">
        <f>INDEX(Sheet1!AH:AH,MATCH(A836,Sheet1!A:A,0))</f>
        <v/>
      </c>
    </row>
    <row r="837">
      <c r="A837" t="n">
        <v>1998</v>
      </c>
      <c r="B837">
        <f>Sheet1!C837+Sheet1!D837+Sheet1!E837+Sheet1!F837+Sheet1!J837+Sheet1!K837+Sheet1!L837+Sheet1!M837</f>
        <v/>
      </c>
      <c r="C837">
        <f>IF(ISNUMBER(B837),B837,"")</f>
        <v/>
      </c>
      <c r="D837">
        <f>IF(ISNUMBER(C837),_xlfn.RANK.EQ(C837,$C$2:$C$1031),"")</f>
        <v/>
      </c>
      <c r="E837">
        <f>Sheet1!C837+Sheet1!D837+Sheet1!E837+Sheet1!F837+Sheet1!J837+Sheet1!K837+Sheet1!L837+Sheet1!M837+Sheet1!Q837+Sheet1!R837+Sheet1!S837+Sheet1!T837</f>
        <v/>
      </c>
      <c r="F837">
        <f>IF(ISNUMBER(E837),E837,"")</f>
        <v/>
      </c>
      <c r="G837">
        <f>IF(ISNUMBER(F837),_xlfn.RANK.EQ(F837,$F$2:$F$1031),"")</f>
        <v/>
      </c>
      <c r="H837">
        <f>INDEX(Sheet1!AH:AH,MATCH(A837,Sheet1!A:A,0))</f>
        <v/>
      </c>
    </row>
    <row r="838">
      <c r="A838" t="n">
        <v>1999</v>
      </c>
      <c r="B838">
        <f>Sheet1!C838+Sheet1!D838+Sheet1!E838+Sheet1!F838+Sheet1!J838+Sheet1!K838+Sheet1!L838+Sheet1!M838</f>
        <v/>
      </c>
      <c r="C838">
        <f>IF(ISNUMBER(B838),B838,"")</f>
        <v/>
      </c>
      <c r="D838">
        <f>IF(ISNUMBER(C838),_xlfn.RANK.EQ(C838,$C$2:$C$1031),"")</f>
        <v/>
      </c>
      <c r="E838">
        <f>Sheet1!C838+Sheet1!D838+Sheet1!E838+Sheet1!F838+Sheet1!J838+Sheet1!K838+Sheet1!L838+Sheet1!M838+Sheet1!Q838+Sheet1!R838+Sheet1!S838+Sheet1!T838</f>
        <v/>
      </c>
      <c r="F838">
        <f>IF(ISNUMBER(E838),E838,"")</f>
        <v/>
      </c>
      <c r="G838">
        <f>IF(ISNUMBER(F838),_xlfn.RANK.EQ(F838,$F$2:$F$1031),"")</f>
        <v/>
      </c>
      <c r="H838">
        <f>INDEX(Sheet1!AH:AH,MATCH(A838,Sheet1!A:A,0))</f>
        <v/>
      </c>
    </row>
    <row r="839">
      <c r="A839" t="n">
        <v>2000</v>
      </c>
      <c r="B839">
        <f>Sheet1!C839+Sheet1!D839+Sheet1!E839+Sheet1!F839+Sheet1!J839+Sheet1!K839+Sheet1!L839+Sheet1!M839</f>
        <v/>
      </c>
      <c r="C839">
        <f>IF(ISNUMBER(B839),B839,"")</f>
        <v/>
      </c>
      <c r="D839">
        <f>IF(ISNUMBER(C839),_xlfn.RANK.EQ(C839,$C$2:$C$1031),"")</f>
        <v/>
      </c>
      <c r="E839">
        <f>Sheet1!C839+Sheet1!D839+Sheet1!E839+Sheet1!F839+Sheet1!J839+Sheet1!K839+Sheet1!L839+Sheet1!M839+Sheet1!Q839+Sheet1!R839+Sheet1!S839+Sheet1!T839</f>
        <v/>
      </c>
      <c r="F839">
        <f>IF(ISNUMBER(E839),E839,"")</f>
        <v/>
      </c>
      <c r="G839">
        <f>IF(ISNUMBER(F839),_xlfn.RANK.EQ(F839,$F$2:$F$1031),"")</f>
        <v/>
      </c>
      <c r="H839">
        <f>INDEX(Sheet1!AH:AH,MATCH(A839,Sheet1!A:A,0))</f>
        <v/>
      </c>
    </row>
    <row r="840">
      <c r="A840" t="n">
        <v>2001</v>
      </c>
      <c r="B840">
        <f>Sheet1!C840+Sheet1!D840+Sheet1!E840+Sheet1!F840+Sheet1!J840+Sheet1!K840+Sheet1!L840+Sheet1!M840</f>
        <v/>
      </c>
      <c r="C840">
        <f>IF(ISNUMBER(B840),B840,"")</f>
        <v/>
      </c>
      <c r="D840">
        <f>IF(ISNUMBER(C840),_xlfn.RANK.EQ(C840,$C$2:$C$1031),"")</f>
        <v/>
      </c>
      <c r="E840">
        <f>Sheet1!C840+Sheet1!D840+Sheet1!E840+Sheet1!F840+Sheet1!J840+Sheet1!K840+Sheet1!L840+Sheet1!M840+Sheet1!Q840+Sheet1!R840+Sheet1!S840+Sheet1!T840</f>
        <v/>
      </c>
      <c r="F840">
        <f>IF(ISNUMBER(E840),E840,"")</f>
        <v/>
      </c>
      <c r="G840">
        <f>IF(ISNUMBER(F840),_xlfn.RANK.EQ(F840,$F$2:$F$1031),"")</f>
        <v/>
      </c>
      <c r="H840">
        <f>INDEX(Sheet1!AH:AH,MATCH(A840,Sheet1!A:A,0))</f>
        <v/>
      </c>
    </row>
    <row r="841">
      <c r="A841" t="n">
        <v>2002</v>
      </c>
      <c r="B841">
        <f>Sheet1!C841+Sheet1!D841+Sheet1!E841+Sheet1!F841+Sheet1!J841+Sheet1!K841+Sheet1!L841+Sheet1!M841</f>
        <v/>
      </c>
      <c r="C841">
        <f>IF(ISNUMBER(B841),B841,"")</f>
        <v/>
      </c>
      <c r="D841">
        <f>IF(ISNUMBER(C841),_xlfn.RANK.EQ(C841,$C$2:$C$1031),"")</f>
        <v/>
      </c>
      <c r="E841">
        <f>Sheet1!C841+Sheet1!D841+Sheet1!E841+Sheet1!F841+Sheet1!J841+Sheet1!K841+Sheet1!L841+Sheet1!M841+Sheet1!Q841+Sheet1!R841+Sheet1!S841+Sheet1!T841</f>
        <v/>
      </c>
      <c r="F841">
        <f>IF(ISNUMBER(E841),E841,"")</f>
        <v/>
      </c>
      <c r="G841">
        <f>IF(ISNUMBER(F841),_xlfn.RANK.EQ(F841,$F$2:$F$1031),"")</f>
        <v/>
      </c>
      <c r="H841">
        <f>INDEX(Sheet1!AH:AH,MATCH(A841,Sheet1!A:A,0))</f>
        <v/>
      </c>
    </row>
    <row r="842">
      <c r="A842" t="n">
        <v>2003</v>
      </c>
      <c r="B842">
        <f>Sheet1!C842+Sheet1!D842+Sheet1!E842+Sheet1!F842+Sheet1!J842+Sheet1!K842+Sheet1!L842+Sheet1!M842</f>
        <v/>
      </c>
      <c r="C842">
        <f>IF(ISNUMBER(B842),B842,"")</f>
        <v/>
      </c>
      <c r="D842">
        <f>IF(ISNUMBER(C842),_xlfn.RANK.EQ(C842,$C$2:$C$1031),"")</f>
        <v/>
      </c>
      <c r="E842">
        <f>Sheet1!C842+Sheet1!D842+Sheet1!E842+Sheet1!F842+Sheet1!J842+Sheet1!K842+Sheet1!L842+Sheet1!M842+Sheet1!Q842+Sheet1!R842+Sheet1!S842+Sheet1!T842</f>
        <v/>
      </c>
      <c r="F842">
        <f>IF(ISNUMBER(E842),E842,"")</f>
        <v/>
      </c>
      <c r="G842">
        <f>IF(ISNUMBER(F842),_xlfn.RANK.EQ(F842,$F$2:$F$1031),"")</f>
        <v/>
      </c>
      <c r="H842">
        <f>INDEX(Sheet1!AH:AH,MATCH(A842,Sheet1!A:A,0))</f>
        <v/>
      </c>
    </row>
    <row r="843">
      <c r="A843" t="n">
        <v>2004</v>
      </c>
      <c r="B843">
        <f>Sheet1!C843+Sheet1!D843+Sheet1!E843+Sheet1!F843+Sheet1!J843+Sheet1!K843+Sheet1!L843+Sheet1!M843</f>
        <v/>
      </c>
      <c r="C843">
        <f>IF(ISNUMBER(B843),B843,"")</f>
        <v/>
      </c>
      <c r="D843">
        <f>IF(ISNUMBER(C843),_xlfn.RANK.EQ(C843,$C$2:$C$1031),"")</f>
        <v/>
      </c>
      <c r="E843">
        <f>Sheet1!C843+Sheet1!D843+Sheet1!E843+Sheet1!F843+Sheet1!J843+Sheet1!K843+Sheet1!L843+Sheet1!M843+Sheet1!Q843+Sheet1!R843+Sheet1!S843+Sheet1!T843</f>
        <v/>
      </c>
      <c r="F843">
        <f>IF(ISNUMBER(E843),E843,"")</f>
        <v/>
      </c>
      <c r="G843">
        <f>IF(ISNUMBER(F843),_xlfn.RANK.EQ(F843,$F$2:$F$1031),"")</f>
        <v/>
      </c>
      <c r="H843">
        <f>INDEX(Sheet1!AH:AH,MATCH(A843,Sheet1!A:A,0))</f>
        <v/>
      </c>
    </row>
    <row r="844">
      <c r="A844" t="n">
        <v>2005</v>
      </c>
      <c r="B844">
        <f>Sheet1!C844+Sheet1!D844+Sheet1!E844+Sheet1!F844+Sheet1!J844+Sheet1!K844+Sheet1!L844+Sheet1!M844</f>
        <v/>
      </c>
      <c r="C844">
        <f>IF(ISNUMBER(B844),B844,"")</f>
        <v/>
      </c>
      <c r="D844">
        <f>IF(ISNUMBER(C844),_xlfn.RANK.EQ(C844,$C$2:$C$1031),"")</f>
        <v/>
      </c>
      <c r="E844">
        <f>Sheet1!C844+Sheet1!D844+Sheet1!E844+Sheet1!F844+Sheet1!J844+Sheet1!K844+Sheet1!L844+Sheet1!M844+Sheet1!Q844+Sheet1!R844+Sheet1!S844+Sheet1!T844</f>
        <v/>
      </c>
      <c r="F844">
        <f>IF(ISNUMBER(E844),E844,"")</f>
        <v/>
      </c>
      <c r="G844">
        <f>IF(ISNUMBER(F844),_xlfn.RANK.EQ(F844,$F$2:$F$1031),"")</f>
        <v/>
      </c>
      <c r="H844">
        <f>INDEX(Sheet1!AH:AH,MATCH(A844,Sheet1!A:A,0))</f>
        <v/>
      </c>
    </row>
    <row r="845">
      <c r="A845" t="n">
        <v>2006</v>
      </c>
      <c r="B845">
        <f>Sheet1!C845+Sheet1!D845+Sheet1!E845+Sheet1!F845+Sheet1!J845+Sheet1!K845+Sheet1!L845+Sheet1!M845</f>
        <v/>
      </c>
      <c r="C845">
        <f>IF(ISNUMBER(B845),B845,"")</f>
        <v/>
      </c>
      <c r="D845">
        <f>IF(ISNUMBER(C845),_xlfn.RANK.EQ(C845,$C$2:$C$1031),"")</f>
        <v/>
      </c>
      <c r="E845">
        <f>Sheet1!C845+Sheet1!D845+Sheet1!E845+Sheet1!F845+Sheet1!J845+Sheet1!K845+Sheet1!L845+Sheet1!M845+Sheet1!Q845+Sheet1!R845+Sheet1!S845+Sheet1!T845</f>
        <v/>
      </c>
      <c r="F845">
        <f>IF(ISNUMBER(E845),E845,"")</f>
        <v/>
      </c>
      <c r="G845">
        <f>IF(ISNUMBER(F845),_xlfn.RANK.EQ(F845,$F$2:$F$1031),"")</f>
        <v/>
      </c>
      <c r="H845">
        <f>INDEX(Sheet1!AH:AH,MATCH(A845,Sheet1!A:A,0))</f>
        <v/>
      </c>
    </row>
    <row r="846">
      <c r="A846" t="n">
        <v>2007</v>
      </c>
      <c r="B846">
        <f>Sheet1!C846+Sheet1!D846+Sheet1!E846+Sheet1!F846+Sheet1!J846+Sheet1!K846+Sheet1!L846+Sheet1!M846</f>
        <v/>
      </c>
      <c r="C846">
        <f>IF(ISNUMBER(B846),B846,"")</f>
        <v/>
      </c>
      <c r="D846">
        <f>IF(ISNUMBER(C846),_xlfn.RANK.EQ(C846,$C$2:$C$1031),"")</f>
        <v/>
      </c>
      <c r="E846">
        <f>Sheet1!C846+Sheet1!D846+Sheet1!E846+Sheet1!F846+Sheet1!J846+Sheet1!K846+Sheet1!L846+Sheet1!M846+Sheet1!Q846+Sheet1!R846+Sheet1!S846+Sheet1!T846</f>
        <v/>
      </c>
      <c r="F846">
        <f>IF(ISNUMBER(E846),E846,"")</f>
        <v/>
      </c>
      <c r="G846">
        <f>IF(ISNUMBER(F846),_xlfn.RANK.EQ(F846,$F$2:$F$1031),"")</f>
        <v/>
      </c>
      <c r="H846">
        <f>INDEX(Sheet1!AH:AH,MATCH(A846,Sheet1!A:A,0))</f>
        <v/>
      </c>
    </row>
    <row r="847">
      <c r="A847" t="n">
        <v>2008</v>
      </c>
      <c r="B847">
        <f>Sheet1!C847+Sheet1!D847+Sheet1!E847+Sheet1!F847+Sheet1!J847+Sheet1!K847+Sheet1!L847+Sheet1!M847</f>
        <v/>
      </c>
      <c r="C847">
        <f>IF(ISNUMBER(B847),B847,"")</f>
        <v/>
      </c>
      <c r="D847">
        <f>IF(ISNUMBER(C847),_xlfn.RANK.EQ(C847,$C$2:$C$1031),"")</f>
        <v/>
      </c>
      <c r="E847">
        <f>Sheet1!C847+Sheet1!D847+Sheet1!E847+Sheet1!F847+Sheet1!J847+Sheet1!K847+Sheet1!L847+Sheet1!M847+Sheet1!Q847+Sheet1!R847+Sheet1!S847+Sheet1!T847</f>
        <v/>
      </c>
      <c r="F847">
        <f>IF(ISNUMBER(E847),E847,"")</f>
        <v/>
      </c>
      <c r="G847">
        <f>IF(ISNUMBER(F847),_xlfn.RANK.EQ(F847,$F$2:$F$1031),"")</f>
        <v/>
      </c>
      <c r="H847">
        <f>INDEX(Sheet1!AH:AH,MATCH(A847,Sheet1!A:A,0))</f>
        <v/>
      </c>
    </row>
    <row r="848">
      <c r="A848" t="n">
        <v>2009</v>
      </c>
      <c r="B848">
        <f>Sheet1!C848+Sheet1!D848+Sheet1!E848+Sheet1!F848+Sheet1!J848+Sheet1!K848+Sheet1!L848+Sheet1!M848</f>
        <v/>
      </c>
      <c r="C848">
        <f>IF(ISNUMBER(B848),B848,"")</f>
        <v/>
      </c>
      <c r="D848">
        <f>IF(ISNUMBER(C848),_xlfn.RANK.EQ(C848,$C$2:$C$1031),"")</f>
        <v/>
      </c>
      <c r="E848">
        <f>Sheet1!C848+Sheet1!D848+Sheet1!E848+Sheet1!F848+Sheet1!J848+Sheet1!K848+Sheet1!L848+Sheet1!M848+Sheet1!Q848+Sheet1!R848+Sheet1!S848+Sheet1!T848</f>
        <v/>
      </c>
      <c r="F848">
        <f>IF(ISNUMBER(E848),E848,"")</f>
        <v/>
      </c>
      <c r="G848">
        <f>IF(ISNUMBER(F848),_xlfn.RANK.EQ(F848,$F$2:$F$1031),"")</f>
        <v/>
      </c>
      <c r="H848">
        <f>INDEX(Sheet1!AH:AH,MATCH(A848,Sheet1!A:A,0))</f>
        <v/>
      </c>
    </row>
    <row r="849">
      <c r="A849" t="n">
        <v>2010</v>
      </c>
      <c r="B849">
        <f>Sheet1!C849+Sheet1!D849+Sheet1!E849+Sheet1!F849+Sheet1!J849+Sheet1!K849+Sheet1!L849+Sheet1!M849</f>
        <v/>
      </c>
      <c r="C849">
        <f>IF(ISNUMBER(B849),B849,"")</f>
        <v/>
      </c>
      <c r="D849">
        <f>IF(ISNUMBER(C849),_xlfn.RANK.EQ(C849,$C$2:$C$1031),"")</f>
        <v/>
      </c>
      <c r="E849">
        <f>Sheet1!C849+Sheet1!D849+Sheet1!E849+Sheet1!F849+Sheet1!J849+Sheet1!K849+Sheet1!L849+Sheet1!M849+Sheet1!Q849+Sheet1!R849+Sheet1!S849+Sheet1!T849</f>
        <v/>
      </c>
      <c r="F849">
        <f>IF(ISNUMBER(E849),E849,"")</f>
        <v/>
      </c>
      <c r="G849">
        <f>IF(ISNUMBER(F849),_xlfn.RANK.EQ(F849,$F$2:$F$1031),"")</f>
        <v/>
      </c>
      <c r="H849">
        <f>INDEX(Sheet1!AH:AH,MATCH(A849,Sheet1!A:A,0))</f>
        <v/>
      </c>
    </row>
    <row r="850">
      <c r="A850" t="n">
        <v>2011</v>
      </c>
      <c r="B850">
        <f>Sheet1!C850+Sheet1!D850+Sheet1!E850+Sheet1!F850+Sheet1!J850+Sheet1!K850+Sheet1!L850+Sheet1!M850</f>
        <v/>
      </c>
      <c r="C850">
        <f>IF(ISNUMBER(B850),B850,"")</f>
        <v/>
      </c>
      <c r="D850">
        <f>IF(ISNUMBER(C850),_xlfn.RANK.EQ(C850,$C$2:$C$1031),"")</f>
        <v/>
      </c>
      <c r="E850">
        <f>Sheet1!C850+Sheet1!D850+Sheet1!E850+Sheet1!F850+Sheet1!J850+Sheet1!K850+Sheet1!L850+Sheet1!M850+Sheet1!Q850+Sheet1!R850+Sheet1!S850+Sheet1!T850</f>
        <v/>
      </c>
      <c r="F850">
        <f>IF(ISNUMBER(E850),E850,"")</f>
        <v/>
      </c>
      <c r="G850">
        <f>IF(ISNUMBER(F850),_xlfn.RANK.EQ(F850,$F$2:$F$1031),"")</f>
        <v/>
      </c>
      <c r="H850">
        <f>INDEX(Sheet1!AH:AH,MATCH(A850,Sheet1!A:A,0))</f>
        <v/>
      </c>
    </row>
    <row r="851">
      <c r="A851" t="n">
        <v>2012</v>
      </c>
      <c r="B851">
        <f>Sheet1!C851+Sheet1!D851+Sheet1!E851+Sheet1!F851+Sheet1!J851+Sheet1!K851+Sheet1!L851+Sheet1!M851</f>
        <v/>
      </c>
      <c r="C851">
        <f>IF(ISNUMBER(B851),B851,"")</f>
        <v/>
      </c>
      <c r="D851">
        <f>IF(ISNUMBER(C851),_xlfn.RANK.EQ(C851,$C$2:$C$1031),"")</f>
        <v/>
      </c>
      <c r="E851">
        <f>Sheet1!C851+Sheet1!D851+Sheet1!E851+Sheet1!F851+Sheet1!J851+Sheet1!K851+Sheet1!L851+Sheet1!M851+Sheet1!Q851+Sheet1!R851+Sheet1!S851+Sheet1!T851</f>
        <v/>
      </c>
      <c r="F851">
        <f>IF(ISNUMBER(E851),E851,"")</f>
        <v/>
      </c>
      <c r="G851">
        <f>IF(ISNUMBER(F851),_xlfn.RANK.EQ(F851,$F$2:$F$1031),"")</f>
        <v/>
      </c>
      <c r="H851">
        <f>INDEX(Sheet1!AH:AH,MATCH(A851,Sheet1!A:A,0))</f>
        <v/>
      </c>
    </row>
    <row r="852">
      <c r="A852" t="n">
        <v>2013</v>
      </c>
      <c r="B852">
        <f>Sheet1!C852+Sheet1!D852+Sheet1!E852+Sheet1!F852+Sheet1!J852+Sheet1!K852+Sheet1!L852+Sheet1!M852</f>
        <v/>
      </c>
      <c r="C852">
        <f>IF(ISNUMBER(B852),B852,"")</f>
        <v/>
      </c>
      <c r="D852">
        <f>IF(ISNUMBER(C852),_xlfn.RANK.EQ(C852,$C$2:$C$1031),"")</f>
        <v/>
      </c>
      <c r="E852">
        <f>Sheet1!C852+Sheet1!D852+Sheet1!E852+Sheet1!F852+Sheet1!J852+Sheet1!K852+Sheet1!L852+Sheet1!M852+Sheet1!Q852+Sheet1!R852+Sheet1!S852+Sheet1!T852</f>
        <v/>
      </c>
      <c r="F852">
        <f>IF(ISNUMBER(E852),E852,"")</f>
        <v/>
      </c>
      <c r="G852">
        <f>IF(ISNUMBER(F852),_xlfn.RANK.EQ(F852,$F$2:$F$1031),"")</f>
        <v/>
      </c>
      <c r="H852">
        <f>INDEX(Sheet1!AH:AH,MATCH(A852,Sheet1!A:A,0))</f>
        <v/>
      </c>
    </row>
    <row r="853">
      <c r="A853" t="n">
        <v>2015</v>
      </c>
      <c r="B853">
        <f>Sheet1!C853+Sheet1!D853+Sheet1!E853+Sheet1!F853+Sheet1!J853+Sheet1!K853+Sheet1!L853+Sheet1!M853</f>
        <v/>
      </c>
      <c r="C853">
        <f>IF(ISNUMBER(B853),B853,"")</f>
        <v/>
      </c>
      <c r="D853">
        <f>IF(ISNUMBER(C853),_xlfn.RANK.EQ(C853,$C$2:$C$1031),"")</f>
        <v/>
      </c>
      <c r="E853">
        <f>Sheet1!C853+Sheet1!D853+Sheet1!E853+Sheet1!F853+Sheet1!J853+Sheet1!K853+Sheet1!L853+Sheet1!M853+Sheet1!Q853+Sheet1!R853+Sheet1!S853+Sheet1!T853</f>
        <v/>
      </c>
      <c r="F853">
        <f>IF(ISNUMBER(E853),E853,"")</f>
        <v/>
      </c>
      <c r="G853">
        <f>IF(ISNUMBER(F853),_xlfn.RANK.EQ(F853,$F$2:$F$1031),"")</f>
        <v/>
      </c>
      <c r="H853">
        <f>INDEX(Sheet1!AH:AH,MATCH(A853,Sheet1!A:A,0))</f>
        <v/>
      </c>
    </row>
    <row r="854">
      <c r="A854" t="n">
        <v>2017</v>
      </c>
      <c r="B854">
        <f>Sheet1!C854+Sheet1!D854+Sheet1!E854+Sheet1!F854+Sheet1!J854+Sheet1!K854+Sheet1!L854+Sheet1!M854</f>
        <v/>
      </c>
      <c r="C854">
        <f>IF(ISNUMBER(B854),B854,"")</f>
        <v/>
      </c>
      <c r="D854">
        <f>IF(ISNUMBER(C854),_xlfn.RANK.EQ(C854,$C$2:$C$1031),"")</f>
        <v/>
      </c>
      <c r="E854">
        <f>Sheet1!C854+Sheet1!D854+Sheet1!E854+Sheet1!F854+Sheet1!J854+Sheet1!K854+Sheet1!L854+Sheet1!M854+Sheet1!Q854+Sheet1!R854+Sheet1!S854+Sheet1!T854</f>
        <v/>
      </c>
      <c r="F854">
        <f>IF(ISNUMBER(E854),E854,"")</f>
        <v/>
      </c>
      <c r="G854">
        <f>IF(ISNUMBER(F854),_xlfn.RANK.EQ(F854,$F$2:$F$1031),"")</f>
        <v/>
      </c>
      <c r="H854">
        <f>INDEX(Sheet1!AH:AH,MATCH(A854,Sheet1!A:A,0))</f>
        <v/>
      </c>
    </row>
    <row r="855">
      <c r="A855" t="n">
        <v>2018</v>
      </c>
      <c r="B855">
        <f>Sheet1!C855+Sheet1!D855+Sheet1!E855+Sheet1!F855+Sheet1!J855+Sheet1!K855+Sheet1!L855+Sheet1!M855</f>
        <v/>
      </c>
      <c r="C855">
        <f>IF(ISNUMBER(B855),B855,"")</f>
        <v/>
      </c>
      <c r="D855">
        <f>IF(ISNUMBER(C855),_xlfn.RANK.EQ(C855,$C$2:$C$1031),"")</f>
        <v/>
      </c>
      <c r="E855">
        <f>Sheet1!C855+Sheet1!D855+Sheet1!E855+Sheet1!F855+Sheet1!J855+Sheet1!K855+Sheet1!L855+Sheet1!M855+Sheet1!Q855+Sheet1!R855+Sheet1!S855+Sheet1!T855</f>
        <v/>
      </c>
      <c r="F855">
        <f>IF(ISNUMBER(E855),E855,"")</f>
        <v/>
      </c>
      <c r="G855">
        <f>IF(ISNUMBER(F855),_xlfn.RANK.EQ(F855,$F$2:$F$1031),"")</f>
        <v/>
      </c>
      <c r="H855">
        <f>INDEX(Sheet1!AH:AH,MATCH(A855,Sheet1!A:A,0))</f>
        <v/>
      </c>
    </row>
    <row r="856">
      <c r="A856" t="n">
        <v>2019</v>
      </c>
      <c r="B856">
        <f>Sheet1!C856+Sheet1!D856+Sheet1!E856+Sheet1!F856+Sheet1!J856+Sheet1!K856+Sheet1!L856+Sheet1!M856</f>
        <v/>
      </c>
      <c r="C856">
        <f>IF(ISNUMBER(B856),B856,"")</f>
        <v/>
      </c>
      <c r="D856">
        <f>IF(ISNUMBER(C856),_xlfn.RANK.EQ(C856,$C$2:$C$1031),"")</f>
        <v/>
      </c>
      <c r="E856">
        <f>Sheet1!C856+Sheet1!D856+Sheet1!E856+Sheet1!F856+Sheet1!J856+Sheet1!K856+Sheet1!L856+Sheet1!M856+Sheet1!Q856+Sheet1!R856+Sheet1!S856+Sheet1!T856</f>
        <v/>
      </c>
      <c r="F856">
        <f>IF(ISNUMBER(E856),E856,"")</f>
        <v/>
      </c>
      <c r="G856">
        <f>IF(ISNUMBER(F856),_xlfn.RANK.EQ(F856,$F$2:$F$1031),"")</f>
        <v/>
      </c>
      <c r="H856">
        <f>INDEX(Sheet1!AH:AH,MATCH(A856,Sheet1!A:A,0))</f>
        <v/>
      </c>
    </row>
    <row r="857">
      <c r="A857" t="n">
        <v>2027</v>
      </c>
      <c r="B857">
        <f>Sheet1!C857+Sheet1!D857+Sheet1!E857+Sheet1!F857+Sheet1!J857+Sheet1!K857+Sheet1!L857+Sheet1!M857</f>
        <v/>
      </c>
      <c r="C857">
        <f>IF(ISNUMBER(B857),B857,"")</f>
        <v/>
      </c>
      <c r="D857">
        <f>IF(ISNUMBER(C857),_xlfn.RANK.EQ(C857,$C$2:$C$1031),"")</f>
        <v/>
      </c>
      <c r="E857">
        <f>Sheet1!C857+Sheet1!D857+Sheet1!E857+Sheet1!F857+Sheet1!J857+Sheet1!K857+Sheet1!L857+Sheet1!M857+Sheet1!Q857+Sheet1!R857+Sheet1!S857+Sheet1!T857</f>
        <v/>
      </c>
      <c r="F857">
        <f>IF(ISNUMBER(E857),E857,"")</f>
        <v/>
      </c>
      <c r="G857">
        <f>IF(ISNUMBER(F857),_xlfn.RANK.EQ(F857,$F$2:$F$1031),"")</f>
        <v/>
      </c>
      <c r="H857">
        <f>INDEX(Sheet1!AH:AH,MATCH(A857,Sheet1!A:A,0))</f>
        <v/>
      </c>
    </row>
    <row r="858">
      <c r="A858" t="n">
        <v>2029</v>
      </c>
      <c r="B858">
        <f>Sheet1!C858+Sheet1!D858+Sheet1!E858+Sheet1!F858+Sheet1!J858+Sheet1!K858+Sheet1!L858+Sheet1!M858</f>
        <v/>
      </c>
      <c r="C858">
        <f>IF(ISNUMBER(B858),B858,"")</f>
        <v/>
      </c>
      <c r="D858">
        <f>IF(ISNUMBER(C858),_xlfn.RANK.EQ(C858,$C$2:$C$1031),"")</f>
        <v/>
      </c>
      <c r="E858">
        <f>Sheet1!C858+Sheet1!D858+Sheet1!E858+Sheet1!F858+Sheet1!J858+Sheet1!K858+Sheet1!L858+Sheet1!M858+Sheet1!Q858+Sheet1!R858+Sheet1!S858+Sheet1!T858</f>
        <v/>
      </c>
      <c r="F858">
        <f>IF(ISNUMBER(E858),E858,"")</f>
        <v/>
      </c>
      <c r="G858">
        <f>IF(ISNUMBER(F858),_xlfn.RANK.EQ(F858,$F$2:$F$1031),"")</f>
        <v/>
      </c>
      <c r="H858">
        <f>INDEX(Sheet1!AH:AH,MATCH(A858,Sheet1!A:A,0))</f>
        <v/>
      </c>
    </row>
    <row r="859">
      <c r="A859" t="n">
        <v>2032</v>
      </c>
      <c r="B859">
        <f>Sheet1!C859+Sheet1!D859+Sheet1!E859+Sheet1!F859+Sheet1!J859+Sheet1!K859+Sheet1!L859+Sheet1!M859</f>
        <v/>
      </c>
      <c r="C859">
        <f>IF(ISNUMBER(B859),B859,"")</f>
        <v/>
      </c>
      <c r="D859">
        <f>IF(ISNUMBER(C859),_xlfn.RANK.EQ(C859,$C$2:$C$1031),"")</f>
        <v/>
      </c>
      <c r="E859">
        <f>Sheet1!C859+Sheet1!D859+Sheet1!E859+Sheet1!F859+Sheet1!J859+Sheet1!K859+Sheet1!L859+Sheet1!M859+Sheet1!Q859+Sheet1!R859+Sheet1!S859+Sheet1!T859</f>
        <v/>
      </c>
      <c r="F859">
        <f>IF(ISNUMBER(E859),E859,"")</f>
        <v/>
      </c>
      <c r="G859">
        <f>IF(ISNUMBER(F859),_xlfn.RANK.EQ(F859,$F$2:$F$1031),"")</f>
        <v/>
      </c>
      <c r="H859">
        <f>INDEX(Sheet1!AH:AH,MATCH(A859,Sheet1!A:A,0))</f>
        <v/>
      </c>
    </row>
    <row r="860">
      <c r="A860" t="n">
        <v>2033</v>
      </c>
      <c r="B860">
        <f>Sheet1!C860+Sheet1!D860+Sheet1!E860+Sheet1!F860+Sheet1!J860+Sheet1!K860+Sheet1!L860+Sheet1!M860</f>
        <v/>
      </c>
      <c r="C860">
        <f>IF(ISNUMBER(B860),B860,"")</f>
        <v/>
      </c>
      <c r="D860">
        <f>IF(ISNUMBER(C860),_xlfn.RANK.EQ(C860,$C$2:$C$1031),"")</f>
        <v/>
      </c>
      <c r="E860">
        <f>Sheet1!C860+Sheet1!D860+Sheet1!E860+Sheet1!F860+Sheet1!J860+Sheet1!K860+Sheet1!L860+Sheet1!M860+Sheet1!Q860+Sheet1!R860+Sheet1!S860+Sheet1!T860</f>
        <v/>
      </c>
      <c r="F860">
        <f>IF(ISNUMBER(E860),E860,"")</f>
        <v/>
      </c>
      <c r="G860">
        <f>IF(ISNUMBER(F860),_xlfn.RANK.EQ(F860,$F$2:$F$1031),"")</f>
        <v/>
      </c>
      <c r="H860">
        <f>INDEX(Sheet1!AH:AH,MATCH(A860,Sheet1!A:A,0))</f>
        <v/>
      </c>
    </row>
    <row r="861">
      <c r="A861" t="n">
        <v>2034</v>
      </c>
      <c r="B861">
        <f>Sheet1!C861+Sheet1!D861+Sheet1!E861+Sheet1!F861+Sheet1!J861+Sheet1!K861+Sheet1!L861+Sheet1!M861</f>
        <v/>
      </c>
      <c r="C861">
        <f>IF(ISNUMBER(B861),B861,"")</f>
        <v/>
      </c>
      <c r="D861">
        <f>IF(ISNUMBER(C861),_xlfn.RANK.EQ(C861,$C$2:$C$1031),"")</f>
        <v/>
      </c>
      <c r="E861">
        <f>Sheet1!C861+Sheet1!D861+Sheet1!E861+Sheet1!F861+Sheet1!J861+Sheet1!K861+Sheet1!L861+Sheet1!M861+Sheet1!Q861+Sheet1!R861+Sheet1!S861+Sheet1!T861</f>
        <v/>
      </c>
      <c r="F861">
        <f>IF(ISNUMBER(E861),E861,"")</f>
        <v/>
      </c>
      <c r="G861">
        <f>IF(ISNUMBER(F861),_xlfn.RANK.EQ(F861,$F$2:$F$1031),"")</f>
        <v/>
      </c>
      <c r="H861">
        <f>INDEX(Sheet1!AH:AH,MATCH(A861,Sheet1!A:A,0))</f>
        <v/>
      </c>
    </row>
    <row r="862">
      <c r="A862" t="n">
        <v>2046</v>
      </c>
      <c r="B862">
        <f>Sheet1!C862+Sheet1!D862+Sheet1!E862+Sheet1!F862+Sheet1!J862+Sheet1!K862+Sheet1!L862+Sheet1!M862</f>
        <v/>
      </c>
      <c r="C862">
        <f>IF(ISNUMBER(B862),B862,"")</f>
        <v/>
      </c>
      <c r="D862">
        <f>IF(ISNUMBER(C862),_xlfn.RANK.EQ(C862,$C$2:$C$1031),"")</f>
        <v/>
      </c>
      <c r="E862">
        <f>Sheet1!C862+Sheet1!D862+Sheet1!E862+Sheet1!F862+Sheet1!J862+Sheet1!K862+Sheet1!L862+Sheet1!M862+Sheet1!Q862+Sheet1!R862+Sheet1!S862+Sheet1!T862</f>
        <v/>
      </c>
      <c r="F862">
        <f>IF(ISNUMBER(E862),E862,"")</f>
        <v/>
      </c>
      <c r="G862">
        <f>IF(ISNUMBER(F862),_xlfn.RANK.EQ(F862,$F$2:$F$1031),"")</f>
        <v/>
      </c>
      <c r="H862">
        <f>INDEX(Sheet1!AH:AH,MATCH(A862,Sheet1!A:A,0))</f>
        <v/>
      </c>
    </row>
    <row r="863">
      <c r="A863" t="n">
        <v>2049</v>
      </c>
      <c r="B863">
        <f>Sheet1!C863+Sheet1!D863+Sheet1!E863+Sheet1!F863+Sheet1!J863+Sheet1!K863+Sheet1!L863+Sheet1!M863</f>
        <v/>
      </c>
      <c r="C863">
        <f>IF(ISNUMBER(B863),B863,"")</f>
        <v/>
      </c>
      <c r="D863">
        <f>IF(ISNUMBER(C863),_xlfn.RANK.EQ(C863,$C$2:$C$1031),"")</f>
        <v/>
      </c>
      <c r="E863">
        <f>Sheet1!C863+Sheet1!D863+Sheet1!E863+Sheet1!F863+Sheet1!J863+Sheet1!K863+Sheet1!L863+Sheet1!M863+Sheet1!Q863+Sheet1!R863+Sheet1!S863+Sheet1!T863</f>
        <v/>
      </c>
      <c r="F863">
        <f>IF(ISNUMBER(E863),E863,"")</f>
        <v/>
      </c>
      <c r="G863">
        <f>IF(ISNUMBER(F863),_xlfn.RANK.EQ(F863,$F$2:$F$1031),"")</f>
        <v/>
      </c>
      <c r="H863">
        <f>INDEX(Sheet1!AH:AH,MATCH(A863,Sheet1!A:A,0))</f>
        <v/>
      </c>
    </row>
    <row r="864">
      <c r="A864" t="n">
        <v>2050</v>
      </c>
      <c r="B864">
        <f>Sheet1!C864+Sheet1!D864+Sheet1!E864+Sheet1!F864+Sheet1!J864+Sheet1!K864+Sheet1!L864+Sheet1!M864</f>
        <v/>
      </c>
      <c r="C864">
        <f>IF(ISNUMBER(B864),B864,"")</f>
        <v/>
      </c>
      <c r="D864">
        <f>IF(ISNUMBER(C864),_xlfn.RANK.EQ(C864,$C$2:$C$1031),"")</f>
        <v/>
      </c>
      <c r="E864">
        <f>Sheet1!C864+Sheet1!D864+Sheet1!E864+Sheet1!F864+Sheet1!J864+Sheet1!K864+Sheet1!L864+Sheet1!M864+Sheet1!Q864+Sheet1!R864+Sheet1!S864+Sheet1!T864</f>
        <v/>
      </c>
      <c r="F864">
        <f>IF(ISNUMBER(E864),E864,"")</f>
        <v/>
      </c>
      <c r="G864">
        <f>IF(ISNUMBER(F864),_xlfn.RANK.EQ(F864,$F$2:$F$1031),"")</f>
        <v/>
      </c>
      <c r="H864">
        <f>INDEX(Sheet1!AH:AH,MATCH(A864,Sheet1!A:A,0))</f>
        <v/>
      </c>
    </row>
    <row r="865">
      <c r="A865" t="n">
        <v>2057</v>
      </c>
      <c r="B865">
        <f>Sheet1!C865+Sheet1!D865+Sheet1!E865+Sheet1!F865+Sheet1!J865+Sheet1!K865+Sheet1!L865+Sheet1!M865</f>
        <v/>
      </c>
      <c r="C865">
        <f>IF(ISNUMBER(B865),B865,"")</f>
        <v/>
      </c>
      <c r="D865">
        <f>IF(ISNUMBER(C865),_xlfn.RANK.EQ(C865,$C$2:$C$1031),"")</f>
        <v/>
      </c>
      <c r="E865">
        <f>Sheet1!C865+Sheet1!D865+Sheet1!E865+Sheet1!F865+Sheet1!J865+Sheet1!K865+Sheet1!L865+Sheet1!M865+Sheet1!Q865+Sheet1!R865+Sheet1!S865+Sheet1!T865</f>
        <v/>
      </c>
      <c r="F865">
        <f>IF(ISNUMBER(E865),E865,"")</f>
        <v/>
      </c>
      <c r="G865">
        <f>IF(ISNUMBER(F865),_xlfn.RANK.EQ(F865,$F$2:$F$1031),"")</f>
        <v/>
      </c>
      <c r="H865">
        <f>INDEX(Sheet1!AH:AH,MATCH(A865,Sheet1!A:A,0))</f>
        <v/>
      </c>
    </row>
    <row r="866">
      <c r="A866" t="n">
        <v>2058</v>
      </c>
      <c r="B866">
        <f>Sheet1!C866+Sheet1!D866+Sheet1!E866+Sheet1!F866+Sheet1!J866+Sheet1!K866+Sheet1!L866+Sheet1!M866</f>
        <v/>
      </c>
      <c r="C866">
        <f>IF(ISNUMBER(B866),B866,"")</f>
        <v/>
      </c>
      <c r="D866">
        <f>IF(ISNUMBER(C866),_xlfn.RANK.EQ(C866,$C$2:$C$1031),"")</f>
        <v/>
      </c>
      <c r="E866">
        <f>Sheet1!C866+Sheet1!D866+Sheet1!E866+Sheet1!F866+Sheet1!J866+Sheet1!K866+Sheet1!L866+Sheet1!M866+Sheet1!Q866+Sheet1!R866+Sheet1!S866+Sheet1!T866</f>
        <v/>
      </c>
      <c r="F866">
        <f>IF(ISNUMBER(E866),E866,"")</f>
        <v/>
      </c>
      <c r="G866">
        <f>IF(ISNUMBER(F866),_xlfn.RANK.EQ(F866,$F$2:$F$1031),"")</f>
        <v/>
      </c>
      <c r="H866">
        <f>INDEX(Sheet1!AH:AH,MATCH(A866,Sheet1!A:A,0))</f>
        <v/>
      </c>
    </row>
    <row r="867">
      <c r="A867" t="n">
        <v>2059</v>
      </c>
      <c r="B867">
        <f>Sheet1!C867+Sheet1!D867+Sheet1!E867+Sheet1!F867+Sheet1!J867+Sheet1!K867+Sheet1!L867+Sheet1!M867</f>
        <v/>
      </c>
      <c r="C867">
        <f>IF(ISNUMBER(B867),B867,"")</f>
        <v/>
      </c>
      <c r="D867">
        <f>IF(ISNUMBER(C867),_xlfn.RANK.EQ(C867,$C$2:$C$1031),"")</f>
        <v/>
      </c>
      <c r="E867">
        <f>Sheet1!C867+Sheet1!D867+Sheet1!E867+Sheet1!F867+Sheet1!J867+Sheet1!K867+Sheet1!L867+Sheet1!M867+Sheet1!Q867+Sheet1!R867+Sheet1!S867+Sheet1!T867</f>
        <v/>
      </c>
      <c r="F867">
        <f>IF(ISNUMBER(E867),E867,"")</f>
        <v/>
      </c>
      <c r="G867">
        <f>IF(ISNUMBER(F867),_xlfn.RANK.EQ(F867,$F$2:$F$1031),"")</f>
        <v/>
      </c>
      <c r="H867">
        <f>INDEX(Sheet1!AH:AH,MATCH(A867,Sheet1!A:A,0))</f>
        <v/>
      </c>
    </row>
    <row r="868">
      <c r="A868" t="n">
        <v>2060</v>
      </c>
      <c r="B868">
        <f>Sheet1!C868+Sheet1!D868+Sheet1!E868+Sheet1!F868+Sheet1!J868+Sheet1!K868+Sheet1!L868+Sheet1!M868</f>
        <v/>
      </c>
      <c r="C868">
        <f>IF(ISNUMBER(B868),B868,"")</f>
        <v/>
      </c>
      <c r="D868">
        <f>IF(ISNUMBER(C868),_xlfn.RANK.EQ(C868,$C$2:$C$1031),"")</f>
        <v/>
      </c>
      <c r="E868">
        <f>Sheet1!C868+Sheet1!D868+Sheet1!E868+Sheet1!F868+Sheet1!J868+Sheet1!K868+Sheet1!L868+Sheet1!M868+Sheet1!Q868+Sheet1!R868+Sheet1!S868+Sheet1!T868</f>
        <v/>
      </c>
      <c r="F868">
        <f>IF(ISNUMBER(E868),E868,"")</f>
        <v/>
      </c>
      <c r="G868">
        <f>IF(ISNUMBER(F868),_xlfn.RANK.EQ(F868,$F$2:$F$1031),"")</f>
        <v/>
      </c>
      <c r="H868">
        <f>INDEX(Sheet1!AH:AH,MATCH(A868,Sheet1!A:A,0))</f>
        <v/>
      </c>
    </row>
    <row r="869">
      <c r="A869" t="n">
        <v>2062</v>
      </c>
      <c r="B869">
        <f>Sheet1!C869+Sheet1!D869+Sheet1!E869+Sheet1!F869+Sheet1!J869+Sheet1!K869+Sheet1!L869+Sheet1!M869</f>
        <v/>
      </c>
      <c r="C869">
        <f>IF(ISNUMBER(B869),B869,"")</f>
        <v/>
      </c>
      <c r="D869">
        <f>IF(ISNUMBER(C869),_xlfn.RANK.EQ(C869,$C$2:$C$1031),"")</f>
        <v/>
      </c>
      <c r="E869">
        <f>Sheet1!C869+Sheet1!D869+Sheet1!E869+Sheet1!F869+Sheet1!J869+Sheet1!K869+Sheet1!L869+Sheet1!M869+Sheet1!Q869+Sheet1!R869+Sheet1!S869+Sheet1!T869</f>
        <v/>
      </c>
      <c r="F869">
        <f>IF(ISNUMBER(E869),E869,"")</f>
        <v/>
      </c>
      <c r="G869">
        <f>IF(ISNUMBER(F869),_xlfn.RANK.EQ(F869,$F$2:$F$1031),"")</f>
        <v/>
      </c>
      <c r="H869">
        <f>INDEX(Sheet1!AH:AH,MATCH(A869,Sheet1!A:A,0))</f>
        <v/>
      </c>
    </row>
    <row r="870">
      <c r="A870" t="n">
        <v>2063</v>
      </c>
      <c r="B870">
        <f>Sheet1!C870+Sheet1!D870+Sheet1!E870+Sheet1!F870+Sheet1!J870+Sheet1!K870+Sheet1!L870+Sheet1!M870</f>
        <v/>
      </c>
      <c r="C870">
        <f>IF(ISNUMBER(B870),B870,"")</f>
        <v/>
      </c>
      <c r="D870">
        <f>IF(ISNUMBER(C870),_xlfn.RANK.EQ(C870,$C$2:$C$1031),"")</f>
        <v/>
      </c>
      <c r="E870">
        <f>Sheet1!C870+Sheet1!D870+Sheet1!E870+Sheet1!F870+Sheet1!J870+Sheet1!K870+Sheet1!L870+Sheet1!M870+Sheet1!Q870+Sheet1!R870+Sheet1!S870+Sheet1!T870</f>
        <v/>
      </c>
      <c r="F870">
        <f>IF(ISNUMBER(E870),E870,"")</f>
        <v/>
      </c>
      <c r="G870">
        <f>IF(ISNUMBER(F870),_xlfn.RANK.EQ(F870,$F$2:$F$1031),"")</f>
        <v/>
      </c>
      <c r="H870">
        <f>INDEX(Sheet1!AH:AH,MATCH(A870,Sheet1!A:A,0))</f>
        <v/>
      </c>
    </row>
    <row r="871">
      <c r="A871" t="n">
        <v>2064</v>
      </c>
      <c r="B871">
        <f>Sheet1!C871+Sheet1!D871+Sheet1!E871+Sheet1!F871+Sheet1!J871+Sheet1!K871+Sheet1!L871+Sheet1!M871</f>
        <v/>
      </c>
      <c r="C871">
        <f>IF(ISNUMBER(B871),B871,"")</f>
        <v/>
      </c>
      <c r="D871">
        <f>IF(ISNUMBER(C871),_xlfn.RANK.EQ(C871,$C$2:$C$1031),"")</f>
        <v/>
      </c>
      <c r="E871">
        <f>Sheet1!C871+Sheet1!D871+Sheet1!E871+Sheet1!F871+Sheet1!J871+Sheet1!K871+Sheet1!L871+Sheet1!M871+Sheet1!Q871+Sheet1!R871+Sheet1!S871+Sheet1!T871</f>
        <v/>
      </c>
      <c r="F871">
        <f>IF(ISNUMBER(E871),E871,"")</f>
        <v/>
      </c>
      <c r="G871">
        <f>IF(ISNUMBER(F871),_xlfn.RANK.EQ(F871,$F$2:$F$1031),"")</f>
        <v/>
      </c>
      <c r="H871">
        <f>INDEX(Sheet1!AH:AH,MATCH(A871,Sheet1!A:A,0))</f>
        <v/>
      </c>
    </row>
    <row r="872">
      <c r="A872" t="n">
        <v>2067</v>
      </c>
      <c r="B872">
        <f>Sheet1!C872+Sheet1!D872+Sheet1!E872+Sheet1!F872+Sheet1!J872+Sheet1!K872+Sheet1!L872+Sheet1!M872</f>
        <v/>
      </c>
      <c r="C872">
        <f>IF(ISNUMBER(B872),B872,"")</f>
        <v/>
      </c>
      <c r="D872">
        <f>IF(ISNUMBER(C872),_xlfn.RANK.EQ(C872,$C$2:$C$1031),"")</f>
        <v/>
      </c>
      <c r="E872">
        <f>Sheet1!C872+Sheet1!D872+Sheet1!E872+Sheet1!F872+Sheet1!J872+Sheet1!K872+Sheet1!L872+Sheet1!M872+Sheet1!Q872+Sheet1!R872+Sheet1!S872+Sheet1!T872</f>
        <v/>
      </c>
      <c r="F872">
        <f>IF(ISNUMBER(E872),E872,"")</f>
        <v/>
      </c>
      <c r="G872">
        <f>IF(ISNUMBER(F872),_xlfn.RANK.EQ(F872,$F$2:$F$1031),"")</f>
        <v/>
      </c>
      <c r="H872">
        <f>INDEX(Sheet1!AH:AH,MATCH(A872,Sheet1!A:A,0))</f>
        <v/>
      </c>
    </row>
    <row r="873">
      <c r="A873" t="n">
        <v>2069</v>
      </c>
      <c r="B873">
        <f>Sheet1!C873+Sheet1!D873+Sheet1!E873+Sheet1!F873+Sheet1!J873+Sheet1!K873+Sheet1!L873+Sheet1!M873</f>
        <v/>
      </c>
      <c r="C873">
        <f>IF(ISNUMBER(B873),B873,"")</f>
        <v/>
      </c>
      <c r="D873">
        <f>IF(ISNUMBER(C873),_xlfn.RANK.EQ(C873,$C$2:$C$1031),"")</f>
        <v/>
      </c>
      <c r="E873">
        <f>Sheet1!C873+Sheet1!D873+Sheet1!E873+Sheet1!F873+Sheet1!J873+Sheet1!K873+Sheet1!L873+Sheet1!M873+Sheet1!Q873+Sheet1!R873+Sheet1!S873+Sheet1!T873</f>
        <v/>
      </c>
      <c r="F873">
        <f>IF(ISNUMBER(E873),E873,"")</f>
        <v/>
      </c>
      <c r="G873">
        <f>IF(ISNUMBER(F873),_xlfn.RANK.EQ(F873,$F$2:$F$1031),"")</f>
        <v/>
      </c>
      <c r="H873">
        <f>INDEX(Sheet1!AH:AH,MATCH(A873,Sheet1!A:A,0))</f>
        <v/>
      </c>
    </row>
    <row r="874">
      <c r="A874" t="n">
        <v>2071</v>
      </c>
      <c r="B874">
        <f>Sheet1!C874+Sheet1!D874+Sheet1!E874+Sheet1!F874+Sheet1!J874+Sheet1!K874+Sheet1!L874+Sheet1!M874</f>
        <v/>
      </c>
      <c r="C874">
        <f>IF(ISNUMBER(B874),B874,"")</f>
        <v/>
      </c>
      <c r="D874">
        <f>IF(ISNUMBER(C874),_xlfn.RANK.EQ(C874,$C$2:$C$1031),"")</f>
        <v/>
      </c>
      <c r="E874">
        <f>Sheet1!C874+Sheet1!D874+Sheet1!E874+Sheet1!F874+Sheet1!J874+Sheet1!K874+Sheet1!L874+Sheet1!M874+Sheet1!Q874+Sheet1!R874+Sheet1!S874+Sheet1!T874</f>
        <v/>
      </c>
      <c r="F874">
        <f>IF(ISNUMBER(E874),E874,"")</f>
        <v/>
      </c>
      <c r="G874">
        <f>IF(ISNUMBER(F874),_xlfn.RANK.EQ(F874,$F$2:$F$1031),"")</f>
        <v/>
      </c>
      <c r="H874">
        <f>INDEX(Sheet1!AH:AH,MATCH(A874,Sheet1!A:A,0))</f>
        <v/>
      </c>
    </row>
    <row r="875">
      <c r="A875" t="n">
        <v>2073</v>
      </c>
      <c r="B875">
        <f>Sheet1!C875+Sheet1!D875+Sheet1!E875+Sheet1!F875+Sheet1!J875+Sheet1!K875+Sheet1!L875+Sheet1!M875</f>
        <v/>
      </c>
      <c r="C875">
        <f>IF(ISNUMBER(B875),B875,"")</f>
        <v/>
      </c>
      <c r="D875">
        <f>IF(ISNUMBER(C875),_xlfn.RANK.EQ(C875,$C$2:$C$1031),"")</f>
        <v/>
      </c>
      <c r="E875">
        <f>Sheet1!C875+Sheet1!D875+Sheet1!E875+Sheet1!F875+Sheet1!J875+Sheet1!K875+Sheet1!L875+Sheet1!M875+Sheet1!Q875+Sheet1!R875+Sheet1!S875+Sheet1!T875</f>
        <v/>
      </c>
      <c r="F875">
        <f>IF(ISNUMBER(E875),E875,"")</f>
        <v/>
      </c>
      <c r="G875">
        <f>IF(ISNUMBER(F875),_xlfn.RANK.EQ(F875,$F$2:$F$1031),"")</f>
        <v/>
      </c>
      <c r="H875">
        <f>INDEX(Sheet1!AH:AH,MATCH(A875,Sheet1!A:A,0))</f>
        <v/>
      </c>
    </row>
    <row r="876">
      <c r="A876" t="n">
        <v>2075</v>
      </c>
      <c r="B876">
        <f>Sheet1!C876+Sheet1!D876+Sheet1!E876+Sheet1!F876+Sheet1!J876+Sheet1!K876+Sheet1!L876+Sheet1!M876</f>
        <v/>
      </c>
      <c r="C876">
        <f>IF(ISNUMBER(B876),B876,"")</f>
        <v/>
      </c>
      <c r="D876">
        <f>IF(ISNUMBER(C876),_xlfn.RANK.EQ(C876,$C$2:$C$1031),"")</f>
        <v/>
      </c>
      <c r="E876">
        <f>Sheet1!C876+Sheet1!D876+Sheet1!E876+Sheet1!F876+Sheet1!J876+Sheet1!K876+Sheet1!L876+Sheet1!M876+Sheet1!Q876+Sheet1!R876+Sheet1!S876+Sheet1!T876</f>
        <v/>
      </c>
      <c r="F876">
        <f>IF(ISNUMBER(E876),E876,"")</f>
        <v/>
      </c>
      <c r="G876">
        <f>IF(ISNUMBER(F876),_xlfn.RANK.EQ(F876,$F$2:$F$1031),"")</f>
        <v/>
      </c>
      <c r="H876">
        <f>INDEX(Sheet1!AH:AH,MATCH(A876,Sheet1!A:A,0))</f>
        <v/>
      </c>
    </row>
    <row r="877">
      <c r="A877" t="n">
        <v>2077</v>
      </c>
      <c r="B877">
        <f>Sheet1!C877+Sheet1!D877+Sheet1!E877+Sheet1!F877+Sheet1!J877+Sheet1!K877+Sheet1!L877+Sheet1!M877</f>
        <v/>
      </c>
      <c r="C877">
        <f>IF(ISNUMBER(B877),B877,"")</f>
        <v/>
      </c>
      <c r="D877">
        <f>IF(ISNUMBER(C877),_xlfn.RANK.EQ(C877,$C$2:$C$1031),"")</f>
        <v/>
      </c>
      <c r="E877">
        <f>Sheet1!C877+Sheet1!D877+Sheet1!E877+Sheet1!F877+Sheet1!J877+Sheet1!K877+Sheet1!L877+Sheet1!M877+Sheet1!Q877+Sheet1!R877+Sheet1!S877+Sheet1!T877</f>
        <v/>
      </c>
      <c r="F877">
        <f>IF(ISNUMBER(E877),E877,"")</f>
        <v/>
      </c>
      <c r="G877">
        <f>IF(ISNUMBER(F877),_xlfn.RANK.EQ(F877,$F$2:$F$1031),"")</f>
        <v/>
      </c>
      <c r="H877">
        <f>INDEX(Sheet1!AH:AH,MATCH(A877,Sheet1!A:A,0))</f>
        <v/>
      </c>
    </row>
    <row r="878">
      <c r="A878" t="n">
        <v>2080</v>
      </c>
      <c r="B878">
        <f>Sheet1!C878+Sheet1!D878+Sheet1!E878+Sheet1!F878+Sheet1!J878+Sheet1!K878+Sheet1!L878+Sheet1!M878</f>
        <v/>
      </c>
      <c r="C878">
        <f>IF(ISNUMBER(B878),B878,"")</f>
        <v/>
      </c>
      <c r="D878">
        <f>IF(ISNUMBER(C878),_xlfn.RANK.EQ(C878,$C$2:$C$1031),"")</f>
        <v/>
      </c>
      <c r="E878">
        <f>Sheet1!C878+Sheet1!D878+Sheet1!E878+Sheet1!F878+Sheet1!J878+Sheet1!K878+Sheet1!L878+Sheet1!M878+Sheet1!Q878+Sheet1!R878+Sheet1!S878+Sheet1!T878</f>
        <v/>
      </c>
      <c r="F878">
        <f>IF(ISNUMBER(E878),E878,"")</f>
        <v/>
      </c>
      <c r="G878">
        <f>IF(ISNUMBER(F878),_xlfn.RANK.EQ(F878,$F$2:$F$1031),"")</f>
        <v/>
      </c>
      <c r="H878">
        <f>INDEX(Sheet1!AH:AH,MATCH(A878,Sheet1!A:A,0))</f>
        <v/>
      </c>
    </row>
    <row r="879">
      <c r="A879" t="n">
        <v>2081</v>
      </c>
      <c r="B879">
        <f>Sheet1!C879+Sheet1!D879+Sheet1!E879+Sheet1!F879+Sheet1!J879+Sheet1!K879+Sheet1!L879+Sheet1!M879</f>
        <v/>
      </c>
      <c r="C879">
        <f>IF(ISNUMBER(B879),B879,"")</f>
        <v/>
      </c>
      <c r="D879">
        <f>IF(ISNUMBER(C879),_xlfn.RANK.EQ(C879,$C$2:$C$1031),"")</f>
        <v/>
      </c>
      <c r="E879">
        <f>Sheet1!C879+Sheet1!D879+Sheet1!E879+Sheet1!F879+Sheet1!J879+Sheet1!K879+Sheet1!L879+Sheet1!M879+Sheet1!Q879+Sheet1!R879+Sheet1!S879+Sheet1!T879</f>
        <v/>
      </c>
      <c r="F879">
        <f>IF(ISNUMBER(E879),E879,"")</f>
        <v/>
      </c>
      <c r="G879">
        <f>IF(ISNUMBER(F879),_xlfn.RANK.EQ(F879,$F$2:$F$1031),"")</f>
        <v/>
      </c>
      <c r="H879">
        <f>INDEX(Sheet1!AH:AH,MATCH(A879,Sheet1!A:A,0))</f>
        <v/>
      </c>
    </row>
    <row r="880">
      <c r="A880" t="n">
        <v>2082</v>
      </c>
      <c r="B880">
        <f>Sheet1!C880+Sheet1!D880+Sheet1!E880+Sheet1!F880+Sheet1!J880+Sheet1!K880+Sheet1!L880+Sheet1!M880</f>
        <v/>
      </c>
      <c r="C880">
        <f>IF(ISNUMBER(B880),B880,"")</f>
        <v/>
      </c>
      <c r="D880">
        <f>IF(ISNUMBER(C880),_xlfn.RANK.EQ(C880,$C$2:$C$1031),"")</f>
        <v/>
      </c>
      <c r="E880">
        <f>Sheet1!C880+Sheet1!D880+Sheet1!E880+Sheet1!F880+Sheet1!J880+Sheet1!K880+Sheet1!L880+Sheet1!M880+Sheet1!Q880+Sheet1!R880+Sheet1!S880+Sheet1!T880</f>
        <v/>
      </c>
      <c r="F880">
        <f>IF(ISNUMBER(E880),E880,"")</f>
        <v/>
      </c>
      <c r="G880">
        <f>IF(ISNUMBER(F880),_xlfn.RANK.EQ(F880,$F$2:$F$1031),"")</f>
        <v/>
      </c>
      <c r="H880">
        <f>INDEX(Sheet1!AH:AH,MATCH(A880,Sheet1!A:A,0))</f>
        <v/>
      </c>
    </row>
    <row r="881">
      <c r="A881" t="n">
        <v>2083</v>
      </c>
      <c r="B881">
        <f>Sheet1!C881+Sheet1!D881+Sheet1!E881+Sheet1!F881+Sheet1!J881+Sheet1!K881+Sheet1!L881+Sheet1!M881</f>
        <v/>
      </c>
      <c r="C881">
        <f>IF(ISNUMBER(B881),B881,"")</f>
        <v/>
      </c>
      <c r="D881">
        <f>IF(ISNUMBER(C881),_xlfn.RANK.EQ(C881,$C$2:$C$1031),"")</f>
        <v/>
      </c>
      <c r="E881">
        <f>Sheet1!C881+Sheet1!D881+Sheet1!E881+Sheet1!F881+Sheet1!J881+Sheet1!K881+Sheet1!L881+Sheet1!M881+Sheet1!Q881+Sheet1!R881+Sheet1!S881+Sheet1!T881</f>
        <v/>
      </c>
      <c r="F881">
        <f>IF(ISNUMBER(E881),E881,"")</f>
        <v/>
      </c>
      <c r="G881">
        <f>IF(ISNUMBER(F881),_xlfn.RANK.EQ(F881,$F$2:$F$1031),"")</f>
        <v/>
      </c>
      <c r="H881">
        <f>INDEX(Sheet1!AH:AH,MATCH(A881,Sheet1!A:A,0))</f>
        <v/>
      </c>
    </row>
    <row r="882">
      <c r="A882" t="n">
        <v>2084</v>
      </c>
      <c r="B882">
        <f>Sheet1!C882+Sheet1!D882+Sheet1!E882+Sheet1!F882+Sheet1!J882+Sheet1!K882+Sheet1!L882+Sheet1!M882</f>
        <v/>
      </c>
      <c r="C882">
        <f>IF(ISNUMBER(B882),B882,"")</f>
        <v/>
      </c>
      <c r="D882">
        <f>IF(ISNUMBER(C882),_xlfn.RANK.EQ(C882,$C$2:$C$1031),"")</f>
        <v/>
      </c>
      <c r="E882">
        <f>Sheet1!C882+Sheet1!D882+Sheet1!E882+Sheet1!F882+Sheet1!J882+Sheet1!K882+Sheet1!L882+Sheet1!M882+Sheet1!Q882+Sheet1!R882+Sheet1!S882+Sheet1!T882</f>
        <v/>
      </c>
      <c r="F882">
        <f>IF(ISNUMBER(E882),E882,"")</f>
        <v/>
      </c>
      <c r="G882">
        <f>IF(ISNUMBER(F882),_xlfn.RANK.EQ(F882,$F$2:$F$1031),"")</f>
        <v/>
      </c>
      <c r="H882">
        <f>INDEX(Sheet1!AH:AH,MATCH(A882,Sheet1!A:A,0))</f>
        <v/>
      </c>
    </row>
    <row r="883">
      <c r="A883" t="n">
        <v>2085</v>
      </c>
      <c r="B883">
        <f>Sheet1!C883+Sheet1!D883+Sheet1!E883+Sheet1!F883+Sheet1!J883+Sheet1!K883+Sheet1!L883+Sheet1!M883</f>
        <v/>
      </c>
      <c r="C883">
        <f>IF(ISNUMBER(B883),B883,"")</f>
        <v/>
      </c>
      <c r="D883">
        <f>IF(ISNUMBER(C883),_xlfn.RANK.EQ(C883,$C$2:$C$1031),"")</f>
        <v/>
      </c>
      <c r="E883">
        <f>Sheet1!C883+Sheet1!D883+Sheet1!E883+Sheet1!F883+Sheet1!J883+Sheet1!K883+Sheet1!L883+Sheet1!M883+Sheet1!Q883+Sheet1!R883+Sheet1!S883+Sheet1!T883</f>
        <v/>
      </c>
      <c r="F883">
        <f>IF(ISNUMBER(E883),E883,"")</f>
        <v/>
      </c>
      <c r="G883">
        <f>IF(ISNUMBER(F883),_xlfn.RANK.EQ(F883,$F$2:$F$1031),"")</f>
        <v/>
      </c>
      <c r="H883">
        <f>INDEX(Sheet1!AH:AH,MATCH(A883,Sheet1!A:A,0))</f>
        <v/>
      </c>
    </row>
    <row r="884">
      <c r="A884" t="n">
        <v>2087</v>
      </c>
      <c r="B884">
        <f>Sheet1!C884+Sheet1!D884+Sheet1!E884+Sheet1!F884+Sheet1!J884+Sheet1!K884+Sheet1!L884+Sheet1!M884</f>
        <v/>
      </c>
      <c r="C884">
        <f>IF(ISNUMBER(B884),B884,"")</f>
        <v/>
      </c>
      <c r="D884">
        <f>IF(ISNUMBER(C884),_xlfn.RANK.EQ(C884,$C$2:$C$1031),"")</f>
        <v/>
      </c>
      <c r="E884">
        <f>Sheet1!C884+Sheet1!D884+Sheet1!E884+Sheet1!F884+Sheet1!J884+Sheet1!K884+Sheet1!L884+Sheet1!M884+Sheet1!Q884+Sheet1!R884+Sheet1!S884+Sheet1!T884</f>
        <v/>
      </c>
      <c r="F884">
        <f>IF(ISNUMBER(E884),E884,"")</f>
        <v/>
      </c>
      <c r="G884">
        <f>IF(ISNUMBER(F884),_xlfn.RANK.EQ(F884,$F$2:$F$1031),"")</f>
        <v/>
      </c>
      <c r="H884">
        <f>INDEX(Sheet1!AH:AH,MATCH(A884,Sheet1!A:A,0))</f>
        <v/>
      </c>
    </row>
    <row r="885">
      <c r="A885" t="n">
        <v>2088</v>
      </c>
      <c r="B885">
        <f>Sheet1!C885+Sheet1!D885+Sheet1!E885+Sheet1!F885+Sheet1!J885+Sheet1!K885+Sheet1!L885+Sheet1!M885</f>
        <v/>
      </c>
      <c r="C885">
        <f>IF(ISNUMBER(B885),B885,"")</f>
        <v/>
      </c>
      <c r="D885">
        <f>IF(ISNUMBER(C885),_xlfn.RANK.EQ(C885,$C$2:$C$1031),"")</f>
        <v/>
      </c>
      <c r="E885">
        <f>Sheet1!C885+Sheet1!D885+Sheet1!E885+Sheet1!F885+Sheet1!J885+Sheet1!K885+Sheet1!L885+Sheet1!M885+Sheet1!Q885+Sheet1!R885+Sheet1!S885+Sheet1!T885</f>
        <v/>
      </c>
      <c r="F885">
        <f>IF(ISNUMBER(E885),E885,"")</f>
        <v/>
      </c>
      <c r="G885">
        <f>IF(ISNUMBER(F885),_xlfn.RANK.EQ(F885,$F$2:$F$1031),"")</f>
        <v/>
      </c>
      <c r="H885">
        <f>INDEX(Sheet1!AH:AH,MATCH(A885,Sheet1!A:A,0))</f>
        <v/>
      </c>
    </row>
    <row r="886">
      <c r="A886" t="n">
        <v>2089</v>
      </c>
      <c r="B886">
        <f>Sheet1!C886+Sheet1!D886+Sheet1!E886+Sheet1!F886+Sheet1!J886+Sheet1!K886+Sheet1!L886+Sheet1!M886</f>
        <v/>
      </c>
      <c r="C886">
        <f>IF(ISNUMBER(B886),B886,"")</f>
        <v/>
      </c>
      <c r="D886">
        <f>IF(ISNUMBER(C886),_xlfn.RANK.EQ(C886,$C$2:$C$1031),"")</f>
        <v/>
      </c>
      <c r="E886">
        <f>Sheet1!C886+Sheet1!D886+Sheet1!E886+Sheet1!F886+Sheet1!J886+Sheet1!K886+Sheet1!L886+Sheet1!M886+Sheet1!Q886+Sheet1!R886+Sheet1!S886+Sheet1!T886</f>
        <v/>
      </c>
      <c r="F886">
        <f>IF(ISNUMBER(E886),E886,"")</f>
        <v/>
      </c>
      <c r="G886">
        <f>IF(ISNUMBER(F886),_xlfn.RANK.EQ(F886,$F$2:$F$1031),"")</f>
        <v/>
      </c>
      <c r="H886">
        <f>INDEX(Sheet1!AH:AH,MATCH(A886,Sheet1!A:A,0))</f>
        <v/>
      </c>
    </row>
    <row r="887">
      <c r="A887" t="n">
        <v>2090</v>
      </c>
      <c r="B887">
        <f>Sheet1!C887+Sheet1!D887+Sheet1!E887+Sheet1!F887+Sheet1!J887+Sheet1!K887+Sheet1!L887+Sheet1!M887</f>
        <v/>
      </c>
      <c r="C887">
        <f>IF(ISNUMBER(B887),B887,"")</f>
        <v/>
      </c>
      <c r="D887">
        <f>IF(ISNUMBER(C887),_xlfn.RANK.EQ(C887,$C$2:$C$1031),"")</f>
        <v/>
      </c>
      <c r="E887">
        <f>Sheet1!C887+Sheet1!D887+Sheet1!E887+Sheet1!F887+Sheet1!J887+Sheet1!K887+Sheet1!L887+Sheet1!M887+Sheet1!Q887+Sheet1!R887+Sheet1!S887+Sheet1!T887</f>
        <v/>
      </c>
      <c r="F887">
        <f>IF(ISNUMBER(E887),E887,"")</f>
        <v/>
      </c>
      <c r="G887">
        <f>IF(ISNUMBER(F887),_xlfn.RANK.EQ(F887,$F$2:$F$1031),"")</f>
        <v/>
      </c>
      <c r="H887">
        <f>INDEX(Sheet1!AH:AH,MATCH(A887,Sheet1!A:A,0))</f>
        <v/>
      </c>
    </row>
    <row r="888">
      <c r="A888" t="n">
        <v>2096</v>
      </c>
      <c r="B888">
        <f>Sheet1!C888+Sheet1!D888+Sheet1!E888+Sheet1!F888+Sheet1!J888+Sheet1!K888+Sheet1!L888+Sheet1!M888</f>
        <v/>
      </c>
      <c r="C888">
        <f>IF(ISNUMBER(B888),B888,"")</f>
        <v/>
      </c>
      <c r="D888">
        <f>IF(ISNUMBER(C888),_xlfn.RANK.EQ(C888,$C$2:$C$1031),"")</f>
        <v/>
      </c>
      <c r="E888">
        <f>Sheet1!C888+Sheet1!D888+Sheet1!E888+Sheet1!F888+Sheet1!J888+Sheet1!K888+Sheet1!L888+Sheet1!M888+Sheet1!Q888+Sheet1!R888+Sheet1!S888+Sheet1!T888</f>
        <v/>
      </c>
      <c r="F888">
        <f>IF(ISNUMBER(E888),E888,"")</f>
        <v/>
      </c>
      <c r="G888">
        <f>IF(ISNUMBER(F888),_xlfn.RANK.EQ(F888,$F$2:$F$1031),"")</f>
        <v/>
      </c>
      <c r="H888">
        <f>INDEX(Sheet1!AH:AH,MATCH(A888,Sheet1!A:A,0))</f>
        <v/>
      </c>
    </row>
    <row r="889">
      <c r="A889" t="n">
        <v>2098</v>
      </c>
      <c r="B889">
        <f>Sheet1!C889+Sheet1!D889+Sheet1!E889+Sheet1!F889+Sheet1!J889+Sheet1!K889+Sheet1!L889+Sheet1!M889</f>
        <v/>
      </c>
      <c r="C889">
        <f>IF(ISNUMBER(B889),B889,"")</f>
        <v/>
      </c>
      <c r="D889">
        <f>IF(ISNUMBER(C889),_xlfn.RANK.EQ(C889,$C$2:$C$1031),"")</f>
        <v/>
      </c>
      <c r="E889">
        <f>Sheet1!C889+Sheet1!D889+Sheet1!E889+Sheet1!F889+Sheet1!J889+Sheet1!K889+Sheet1!L889+Sheet1!M889+Sheet1!Q889+Sheet1!R889+Sheet1!S889+Sheet1!T889</f>
        <v/>
      </c>
      <c r="F889">
        <f>IF(ISNUMBER(E889),E889,"")</f>
        <v/>
      </c>
      <c r="G889">
        <f>IF(ISNUMBER(F889),_xlfn.RANK.EQ(F889,$F$2:$F$1031),"")</f>
        <v/>
      </c>
      <c r="H889">
        <f>INDEX(Sheet1!AH:AH,MATCH(A889,Sheet1!A:A,0))</f>
        <v/>
      </c>
    </row>
    <row r="890">
      <c r="A890" t="n">
        <v>2099</v>
      </c>
      <c r="B890">
        <f>Sheet1!C890+Sheet1!D890+Sheet1!E890+Sheet1!F890+Sheet1!J890+Sheet1!K890+Sheet1!L890+Sheet1!M890</f>
        <v/>
      </c>
      <c r="C890">
        <f>IF(ISNUMBER(B890),B890,"")</f>
        <v/>
      </c>
      <c r="D890">
        <f>IF(ISNUMBER(C890),_xlfn.RANK.EQ(C890,$C$2:$C$1031),"")</f>
        <v/>
      </c>
      <c r="E890">
        <f>Sheet1!C890+Sheet1!D890+Sheet1!E890+Sheet1!F890+Sheet1!J890+Sheet1!K890+Sheet1!L890+Sheet1!M890+Sheet1!Q890+Sheet1!R890+Sheet1!S890+Sheet1!T890</f>
        <v/>
      </c>
      <c r="F890">
        <f>IF(ISNUMBER(E890),E890,"")</f>
        <v/>
      </c>
      <c r="G890">
        <f>IF(ISNUMBER(F890),_xlfn.RANK.EQ(F890,$F$2:$F$1031),"")</f>
        <v/>
      </c>
      <c r="H890">
        <f>INDEX(Sheet1!AH:AH,MATCH(A890,Sheet1!A:A,0))</f>
        <v/>
      </c>
    </row>
    <row r="891">
      <c r="A891" t="n">
        <v>2104</v>
      </c>
      <c r="B891">
        <f>Sheet1!C891+Sheet1!D891+Sheet1!E891+Sheet1!F891+Sheet1!J891+Sheet1!K891+Sheet1!L891+Sheet1!M891</f>
        <v/>
      </c>
      <c r="C891">
        <f>IF(ISNUMBER(B891),B891,"")</f>
        <v/>
      </c>
      <c r="D891">
        <f>IF(ISNUMBER(C891),_xlfn.RANK.EQ(C891,$C$2:$C$1031),"")</f>
        <v/>
      </c>
      <c r="E891">
        <f>Sheet1!C891+Sheet1!D891+Sheet1!E891+Sheet1!F891+Sheet1!J891+Sheet1!K891+Sheet1!L891+Sheet1!M891+Sheet1!Q891+Sheet1!R891+Sheet1!S891+Sheet1!T891</f>
        <v/>
      </c>
      <c r="F891">
        <f>IF(ISNUMBER(E891),E891,"")</f>
        <v/>
      </c>
      <c r="G891">
        <f>IF(ISNUMBER(F891),_xlfn.RANK.EQ(F891,$F$2:$F$1031),"")</f>
        <v/>
      </c>
      <c r="H891">
        <f>INDEX(Sheet1!AH:AH,MATCH(A891,Sheet1!A:A,0))</f>
        <v/>
      </c>
    </row>
    <row r="892">
      <c r="A892" t="n">
        <v>2106</v>
      </c>
      <c r="B892">
        <f>Sheet1!C892+Sheet1!D892+Sheet1!E892+Sheet1!F892+Sheet1!J892+Sheet1!K892+Sheet1!L892+Sheet1!M892</f>
        <v/>
      </c>
      <c r="C892">
        <f>IF(ISNUMBER(B892),B892,"")</f>
        <v/>
      </c>
      <c r="D892">
        <f>IF(ISNUMBER(C892),_xlfn.RANK.EQ(C892,$C$2:$C$1031),"")</f>
        <v/>
      </c>
      <c r="E892">
        <f>Sheet1!C892+Sheet1!D892+Sheet1!E892+Sheet1!F892+Sheet1!J892+Sheet1!K892+Sheet1!L892+Sheet1!M892+Sheet1!Q892+Sheet1!R892+Sheet1!S892+Sheet1!T892</f>
        <v/>
      </c>
      <c r="F892">
        <f>IF(ISNUMBER(E892),E892,"")</f>
        <v/>
      </c>
      <c r="G892">
        <f>IF(ISNUMBER(F892),_xlfn.RANK.EQ(F892,$F$2:$F$1031),"")</f>
        <v/>
      </c>
      <c r="H892">
        <f>INDEX(Sheet1!AH:AH,MATCH(A892,Sheet1!A:A,0))</f>
        <v/>
      </c>
    </row>
    <row r="893">
      <c r="A893" t="n">
        <v>2107</v>
      </c>
      <c r="B893">
        <f>Sheet1!C893+Sheet1!D893+Sheet1!E893+Sheet1!F893+Sheet1!J893+Sheet1!K893+Sheet1!L893+Sheet1!M893</f>
        <v/>
      </c>
      <c r="C893">
        <f>IF(ISNUMBER(B893),B893,"")</f>
        <v/>
      </c>
      <c r="D893">
        <f>IF(ISNUMBER(C893),_xlfn.RANK.EQ(C893,$C$2:$C$1031),"")</f>
        <v/>
      </c>
      <c r="E893">
        <f>Sheet1!C893+Sheet1!D893+Sheet1!E893+Sheet1!F893+Sheet1!J893+Sheet1!K893+Sheet1!L893+Sheet1!M893+Sheet1!Q893+Sheet1!R893+Sheet1!S893+Sheet1!T893</f>
        <v/>
      </c>
      <c r="F893">
        <f>IF(ISNUMBER(E893),E893,"")</f>
        <v/>
      </c>
      <c r="G893">
        <f>IF(ISNUMBER(F893),_xlfn.RANK.EQ(F893,$F$2:$F$1031),"")</f>
        <v/>
      </c>
      <c r="H893">
        <f>INDEX(Sheet1!AH:AH,MATCH(A893,Sheet1!A:A,0))</f>
        <v/>
      </c>
    </row>
    <row r="894">
      <c r="A894" t="n">
        <v>2109</v>
      </c>
      <c r="B894">
        <f>Sheet1!C894+Sheet1!D894+Sheet1!E894+Sheet1!F894+Sheet1!J894+Sheet1!K894+Sheet1!L894+Sheet1!M894</f>
        <v/>
      </c>
      <c r="C894">
        <f>IF(ISNUMBER(B894),B894,"")</f>
        <v/>
      </c>
      <c r="D894">
        <f>IF(ISNUMBER(C894),_xlfn.RANK.EQ(C894,$C$2:$C$1031),"")</f>
        <v/>
      </c>
      <c r="E894">
        <f>Sheet1!C894+Sheet1!D894+Sheet1!E894+Sheet1!F894+Sheet1!J894+Sheet1!K894+Sheet1!L894+Sheet1!M894+Sheet1!Q894+Sheet1!R894+Sheet1!S894+Sheet1!T894</f>
        <v/>
      </c>
      <c r="F894">
        <f>IF(ISNUMBER(E894),E894,"")</f>
        <v/>
      </c>
      <c r="G894">
        <f>IF(ISNUMBER(F894),_xlfn.RANK.EQ(F894,$F$2:$F$1031),"")</f>
        <v/>
      </c>
      <c r="H894">
        <f>INDEX(Sheet1!AH:AH,MATCH(A894,Sheet1!A:A,0))</f>
        <v/>
      </c>
    </row>
    <row r="895">
      <c r="A895" t="n">
        <v>2110</v>
      </c>
      <c r="B895">
        <f>Sheet1!C895+Sheet1!D895+Sheet1!E895+Sheet1!F895+Sheet1!J895+Sheet1!K895+Sheet1!L895+Sheet1!M895</f>
        <v/>
      </c>
      <c r="C895">
        <f>IF(ISNUMBER(B895),B895,"")</f>
        <v/>
      </c>
      <c r="D895">
        <f>IF(ISNUMBER(C895),_xlfn.RANK.EQ(C895,$C$2:$C$1031),"")</f>
        <v/>
      </c>
      <c r="E895">
        <f>Sheet1!C895+Sheet1!D895+Sheet1!E895+Sheet1!F895+Sheet1!J895+Sheet1!K895+Sheet1!L895+Sheet1!M895+Sheet1!Q895+Sheet1!R895+Sheet1!S895+Sheet1!T895</f>
        <v/>
      </c>
      <c r="F895">
        <f>IF(ISNUMBER(E895),E895,"")</f>
        <v/>
      </c>
      <c r="G895">
        <f>IF(ISNUMBER(F895),_xlfn.RANK.EQ(F895,$F$2:$F$1031),"")</f>
        <v/>
      </c>
      <c r="H895">
        <f>INDEX(Sheet1!AH:AH,MATCH(A895,Sheet1!A:A,0))</f>
        <v/>
      </c>
    </row>
    <row r="896">
      <c r="A896" t="n">
        <v>2111</v>
      </c>
      <c r="B896">
        <f>Sheet1!C896+Sheet1!D896+Sheet1!E896+Sheet1!F896+Sheet1!J896+Sheet1!K896+Sheet1!L896+Sheet1!M896</f>
        <v/>
      </c>
      <c r="C896">
        <f>IF(ISNUMBER(B896),B896,"")</f>
        <v/>
      </c>
      <c r="D896">
        <f>IF(ISNUMBER(C896),_xlfn.RANK.EQ(C896,$C$2:$C$1031),"")</f>
        <v/>
      </c>
      <c r="E896">
        <f>Sheet1!C896+Sheet1!D896+Sheet1!E896+Sheet1!F896+Sheet1!J896+Sheet1!K896+Sheet1!L896+Sheet1!M896+Sheet1!Q896+Sheet1!R896+Sheet1!S896+Sheet1!T896</f>
        <v/>
      </c>
      <c r="F896">
        <f>IF(ISNUMBER(E896),E896,"")</f>
        <v/>
      </c>
      <c r="G896">
        <f>IF(ISNUMBER(F896),_xlfn.RANK.EQ(F896,$F$2:$F$1031),"")</f>
        <v/>
      </c>
      <c r="H896">
        <f>INDEX(Sheet1!AH:AH,MATCH(A896,Sheet1!A:A,0))</f>
        <v/>
      </c>
    </row>
    <row r="897">
      <c r="A897" t="n">
        <v>2112</v>
      </c>
      <c r="B897">
        <f>Sheet1!C897+Sheet1!D897+Sheet1!E897+Sheet1!F897+Sheet1!J897+Sheet1!K897+Sheet1!L897+Sheet1!M897</f>
        <v/>
      </c>
      <c r="C897">
        <f>IF(ISNUMBER(B897),B897,"")</f>
        <v/>
      </c>
      <c r="D897">
        <f>IF(ISNUMBER(C897),_xlfn.RANK.EQ(C897,$C$2:$C$1031),"")</f>
        <v/>
      </c>
      <c r="E897">
        <f>Sheet1!C897+Sheet1!D897+Sheet1!E897+Sheet1!F897+Sheet1!J897+Sheet1!K897+Sheet1!L897+Sheet1!M897+Sheet1!Q897+Sheet1!R897+Sheet1!S897+Sheet1!T897</f>
        <v/>
      </c>
      <c r="F897">
        <f>IF(ISNUMBER(E897),E897,"")</f>
        <v/>
      </c>
      <c r="G897">
        <f>IF(ISNUMBER(F897),_xlfn.RANK.EQ(F897,$F$2:$F$1031),"")</f>
        <v/>
      </c>
      <c r="H897">
        <f>INDEX(Sheet1!AH:AH,MATCH(A897,Sheet1!A:A,0))</f>
        <v/>
      </c>
    </row>
    <row r="898">
      <c r="A898" t="n">
        <v>2113</v>
      </c>
      <c r="B898">
        <f>Sheet1!C898+Sheet1!D898+Sheet1!E898+Sheet1!F898+Sheet1!J898+Sheet1!K898+Sheet1!L898+Sheet1!M898</f>
        <v/>
      </c>
      <c r="C898">
        <f>IF(ISNUMBER(B898),B898,"")</f>
        <v/>
      </c>
      <c r="D898">
        <f>IF(ISNUMBER(C898),_xlfn.RANK.EQ(C898,$C$2:$C$1031),"")</f>
        <v/>
      </c>
      <c r="E898">
        <f>Sheet1!C898+Sheet1!D898+Sheet1!E898+Sheet1!F898+Sheet1!J898+Sheet1!K898+Sheet1!L898+Sheet1!M898+Sheet1!Q898+Sheet1!R898+Sheet1!S898+Sheet1!T898</f>
        <v/>
      </c>
      <c r="F898">
        <f>IF(ISNUMBER(E898),E898,"")</f>
        <v/>
      </c>
      <c r="G898">
        <f>IF(ISNUMBER(F898),_xlfn.RANK.EQ(F898,$F$2:$F$1031),"")</f>
        <v/>
      </c>
      <c r="H898">
        <f>INDEX(Sheet1!AH:AH,MATCH(A898,Sheet1!A:A,0))</f>
        <v/>
      </c>
    </row>
    <row r="899">
      <c r="A899" t="n">
        <v>2114</v>
      </c>
      <c r="B899">
        <f>Sheet1!C899+Sheet1!D899+Sheet1!E899+Sheet1!F899+Sheet1!J899+Sheet1!K899+Sheet1!L899+Sheet1!M899</f>
        <v/>
      </c>
      <c r="C899">
        <f>IF(ISNUMBER(B899),B899,"")</f>
        <v/>
      </c>
      <c r="D899">
        <f>IF(ISNUMBER(C899),_xlfn.RANK.EQ(C899,$C$2:$C$1031),"")</f>
        <v/>
      </c>
      <c r="E899">
        <f>Sheet1!C899+Sheet1!D899+Sheet1!E899+Sheet1!F899+Sheet1!J899+Sheet1!K899+Sheet1!L899+Sheet1!M899+Sheet1!Q899+Sheet1!R899+Sheet1!S899+Sheet1!T899</f>
        <v/>
      </c>
      <c r="F899">
        <f>IF(ISNUMBER(E899),E899,"")</f>
        <v/>
      </c>
      <c r="G899">
        <f>IF(ISNUMBER(F899),_xlfn.RANK.EQ(F899,$F$2:$F$1031),"")</f>
        <v/>
      </c>
      <c r="H899">
        <f>INDEX(Sheet1!AH:AH,MATCH(A899,Sheet1!A:A,0))</f>
        <v/>
      </c>
    </row>
    <row r="900">
      <c r="A900" t="n">
        <v>2115</v>
      </c>
      <c r="B900">
        <f>Sheet1!C900+Sheet1!D900+Sheet1!E900+Sheet1!F900+Sheet1!J900+Sheet1!K900+Sheet1!L900+Sheet1!M900</f>
        <v/>
      </c>
      <c r="C900">
        <f>IF(ISNUMBER(B900),B900,"")</f>
        <v/>
      </c>
      <c r="D900">
        <f>IF(ISNUMBER(C900),_xlfn.RANK.EQ(C900,$C$2:$C$1031),"")</f>
        <v/>
      </c>
      <c r="E900">
        <f>Sheet1!C900+Sheet1!D900+Sheet1!E900+Sheet1!F900+Sheet1!J900+Sheet1!K900+Sheet1!L900+Sheet1!M900+Sheet1!Q900+Sheet1!R900+Sheet1!S900+Sheet1!T900</f>
        <v/>
      </c>
      <c r="F900">
        <f>IF(ISNUMBER(E900),E900,"")</f>
        <v/>
      </c>
      <c r="G900">
        <f>IF(ISNUMBER(F900),_xlfn.RANK.EQ(F900,$F$2:$F$1031),"")</f>
        <v/>
      </c>
      <c r="H900">
        <f>INDEX(Sheet1!AH:AH,MATCH(A900,Sheet1!A:A,0))</f>
        <v/>
      </c>
    </row>
    <row r="901">
      <c r="A901" t="n">
        <v>2116</v>
      </c>
      <c r="B901">
        <f>Sheet1!C901+Sheet1!D901+Sheet1!E901+Sheet1!F901+Sheet1!J901+Sheet1!K901+Sheet1!L901+Sheet1!M901</f>
        <v/>
      </c>
      <c r="C901">
        <f>IF(ISNUMBER(B901),B901,"")</f>
        <v/>
      </c>
      <c r="D901">
        <f>IF(ISNUMBER(C901),_xlfn.RANK.EQ(C901,$C$2:$C$1031),"")</f>
        <v/>
      </c>
      <c r="E901">
        <f>Sheet1!C901+Sheet1!D901+Sheet1!E901+Sheet1!F901+Sheet1!J901+Sheet1!K901+Sheet1!L901+Sheet1!M901+Sheet1!Q901+Sheet1!R901+Sheet1!S901+Sheet1!T901</f>
        <v/>
      </c>
      <c r="F901">
        <f>IF(ISNUMBER(E901),E901,"")</f>
        <v/>
      </c>
      <c r="G901">
        <f>IF(ISNUMBER(F901),_xlfn.RANK.EQ(F901,$F$2:$F$1031),"")</f>
        <v/>
      </c>
      <c r="H901">
        <f>INDEX(Sheet1!AH:AH,MATCH(A901,Sheet1!A:A,0))</f>
        <v/>
      </c>
    </row>
    <row r="902">
      <c r="A902" t="n">
        <v>2119</v>
      </c>
      <c r="B902">
        <f>Sheet1!C902+Sheet1!D902+Sheet1!E902+Sheet1!F902+Sheet1!J902+Sheet1!K902+Sheet1!L902+Sheet1!M902</f>
        <v/>
      </c>
      <c r="C902">
        <f>IF(ISNUMBER(B902),B902,"")</f>
        <v/>
      </c>
      <c r="D902">
        <f>IF(ISNUMBER(C902),_xlfn.RANK.EQ(C902,$C$2:$C$1031),"")</f>
        <v/>
      </c>
      <c r="E902">
        <f>Sheet1!C902+Sheet1!D902+Sheet1!E902+Sheet1!F902+Sheet1!J902+Sheet1!K902+Sheet1!L902+Sheet1!M902+Sheet1!Q902+Sheet1!R902+Sheet1!S902+Sheet1!T902</f>
        <v/>
      </c>
      <c r="F902">
        <f>IF(ISNUMBER(E902),E902,"")</f>
        <v/>
      </c>
      <c r="G902">
        <f>IF(ISNUMBER(F902),_xlfn.RANK.EQ(F902,$F$2:$F$1031),"")</f>
        <v/>
      </c>
      <c r="H902">
        <f>INDEX(Sheet1!AH:AH,MATCH(A902,Sheet1!A:A,0))</f>
        <v/>
      </c>
    </row>
    <row r="903">
      <c r="A903" t="n">
        <v>2120</v>
      </c>
      <c r="B903">
        <f>Sheet1!C903+Sheet1!D903+Sheet1!E903+Sheet1!F903+Sheet1!J903+Sheet1!K903+Sheet1!L903+Sheet1!M903</f>
        <v/>
      </c>
      <c r="C903">
        <f>IF(ISNUMBER(B903),B903,"")</f>
        <v/>
      </c>
      <c r="D903">
        <f>IF(ISNUMBER(C903),_xlfn.RANK.EQ(C903,$C$2:$C$1031),"")</f>
        <v/>
      </c>
      <c r="E903">
        <f>Sheet1!C903+Sheet1!D903+Sheet1!E903+Sheet1!F903+Sheet1!J903+Sheet1!K903+Sheet1!L903+Sheet1!M903+Sheet1!Q903+Sheet1!R903+Sheet1!S903+Sheet1!T903</f>
        <v/>
      </c>
      <c r="F903">
        <f>IF(ISNUMBER(E903),E903,"")</f>
        <v/>
      </c>
      <c r="G903">
        <f>IF(ISNUMBER(F903),_xlfn.RANK.EQ(F903,$F$2:$F$1031),"")</f>
        <v/>
      </c>
      <c r="H903">
        <f>INDEX(Sheet1!AH:AH,MATCH(A903,Sheet1!A:A,0))</f>
        <v/>
      </c>
    </row>
    <row r="904">
      <c r="A904" t="n">
        <v>2121</v>
      </c>
      <c r="B904">
        <f>Sheet1!C904+Sheet1!D904+Sheet1!E904+Sheet1!F904+Sheet1!J904+Sheet1!K904+Sheet1!L904+Sheet1!M904</f>
        <v/>
      </c>
      <c r="C904">
        <f>IF(ISNUMBER(B904),B904,"")</f>
        <v/>
      </c>
      <c r="D904">
        <f>IF(ISNUMBER(C904),_xlfn.RANK.EQ(C904,$C$2:$C$1031),"")</f>
        <v/>
      </c>
      <c r="E904">
        <f>Sheet1!C904+Sheet1!D904+Sheet1!E904+Sheet1!F904+Sheet1!J904+Sheet1!K904+Sheet1!L904+Sheet1!M904+Sheet1!Q904+Sheet1!R904+Sheet1!S904+Sheet1!T904</f>
        <v/>
      </c>
      <c r="F904">
        <f>IF(ISNUMBER(E904),E904,"")</f>
        <v/>
      </c>
      <c r="G904">
        <f>IF(ISNUMBER(F904),_xlfn.RANK.EQ(F904,$F$2:$F$1031),"")</f>
        <v/>
      </c>
      <c r="H904">
        <f>INDEX(Sheet1!AH:AH,MATCH(A904,Sheet1!A:A,0))</f>
        <v/>
      </c>
    </row>
    <row r="905">
      <c r="A905" t="n">
        <v>2122</v>
      </c>
      <c r="B905">
        <f>Sheet1!C905+Sheet1!D905+Sheet1!E905+Sheet1!F905+Sheet1!J905+Sheet1!K905+Sheet1!L905+Sheet1!M905</f>
        <v/>
      </c>
      <c r="C905">
        <f>IF(ISNUMBER(B905),B905,"")</f>
        <v/>
      </c>
      <c r="D905">
        <f>IF(ISNUMBER(C905),_xlfn.RANK.EQ(C905,$C$2:$C$1031),"")</f>
        <v/>
      </c>
      <c r="E905">
        <f>Sheet1!C905+Sheet1!D905+Sheet1!E905+Sheet1!F905+Sheet1!J905+Sheet1!K905+Sheet1!L905+Sheet1!M905+Sheet1!Q905+Sheet1!R905+Sheet1!S905+Sheet1!T905</f>
        <v/>
      </c>
      <c r="F905">
        <f>IF(ISNUMBER(E905),E905,"")</f>
        <v/>
      </c>
      <c r="G905">
        <f>IF(ISNUMBER(F905),_xlfn.RANK.EQ(F905,$F$2:$F$1031),"")</f>
        <v/>
      </c>
      <c r="H905">
        <f>INDEX(Sheet1!AH:AH,MATCH(A905,Sheet1!A:A,0))</f>
        <v/>
      </c>
    </row>
    <row r="906">
      <c r="A906" t="n">
        <v>2123</v>
      </c>
      <c r="B906">
        <f>Sheet1!C906+Sheet1!D906+Sheet1!E906+Sheet1!F906+Sheet1!J906+Sheet1!K906+Sheet1!L906+Sheet1!M906</f>
        <v/>
      </c>
      <c r="C906">
        <f>IF(ISNUMBER(B906),B906,"")</f>
        <v/>
      </c>
      <c r="D906">
        <f>IF(ISNUMBER(C906),_xlfn.RANK.EQ(C906,$C$2:$C$1031),"")</f>
        <v/>
      </c>
      <c r="E906">
        <f>Sheet1!C906+Sheet1!D906+Sheet1!E906+Sheet1!F906+Sheet1!J906+Sheet1!K906+Sheet1!L906+Sheet1!M906+Sheet1!Q906+Sheet1!R906+Sheet1!S906+Sheet1!T906</f>
        <v/>
      </c>
      <c r="F906">
        <f>IF(ISNUMBER(E906),E906,"")</f>
        <v/>
      </c>
      <c r="G906">
        <f>IF(ISNUMBER(F906),_xlfn.RANK.EQ(F906,$F$2:$F$1031),"")</f>
        <v/>
      </c>
      <c r="H906">
        <f>INDEX(Sheet1!AH:AH,MATCH(A906,Sheet1!A:A,0))</f>
        <v/>
      </c>
    </row>
    <row r="907">
      <c r="A907" t="n">
        <v>2132</v>
      </c>
      <c r="B907">
        <f>Sheet1!C907+Sheet1!D907+Sheet1!E907+Sheet1!F907+Sheet1!J907+Sheet1!K907+Sheet1!L907+Sheet1!M907</f>
        <v/>
      </c>
      <c r="C907">
        <f>IF(ISNUMBER(B907),B907,"")</f>
        <v/>
      </c>
      <c r="D907">
        <f>IF(ISNUMBER(C907),_xlfn.RANK.EQ(C907,$C$2:$C$1031),"")</f>
        <v/>
      </c>
      <c r="E907">
        <f>Sheet1!C907+Sheet1!D907+Sheet1!E907+Sheet1!F907+Sheet1!J907+Sheet1!K907+Sheet1!L907+Sheet1!M907+Sheet1!Q907+Sheet1!R907+Sheet1!S907+Sheet1!T907</f>
        <v/>
      </c>
      <c r="F907">
        <f>IF(ISNUMBER(E907),E907,"")</f>
        <v/>
      </c>
      <c r="G907">
        <f>IF(ISNUMBER(F907),_xlfn.RANK.EQ(F907,$F$2:$F$1031),"")</f>
        <v/>
      </c>
      <c r="H907">
        <f>INDEX(Sheet1!AH:AH,MATCH(A907,Sheet1!A:A,0))</f>
        <v/>
      </c>
    </row>
    <row r="908">
      <c r="A908" t="n">
        <v>2135</v>
      </c>
      <c r="B908">
        <f>Sheet1!C908+Sheet1!D908+Sheet1!E908+Sheet1!F908+Sheet1!J908+Sheet1!K908+Sheet1!L908+Sheet1!M908</f>
        <v/>
      </c>
      <c r="C908">
        <f>IF(ISNUMBER(B908),B908,"")</f>
        <v/>
      </c>
      <c r="D908">
        <f>IF(ISNUMBER(C908),_xlfn.RANK.EQ(C908,$C$2:$C$1031),"")</f>
        <v/>
      </c>
      <c r="E908">
        <f>Sheet1!C908+Sheet1!D908+Sheet1!E908+Sheet1!F908+Sheet1!J908+Sheet1!K908+Sheet1!L908+Sheet1!M908+Sheet1!Q908+Sheet1!R908+Sheet1!S908+Sheet1!T908</f>
        <v/>
      </c>
      <c r="F908">
        <f>IF(ISNUMBER(E908),E908,"")</f>
        <v/>
      </c>
      <c r="G908">
        <f>IF(ISNUMBER(F908),_xlfn.RANK.EQ(F908,$F$2:$F$1031),"")</f>
        <v/>
      </c>
      <c r="H908">
        <f>INDEX(Sheet1!AH:AH,MATCH(A908,Sheet1!A:A,0))</f>
        <v/>
      </c>
    </row>
    <row r="909">
      <c r="A909" t="n">
        <v>2136</v>
      </c>
      <c r="B909">
        <f>Sheet1!C909+Sheet1!D909+Sheet1!E909+Sheet1!F909+Sheet1!J909+Sheet1!K909+Sheet1!L909+Sheet1!M909</f>
        <v/>
      </c>
      <c r="C909">
        <f>IF(ISNUMBER(B909),B909,"")</f>
        <v/>
      </c>
      <c r="D909">
        <f>IF(ISNUMBER(C909),_xlfn.RANK.EQ(C909,$C$2:$C$1031),"")</f>
        <v/>
      </c>
      <c r="E909">
        <f>Sheet1!C909+Sheet1!D909+Sheet1!E909+Sheet1!F909+Sheet1!J909+Sheet1!K909+Sheet1!L909+Sheet1!M909+Sheet1!Q909+Sheet1!R909+Sheet1!S909+Sheet1!T909</f>
        <v/>
      </c>
      <c r="F909">
        <f>IF(ISNUMBER(E909),E909,"")</f>
        <v/>
      </c>
      <c r="G909">
        <f>IF(ISNUMBER(F909),_xlfn.RANK.EQ(F909,$F$2:$F$1031),"")</f>
        <v/>
      </c>
      <c r="H909">
        <f>INDEX(Sheet1!AH:AH,MATCH(A909,Sheet1!A:A,0))</f>
        <v/>
      </c>
    </row>
    <row r="910">
      <c r="A910" t="n">
        <v>2138</v>
      </c>
      <c r="B910">
        <f>Sheet1!C910+Sheet1!D910+Sheet1!E910+Sheet1!F910+Sheet1!J910+Sheet1!K910+Sheet1!L910+Sheet1!M910</f>
        <v/>
      </c>
      <c r="C910">
        <f>IF(ISNUMBER(B910),B910,"")</f>
        <v/>
      </c>
      <c r="D910">
        <f>IF(ISNUMBER(C910),_xlfn.RANK.EQ(C910,$C$2:$C$1031),"")</f>
        <v/>
      </c>
      <c r="E910">
        <f>Sheet1!C910+Sheet1!D910+Sheet1!E910+Sheet1!F910+Sheet1!J910+Sheet1!K910+Sheet1!L910+Sheet1!M910+Sheet1!Q910+Sheet1!R910+Sheet1!S910+Sheet1!T910</f>
        <v/>
      </c>
      <c r="F910">
        <f>IF(ISNUMBER(E910),E910,"")</f>
        <v/>
      </c>
      <c r="G910">
        <f>IF(ISNUMBER(F910),_xlfn.RANK.EQ(F910,$F$2:$F$1031),"")</f>
        <v/>
      </c>
      <c r="H910">
        <f>INDEX(Sheet1!AH:AH,MATCH(A910,Sheet1!A:A,0))</f>
        <v/>
      </c>
    </row>
    <row r="911">
      <c r="A911" t="n">
        <v>2141</v>
      </c>
      <c r="B911">
        <f>Sheet1!C911+Sheet1!D911+Sheet1!E911+Sheet1!F911+Sheet1!J911+Sheet1!K911+Sheet1!L911+Sheet1!M911</f>
        <v/>
      </c>
      <c r="C911">
        <f>IF(ISNUMBER(B911),B911,"")</f>
        <v/>
      </c>
      <c r="D911">
        <f>IF(ISNUMBER(C911),_xlfn.RANK.EQ(C911,$C$2:$C$1031),"")</f>
        <v/>
      </c>
      <c r="E911">
        <f>Sheet1!C911+Sheet1!D911+Sheet1!E911+Sheet1!F911+Sheet1!J911+Sheet1!K911+Sheet1!L911+Sheet1!M911+Sheet1!Q911+Sheet1!R911+Sheet1!S911+Sheet1!T911</f>
        <v/>
      </c>
      <c r="F911">
        <f>IF(ISNUMBER(E911),E911,"")</f>
        <v/>
      </c>
      <c r="G911">
        <f>IF(ISNUMBER(F911),_xlfn.RANK.EQ(F911,$F$2:$F$1031),"")</f>
        <v/>
      </c>
      <c r="H911">
        <f>INDEX(Sheet1!AH:AH,MATCH(A911,Sheet1!A:A,0))</f>
        <v/>
      </c>
    </row>
    <row r="912">
      <c r="A912" t="n">
        <v>2142</v>
      </c>
      <c r="B912">
        <f>Sheet1!C912+Sheet1!D912+Sheet1!E912+Sheet1!F912+Sheet1!J912+Sheet1!K912+Sheet1!L912+Sheet1!M912</f>
        <v/>
      </c>
      <c r="C912">
        <f>IF(ISNUMBER(B912),B912,"")</f>
        <v/>
      </c>
      <c r="D912">
        <f>IF(ISNUMBER(C912),_xlfn.RANK.EQ(C912,$C$2:$C$1031),"")</f>
        <v/>
      </c>
      <c r="E912">
        <f>Sheet1!C912+Sheet1!D912+Sheet1!E912+Sheet1!F912+Sheet1!J912+Sheet1!K912+Sheet1!L912+Sheet1!M912+Sheet1!Q912+Sheet1!R912+Sheet1!S912+Sheet1!T912</f>
        <v/>
      </c>
      <c r="F912">
        <f>IF(ISNUMBER(E912),E912,"")</f>
        <v/>
      </c>
      <c r="G912">
        <f>IF(ISNUMBER(F912),_xlfn.RANK.EQ(F912,$F$2:$F$1031),"")</f>
        <v/>
      </c>
      <c r="H912">
        <f>INDEX(Sheet1!AH:AH,MATCH(A912,Sheet1!A:A,0))</f>
        <v/>
      </c>
    </row>
    <row r="913">
      <c r="A913" t="n">
        <v>2145</v>
      </c>
      <c r="B913">
        <f>Sheet1!C913+Sheet1!D913+Sheet1!E913+Sheet1!F913+Sheet1!J913+Sheet1!K913+Sheet1!L913+Sheet1!M913</f>
        <v/>
      </c>
      <c r="C913">
        <f>IF(ISNUMBER(B913),B913,"")</f>
        <v/>
      </c>
      <c r="D913">
        <f>IF(ISNUMBER(C913),_xlfn.RANK.EQ(C913,$C$2:$C$1031),"")</f>
        <v/>
      </c>
      <c r="E913">
        <f>Sheet1!C913+Sheet1!D913+Sheet1!E913+Sheet1!F913+Sheet1!J913+Sheet1!K913+Sheet1!L913+Sheet1!M913+Sheet1!Q913+Sheet1!R913+Sheet1!S913+Sheet1!T913</f>
        <v/>
      </c>
      <c r="F913">
        <f>IF(ISNUMBER(E913),E913,"")</f>
        <v/>
      </c>
      <c r="G913">
        <f>IF(ISNUMBER(F913),_xlfn.RANK.EQ(F913,$F$2:$F$1031),"")</f>
        <v/>
      </c>
      <c r="H913">
        <f>INDEX(Sheet1!AH:AH,MATCH(A913,Sheet1!A:A,0))</f>
        <v/>
      </c>
    </row>
    <row r="914">
      <c r="A914" t="n">
        <v>2146</v>
      </c>
      <c r="B914">
        <f>Sheet1!C914+Sheet1!D914+Sheet1!E914+Sheet1!F914+Sheet1!J914+Sheet1!K914+Sheet1!L914+Sheet1!M914</f>
        <v/>
      </c>
      <c r="C914">
        <f>IF(ISNUMBER(B914),B914,"")</f>
        <v/>
      </c>
      <c r="D914">
        <f>IF(ISNUMBER(C914),_xlfn.RANK.EQ(C914,$C$2:$C$1031),"")</f>
        <v/>
      </c>
      <c r="E914">
        <f>Sheet1!C914+Sheet1!D914+Sheet1!E914+Sheet1!F914+Sheet1!J914+Sheet1!K914+Sheet1!L914+Sheet1!M914+Sheet1!Q914+Sheet1!R914+Sheet1!S914+Sheet1!T914</f>
        <v/>
      </c>
      <c r="F914">
        <f>IF(ISNUMBER(E914),E914,"")</f>
        <v/>
      </c>
      <c r="G914">
        <f>IF(ISNUMBER(F914),_xlfn.RANK.EQ(F914,$F$2:$F$1031),"")</f>
        <v/>
      </c>
      <c r="H914">
        <f>INDEX(Sheet1!AH:AH,MATCH(A914,Sheet1!A:A,0))</f>
        <v/>
      </c>
    </row>
    <row r="915">
      <c r="A915" t="n">
        <v>2147</v>
      </c>
      <c r="B915">
        <f>Sheet1!C915+Sheet1!D915+Sheet1!E915+Sheet1!F915+Sheet1!J915+Sheet1!K915+Sheet1!L915+Sheet1!M915</f>
        <v/>
      </c>
      <c r="C915">
        <f>IF(ISNUMBER(B915),B915,"")</f>
        <v/>
      </c>
      <c r="D915">
        <f>IF(ISNUMBER(C915),_xlfn.RANK.EQ(C915,$C$2:$C$1031),"")</f>
        <v/>
      </c>
      <c r="E915">
        <f>Sheet1!C915+Sheet1!D915+Sheet1!E915+Sheet1!F915+Sheet1!J915+Sheet1!K915+Sheet1!L915+Sheet1!M915+Sheet1!Q915+Sheet1!R915+Sheet1!S915+Sheet1!T915</f>
        <v/>
      </c>
      <c r="F915">
        <f>IF(ISNUMBER(E915),E915,"")</f>
        <v/>
      </c>
      <c r="G915">
        <f>IF(ISNUMBER(F915),_xlfn.RANK.EQ(F915,$F$2:$F$1031),"")</f>
        <v/>
      </c>
      <c r="H915">
        <f>INDEX(Sheet1!AH:AH,MATCH(A915,Sheet1!A:A,0))</f>
        <v/>
      </c>
    </row>
    <row r="916">
      <c r="A916" t="n">
        <v>2150</v>
      </c>
      <c r="B916">
        <f>Sheet1!C916+Sheet1!D916+Sheet1!E916+Sheet1!F916+Sheet1!J916+Sheet1!K916+Sheet1!L916+Sheet1!M916</f>
        <v/>
      </c>
      <c r="C916">
        <f>IF(ISNUMBER(B916),B916,"")</f>
        <v/>
      </c>
      <c r="D916">
        <f>IF(ISNUMBER(C916),_xlfn.RANK.EQ(C916,$C$2:$C$1031),"")</f>
        <v/>
      </c>
      <c r="E916">
        <f>Sheet1!C916+Sheet1!D916+Sheet1!E916+Sheet1!F916+Sheet1!J916+Sheet1!K916+Sheet1!L916+Sheet1!M916+Sheet1!Q916+Sheet1!R916+Sheet1!S916+Sheet1!T916</f>
        <v/>
      </c>
      <c r="F916">
        <f>IF(ISNUMBER(E916),E916,"")</f>
        <v/>
      </c>
      <c r="G916">
        <f>IF(ISNUMBER(F916),_xlfn.RANK.EQ(F916,$F$2:$F$1031),"")</f>
        <v/>
      </c>
      <c r="H916">
        <f>INDEX(Sheet1!AH:AH,MATCH(A916,Sheet1!A:A,0))</f>
        <v/>
      </c>
    </row>
    <row r="917">
      <c r="A917" t="n">
        <v>2152</v>
      </c>
      <c r="B917">
        <f>Sheet1!C917+Sheet1!D917+Sheet1!E917+Sheet1!F917+Sheet1!J917+Sheet1!K917+Sheet1!L917+Sheet1!M917</f>
        <v/>
      </c>
      <c r="C917">
        <f>IF(ISNUMBER(B917),B917,"")</f>
        <v/>
      </c>
      <c r="D917">
        <f>IF(ISNUMBER(C917),_xlfn.RANK.EQ(C917,$C$2:$C$1031),"")</f>
        <v/>
      </c>
      <c r="E917">
        <f>Sheet1!C917+Sheet1!D917+Sheet1!E917+Sheet1!F917+Sheet1!J917+Sheet1!K917+Sheet1!L917+Sheet1!M917+Sheet1!Q917+Sheet1!R917+Sheet1!S917+Sheet1!T917</f>
        <v/>
      </c>
      <c r="F917">
        <f>IF(ISNUMBER(E917),E917,"")</f>
        <v/>
      </c>
      <c r="G917">
        <f>IF(ISNUMBER(F917),_xlfn.RANK.EQ(F917,$F$2:$F$1031),"")</f>
        <v/>
      </c>
      <c r="H917">
        <f>INDEX(Sheet1!AH:AH,MATCH(A917,Sheet1!A:A,0))</f>
        <v/>
      </c>
    </row>
    <row r="918">
      <c r="A918" t="n">
        <v>2154</v>
      </c>
      <c r="B918">
        <f>Sheet1!C918+Sheet1!D918+Sheet1!E918+Sheet1!F918+Sheet1!J918+Sheet1!K918+Sheet1!L918+Sheet1!M918</f>
        <v/>
      </c>
      <c r="C918">
        <f>IF(ISNUMBER(B918),B918,"")</f>
        <v/>
      </c>
      <c r="D918">
        <f>IF(ISNUMBER(C918),_xlfn.RANK.EQ(C918,$C$2:$C$1031),"")</f>
        <v/>
      </c>
      <c r="E918">
        <f>Sheet1!C918+Sheet1!D918+Sheet1!E918+Sheet1!F918+Sheet1!J918+Sheet1!K918+Sheet1!L918+Sheet1!M918+Sheet1!Q918+Sheet1!R918+Sheet1!S918+Sheet1!T918</f>
        <v/>
      </c>
      <c r="F918">
        <f>IF(ISNUMBER(E918),E918,"")</f>
        <v/>
      </c>
      <c r="G918">
        <f>IF(ISNUMBER(F918),_xlfn.RANK.EQ(F918,$F$2:$F$1031),"")</f>
        <v/>
      </c>
      <c r="H918">
        <f>INDEX(Sheet1!AH:AH,MATCH(A918,Sheet1!A:A,0))</f>
        <v/>
      </c>
    </row>
    <row r="919">
      <c r="A919" t="n">
        <v>2156</v>
      </c>
      <c r="B919">
        <f>Sheet1!C919+Sheet1!D919+Sheet1!E919+Sheet1!F919+Sheet1!J919+Sheet1!K919+Sheet1!L919+Sheet1!M919</f>
        <v/>
      </c>
      <c r="C919">
        <f>IF(ISNUMBER(B919),B919,"")</f>
        <v/>
      </c>
      <c r="D919">
        <f>IF(ISNUMBER(C919),_xlfn.RANK.EQ(C919,$C$2:$C$1031),"")</f>
        <v/>
      </c>
      <c r="E919">
        <f>Sheet1!C919+Sheet1!D919+Sheet1!E919+Sheet1!F919+Sheet1!J919+Sheet1!K919+Sheet1!L919+Sheet1!M919+Sheet1!Q919+Sheet1!R919+Sheet1!S919+Sheet1!T919</f>
        <v/>
      </c>
      <c r="F919">
        <f>IF(ISNUMBER(E919),E919,"")</f>
        <v/>
      </c>
      <c r="G919">
        <f>IF(ISNUMBER(F919),_xlfn.RANK.EQ(F919,$F$2:$F$1031),"")</f>
        <v/>
      </c>
      <c r="H919">
        <f>INDEX(Sheet1!AH:AH,MATCH(A919,Sheet1!A:A,0))</f>
        <v/>
      </c>
    </row>
    <row r="920">
      <c r="A920" t="n">
        <v>2157</v>
      </c>
      <c r="B920">
        <f>Sheet1!C920+Sheet1!D920+Sheet1!E920+Sheet1!F920+Sheet1!J920+Sheet1!K920+Sheet1!L920+Sheet1!M920</f>
        <v/>
      </c>
      <c r="C920">
        <f>IF(ISNUMBER(B920),B920,"")</f>
        <v/>
      </c>
      <c r="D920">
        <f>IF(ISNUMBER(C920),_xlfn.RANK.EQ(C920,$C$2:$C$1031),"")</f>
        <v/>
      </c>
      <c r="E920">
        <f>Sheet1!C920+Sheet1!D920+Sheet1!E920+Sheet1!F920+Sheet1!J920+Sheet1!K920+Sheet1!L920+Sheet1!M920+Sheet1!Q920+Sheet1!R920+Sheet1!S920+Sheet1!T920</f>
        <v/>
      </c>
      <c r="F920">
        <f>IF(ISNUMBER(E920),E920,"")</f>
        <v/>
      </c>
      <c r="G920">
        <f>IF(ISNUMBER(F920),_xlfn.RANK.EQ(F920,$F$2:$F$1031),"")</f>
        <v/>
      </c>
      <c r="H920">
        <f>INDEX(Sheet1!AH:AH,MATCH(A920,Sheet1!A:A,0))</f>
        <v/>
      </c>
    </row>
    <row r="921">
      <c r="A921" t="n">
        <v>2159</v>
      </c>
      <c r="B921">
        <f>Sheet1!C921+Sheet1!D921+Sheet1!E921+Sheet1!F921+Sheet1!J921+Sheet1!K921+Sheet1!L921+Sheet1!M921</f>
        <v/>
      </c>
      <c r="C921">
        <f>IF(ISNUMBER(B921),B921,"")</f>
        <v/>
      </c>
      <c r="D921">
        <f>IF(ISNUMBER(C921),_xlfn.RANK.EQ(C921,$C$2:$C$1031),"")</f>
        <v/>
      </c>
      <c r="E921">
        <f>Sheet1!C921+Sheet1!D921+Sheet1!E921+Sheet1!F921+Sheet1!J921+Sheet1!K921+Sheet1!L921+Sheet1!M921+Sheet1!Q921+Sheet1!R921+Sheet1!S921+Sheet1!T921</f>
        <v/>
      </c>
      <c r="F921">
        <f>IF(ISNUMBER(E921),E921,"")</f>
        <v/>
      </c>
      <c r="G921">
        <f>IF(ISNUMBER(F921),_xlfn.RANK.EQ(F921,$F$2:$F$1031),"")</f>
        <v/>
      </c>
      <c r="H921">
        <f>INDEX(Sheet1!AH:AH,MATCH(A921,Sheet1!A:A,0))</f>
        <v/>
      </c>
    </row>
    <row r="922">
      <c r="A922" t="n">
        <v>2160</v>
      </c>
      <c r="B922">
        <f>Sheet1!C922+Sheet1!D922+Sheet1!E922+Sheet1!F922+Sheet1!J922+Sheet1!K922+Sheet1!L922+Sheet1!M922</f>
        <v/>
      </c>
      <c r="C922">
        <f>IF(ISNUMBER(B922),B922,"")</f>
        <v/>
      </c>
      <c r="D922">
        <f>IF(ISNUMBER(C922),_xlfn.RANK.EQ(C922,$C$2:$C$1031),"")</f>
        <v/>
      </c>
      <c r="E922">
        <f>Sheet1!C922+Sheet1!D922+Sheet1!E922+Sheet1!F922+Sheet1!J922+Sheet1!K922+Sheet1!L922+Sheet1!M922+Sheet1!Q922+Sheet1!R922+Sheet1!S922+Sheet1!T922</f>
        <v/>
      </c>
      <c r="F922">
        <f>IF(ISNUMBER(E922),E922,"")</f>
        <v/>
      </c>
      <c r="G922">
        <f>IF(ISNUMBER(F922),_xlfn.RANK.EQ(F922,$F$2:$F$1031),"")</f>
        <v/>
      </c>
      <c r="H922">
        <f>INDEX(Sheet1!AH:AH,MATCH(A922,Sheet1!A:A,0))</f>
        <v/>
      </c>
    </row>
    <row r="923">
      <c r="A923" t="n">
        <v>2162</v>
      </c>
      <c r="B923">
        <f>Sheet1!C923+Sheet1!D923+Sheet1!E923+Sheet1!F923+Sheet1!J923+Sheet1!K923+Sheet1!L923+Sheet1!M923</f>
        <v/>
      </c>
      <c r="C923">
        <f>IF(ISNUMBER(B923),B923,"")</f>
        <v/>
      </c>
      <c r="D923">
        <f>IF(ISNUMBER(C923),_xlfn.RANK.EQ(C923,$C$2:$C$1031),"")</f>
        <v/>
      </c>
      <c r="E923">
        <f>Sheet1!C923+Sheet1!D923+Sheet1!E923+Sheet1!F923+Sheet1!J923+Sheet1!K923+Sheet1!L923+Sheet1!M923+Sheet1!Q923+Sheet1!R923+Sheet1!S923+Sheet1!T923</f>
        <v/>
      </c>
      <c r="F923">
        <f>IF(ISNUMBER(E923),E923,"")</f>
        <v/>
      </c>
      <c r="G923">
        <f>IF(ISNUMBER(F923),_xlfn.RANK.EQ(F923,$F$2:$F$1031),"")</f>
        <v/>
      </c>
      <c r="H923">
        <f>INDEX(Sheet1!AH:AH,MATCH(A923,Sheet1!A:A,0))</f>
        <v/>
      </c>
    </row>
    <row r="924">
      <c r="A924" t="n">
        <v>2165</v>
      </c>
      <c r="B924">
        <f>Sheet1!C924+Sheet1!D924+Sheet1!E924+Sheet1!F924+Sheet1!J924+Sheet1!K924+Sheet1!L924+Sheet1!M924</f>
        <v/>
      </c>
      <c r="C924">
        <f>IF(ISNUMBER(B924),B924,"")</f>
        <v/>
      </c>
      <c r="D924">
        <f>IF(ISNUMBER(C924),_xlfn.RANK.EQ(C924,$C$2:$C$1031),"")</f>
        <v/>
      </c>
      <c r="E924">
        <f>Sheet1!C924+Sheet1!D924+Sheet1!E924+Sheet1!F924+Sheet1!J924+Sheet1!K924+Sheet1!L924+Sheet1!M924+Sheet1!Q924+Sheet1!R924+Sheet1!S924+Sheet1!T924</f>
        <v/>
      </c>
      <c r="F924">
        <f>IF(ISNUMBER(E924),E924,"")</f>
        <v/>
      </c>
      <c r="G924">
        <f>IF(ISNUMBER(F924),_xlfn.RANK.EQ(F924,$F$2:$F$1031),"")</f>
        <v/>
      </c>
      <c r="H924">
        <f>INDEX(Sheet1!AH:AH,MATCH(A924,Sheet1!A:A,0))</f>
        <v/>
      </c>
    </row>
    <row r="925">
      <c r="A925" t="n">
        <v>2168</v>
      </c>
      <c r="B925">
        <f>Sheet1!C925+Sheet1!D925+Sheet1!E925+Sheet1!F925+Sheet1!J925+Sheet1!K925+Sheet1!L925+Sheet1!M925</f>
        <v/>
      </c>
      <c r="C925">
        <f>IF(ISNUMBER(B925),B925,"")</f>
        <v/>
      </c>
      <c r="D925">
        <f>IF(ISNUMBER(C925),_xlfn.RANK.EQ(C925,$C$2:$C$1031),"")</f>
        <v/>
      </c>
      <c r="E925">
        <f>Sheet1!C925+Sheet1!D925+Sheet1!E925+Sheet1!F925+Sheet1!J925+Sheet1!K925+Sheet1!L925+Sheet1!M925+Sheet1!Q925+Sheet1!R925+Sheet1!S925+Sheet1!T925</f>
        <v/>
      </c>
      <c r="F925">
        <f>IF(ISNUMBER(E925),E925,"")</f>
        <v/>
      </c>
      <c r="G925">
        <f>IF(ISNUMBER(F925),_xlfn.RANK.EQ(F925,$F$2:$F$1031),"")</f>
        <v/>
      </c>
      <c r="H925">
        <f>INDEX(Sheet1!AH:AH,MATCH(A925,Sheet1!A:A,0))</f>
        <v/>
      </c>
    </row>
    <row r="926">
      <c r="A926" t="n">
        <v>2169</v>
      </c>
      <c r="B926">
        <f>Sheet1!C926+Sheet1!D926+Sheet1!E926+Sheet1!F926+Sheet1!J926+Sheet1!K926+Sheet1!L926+Sheet1!M926</f>
        <v/>
      </c>
      <c r="C926">
        <f>IF(ISNUMBER(B926),B926,"")</f>
        <v/>
      </c>
      <c r="D926">
        <f>IF(ISNUMBER(C926),_xlfn.RANK.EQ(C926,$C$2:$C$1031),"")</f>
        <v/>
      </c>
      <c r="E926">
        <f>Sheet1!C926+Sheet1!D926+Sheet1!E926+Sheet1!F926+Sheet1!J926+Sheet1!K926+Sheet1!L926+Sheet1!M926+Sheet1!Q926+Sheet1!R926+Sheet1!S926+Sheet1!T926</f>
        <v/>
      </c>
      <c r="F926">
        <f>IF(ISNUMBER(E926),E926,"")</f>
        <v/>
      </c>
      <c r="G926">
        <f>IF(ISNUMBER(F926),_xlfn.RANK.EQ(F926,$F$2:$F$1031),"")</f>
        <v/>
      </c>
      <c r="H926">
        <f>INDEX(Sheet1!AH:AH,MATCH(A926,Sheet1!A:A,0))</f>
        <v/>
      </c>
    </row>
    <row r="927">
      <c r="A927" t="n">
        <v>2170</v>
      </c>
      <c r="B927">
        <f>Sheet1!C927+Sheet1!D927+Sheet1!E927+Sheet1!F927+Sheet1!J927+Sheet1!K927+Sheet1!L927+Sheet1!M927</f>
        <v/>
      </c>
      <c r="C927">
        <f>IF(ISNUMBER(B927),B927,"")</f>
        <v/>
      </c>
      <c r="D927">
        <f>IF(ISNUMBER(C927),_xlfn.RANK.EQ(C927,$C$2:$C$1031),"")</f>
        <v/>
      </c>
      <c r="E927">
        <f>Sheet1!C927+Sheet1!D927+Sheet1!E927+Sheet1!F927+Sheet1!J927+Sheet1!K927+Sheet1!L927+Sheet1!M927+Sheet1!Q927+Sheet1!R927+Sheet1!S927+Sheet1!T927</f>
        <v/>
      </c>
      <c r="F927">
        <f>IF(ISNUMBER(E927),E927,"")</f>
        <v/>
      </c>
      <c r="G927">
        <f>IF(ISNUMBER(F927),_xlfn.RANK.EQ(F927,$F$2:$F$1031),"")</f>
        <v/>
      </c>
      <c r="H927">
        <f>INDEX(Sheet1!AH:AH,MATCH(A927,Sheet1!A:A,0))</f>
        <v/>
      </c>
    </row>
    <row r="928">
      <c r="A928" t="n">
        <v>2171</v>
      </c>
      <c r="B928">
        <f>Sheet1!C928+Sheet1!D928+Sheet1!E928+Sheet1!F928+Sheet1!J928+Sheet1!K928+Sheet1!L928+Sheet1!M928</f>
        <v/>
      </c>
      <c r="C928">
        <f>IF(ISNUMBER(B928),B928,"")</f>
        <v/>
      </c>
      <c r="D928">
        <f>IF(ISNUMBER(C928),_xlfn.RANK.EQ(C928,$C$2:$C$1031),"")</f>
        <v/>
      </c>
      <c r="E928">
        <f>Sheet1!C928+Sheet1!D928+Sheet1!E928+Sheet1!F928+Sheet1!J928+Sheet1!K928+Sheet1!L928+Sheet1!M928+Sheet1!Q928+Sheet1!R928+Sheet1!S928+Sheet1!T928</f>
        <v/>
      </c>
      <c r="F928">
        <f>IF(ISNUMBER(E928),E928,"")</f>
        <v/>
      </c>
      <c r="G928">
        <f>IF(ISNUMBER(F928),_xlfn.RANK.EQ(F928,$F$2:$F$1031),"")</f>
        <v/>
      </c>
      <c r="H928">
        <f>INDEX(Sheet1!AH:AH,MATCH(A928,Sheet1!A:A,0))</f>
        <v/>
      </c>
    </row>
    <row r="929">
      <c r="A929" t="n">
        <v>2172</v>
      </c>
      <c r="B929">
        <f>Sheet1!C929+Sheet1!D929+Sheet1!E929+Sheet1!F929+Sheet1!J929+Sheet1!K929+Sheet1!L929+Sheet1!M929</f>
        <v/>
      </c>
      <c r="C929">
        <f>IF(ISNUMBER(B929),B929,"")</f>
        <v/>
      </c>
      <c r="D929">
        <f>IF(ISNUMBER(C929),_xlfn.RANK.EQ(C929,$C$2:$C$1031),"")</f>
        <v/>
      </c>
      <c r="E929">
        <f>Sheet1!C929+Sheet1!D929+Sheet1!E929+Sheet1!F929+Sheet1!J929+Sheet1!K929+Sheet1!L929+Sheet1!M929+Sheet1!Q929+Sheet1!R929+Sheet1!S929+Sheet1!T929</f>
        <v/>
      </c>
      <c r="F929">
        <f>IF(ISNUMBER(E929),E929,"")</f>
        <v/>
      </c>
      <c r="G929">
        <f>IF(ISNUMBER(F929),_xlfn.RANK.EQ(F929,$F$2:$F$1031),"")</f>
        <v/>
      </c>
      <c r="H929">
        <f>INDEX(Sheet1!AH:AH,MATCH(A929,Sheet1!A:A,0))</f>
        <v/>
      </c>
    </row>
    <row r="930">
      <c r="A930" t="n">
        <v>2173</v>
      </c>
      <c r="B930">
        <f>Sheet1!C930+Sheet1!D930+Sheet1!E930+Sheet1!F930+Sheet1!J930+Sheet1!K930+Sheet1!L930+Sheet1!M930</f>
        <v/>
      </c>
      <c r="C930">
        <f>IF(ISNUMBER(B930),B930,"")</f>
        <v/>
      </c>
      <c r="D930">
        <f>IF(ISNUMBER(C930),_xlfn.RANK.EQ(C930,$C$2:$C$1031),"")</f>
        <v/>
      </c>
      <c r="E930">
        <f>Sheet1!C930+Sheet1!D930+Sheet1!E930+Sheet1!F930+Sheet1!J930+Sheet1!K930+Sheet1!L930+Sheet1!M930+Sheet1!Q930+Sheet1!R930+Sheet1!S930+Sheet1!T930</f>
        <v/>
      </c>
      <c r="F930">
        <f>IF(ISNUMBER(E930),E930,"")</f>
        <v/>
      </c>
      <c r="G930">
        <f>IF(ISNUMBER(F930),_xlfn.RANK.EQ(F930,$F$2:$F$1031),"")</f>
        <v/>
      </c>
      <c r="H930">
        <f>INDEX(Sheet1!AH:AH,MATCH(A930,Sheet1!A:A,0))</f>
        <v/>
      </c>
    </row>
    <row r="931">
      <c r="A931" t="n">
        <v>2174</v>
      </c>
      <c r="B931">
        <f>Sheet1!C931+Sheet1!D931+Sheet1!E931+Sheet1!F931+Sheet1!J931+Sheet1!K931+Sheet1!L931+Sheet1!M931</f>
        <v/>
      </c>
      <c r="C931">
        <f>IF(ISNUMBER(B931),B931,"")</f>
        <v/>
      </c>
      <c r="D931">
        <f>IF(ISNUMBER(C931),_xlfn.RANK.EQ(C931,$C$2:$C$1031),"")</f>
        <v/>
      </c>
      <c r="E931">
        <f>Sheet1!C931+Sheet1!D931+Sheet1!E931+Sheet1!F931+Sheet1!J931+Sheet1!K931+Sheet1!L931+Sheet1!M931+Sheet1!Q931+Sheet1!R931+Sheet1!S931+Sheet1!T931</f>
        <v/>
      </c>
      <c r="F931">
        <f>IF(ISNUMBER(E931),E931,"")</f>
        <v/>
      </c>
      <c r="G931">
        <f>IF(ISNUMBER(F931),_xlfn.RANK.EQ(F931,$F$2:$F$1031),"")</f>
        <v/>
      </c>
      <c r="H931">
        <f>INDEX(Sheet1!AH:AH,MATCH(A931,Sheet1!A:A,0))</f>
        <v/>
      </c>
    </row>
    <row r="932">
      <c r="A932" t="n">
        <v>2176</v>
      </c>
      <c r="B932">
        <f>Sheet1!C932+Sheet1!D932+Sheet1!E932+Sheet1!F932+Sheet1!J932+Sheet1!K932+Sheet1!L932+Sheet1!M932</f>
        <v/>
      </c>
      <c r="C932">
        <f>IF(ISNUMBER(B932),B932,"")</f>
        <v/>
      </c>
      <c r="D932">
        <f>IF(ISNUMBER(C932),_xlfn.RANK.EQ(C932,$C$2:$C$1031),"")</f>
        <v/>
      </c>
      <c r="E932">
        <f>Sheet1!C932+Sheet1!D932+Sheet1!E932+Sheet1!F932+Sheet1!J932+Sheet1!K932+Sheet1!L932+Sheet1!M932+Sheet1!Q932+Sheet1!R932+Sheet1!S932+Sheet1!T932</f>
        <v/>
      </c>
      <c r="F932">
        <f>IF(ISNUMBER(E932),E932,"")</f>
        <v/>
      </c>
      <c r="G932">
        <f>IF(ISNUMBER(F932),_xlfn.RANK.EQ(F932,$F$2:$F$1031),"")</f>
        <v/>
      </c>
      <c r="H932">
        <f>INDEX(Sheet1!AH:AH,MATCH(A932,Sheet1!A:A,0))</f>
        <v/>
      </c>
    </row>
    <row r="933">
      <c r="A933" t="n">
        <v>2177</v>
      </c>
      <c r="B933">
        <f>Sheet1!C933+Sheet1!D933+Sheet1!E933+Sheet1!F933+Sheet1!J933+Sheet1!K933+Sheet1!L933+Sheet1!M933</f>
        <v/>
      </c>
      <c r="C933">
        <f>IF(ISNUMBER(B933),B933,"")</f>
        <v/>
      </c>
      <c r="D933">
        <f>IF(ISNUMBER(C933),_xlfn.RANK.EQ(C933,$C$2:$C$1031),"")</f>
        <v/>
      </c>
      <c r="E933">
        <f>Sheet1!C933+Sheet1!D933+Sheet1!E933+Sheet1!F933+Sheet1!J933+Sheet1!K933+Sheet1!L933+Sheet1!M933+Sheet1!Q933+Sheet1!R933+Sheet1!S933+Sheet1!T933</f>
        <v/>
      </c>
      <c r="F933">
        <f>IF(ISNUMBER(E933),E933,"")</f>
        <v/>
      </c>
      <c r="G933">
        <f>IF(ISNUMBER(F933),_xlfn.RANK.EQ(F933,$F$2:$F$1031),"")</f>
        <v/>
      </c>
      <c r="H933">
        <f>INDEX(Sheet1!AH:AH,MATCH(A933,Sheet1!A:A,0))</f>
        <v/>
      </c>
    </row>
    <row r="934">
      <c r="A934" t="n">
        <v>2178</v>
      </c>
      <c r="B934">
        <f>Sheet1!C934+Sheet1!D934+Sheet1!E934+Sheet1!F934+Sheet1!J934+Sheet1!K934+Sheet1!L934+Sheet1!M934</f>
        <v/>
      </c>
      <c r="C934">
        <f>IF(ISNUMBER(B934),B934,"")</f>
        <v/>
      </c>
      <c r="D934">
        <f>IF(ISNUMBER(C934),_xlfn.RANK.EQ(C934,$C$2:$C$1031),"")</f>
        <v/>
      </c>
      <c r="E934">
        <f>Sheet1!C934+Sheet1!D934+Sheet1!E934+Sheet1!F934+Sheet1!J934+Sheet1!K934+Sheet1!L934+Sheet1!M934+Sheet1!Q934+Sheet1!R934+Sheet1!S934+Sheet1!T934</f>
        <v/>
      </c>
      <c r="F934">
        <f>IF(ISNUMBER(E934),E934,"")</f>
        <v/>
      </c>
      <c r="G934">
        <f>IF(ISNUMBER(F934),_xlfn.RANK.EQ(F934,$F$2:$F$1031),"")</f>
        <v/>
      </c>
      <c r="H934">
        <f>INDEX(Sheet1!AH:AH,MATCH(A934,Sheet1!A:A,0))</f>
        <v/>
      </c>
    </row>
    <row r="935">
      <c r="A935" t="n">
        <v>2180</v>
      </c>
      <c r="B935">
        <f>Sheet1!C935+Sheet1!D935+Sheet1!E935+Sheet1!F935+Sheet1!J935+Sheet1!K935+Sheet1!L935+Sheet1!M935</f>
        <v/>
      </c>
      <c r="C935">
        <f>IF(ISNUMBER(B935),B935,"")</f>
        <v/>
      </c>
      <c r="D935">
        <f>IF(ISNUMBER(C935),_xlfn.RANK.EQ(C935,$C$2:$C$1031),"")</f>
        <v/>
      </c>
      <c r="E935">
        <f>Sheet1!C935+Sheet1!D935+Sheet1!E935+Sheet1!F935+Sheet1!J935+Sheet1!K935+Sheet1!L935+Sheet1!M935+Sheet1!Q935+Sheet1!R935+Sheet1!S935+Sheet1!T935</f>
        <v/>
      </c>
      <c r="F935">
        <f>IF(ISNUMBER(E935),E935,"")</f>
        <v/>
      </c>
      <c r="G935">
        <f>IF(ISNUMBER(F935),_xlfn.RANK.EQ(F935,$F$2:$F$1031),"")</f>
        <v/>
      </c>
      <c r="H935">
        <f>INDEX(Sheet1!AH:AH,MATCH(A935,Sheet1!A:A,0))</f>
        <v/>
      </c>
    </row>
    <row r="936">
      <c r="A936" t="n">
        <v>2181</v>
      </c>
      <c r="B936">
        <f>Sheet1!C936+Sheet1!D936+Sheet1!E936+Sheet1!F936+Sheet1!J936+Sheet1!K936+Sheet1!L936+Sheet1!M936</f>
        <v/>
      </c>
      <c r="C936">
        <f>IF(ISNUMBER(B936),B936,"")</f>
        <v/>
      </c>
      <c r="D936">
        <f>IF(ISNUMBER(C936),_xlfn.RANK.EQ(C936,$C$2:$C$1031),"")</f>
        <v/>
      </c>
      <c r="E936">
        <f>Sheet1!C936+Sheet1!D936+Sheet1!E936+Sheet1!F936+Sheet1!J936+Sheet1!K936+Sheet1!L936+Sheet1!M936+Sheet1!Q936+Sheet1!R936+Sheet1!S936+Sheet1!T936</f>
        <v/>
      </c>
      <c r="F936">
        <f>IF(ISNUMBER(E936),E936,"")</f>
        <v/>
      </c>
      <c r="G936">
        <f>IF(ISNUMBER(F936),_xlfn.RANK.EQ(F936,$F$2:$F$1031),"")</f>
        <v/>
      </c>
      <c r="H936">
        <f>INDEX(Sheet1!AH:AH,MATCH(A936,Sheet1!A:A,0))</f>
        <v/>
      </c>
    </row>
    <row r="937">
      <c r="A937" t="n">
        <v>2182</v>
      </c>
      <c r="B937">
        <f>Sheet1!C937+Sheet1!D937+Sheet1!E937+Sheet1!F937+Sheet1!J937+Sheet1!K937+Sheet1!L937+Sheet1!M937</f>
        <v/>
      </c>
      <c r="C937">
        <f>IF(ISNUMBER(B937),B937,"")</f>
        <v/>
      </c>
      <c r="D937">
        <f>IF(ISNUMBER(C937),_xlfn.RANK.EQ(C937,$C$2:$C$1031),"")</f>
        <v/>
      </c>
      <c r="E937">
        <f>Sheet1!C937+Sheet1!D937+Sheet1!E937+Sheet1!F937+Sheet1!J937+Sheet1!K937+Sheet1!L937+Sheet1!M937+Sheet1!Q937+Sheet1!R937+Sheet1!S937+Sheet1!T937</f>
        <v/>
      </c>
      <c r="F937">
        <f>IF(ISNUMBER(E937),E937,"")</f>
        <v/>
      </c>
      <c r="G937">
        <f>IF(ISNUMBER(F937),_xlfn.RANK.EQ(F937,$F$2:$F$1031),"")</f>
        <v/>
      </c>
      <c r="H937">
        <f>INDEX(Sheet1!AH:AH,MATCH(A937,Sheet1!A:A,0))</f>
        <v/>
      </c>
    </row>
    <row r="938">
      <c r="A938" t="n">
        <v>2183</v>
      </c>
      <c r="B938">
        <f>Sheet1!C938+Sheet1!D938+Sheet1!E938+Sheet1!F938+Sheet1!J938+Sheet1!K938+Sheet1!L938+Sheet1!M938</f>
        <v/>
      </c>
      <c r="C938">
        <f>IF(ISNUMBER(B938),B938,"")</f>
        <v/>
      </c>
      <c r="D938">
        <f>IF(ISNUMBER(C938),_xlfn.RANK.EQ(C938,$C$2:$C$1031),"")</f>
        <v/>
      </c>
      <c r="E938">
        <f>Sheet1!C938+Sheet1!D938+Sheet1!E938+Sheet1!F938+Sheet1!J938+Sheet1!K938+Sheet1!L938+Sheet1!M938+Sheet1!Q938+Sheet1!R938+Sheet1!S938+Sheet1!T938</f>
        <v/>
      </c>
      <c r="F938">
        <f>IF(ISNUMBER(E938),E938,"")</f>
        <v/>
      </c>
      <c r="G938">
        <f>IF(ISNUMBER(F938),_xlfn.RANK.EQ(F938,$F$2:$F$1031),"")</f>
        <v/>
      </c>
      <c r="H938">
        <f>INDEX(Sheet1!AH:AH,MATCH(A938,Sheet1!A:A,0))</f>
        <v/>
      </c>
    </row>
    <row r="939">
      <c r="A939" t="n">
        <v>2187</v>
      </c>
      <c r="B939">
        <f>Sheet1!C939+Sheet1!D939+Sheet1!E939+Sheet1!F939+Sheet1!J939+Sheet1!K939+Sheet1!L939+Sheet1!M939</f>
        <v/>
      </c>
      <c r="C939">
        <f>IF(ISNUMBER(B939),B939,"")</f>
        <v/>
      </c>
      <c r="D939">
        <f>IF(ISNUMBER(C939),_xlfn.RANK.EQ(C939,$C$2:$C$1031),"")</f>
        <v/>
      </c>
      <c r="E939">
        <f>Sheet1!C939+Sheet1!D939+Sheet1!E939+Sheet1!F939+Sheet1!J939+Sheet1!K939+Sheet1!L939+Sheet1!M939+Sheet1!Q939+Sheet1!R939+Sheet1!S939+Sheet1!T939</f>
        <v/>
      </c>
      <c r="F939">
        <f>IF(ISNUMBER(E939),E939,"")</f>
        <v/>
      </c>
      <c r="G939">
        <f>IF(ISNUMBER(F939),_xlfn.RANK.EQ(F939,$F$2:$F$1031),"")</f>
        <v/>
      </c>
      <c r="H939">
        <f>INDEX(Sheet1!AH:AH,MATCH(A939,Sheet1!A:A,0))</f>
        <v/>
      </c>
    </row>
    <row r="940">
      <c r="A940" t="n">
        <v>2189</v>
      </c>
      <c r="B940">
        <f>Sheet1!C940+Sheet1!D940+Sheet1!E940+Sheet1!F940+Sheet1!J940+Sheet1!K940+Sheet1!L940+Sheet1!M940</f>
        <v/>
      </c>
      <c r="C940">
        <f>IF(ISNUMBER(B940),B940,"")</f>
        <v/>
      </c>
      <c r="D940">
        <f>IF(ISNUMBER(C940),_xlfn.RANK.EQ(C940,$C$2:$C$1031),"")</f>
        <v/>
      </c>
      <c r="E940">
        <f>Sheet1!C940+Sheet1!D940+Sheet1!E940+Sheet1!F940+Sheet1!J940+Sheet1!K940+Sheet1!L940+Sheet1!M940+Sheet1!Q940+Sheet1!R940+Sheet1!S940+Sheet1!T940</f>
        <v/>
      </c>
      <c r="F940">
        <f>IF(ISNUMBER(E940),E940,"")</f>
        <v/>
      </c>
      <c r="G940">
        <f>IF(ISNUMBER(F940),_xlfn.RANK.EQ(F940,$F$2:$F$1031),"")</f>
        <v/>
      </c>
      <c r="H940">
        <f>INDEX(Sheet1!AH:AH,MATCH(A940,Sheet1!A:A,0))</f>
        <v/>
      </c>
    </row>
    <row r="941">
      <c r="A941" t="n">
        <v>2190</v>
      </c>
      <c r="B941">
        <f>Sheet1!C941+Sheet1!D941+Sheet1!E941+Sheet1!F941+Sheet1!J941+Sheet1!K941+Sheet1!L941+Sheet1!M941</f>
        <v/>
      </c>
      <c r="C941">
        <f>IF(ISNUMBER(B941),B941,"")</f>
        <v/>
      </c>
      <c r="D941">
        <f>IF(ISNUMBER(C941),_xlfn.RANK.EQ(C941,$C$2:$C$1031),"")</f>
        <v/>
      </c>
      <c r="E941">
        <f>Sheet1!C941+Sheet1!D941+Sheet1!E941+Sheet1!F941+Sheet1!J941+Sheet1!K941+Sheet1!L941+Sheet1!M941+Sheet1!Q941+Sheet1!R941+Sheet1!S941+Sheet1!T941</f>
        <v/>
      </c>
      <c r="F941">
        <f>IF(ISNUMBER(E941),E941,"")</f>
        <v/>
      </c>
      <c r="G941">
        <f>IF(ISNUMBER(F941),_xlfn.RANK.EQ(F941,$F$2:$F$1031),"")</f>
        <v/>
      </c>
      <c r="H941">
        <f>INDEX(Sheet1!AH:AH,MATCH(A941,Sheet1!A:A,0))</f>
        <v/>
      </c>
    </row>
    <row r="942">
      <c r="A942" t="n">
        <v>2191</v>
      </c>
      <c r="B942">
        <f>Sheet1!C942+Sheet1!D942+Sheet1!E942+Sheet1!F942+Sheet1!J942+Sheet1!K942+Sheet1!L942+Sheet1!M942</f>
        <v/>
      </c>
      <c r="C942">
        <f>IF(ISNUMBER(B942),B942,"")</f>
        <v/>
      </c>
      <c r="D942">
        <f>IF(ISNUMBER(C942),_xlfn.RANK.EQ(C942,$C$2:$C$1031),"")</f>
        <v/>
      </c>
      <c r="E942">
        <f>Sheet1!C942+Sheet1!D942+Sheet1!E942+Sheet1!F942+Sheet1!J942+Sheet1!K942+Sheet1!L942+Sheet1!M942+Sheet1!Q942+Sheet1!R942+Sheet1!S942+Sheet1!T942</f>
        <v/>
      </c>
      <c r="F942">
        <f>IF(ISNUMBER(E942),E942,"")</f>
        <v/>
      </c>
      <c r="G942">
        <f>IF(ISNUMBER(F942),_xlfn.RANK.EQ(F942,$F$2:$F$1031),"")</f>
        <v/>
      </c>
      <c r="H942">
        <f>INDEX(Sheet1!AH:AH,MATCH(A942,Sheet1!A:A,0))</f>
        <v/>
      </c>
    </row>
    <row r="943">
      <c r="A943" t="n">
        <v>2193</v>
      </c>
      <c r="B943">
        <f>Sheet1!C943+Sheet1!D943+Sheet1!E943+Sheet1!F943+Sheet1!J943+Sheet1!K943+Sheet1!L943+Sheet1!M943</f>
        <v/>
      </c>
      <c r="C943">
        <f>IF(ISNUMBER(B943),B943,"")</f>
        <v/>
      </c>
      <c r="D943">
        <f>IF(ISNUMBER(C943),_xlfn.RANK.EQ(C943,$C$2:$C$1031),"")</f>
        <v/>
      </c>
      <c r="E943">
        <f>Sheet1!C943+Sheet1!D943+Sheet1!E943+Sheet1!F943+Sheet1!J943+Sheet1!K943+Sheet1!L943+Sheet1!M943+Sheet1!Q943+Sheet1!R943+Sheet1!S943+Sheet1!T943</f>
        <v/>
      </c>
      <c r="F943">
        <f>IF(ISNUMBER(E943),E943,"")</f>
        <v/>
      </c>
      <c r="G943">
        <f>IF(ISNUMBER(F943),_xlfn.RANK.EQ(F943,$F$2:$F$1031),"")</f>
        <v/>
      </c>
      <c r="H943">
        <f>INDEX(Sheet1!AH:AH,MATCH(A943,Sheet1!A:A,0))</f>
        <v/>
      </c>
    </row>
    <row r="944">
      <c r="A944" t="n">
        <v>2194</v>
      </c>
      <c r="B944">
        <f>Sheet1!C944+Sheet1!D944+Sheet1!E944+Sheet1!F944+Sheet1!J944+Sheet1!K944+Sheet1!L944+Sheet1!M944</f>
        <v/>
      </c>
      <c r="C944">
        <f>IF(ISNUMBER(B944),B944,"")</f>
        <v/>
      </c>
      <c r="D944">
        <f>IF(ISNUMBER(C944),_xlfn.RANK.EQ(C944,$C$2:$C$1031),"")</f>
        <v/>
      </c>
      <c r="E944">
        <f>Sheet1!C944+Sheet1!D944+Sheet1!E944+Sheet1!F944+Sheet1!J944+Sheet1!K944+Sheet1!L944+Sheet1!M944+Sheet1!Q944+Sheet1!R944+Sheet1!S944+Sheet1!T944</f>
        <v/>
      </c>
      <c r="F944">
        <f>IF(ISNUMBER(E944),E944,"")</f>
        <v/>
      </c>
      <c r="G944">
        <f>IF(ISNUMBER(F944),_xlfn.RANK.EQ(F944,$F$2:$F$1031),"")</f>
        <v/>
      </c>
      <c r="H944">
        <f>INDEX(Sheet1!AH:AH,MATCH(A944,Sheet1!A:A,0))</f>
        <v/>
      </c>
    </row>
    <row r="945">
      <c r="A945" t="n">
        <v>2195</v>
      </c>
      <c r="B945">
        <f>Sheet1!C945+Sheet1!D945+Sheet1!E945+Sheet1!F945+Sheet1!J945+Sheet1!K945+Sheet1!L945+Sheet1!M945</f>
        <v/>
      </c>
      <c r="C945">
        <f>IF(ISNUMBER(B945),B945,"")</f>
        <v/>
      </c>
      <c r="D945">
        <f>IF(ISNUMBER(C945),_xlfn.RANK.EQ(C945,$C$2:$C$1031),"")</f>
        <v/>
      </c>
      <c r="E945">
        <f>Sheet1!C945+Sheet1!D945+Sheet1!E945+Sheet1!F945+Sheet1!J945+Sheet1!K945+Sheet1!L945+Sheet1!M945+Sheet1!Q945+Sheet1!R945+Sheet1!S945+Sheet1!T945</f>
        <v/>
      </c>
      <c r="F945">
        <f>IF(ISNUMBER(E945),E945,"")</f>
        <v/>
      </c>
      <c r="G945">
        <f>IF(ISNUMBER(F945),_xlfn.RANK.EQ(F945,$F$2:$F$1031),"")</f>
        <v/>
      </c>
      <c r="H945">
        <f>INDEX(Sheet1!AH:AH,MATCH(A945,Sheet1!A:A,0))</f>
        <v/>
      </c>
    </row>
    <row r="946">
      <c r="A946" t="n">
        <v>2197</v>
      </c>
      <c r="B946">
        <f>Sheet1!C946+Sheet1!D946+Sheet1!E946+Sheet1!F946+Sheet1!J946+Sheet1!K946+Sheet1!L946+Sheet1!M946</f>
        <v/>
      </c>
      <c r="C946">
        <f>IF(ISNUMBER(B946),B946,"")</f>
        <v/>
      </c>
      <c r="D946">
        <f>IF(ISNUMBER(C946),_xlfn.RANK.EQ(C946,$C$2:$C$1031),"")</f>
        <v/>
      </c>
      <c r="E946">
        <f>Sheet1!C946+Sheet1!D946+Sheet1!E946+Sheet1!F946+Sheet1!J946+Sheet1!K946+Sheet1!L946+Sheet1!M946+Sheet1!Q946+Sheet1!R946+Sheet1!S946+Sheet1!T946</f>
        <v/>
      </c>
      <c r="F946">
        <f>IF(ISNUMBER(E946),E946,"")</f>
        <v/>
      </c>
      <c r="G946">
        <f>IF(ISNUMBER(F946),_xlfn.RANK.EQ(F946,$F$2:$F$1031),"")</f>
        <v/>
      </c>
      <c r="H946">
        <f>INDEX(Sheet1!AH:AH,MATCH(A946,Sheet1!A:A,0))</f>
        <v/>
      </c>
    </row>
    <row r="947">
      <c r="A947" t="n">
        <v>2205</v>
      </c>
      <c r="B947">
        <f>Sheet1!C947+Sheet1!D947+Sheet1!E947+Sheet1!F947+Sheet1!J947+Sheet1!K947+Sheet1!L947+Sheet1!M947</f>
        <v/>
      </c>
      <c r="C947">
        <f>IF(ISNUMBER(B947),B947,"")</f>
        <v/>
      </c>
      <c r="D947">
        <f>IF(ISNUMBER(C947),_xlfn.RANK.EQ(C947,$C$2:$C$1031),"")</f>
        <v/>
      </c>
      <c r="E947">
        <f>Sheet1!C947+Sheet1!D947+Sheet1!E947+Sheet1!F947+Sheet1!J947+Sheet1!K947+Sheet1!L947+Sheet1!M947+Sheet1!Q947+Sheet1!R947+Sheet1!S947+Sheet1!T947</f>
        <v/>
      </c>
      <c r="F947">
        <f>IF(ISNUMBER(E947),E947,"")</f>
        <v/>
      </c>
      <c r="G947">
        <f>IF(ISNUMBER(F947),_xlfn.RANK.EQ(F947,$F$2:$F$1031),"")</f>
        <v/>
      </c>
      <c r="H947">
        <f>INDEX(Sheet1!AH:AH,MATCH(A947,Sheet1!A:A,0))</f>
        <v/>
      </c>
    </row>
    <row r="948">
      <c r="A948" t="n">
        <v>2206</v>
      </c>
      <c r="B948">
        <f>Sheet1!C948+Sheet1!D948+Sheet1!E948+Sheet1!F948+Sheet1!J948+Sheet1!K948+Sheet1!L948+Sheet1!M948</f>
        <v/>
      </c>
      <c r="C948">
        <f>IF(ISNUMBER(B948),B948,"")</f>
        <v/>
      </c>
      <c r="D948">
        <f>IF(ISNUMBER(C948),_xlfn.RANK.EQ(C948,$C$2:$C$1031),"")</f>
        <v/>
      </c>
      <c r="E948">
        <f>Sheet1!C948+Sheet1!D948+Sheet1!E948+Sheet1!F948+Sheet1!J948+Sheet1!K948+Sheet1!L948+Sheet1!M948+Sheet1!Q948+Sheet1!R948+Sheet1!S948+Sheet1!T948</f>
        <v/>
      </c>
      <c r="F948">
        <f>IF(ISNUMBER(E948),E948,"")</f>
        <v/>
      </c>
      <c r="G948">
        <f>IF(ISNUMBER(F948),_xlfn.RANK.EQ(F948,$F$2:$F$1031),"")</f>
        <v/>
      </c>
      <c r="H948">
        <f>INDEX(Sheet1!AH:AH,MATCH(A948,Sheet1!A:A,0))</f>
        <v/>
      </c>
    </row>
    <row r="949">
      <c r="A949" t="n">
        <v>2207</v>
      </c>
      <c r="B949">
        <f>Sheet1!C949+Sheet1!D949+Sheet1!E949+Sheet1!F949+Sheet1!J949+Sheet1!K949+Sheet1!L949+Sheet1!M949</f>
        <v/>
      </c>
      <c r="C949">
        <f>IF(ISNUMBER(B949),B949,"")</f>
        <v/>
      </c>
      <c r="D949">
        <f>IF(ISNUMBER(C949),_xlfn.RANK.EQ(C949,$C$2:$C$1031),"")</f>
        <v/>
      </c>
      <c r="E949">
        <f>Sheet1!C949+Sheet1!D949+Sheet1!E949+Sheet1!F949+Sheet1!J949+Sheet1!K949+Sheet1!L949+Sheet1!M949+Sheet1!Q949+Sheet1!R949+Sheet1!S949+Sheet1!T949</f>
        <v/>
      </c>
      <c r="F949">
        <f>IF(ISNUMBER(E949),E949,"")</f>
        <v/>
      </c>
      <c r="G949">
        <f>IF(ISNUMBER(F949),_xlfn.RANK.EQ(F949,$F$2:$F$1031),"")</f>
        <v/>
      </c>
      <c r="H949">
        <f>INDEX(Sheet1!AH:AH,MATCH(A949,Sheet1!A:A,0))</f>
        <v/>
      </c>
    </row>
    <row r="950">
      <c r="A950" t="n">
        <v>2210</v>
      </c>
      <c r="B950">
        <f>Sheet1!C950+Sheet1!D950+Sheet1!E950+Sheet1!F950+Sheet1!J950+Sheet1!K950+Sheet1!L950+Sheet1!M950</f>
        <v/>
      </c>
      <c r="C950">
        <f>IF(ISNUMBER(B950),B950,"")</f>
        <v/>
      </c>
      <c r="D950">
        <f>IF(ISNUMBER(C950),_xlfn.RANK.EQ(C950,$C$2:$C$1031),"")</f>
        <v/>
      </c>
      <c r="E950">
        <f>Sheet1!C950+Sheet1!D950+Sheet1!E950+Sheet1!F950+Sheet1!J950+Sheet1!K950+Sheet1!L950+Sheet1!M950+Sheet1!Q950+Sheet1!R950+Sheet1!S950+Sheet1!T950</f>
        <v/>
      </c>
      <c r="F950">
        <f>IF(ISNUMBER(E950),E950,"")</f>
        <v/>
      </c>
      <c r="G950">
        <f>IF(ISNUMBER(F950),_xlfn.RANK.EQ(F950,$F$2:$F$1031),"")</f>
        <v/>
      </c>
      <c r="H950">
        <f>INDEX(Sheet1!AH:AH,MATCH(A950,Sheet1!A:A,0))</f>
        <v/>
      </c>
    </row>
    <row r="951">
      <c r="A951" t="n">
        <v>2215</v>
      </c>
      <c r="B951">
        <f>Sheet1!C951+Sheet1!D951+Sheet1!E951+Sheet1!F951+Sheet1!J951+Sheet1!K951+Sheet1!L951+Sheet1!M951</f>
        <v/>
      </c>
      <c r="C951">
        <f>IF(ISNUMBER(B951),B951,"")</f>
        <v/>
      </c>
      <c r="D951">
        <f>IF(ISNUMBER(C951),_xlfn.RANK.EQ(C951,$C$2:$C$1031),"")</f>
        <v/>
      </c>
      <c r="E951">
        <f>Sheet1!C951+Sheet1!D951+Sheet1!E951+Sheet1!F951+Sheet1!J951+Sheet1!K951+Sheet1!L951+Sheet1!M951+Sheet1!Q951+Sheet1!R951+Sheet1!S951+Sheet1!T951</f>
        <v/>
      </c>
      <c r="F951">
        <f>IF(ISNUMBER(E951),E951,"")</f>
        <v/>
      </c>
      <c r="G951">
        <f>IF(ISNUMBER(F951),_xlfn.RANK.EQ(F951,$F$2:$F$1031),"")</f>
        <v/>
      </c>
      <c r="H951">
        <f>INDEX(Sheet1!AH:AH,MATCH(A951,Sheet1!A:A,0))</f>
        <v/>
      </c>
    </row>
    <row r="952">
      <c r="A952" t="n">
        <v>2216</v>
      </c>
      <c r="B952">
        <f>Sheet1!C952+Sheet1!D952+Sheet1!E952+Sheet1!F952+Sheet1!J952+Sheet1!K952+Sheet1!L952+Sheet1!M952</f>
        <v/>
      </c>
      <c r="C952">
        <f>IF(ISNUMBER(B952),B952,"")</f>
        <v/>
      </c>
      <c r="D952">
        <f>IF(ISNUMBER(C952),_xlfn.RANK.EQ(C952,$C$2:$C$1031),"")</f>
        <v/>
      </c>
      <c r="E952">
        <f>Sheet1!C952+Sheet1!D952+Sheet1!E952+Sheet1!F952+Sheet1!J952+Sheet1!K952+Sheet1!L952+Sheet1!M952+Sheet1!Q952+Sheet1!R952+Sheet1!S952+Sheet1!T952</f>
        <v/>
      </c>
      <c r="F952">
        <f>IF(ISNUMBER(E952),E952,"")</f>
        <v/>
      </c>
      <c r="G952">
        <f>IF(ISNUMBER(F952),_xlfn.RANK.EQ(F952,$F$2:$F$1031),"")</f>
        <v/>
      </c>
      <c r="H952">
        <f>INDEX(Sheet1!AH:AH,MATCH(A952,Sheet1!A:A,0))</f>
        <v/>
      </c>
    </row>
    <row r="953">
      <c r="A953" t="n">
        <v>2217</v>
      </c>
      <c r="B953">
        <f>Sheet1!C953+Sheet1!D953+Sheet1!E953+Sheet1!F953+Sheet1!J953+Sheet1!K953+Sheet1!L953+Sheet1!M953</f>
        <v/>
      </c>
      <c r="C953">
        <f>IF(ISNUMBER(B953),B953,"")</f>
        <v/>
      </c>
      <c r="D953">
        <f>IF(ISNUMBER(C953),_xlfn.RANK.EQ(C953,$C$2:$C$1031),"")</f>
        <v/>
      </c>
      <c r="E953">
        <f>Sheet1!C953+Sheet1!D953+Sheet1!E953+Sheet1!F953+Sheet1!J953+Sheet1!K953+Sheet1!L953+Sheet1!M953+Sheet1!Q953+Sheet1!R953+Sheet1!S953+Sheet1!T953</f>
        <v/>
      </c>
      <c r="F953">
        <f>IF(ISNUMBER(E953),E953,"")</f>
        <v/>
      </c>
      <c r="G953">
        <f>IF(ISNUMBER(F953),_xlfn.RANK.EQ(F953,$F$2:$F$1031),"")</f>
        <v/>
      </c>
      <c r="H953">
        <f>INDEX(Sheet1!AH:AH,MATCH(A953,Sheet1!A:A,0))</f>
        <v/>
      </c>
    </row>
    <row r="954">
      <c r="A954" t="n">
        <v>2225</v>
      </c>
      <c r="B954">
        <f>Sheet1!C954+Sheet1!D954+Sheet1!E954+Sheet1!F954+Sheet1!J954+Sheet1!K954+Sheet1!L954+Sheet1!M954</f>
        <v/>
      </c>
      <c r="C954">
        <f>IF(ISNUMBER(B954),B954,"")</f>
        <v/>
      </c>
      <c r="D954">
        <f>IF(ISNUMBER(C954),_xlfn.RANK.EQ(C954,$C$2:$C$1031),"")</f>
        <v/>
      </c>
      <c r="E954">
        <f>Sheet1!C954+Sheet1!D954+Sheet1!E954+Sheet1!F954+Sheet1!J954+Sheet1!K954+Sheet1!L954+Sheet1!M954+Sheet1!Q954+Sheet1!R954+Sheet1!S954+Sheet1!T954</f>
        <v/>
      </c>
      <c r="F954">
        <f>IF(ISNUMBER(E954),E954,"")</f>
        <v/>
      </c>
      <c r="G954">
        <f>IF(ISNUMBER(F954),_xlfn.RANK.EQ(F954,$F$2:$F$1031),"")</f>
        <v/>
      </c>
      <c r="H954">
        <f>INDEX(Sheet1!AH:AH,MATCH(A954,Sheet1!A:A,0))</f>
        <v/>
      </c>
    </row>
    <row r="955">
      <c r="A955" t="n">
        <v>2227</v>
      </c>
      <c r="B955">
        <f>Sheet1!C955+Sheet1!D955+Sheet1!E955+Sheet1!F955+Sheet1!J955+Sheet1!K955+Sheet1!L955+Sheet1!M955</f>
        <v/>
      </c>
      <c r="C955">
        <f>IF(ISNUMBER(B955),B955,"")</f>
        <v/>
      </c>
      <c r="D955">
        <f>IF(ISNUMBER(C955),_xlfn.RANK.EQ(C955,$C$2:$C$1031),"")</f>
        <v/>
      </c>
      <c r="E955">
        <f>Sheet1!C955+Sheet1!D955+Sheet1!E955+Sheet1!F955+Sheet1!J955+Sheet1!K955+Sheet1!L955+Sheet1!M955+Sheet1!Q955+Sheet1!R955+Sheet1!S955+Sheet1!T955</f>
        <v/>
      </c>
      <c r="F955">
        <f>IF(ISNUMBER(E955),E955,"")</f>
        <v/>
      </c>
      <c r="G955">
        <f>IF(ISNUMBER(F955),_xlfn.RANK.EQ(F955,$F$2:$F$1031),"")</f>
        <v/>
      </c>
      <c r="H955">
        <f>INDEX(Sheet1!AH:AH,MATCH(A955,Sheet1!A:A,0))</f>
        <v/>
      </c>
    </row>
    <row r="956">
      <c r="A956" t="n">
        <v>2228</v>
      </c>
      <c r="B956">
        <f>Sheet1!C956+Sheet1!D956+Sheet1!E956+Sheet1!F956+Sheet1!J956+Sheet1!K956+Sheet1!L956+Sheet1!M956</f>
        <v/>
      </c>
      <c r="C956">
        <f>IF(ISNUMBER(B956),B956,"")</f>
        <v/>
      </c>
      <c r="D956">
        <f>IF(ISNUMBER(C956),_xlfn.RANK.EQ(C956,$C$2:$C$1031),"")</f>
        <v/>
      </c>
      <c r="E956">
        <f>Sheet1!C956+Sheet1!D956+Sheet1!E956+Sheet1!F956+Sheet1!J956+Sheet1!K956+Sheet1!L956+Sheet1!M956+Sheet1!Q956+Sheet1!R956+Sheet1!S956+Sheet1!T956</f>
        <v/>
      </c>
      <c r="F956">
        <f>IF(ISNUMBER(E956),E956,"")</f>
        <v/>
      </c>
      <c r="G956">
        <f>IF(ISNUMBER(F956),_xlfn.RANK.EQ(F956,$F$2:$F$1031),"")</f>
        <v/>
      </c>
      <c r="H956">
        <f>INDEX(Sheet1!AH:AH,MATCH(A956,Sheet1!A:A,0))</f>
        <v/>
      </c>
    </row>
    <row r="957">
      <c r="A957" t="n">
        <v>2229</v>
      </c>
      <c r="B957">
        <f>Sheet1!C957+Sheet1!D957+Sheet1!E957+Sheet1!F957+Sheet1!J957+Sheet1!K957+Sheet1!L957+Sheet1!M957</f>
        <v/>
      </c>
      <c r="C957">
        <f>IF(ISNUMBER(B957),B957,"")</f>
        <v/>
      </c>
      <c r="D957">
        <f>IF(ISNUMBER(C957),_xlfn.RANK.EQ(C957,$C$2:$C$1031),"")</f>
        <v/>
      </c>
      <c r="E957">
        <f>Sheet1!C957+Sheet1!D957+Sheet1!E957+Sheet1!F957+Sheet1!J957+Sheet1!K957+Sheet1!L957+Sheet1!M957+Sheet1!Q957+Sheet1!R957+Sheet1!S957+Sheet1!T957</f>
        <v/>
      </c>
      <c r="F957">
        <f>IF(ISNUMBER(E957),E957,"")</f>
        <v/>
      </c>
      <c r="G957">
        <f>IF(ISNUMBER(F957),_xlfn.RANK.EQ(F957,$F$2:$F$1031),"")</f>
        <v/>
      </c>
      <c r="H957">
        <f>INDEX(Sheet1!AH:AH,MATCH(A957,Sheet1!A:A,0))</f>
        <v/>
      </c>
    </row>
    <row r="958">
      <c r="A958" t="n">
        <v>2230</v>
      </c>
      <c r="B958">
        <f>Sheet1!C958+Sheet1!D958+Sheet1!E958+Sheet1!F958+Sheet1!J958+Sheet1!K958+Sheet1!L958+Sheet1!M958</f>
        <v/>
      </c>
      <c r="C958">
        <f>IF(ISNUMBER(B958),B958,"")</f>
        <v/>
      </c>
      <c r="D958">
        <f>IF(ISNUMBER(C958),_xlfn.RANK.EQ(C958,$C$2:$C$1031),"")</f>
        <v/>
      </c>
      <c r="E958">
        <f>Sheet1!C958+Sheet1!D958+Sheet1!E958+Sheet1!F958+Sheet1!J958+Sheet1!K958+Sheet1!L958+Sheet1!M958+Sheet1!Q958+Sheet1!R958+Sheet1!S958+Sheet1!T958</f>
        <v/>
      </c>
      <c r="F958">
        <f>IF(ISNUMBER(E958),E958,"")</f>
        <v/>
      </c>
      <c r="G958">
        <f>IF(ISNUMBER(F958),_xlfn.RANK.EQ(F958,$F$2:$F$1031),"")</f>
        <v/>
      </c>
      <c r="H958">
        <f>INDEX(Sheet1!AH:AH,MATCH(A958,Sheet1!A:A,0))</f>
        <v/>
      </c>
    </row>
    <row r="959">
      <c r="A959" t="n">
        <v>2234</v>
      </c>
      <c r="B959">
        <f>Sheet1!C959+Sheet1!D959+Sheet1!E959+Sheet1!F959+Sheet1!J959+Sheet1!K959+Sheet1!L959+Sheet1!M959</f>
        <v/>
      </c>
      <c r="C959">
        <f>IF(ISNUMBER(B959),B959,"")</f>
        <v/>
      </c>
      <c r="D959">
        <f>IF(ISNUMBER(C959),_xlfn.RANK.EQ(C959,$C$2:$C$1031),"")</f>
        <v/>
      </c>
      <c r="E959">
        <f>Sheet1!C959+Sheet1!D959+Sheet1!E959+Sheet1!F959+Sheet1!J959+Sheet1!K959+Sheet1!L959+Sheet1!M959+Sheet1!Q959+Sheet1!R959+Sheet1!S959+Sheet1!T959</f>
        <v/>
      </c>
      <c r="F959">
        <f>IF(ISNUMBER(E959),E959,"")</f>
        <v/>
      </c>
      <c r="G959">
        <f>IF(ISNUMBER(F959),_xlfn.RANK.EQ(F959,$F$2:$F$1031),"")</f>
        <v/>
      </c>
      <c r="H959">
        <f>INDEX(Sheet1!AH:AH,MATCH(A959,Sheet1!A:A,0))</f>
        <v/>
      </c>
    </row>
    <row r="960">
      <c r="A960" t="n">
        <v>2235</v>
      </c>
      <c r="B960">
        <f>Sheet1!C960+Sheet1!D960+Sheet1!E960+Sheet1!F960+Sheet1!J960+Sheet1!K960+Sheet1!L960+Sheet1!M960</f>
        <v/>
      </c>
      <c r="C960">
        <f>IF(ISNUMBER(B960),B960,"")</f>
        <v/>
      </c>
      <c r="D960">
        <f>IF(ISNUMBER(C960),_xlfn.RANK.EQ(C960,$C$2:$C$1031),"")</f>
        <v/>
      </c>
      <c r="E960">
        <f>Sheet1!C960+Sheet1!D960+Sheet1!E960+Sheet1!F960+Sheet1!J960+Sheet1!K960+Sheet1!L960+Sheet1!M960+Sheet1!Q960+Sheet1!R960+Sheet1!S960+Sheet1!T960</f>
        <v/>
      </c>
      <c r="F960">
        <f>IF(ISNUMBER(E960),E960,"")</f>
        <v/>
      </c>
      <c r="G960">
        <f>IF(ISNUMBER(F960),_xlfn.RANK.EQ(F960,$F$2:$F$1031),"")</f>
        <v/>
      </c>
      <c r="H960">
        <f>INDEX(Sheet1!AH:AH,MATCH(A960,Sheet1!A:A,0))</f>
        <v/>
      </c>
    </row>
    <row r="961">
      <c r="A961" t="n">
        <v>2236</v>
      </c>
      <c r="B961">
        <f>Sheet1!C961+Sheet1!D961+Sheet1!E961+Sheet1!F961+Sheet1!J961+Sheet1!K961+Sheet1!L961+Sheet1!M961</f>
        <v/>
      </c>
      <c r="C961">
        <f>IF(ISNUMBER(B961),B961,"")</f>
        <v/>
      </c>
      <c r="D961">
        <f>IF(ISNUMBER(C961),_xlfn.RANK.EQ(C961,$C$2:$C$1031),"")</f>
        <v/>
      </c>
      <c r="E961">
        <f>Sheet1!C961+Sheet1!D961+Sheet1!E961+Sheet1!F961+Sheet1!J961+Sheet1!K961+Sheet1!L961+Sheet1!M961+Sheet1!Q961+Sheet1!R961+Sheet1!S961+Sheet1!T961</f>
        <v/>
      </c>
      <c r="F961">
        <f>IF(ISNUMBER(E961),E961,"")</f>
        <v/>
      </c>
      <c r="G961">
        <f>IF(ISNUMBER(F961),_xlfn.RANK.EQ(F961,$F$2:$F$1031),"")</f>
        <v/>
      </c>
      <c r="H961">
        <f>INDEX(Sheet1!AH:AH,MATCH(A961,Sheet1!A:A,0))</f>
        <v/>
      </c>
    </row>
    <row r="962">
      <c r="A962" t="n">
        <v>2239</v>
      </c>
      <c r="B962">
        <f>Sheet1!C962+Sheet1!D962+Sheet1!E962+Sheet1!F962+Sheet1!J962+Sheet1!K962+Sheet1!L962+Sheet1!M962</f>
        <v/>
      </c>
      <c r="C962">
        <f>IF(ISNUMBER(B962),B962,"")</f>
        <v/>
      </c>
      <c r="D962">
        <f>IF(ISNUMBER(C962),_xlfn.RANK.EQ(C962,$C$2:$C$1031),"")</f>
        <v/>
      </c>
      <c r="E962">
        <f>Sheet1!C962+Sheet1!D962+Sheet1!E962+Sheet1!F962+Sheet1!J962+Sheet1!K962+Sheet1!L962+Sheet1!M962+Sheet1!Q962+Sheet1!R962+Sheet1!S962+Sheet1!T962</f>
        <v/>
      </c>
      <c r="F962">
        <f>IF(ISNUMBER(E962),E962,"")</f>
        <v/>
      </c>
      <c r="G962">
        <f>IF(ISNUMBER(F962),_xlfn.RANK.EQ(F962,$F$2:$F$1031),"")</f>
        <v/>
      </c>
      <c r="H962">
        <f>INDEX(Sheet1!AH:AH,MATCH(A962,Sheet1!A:A,0))</f>
        <v/>
      </c>
    </row>
    <row r="963">
      <c r="A963" t="n">
        <v>2247</v>
      </c>
      <c r="B963">
        <f>Sheet1!C963+Sheet1!D963+Sheet1!E963+Sheet1!F963+Sheet1!J963+Sheet1!K963+Sheet1!L963+Sheet1!M963</f>
        <v/>
      </c>
      <c r="C963">
        <f>IF(ISNUMBER(B963),B963,"")</f>
        <v/>
      </c>
      <c r="D963">
        <f>IF(ISNUMBER(C963),_xlfn.RANK.EQ(C963,$C$2:$C$1031),"")</f>
        <v/>
      </c>
      <c r="E963">
        <f>Sheet1!C963+Sheet1!D963+Sheet1!E963+Sheet1!F963+Sheet1!J963+Sheet1!K963+Sheet1!L963+Sheet1!M963+Sheet1!Q963+Sheet1!R963+Sheet1!S963+Sheet1!T963</f>
        <v/>
      </c>
      <c r="F963">
        <f>IF(ISNUMBER(E963),E963,"")</f>
        <v/>
      </c>
      <c r="G963">
        <f>IF(ISNUMBER(F963),_xlfn.RANK.EQ(F963,$F$2:$F$1031),"")</f>
        <v/>
      </c>
      <c r="H963">
        <f>INDEX(Sheet1!AH:AH,MATCH(A963,Sheet1!A:A,0))</f>
        <v/>
      </c>
    </row>
    <row r="964">
      <c r="A964" t="n">
        <v>2253</v>
      </c>
      <c r="B964">
        <f>Sheet1!C964+Sheet1!D964+Sheet1!E964+Sheet1!F964+Sheet1!J964+Sheet1!K964+Sheet1!L964+Sheet1!M964</f>
        <v/>
      </c>
      <c r="C964">
        <f>IF(ISNUMBER(B964),B964,"")</f>
        <v/>
      </c>
      <c r="D964">
        <f>IF(ISNUMBER(C964),_xlfn.RANK.EQ(C964,$C$2:$C$1031),"")</f>
        <v/>
      </c>
      <c r="E964">
        <f>Sheet1!C964+Sheet1!D964+Sheet1!E964+Sheet1!F964+Sheet1!J964+Sheet1!K964+Sheet1!L964+Sheet1!M964+Sheet1!Q964+Sheet1!R964+Sheet1!S964+Sheet1!T964</f>
        <v/>
      </c>
      <c r="F964">
        <f>IF(ISNUMBER(E964),E964,"")</f>
        <v/>
      </c>
      <c r="G964">
        <f>IF(ISNUMBER(F964),_xlfn.RANK.EQ(F964,$F$2:$F$1031),"")</f>
        <v/>
      </c>
      <c r="H964">
        <f>INDEX(Sheet1!AH:AH,MATCH(A964,Sheet1!A:A,0))</f>
        <v/>
      </c>
    </row>
    <row r="965">
      <c r="A965" t="n">
        <v>2258</v>
      </c>
      <c r="B965">
        <f>Sheet1!C965+Sheet1!D965+Sheet1!E965+Sheet1!F965+Sheet1!J965+Sheet1!K965+Sheet1!L965+Sheet1!M965</f>
        <v/>
      </c>
      <c r="C965">
        <f>IF(ISNUMBER(B965),B965,"")</f>
        <v/>
      </c>
      <c r="D965">
        <f>IF(ISNUMBER(C965),_xlfn.RANK.EQ(C965,$C$2:$C$1031),"")</f>
        <v/>
      </c>
      <c r="E965">
        <f>Sheet1!C965+Sheet1!D965+Sheet1!E965+Sheet1!F965+Sheet1!J965+Sheet1!K965+Sheet1!L965+Sheet1!M965+Sheet1!Q965+Sheet1!R965+Sheet1!S965+Sheet1!T965</f>
        <v/>
      </c>
      <c r="F965">
        <f>IF(ISNUMBER(E965),E965,"")</f>
        <v/>
      </c>
      <c r="G965">
        <f>IF(ISNUMBER(F965),_xlfn.RANK.EQ(F965,$F$2:$F$1031),"")</f>
        <v/>
      </c>
      <c r="H965">
        <f>INDEX(Sheet1!AH:AH,MATCH(A965,Sheet1!A:A,0))</f>
        <v/>
      </c>
    </row>
    <row r="966">
      <c r="A966" t="n">
        <v>2259</v>
      </c>
      <c r="B966">
        <f>Sheet1!C966+Sheet1!D966+Sheet1!E966+Sheet1!F966+Sheet1!J966+Sheet1!K966+Sheet1!L966+Sheet1!M966</f>
        <v/>
      </c>
      <c r="C966">
        <f>IF(ISNUMBER(B966),B966,"")</f>
        <v/>
      </c>
      <c r="D966">
        <f>IF(ISNUMBER(C966),_xlfn.RANK.EQ(C966,$C$2:$C$1031),"")</f>
        <v/>
      </c>
      <c r="E966">
        <f>Sheet1!C966+Sheet1!D966+Sheet1!E966+Sheet1!F966+Sheet1!J966+Sheet1!K966+Sheet1!L966+Sheet1!M966+Sheet1!Q966+Sheet1!R966+Sheet1!S966+Sheet1!T966</f>
        <v/>
      </c>
      <c r="F966">
        <f>IF(ISNUMBER(E966),E966,"")</f>
        <v/>
      </c>
      <c r="G966">
        <f>IF(ISNUMBER(F966),_xlfn.RANK.EQ(F966,$F$2:$F$1031),"")</f>
        <v/>
      </c>
      <c r="H966">
        <f>INDEX(Sheet1!AH:AH,MATCH(A966,Sheet1!A:A,0))</f>
        <v/>
      </c>
    </row>
    <row r="967">
      <c r="A967" t="n">
        <v>2260</v>
      </c>
      <c r="B967">
        <f>Sheet1!C967+Sheet1!D967+Sheet1!E967+Sheet1!F967+Sheet1!J967+Sheet1!K967+Sheet1!L967+Sheet1!M967</f>
        <v/>
      </c>
      <c r="C967">
        <f>IF(ISNUMBER(B967),B967,"")</f>
        <v/>
      </c>
      <c r="D967">
        <f>IF(ISNUMBER(C967),_xlfn.RANK.EQ(C967,$C$2:$C$1031),"")</f>
        <v/>
      </c>
      <c r="E967">
        <f>Sheet1!C967+Sheet1!D967+Sheet1!E967+Sheet1!F967+Sheet1!J967+Sheet1!K967+Sheet1!L967+Sheet1!M967+Sheet1!Q967+Sheet1!R967+Sheet1!S967+Sheet1!T967</f>
        <v/>
      </c>
      <c r="F967">
        <f>IF(ISNUMBER(E967),E967,"")</f>
        <v/>
      </c>
      <c r="G967">
        <f>IF(ISNUMBER(F967),_xlfn.RANK.EQ(F967,$F$2:$F$1031),"")</f>
        <v/>
      </c>
      <c r="H967">
        <f>INDEX(Sheet1!AH:AH,MATCH(A967,Sheet1!A:A,0))</f>
        <v/>
      </c>
    </row>
    <row r="968">
      <c r="A968" t="n">
        <v>2261</v>
      </c>
      <c r="B968">
        <f>Sheet1!C968+Sheet1!D968+Sheet1!E968+Sheet1!F968+Sheet1!J968+Sheet1!K968+Sheet1!L968+Sheet1!M968</f>
        <v/>
      </c>
      <c r="C968">
        <f>IF(ISNUMBER(B968),B968,"")</f>
        <v/>
      </c>
      <c r="D968">
        <f>IF(ISNUMBER(C968),_xlfn.RANK.EQ(C968,$C$2:$C$1031),"")</f>
        <v/>
      </c>
      <c r="E968">
        <f>Sheet1!C968+Sheet1!D968+Sheet1!E968+Sheet1!F968+Sheet1!J968+Sheet1!K968+Sheet1!L968+Sheet1!M968+Sheet1!Q968+Sheet1!R968+Sheet1!S968+Sheet1!T968</f>
        <v/>
      </c>
      <c r="F968">
        <f>IF(ISNUMBER(E968),E968,"")</f>
        <v/>
      </c>
      <c r="G968">
        <f>IF(ISNUMBER(F968),_xlfn.RANK.EQ(F968,$F$2:$F$1031),"")</f>
        <v/>
      </c>
      <c r="H968">
        <f>INDEX(Sheet1!AH:AH,MATCH(A968,Sheet1!A:A,0))</f>
        <v/>
      </c>
    </row>
    <row r="969">
      <c r="A969" t="n">
        <v>2270</v>
      </c>
      <c r="B969">
        <f>Sheet1!C969+Sheet1!D969+Sheet1!E969+Sheet1!F969+Sheet1!J969+Sheet1!K969+Sheet1!L969+Sheet1!M969</f>
        <v/>
      </c>
      <c r="C969">
        <f>IF(ISNUMBER(B969),B969,"")</f>
        <v/>
      </c>
      <c r="D969">
        <f>IF(ISNUMBER(C969),_xlfn.RANK.EQ(C969,$C$2:$C$1031),"")</f>
        <v/>
      </c>
      <c r="E969">
        <f>Sheet1!C969+Sheet1!D969+Sheet1!E969+Sheet1!F969+Sheet1!J969+Sheet1!K969+Sheet1!L969+Sheet1!M969+Sheet1!Q969+Sheet1!R969+Sheet1!S969+Sheet1!T969</f>
        <v/>
      </c>
      <c r="F969">
        <f>IF(ISNUMBER(E969),E969,"")</f>
        <v/>
      </c>
      <c r="G969">
        <f>IF(ISNUMBER(F969),_xlfn.RANK.EQ(F969,$F$2:$F$1031),"")</f>
        <v/>
      </c>
      <c r="H969">
        <f>INDEX(Sheet1!AH:AH,MATCH(A969,Sheet1!A:A,0))</f>
        <v/>
      </c>
    </row>
    <row r="970">
      <c r="A970" t="n">
        <v>2271</v>
      </c>
      <c r="B970">
        <f>Sheet1!C970+Sheet1!D970+Sheet1!E970+Sheet1!F970+Sheet1!J970+Sheet1!K970+Sheet1!L970+Sheet1!M970</f>
        <v/>
      </c>
      <c r="C970">
        <f>IF(ISNUMBER(B970),B970,"")</f>
        <v/>
      </c>
      <c r="D970">
        <f>IF(ISNUMBER(C970),_xlfn.RANK.EQ(C970,$C$2:$C$1031),"")</f>
        <v/>
      </c>
      <c r="E970">
        <f>Sheet1!C970+Sheet1!D970+Sheet1!E970+Sheet1!F970+Sheet1!J970+Sheet1!K970+Sheet1!L970+Sheet1!M970+Sheet1!Q970+Sheet1!R970+Sheet1!S970+Sheet1!T970</f>
        <v/>
      </c>
      <c r="F970">
        <f>IF(ISNUMBER(E970),E970,"")</f>
        <v/>
      </c>
      <c r="G970">
        <f>IF(ISNUMBER(F970),_xlfn.RANK.EQ(F970,$F$2:$F$1031),"")</f>
        <v/>
      </c>
      <c r="H970">
        <f>INDEX(Sheet1!AH:AH,MATCH(A970,Sheet1!A:A,0))</f>
        <v/>
      </c>
    </row>
    <row r="971">
      <c r="A971" t="n">
        <v>2272</v>
      </c>
      <c r="B971">
        <f>Sheet1!C971+Sheet1!D971+Sheet1!E971+Sheet1!F971+Sheet1!J971+Sheet1!K971+Sheet1!L971+Sheet1!M971</f>
        <v/>
      </c>
      <c r="C971">
        <f>IF(ISNUMBER(B971),B971,"")</f>
        <v/>
      </c>
      <c r="D971">
        <f>IF(ISNUMBER(C971),_xlfn.RANK.EQ(C971,$C$2:$C$1031),"")</f>
        <v/>
      </c>
      <c r="E971">
        <f>Sheet1!C971+Sheet1!D971+Sheet1!E971+Sheet1!F971+Sheet1!J971+Sheet1!K971+Sheet1!L971+Sheet1!M971+Sheet1!Q971+Sheet1!R971+Sheet1!S971+Sheet1!T971</f>
        <v/>
      </c>
      <c r="F971">
        <f>IF(ISNUMBER(E971),E971,"")</f>
        <v/>
      </c>
      <c r="G971">
        <f>IF(ISNUMBER(F971),_xlfn.RANK.EQ(F971,$F$2:$F$1031),"")</f>
        <v/>
      </c>
      <c r="H971">
        <f>INDEX(Sheet1!AH:AH,MATCH(A971,Sheet1!A:A,0))</f>
        <v/>
      </c>
    </row>
    <row r="972">
      <c r="A972" t="n">
        <v>2273</v>
      </c>
      <c r="B972">
        <f>Sheet1!C972+Sheet1!D972+Sheet1!E972+Sheet1!F972+Sheet1!J972+Sheet1!K972+Sheet1!L972+Sheet1!M972</f>
        <v/>
      </c>
      <c r="C972">
        <f>IF(ISNUMBER(B972),B972,"")</f>
        <v/>
      </c>
      <c r="D972">
        <f>IF(ISNUMBER(C972),_xlfn.RANK.EQ(C972,$C$2:$C$1031),"")</f>
        <v/>
      </c>
      <c r="E972">
        <f>Sheet1!C972+Sheet1!D972+Sheet1!E972+Sheet1!F972+Sheet1!J972+Sheet1!K972+Sheet1!L972+Sheet1!M972+Sheet1!Q972+Sheet1!R972+Sheet1!S972+Sheet1!T972</f>
        <v/>
      </c>
      <c r="F972">
        <f>IF(ISNUMBER(E972),E972,"")</f>
        <v/>
      </c>
      <c r="G972">
        <f>IF(ISNUMBER(F972),_xlfn.RANK.EQ(F972,$F$2:$F$1031),"")</f>
        <v/>
      </c>
      <c r="H972">
        <f>INDEX(Sheet1!AH:AH,MATCH(A972,Sheet1!A:A,0))</f>
        <v/>
      </c>
    </row>
    <row r="973">
      <c r="A973" t="n">
        <v>2274</v>
      </c>
      <c r="B973">
        <f>Sheet1!C973+Sheet1!D973+Sheet1!E973+Sheet1!F973+Sheet1!J973+Sheet1!K973+Sheet1!L973+Sheet1!M973</f>
        <v/>
      </c>
      <c r="C973">
        <f>IF(ISNUMBER(B973),B973,"")</f>
        <v/>
      </c>
      <c r="D973">
        <f>IF(ISNUMBER(C973),_xlfn.RANK.EQ(C973,$C$2:$C$1031),"")</f>
        <v/>
      </c>
      <c r="E973">
        <f>Sheet1!C973+Sheet1!D973+Sheet1!E973+Sheet1!F973+Sheet1!J973+Sheet1!K973+Sheet1!L973+Sheet1!M973+Sheet1!Q973+Sheet1!R973+Sheet1!S973+Sheet1!T973</f>
        <v/>
      </c>
      <c r="F973">
        <f>IF(ISNUMBER(E973),E973,"")</f>
        <v/>
      </c>
      <c r="G973">
        <f>IF(ISNUMBER(F973),_xlfn.RANK.EQ(F973,$F$2:$F$1031),"")</f>
        <v/>
      </c>
      <c r="H973">
        <f>INDEX(Sheet1!AH:AH,MATCH(A973,Sheet1!A:A,0))</f>
        <v/>
      </c>
    </row>
    <row r="974">
      <c r="A974" t="n">
        <v>2275</v>
      </c>
      <c r="B974">
        <f>Sheet1!C974+Sheet1!D974+Sheet1!E974+Sheet1!F974+Sheet1!J974+Sheet1!K974+Sheet1!L974+Sheet1!M974</f>
        <v/>
      </c>
      <c r="C974">
        <f>IF(ISNUMBER(B974),B974,"")</f>
        <v/>
      </c>
      <c r="D974">
        <f>IF(ISNUMBER(C974),_xlfn.RANK.EQ(C974,$C$2:$C$1031),"")</f>
        <v/>
      </c>
      <c r="E974">
        <f>Sheet1!C974+Sheet1!D974+Sheet1!E974+Sheet1!F974+Sheet1!J974+Sheet1!K974+Sheet1!L974+Sheet1!M974+Sheet1!Q974+Sheet1!R974+Sheet1!S974+Sheet1!T974</f>
        <v/>
      </c>
      <c r="F974">
        <f>IF(ISNUMBER(E974),E974,"")</f>
        <v/>
      </c>
      <c r="G974">
        <f>IF(ISNUMBER(F974),_xlfn.RANK.EQ(F974,$F$2:$F$1031),"")</f>
        <v/>
      </c>
      <c r="H974">
        <f>INDEX(Sheet1!AH:AH,MATCH(A974,Sheet1!A:A,0))</f>
        <v/>
      </c>
    </row>
    <row r="975">
      <c r="A975" t="n">
        <v>2276</v>
      </c>
      <c r="B975">
        <f>Sheet1!C975+Sheet1!D975+Sheet1!E975+Sheet1!F975+Sheet1!J975+Sheet1!K975+Sheet1!L975+Sheet1!M975</f>
        <v/>
      </c>
      <c r="C975">
        <f>IF(ISNUMBER(B975),B975,"")</f>
        <v/>
      </c>
      <c r="D975">
        <f>IF(ISNUMBER(C975),_xlfn.RANK.EQ(C975,$C$2:$C$1031),"")</f>
        <v/>
      </c>
      <c r="E975">
        <f>Sheet1!C975+Sheet1!D975+Sheet1!E975+Sheet1!F975+Sheet1!J975+Sheet1!K975+Sheet1!L975+Sheet1!M975+Sheet1!Q975+Sheet1!R975+Sheet1!S975+Sheet1!T975</f>
        <v/>
      </c>
      <c r="F975">
        <f>IF(ISNUMBER(E975),E975,"")</f>
        <v/>
      </c>
      <c r="G975">
        <f>IF(ISNUMBER(F975),_xlfn.RANK.EQ(F975,$F$2:$F$1031),"")</f>
        <v/>
      </c>
      <c r="H975">
        <f>INDEX(Sheet1!AH:AH,MATCH(A975,Sheet1!A:A,0))</f>
        <v/>
      </c>
    </row>
    <row r="976">
      <c r="A976" t="n">
        <v>2278</v>
      </c>
      <c r="B976">
        <f>Sheet1!C976+Sheet1!D976+Sheet1!E976+Sheet1!F976+Sheet1!J976+Sheet1!K976+Sheet1!L976+Sheet1!M976</f>
        <v/>
      </c>
      <c r="C976">
        <f>IF(ISNUMBER(B976),B976,"")</f>
        <v/>
      </c>
      <c r="D976">
        <f>IF(ISNUMBER(C976),_xlfn.RANK.EQ(C976,$C$2:$C$1031),"")</f>
        <v/>
      </c>
      <c r="E976">
        <f>Sheet1!C976+Sheet1!D976+Sheet1!E976+Sheet1!F976+Sheet1!J976+Sheet1!K976+Sheet1!L976+Sheet1!M976+Sheet1!Q976+Sheet1!R976+Sheet1!S976+Sheet1!T976</f>
        <v/>
      </c>
      <c r="F976">
        <f>IF(ISNUMBER(E976),E976,"")</f>
        <v/>
      </c>
      <c r="G976">
        <f>IF(ISNUMBER(F976),_xlfn.RANK.EQ(F976,$F$2:$F$1031),"")</f>
        <v/>
      </c>
      <c r="H976">
        <f>INDEX(Sheet1!AH:AH,MATCH(A976,Sheet1!A:A,0))</f>
        <v/>
      </c>
    </row>
    <row r="977">
      <c r="A977" t="n">
        <v>2279</v>
      </c>
      <c r="B977">
        <f>Sheet1!C977+Sheet1!D977+Sheet1!E977+Sheet1!F977+Sheet1!J977+Sheet1!K977+Sheet1!L977+Sheet1!M977</f>
        <v/>
      </c>
      <c r="C977">
        <f>IF(ISNUMBER(B977),B977,"")</f>
        <v/>
      </c>
      <c r="D977">
        <f>IF(ISNUMBER(C977),_xlfn.RANK.EQ(C977,$C$2:$C$1031),"")</f>
        <v/>
      </c>
      <c r="E977">
        <f>Sheet1!C977+Sheet1!D977+Sheet1!E977+Sheet1!F977+Sheet1!J977+Sheet1!K977+Sheet1!L977+Sheet1!M977+Sheet1!Q977+Sheet1!R977+Sheet1!S977+Sheet1!T977</f>
        <v/>
      </c>
      <c r="F977">
        <f>IF(ISNUMBER(E977),E977,"")</f>
        <v/>
      </c>
      <c r="G977">
        <f>IF(ISNUMBER(F977),_xlfn.RANK.EQ(F977,$F$2:$F$1031),"")</f>
        <v/>
      </c>
      <c r="H977">
        <f>INDEX(Sheet1!AH:AH,MATCH(A977,Sheet1!A:A,0))</f>
        <v/>
      </c>
    </row>
    <row r="978">
      <c r="A978" t="n">
        <v>2280</v>
      </c>
      <c r="B978">
        <f>Sheet1!C978+Sheet1!D978+Sheet1!E978+Sheet1!F978+Sheet1!J978+Sheet1!K978+Sheet1!L978+Sheet1!M978</f>
        <v/>
      </c>
      <c r="C978">
        <f>IF(ISNUMBER(B978),B978,"")</f>
        <v/>
      </c>
      <c r="D978">
        <f>IF(ISNUMBER(C978),_xlfn.RANK.EQ(C978,$C$2:$C$1031),"")</f>
        <v/>
      </c>
      <c r="E978">
        <f>Sheet1!C978+Sheet1!D978+Sheet1!E978+Sheet1!F978+Sheet1!J978+Sheet1!K978+Sheet1!L978+Sheet1!M978+Sheet1!Q978+Sheet1!R978+Sheet1!S978+Sheet1!T978</f>
        <v/>
      </c>
      <c r="F978">
        <f>IF(ISNUMBER(E978),E978,"")</f>
        <v/>
      </c>
      <c r="G978">
        <f>IF(ISNUMBER(F978),_xlfn.RANK.EQ(F978,$F$2:$F$1031),"")</f>
        <v/>
      </c>
      <c r="H978">
        <f>INDEX(Sheet1!AH:AH,MATCH(A978,Sheet1!A:A,0))</f>
        <v/>
      </c>
    </row>
    <row r="979">
      <c r="A979" t="n">
        <v>2281</v>
      </c>
      <c r="B979">
        <f>Sheet1!C979+Sheet1!D979+Sheet1!E979+Sheet1!F979+Sheet1!J979+Sheet1!K979+Sheet1!L979+Sheet1!M979</f>
        <v/>
      </c>
      <c r="C979">
        <f>IF(ISNUMBER(B979),B979,"")</f>
        <v/>
      </c>
      <c r="D979">
        <f>IF(ISNUMBER(C979),_xlfn.RANK.EQ(C979,$C$2:$C$1031),"")</f>
        <v/>
      </c>
      <c r="E979">
        <f>Sheet1!C979+Sheet1!D979+Sheet1!E979+Sheet1!F979+Sheet1!J979+Sheet1!K979+Sheet1!L979+Sheet1!M979+Sheet1!Q979+Sheet1!R979+Sheet1!S979+Sheet1!T979</f>
        <v/>
      </c>
      <c r="F979">
        <f>IF(ISNUMBER(E979),E979,"")</f>
        <v/>
      </c>
      <c r="G979">
        <f>IF(ISNUMBER(F979),_xlfn.RANK.EQ(F979,$F$2:$F$1031),"")</f>
        <v/>
      </c>
      <c r="H979">
        <f>INDEX(Sheet1!AH:AH,MATCH(A979,Sheet1!A:A,0))</f>
        <v/>
      </c>
    </row>
    <row r="980">
      <c r="A980" t="n">
        <v>2282</v>
      </c>
      <c r="B980">
        <f>Sheet1!C980+Sheet1!D980+Sheet1!E980+Sheet1!F980+Sheet1!J980+Sheet1!K980+Sheet1!L980+Sheet1!M980</f>
        <v/>
      </c>
      <c r="C980">
        <f>IF(ISNUMBER(B980),B980,"")</f>
        <v/>
      </c>
      <c r="D980">
        <f>IF(ISNUMBER(C980),_xlfn.RANK.EQ(C980,$C$2:$C$1031),"")</f>
        <v/>
      </c>
      <c r="E980">
        <f>Sheet1!C980+Sheet1!D980+Sheet1!E980+Sheet1!F980+Sheet1!J980+Sheet1!K980+Sheet1!L980+Sheet1!M980+Sheet1!Q980+Sheet1!R980+Sheet1!S980+Sheet1!T980</f>
        <v/>
      </c>
      <c r="F980">
        <f>IF(ISNUMBER(E980),E980,"")</f>
        <v/>
      </c>
      <c r="G980">
        <f>IF(ISNUMBER(F980),_xlfn.RANK.EQ(F980,$F$2:$F$1031),"")</f>
        <v/>
      </c>
      <c r="H980">
        <f>INDEX(Sheet1!AH:AH,MATCH(A980,Sheet1!A:A,0))</f>
        <v/>
      </c>
    </row>
    <row r="981">
      <c r="A981" t="n">
        <v>2283</v>
      </c>
      <c r="B981">
        <f>Sheet1!C981+Sheet1!D981+Sheet1!E981+Sheet1!F981+Sheet1!J981+Sheet1!K981+Sheet1!L981+Sheet1!M981</f>
        <v/>
      </c>
      <c r="C981">
        <f>IF(ISNUMBER(B981),B981,"")</f>
        <v/>
      </c>
      <c r="D981">
        <f>IF(ISNUMBER(C981),_xlfn.RANK.EQ(C981,$C$2:$C$1031),"")</f>
        <v/>
      </c>
      <c r="E981">
        <f>Sheet1!C981+Sheet1!D981+Sheet1!E981+Sheet1!F981+Sheet1!J981+Sheet1!K981+Sheet1!L981+Sheet1!M981+Sheet1!Q981+Sheet1!R981+Sheet1!S981+Sheet1!T981</f>
        <v/>
      </c>
      <c r="F981">
        <f>IF(ISNUMBER(E981),E981,"")</f>
        <v/>
      </c>
      <c r="G981">
        <f>IF(ISNUMBER(F981),_xlfn.RANK.EQ(F981,$F$2:$F$1031),"")</f>
        <v/>
      </c>
      <c r="H981">
        <f>INDEX(Sheet1!AH:AH,MATCH(A981,Sheet1!A:A,0))</f>
        <v/>
      </c>
    </row>
    <row r="982">
      <c r="A982" t="n">
        <v>2284</v>
      </c>
      <c r="B982">
        <f>Sheet1!C982+Sheet1!D982+Sheet1!E982+Sheet1!F982+Sheet1!J982+Sheet1!K982+Sheet1!L982+Sheet1!M982</f>
        <v/>
      </c>
      <c r="C982">
        <f>IF(ISNUMBER(B982),B982,"")</f>
        <v/>
      </c>
      <c r="D982">
        <f>IF(ISNUMBER(C982),_xlfn.RANK.EQ(C982,$C$2:$C$1031),"")</f>
        <v/>
      </c>
      <c r="E982">
        <f>Sheet1!C982+Sheet1!D982+Sheet1!E982+Sheet1!F982+Sheet1!J982+Sheet1!K982+Sheet1!L982+Sheet1!M982+Sheet1!Q982+Sheet1!R982+Sheet1!S982+Sheet1!T982</f>
        <v/>
      </c>
      <c r="F982">
        <f>IF(ISNUMBER(E982),E982,"")</f>
        <v/>
      </c>
      <c r="G982">
        <f>IF(ISNUMBER(F982),_xlfn.RANK.EQ(F982,$F$2:$F$1031),"")</f>
        <v/>
      </c>
      <c r="H982">
        <f>INDEX(Sheet1!AH:AH,MATCH(A982,Sheet1!A:A,0))</f>
        <v/>
      </c>
    </row>
    <row r="983">
      <c r="A983" t="n">
        <v>2285</v>
      </c>
      <c r="B983">
        <f>Sheet1!C983+Sheet1!D983+Sheet1!E983+Sheet1!F983+Sheet1!J983+Sheet1!K983+Sheet1!L983+Sheet1!M983</f>
        <v/>
      </c>
      <c r="C983">
        <f>IF(ISNUMBER(B983),B983,"")</f>
        <v/>
      </c>
      <c r="D983">
        <f>IF(ISNUMBER(C983),_xlfn.RANK.EQ(C983,$C$2:$C$1031),"")</f>
        <v/>
      </c>
      <c r="E983">
        <f>Sheet1!C983+Sheet1!D983+Sheet1!E983+Sheet1!F983+Sheet1!J983+Sheet1!K983+Sheet1!L983+Sheet1!M983+Sheet1!Q983+Sheet1!R983+Sheet1!S983+Sheet1!T983</f>
        <v/>
      </c>
      <c r="F983">
        <f>IF(ISNUMBER(E983),E983,"")</f>
        <v/>
      </c>
      <c r="G983">
        <f>IF(ISNUMBER(F983),_xlfn.RANK.EQ(F983,$F$2:$F$1031),"")</f>
        <v/>
      </c>
      <c r="H983">
        <f>INDEX(Sheet1!AH:AH,MATCH(A983,Sheet1!A:A,0))</f>
        <v/>
      </c>
    </row>
    <row r="984">
      <c r="A984" t="n">
        <v>2286</v>
      </c>
      <c r="B984">
        <f>Sheet1!C984+Sheet1!D984+Sheet1!E984+Sheet1!F984+Sheet1!J984+Sheet1!K984+Sheet1!L984+Sheet1!M984</f>
        <v/>
      </c>
      <c r="C984">
        <f>IF(ISNUMBER(B984),B984,"")</f>
        <v/>
      </c>
      <c r="D984">
        <f>IF(ISNUMBER(C984),_xlfn.RANK.EQ(C984,$C$2:$C$1031),"")</f>
        <v/>
      </c>
      <c r="E984">
        <f>Sheet1!C984+Sheet1!D984+Sheet1!E984+Sheet1!F984+Sheet1!J984+Sheet1!K984+Sheet1!L984+Sheet1!M984+Sheet1!Q984+Sheet1!R984+Sheet1!S984+Sheet1!T984</f>
        <v/>
      </c>
      <c r="F984">
        <f>IF(ISNUMBER(E984),E984,"")</f>
        <v/>
      </c>
      <c r="G984">
        <f>IF(ISNUMBER(F984),_xlfn.RANK.EQ(F984,$F$2:$F$1031),"")</f>
        <v/>
      </c>
      <c r="H984">
        <f>INDEX(Sheet1!AH:AH,MATCH(A984,Sheet1!A:A,0))</f>
        <v/>
      </c>
    </row>
    <row r="985">
      <c r="A985" t="n">
        <v>2287</v>
      </c>
      <c r="B985">
        <f>Sheet1!C985+Sheet1!D985+Sheet1!E985+Sheet1!F985+Sheet1!J985+Sheet1!K985+Sheet1!L985+Sheet1!M985</f>
        <v/>
      </c>
      <c r="C985">
        <f>IF(ISNUMBER(B985),B985,"")</f>
        <v/>
      </c>
      <c r="D985">
        <f>IF(ISNUMBER(C985),_xlfn.RANK.EQ(C985,$C$2:$C$1031),"")</f>
        <v/>
      </c>
      <c r="E985">
        <f>Sheet1!C985+Sheet1!D985+Sheet1!E985+Sheet1!F985+Sheet1!J985+Sheet1!K985+Sheet1!L985+Sheet1!M985+Sheet1!Q985+Sheet1!R985+Sheet1!S985+Sheet1!T985</f>
        <v/>
      </c>
      <c r="F985">
        <f>IF(ISNUMBER(E985),E985,"")</f>
        <v/>
      </c>
      <c r="G985">
        <f>IF(ISNUMBER(F985),_xlfn.RANK.EQ(F985,$F$2:$F$1031),"")</f>
        <v/>
      </c>
      <c r="H985">
        <f>INDEX(Sheet1!AH:AH,MATCH(A985,Sheet1!A:A,0))</f>
        <v/>
      </c>
    </row>
    <row r="986">
      <c r="A986" t="n">
        <v>2288</v>
      </c>
      <c r="B986">
        <f>Sheet1!C986+Sheet1!D986+Sheet1!E986+Sheet1!F986+Sheet1!J986+Sheet1!K986+Sheet1!L986+Sheet1!M986</f>
        <v/>
      </c>
      <c r="C986">
        <f>IF(ISNUMBER(B986),B986,"")</f>
        <v/>
      </c>
      <c r="D986">
        <f>IF(ISNUMBER(C986),_xlfn.RANK.EQ(C986,$C$2:$C$1031),"")</f>
        <v/>
      </c>
      <c r="E986">
        <f>Sheet1!C986+Sheet1!D986+Sheet1!E986+Sheet1!F986+Sheet1!J986+Sheet1!K986+Sheet1!L986+Sheet1!M986+Sheet1!Q986+Sheet1!R986+Sheet1!S986+Sheet1!T986</f>
        <v/>
      </c>
      <c r="F986">
        <f>IF(ISNUMBER(E986),E986,"")</f>
        <v/>
      </c>
      <c r="G986">
        <f>IF(ISNUMBER(F986),_xlfn.RANK.EQ(F986,$F$2:$F$1031),"")</f>
        <v/>
      </c>
      <c r="H986">
        <f>INDEX(Sheet1!AH:AH,MATCH(A986,Sheet1!A:A,0))</f>
        <v/>
      </c>
    </row>
    <row r="987">
      <c r="A987" t="n">
        <v>2293</v>
      </c>
      <c r="B987">
        <f>Sheet1!C987+Sheet1!D987+Sheet1!E987+Sheet1!F987+Sheet1!J987+Sheet1!K987+Sheet1!L987+Sheet1!M987</f>
        <v/>
      </c>
      <c r="C987">
        <f>IF(ISNUMBER(B987),B987,"")</f>
        <v/>
      </c>
      <c r="D987">
        <f>IF(ISNUMBER(C987),_xlfn.RANK.EQ(C987,$C$2:$C$1031),"")</f>
        <v/>
      </c>
      <c r="E987">
        <f>Sheet1!C987+Sheet1!D987+Sheet1!E987+Sheet1!F987+Sheet1!J987+Sheet1!K987+Sheet1!L987+Sheet1!M987+Sheet1!Q987+Sheet1!R987+Sheet1!S987+Sheet1!T987</f>
        <v/>
      </c>
      <c r="F987">
        <f>IF(ISNUMBER(E987),E987,"")</f>
        <v/>
      </c>
      <c r="G987">
        <f>IF(ISNUMBER(F987),_xlfn.RANK.EQ(F987,$F$2:$F$1031),"")</f>
        <v/>
      </c>
      <c r="H987">
        <f>INDEX(Sheet1!AH:AH,MATCH(A987,Sheet1!A:A,0))</f>
        <v/>
      </c>
    </row>
    <row r="988">
      <c r="A988" t="n">
        <v>2294</v>
      </c>
      <c r="B988">
        <f>Sheet1!C988+Sheet1!D988+Sheet1!E988+Sheet1!F988+Sheet1!J988+Sheet1!K988+Sheet1!L988+Sheet1!M988</f>
        <v/>
      </c>
      <c r="C988">
        <f>IF(ISNUMBER(B988),B988,"")</f>
        <v/>
      </c>
      <c r="D988">
        <f>IF(ISNUMBER(C988),_xlfn.RANK.EQ(C988,$C$2:$C$1031),"")</f>
        <v/>
      </c>
      <c r="E988">
        <f>Sheet1!C988+Sheet1!D988+Sheet1!E988+Sheet1!F988+Sheet1!J988+Sheet1!K988+Sheet1!L988+Sheet1!M988+Sheet1!Q988+Sheet1!R988+Sheet1!S988+Sheet1!T988</f>
        <v/>
      </c>
      <c r="F988">
        <f>IF(ISNUMBER(E988),E988,"")</f>
        <v/>
      </c>
      <c r="G988">
        <f>IF(ISNUMBER(F988),_xlfn.RANK.EQ(F988,$F$2:$F$1031),"")</f>
        <v/>
      </c>
      <c r="H988">
        <f>INDEX(Sheet1!AH:AH,MATCH(A988,Sheet1!A:A,0))</f>
        <v/>
      </c>
    </row>
    <row r="989">
      <c r="A989" t="n">
        <v>2295</v>
      </c>
      <c r="B989">
        <f>Sheet1!C989+Sheet1!D989+Sheet1!E989+Sheet1!F989+Sheet1!J989+Sheet1!K989+Sheet1!L989+Sheet1!M989</f>
        <v/>
      </c>
      <c r="C989">
        <f>IF(ISNUMBER(B989),B989,"")</f>
        <v/>
      </c>
      <c r="D989">
        <f>IF(ISNUMBER(C989),_xlfn.RANK.EQ(C989,$C$2:$C$1031),"")</f>
        <v/>
      </c>
      <c r="E989">
        <f>Sheet1!C989+Sheet1!D989+Sheet1!E989+Sheet1!F989+Sheet1!J989+Sheet1!K989+Sheet1!L989+Sheet1!M989+Sheet1!Q989+Sheet1!R989+Sheet1!S989+Sheet1!T989</f>
        <v/>
      </c>
      <c r="F989">
        <f>IF(ISNUMBER(E989),E989,"")</f>
        <v/>
      </c>
      <c r="G989">
        <f>IF(ISNUMBER(F989),_xlfn.RANK.EQ(F989,$F$2:$F$1031),"")</f>
        <v/>
      </c>
      <c r="H989">
        <f>INDEX(Sheet1!AH:AH,MATCH(A989,Sheet1!A:A,0))</f>
        <v/>
      </c>
    </row>
    <row r="990">
      <c r="A990" t="n">
        <v>2307</v>
      </c>
      <c r="B990">
        <f>Sheet1!C990+Sheet1!D990+Sheet1!E990+Sheet1!F990+Sheet1!J990+Sheet1!K990+Sheet1!L990+Sheet1!M990</f>
        <v/>
      </c>
      <c r="C990">
        <f>IF(ISNUMBER(B990),B990,"")</f>
        <v/>
      </c>
      <c r="D990">
        <f>IF(ISNUMBER(C990),_xlfn.RANK.EQ(C990,$C$2:$C$1031),"")</f>
        <v/>
      </c>
      <c r="E990">
        <f>Sheet1!C990+Sheet1!D990+Sheet1!E990+Sheet1!F990+Sheet1!J990+Sheet1!K990+Sheet1!L990+Sheet1!M990+Sheet1!Q990+Sheet1!R990+Sheet1!S990+Sheet1!T990</f>
        <v/>
      </c>
      <c r="F990">
        <f>IF(ISNUMBER(E990),E990,"")</f>
        <v/>
      </c>
      <c r="G990">
        <f>IF(ISNUMBER(F990),_xlfn.RANK.EQ(F990,$F$2:$F$1031),"")</f>
        <v/>
      </c>
      <c r="H990">
        <f>INDEX(Sheet1!AH:AH,MATCH(A990,Sheet1!A:A,0))</f>
        <v/>
      </c>
    </row>
    <row r="991">
      <c r="A991" t="n">
        <v>2308</v>
      </c>
      <c r="B991">
        <f>Sheet1!C991+Sheet1!D991+Sheet1!E991+Sheet1!F991+Sheet1!J991+Sheet1!K991+Sheet1!L991+Sheet1!M991</f>
        <v/>
      </c>
      <c r="C991">
        <f>IF(ISNUMBER(B991),B991,"")</f>
        <v/>
      </c>
      <c r="D991">
        <f>IF(ISNUMBER(C991),_xlfn.RANK.EQ(C991,$C$2:$C$1031),"")</f>
        <v/>
      </c>
      <c r="E991">
        <f>Sheet1!C991+Sheet1!D991+Sheet1!E991+Sheet1!F991+Sheet1!J991+Sheet1!K991+Sheet1!L991+Sheet1!M991+Sheet1!Q991+Sheet1!R991+Sheet1!S991+Sheet1!T991</f>
        <v/>
      </c>
      <c r="F991">
        <f>IF(ISNUMBER(E991),E991,"")</f>
        <v/>
      </c>
      <c r="G991">
        <f>IF(ISNUMBER(F991),_xlfn.RANK.EQ(F991,$F$2:$F$1031),"")</f>
        <v/>
      </c>
      <c r="H991">
        <f>INDEX(Sheet1!AH:AH,MATCH(A991,Sheet1!A:A,0))</f>
        <v/>
      </c>
    </row>
    <row r="992">
      <c r="A992" t="n">
        <v>2312</v>
      </c>
      <c r="B992">
        <f>Sheet1!C992+Sheet1!D992+Sheet1!E992+Sheet1!F992+Sheet1!J992+Sheet1!K992+Sheet1!L992+Sheet1!M992</f>
        <v/>
      </c>
      <c r="C992">
        <f>IF(ISNUMBER(B992),B992,"")</f>
        <v/>
      </c>
      <c r="D992">
        <f>IF(ISNUMBER(C992),_xlfn.RANK.EQ(C992,$C$2:$C$1031),"")</f>
        <v/>
      </c>
      <c r="E992">
        <f>Sheet1!C992+Sheet1!D992+Sheet1!E992+Sheet1!F992+Sheet1!J992+Sheet1!K992+Sheet1!L992+Sheet1!M992+Sheet1!Q992+Sheet1!R992+Sheet1!S992+Sheet1!T992</f>
        <v/>
      </c>
      <c r="F992">
        <f>IF(ISNUMBER(E992),E992,"")</f>
        <v/>
      </c>
      <c r="G992">
        <f>IF(ISNUMBER(F992),_xlfn.RANK.EQ(F992,$F$2:$F$1031),"")</f>
        <v/>
      </c>
      <c r="H992">
        <f>INDEX(Sheet1!AH:AH,MATCH(A992,Sheet1!A:A,0))</f>
        <v/>
      </c>
    </row>
    <row r="993">
      <c r="A993" t="n">
        <v>2315</v>
      </c>
      <c r="B993">
        <f>Sheet1!C993+Sheet1!D993+Sheet1!E993+Sheet1!F993+Sheet1!J993+Sheet1!K993+Sheet1!L993+Sheet1!M993</f>
        <v/>
      </c>
      <c r="C993">
        <f>IF(ISNUMBER(B993),B993,"")</f>
        <v/>
      </c>
      <c r="D993">
        <f>IF(ISNUMBER(C993),_xlfn.RANK.EQ(C993,$C$2:$C$1031),"")</f>
        <v/>
      </c>
      <c r="E993">
        <f>Sheet1!C993+Sheet1!D993+Sheet1!E993+Sheet1!F993+Sheet1!J993+Sheet1!K993+Sheet1!L993+Sheet1!M993+Sheet1!Q993+Sheet1!R993+Sheet1!S993+Sheet1!T993</f>
        <v/>
      </c>
      <c r="F993">
        <f>IF(ISNUMBER(E993),E993,"")</f>
        <v/>
      </c>
      <c r="G993">
        <f>IF(ISNUMBER(F993),_xlfn.RANK.EQ(F993,$F$2:$F$1031),"")</f>
        <v/>
      </c>
      <c r="H993">
        <f>INDEX(Sheet1!AH:AH,MATCH(A993,Sheet1!A:A,0))</f>
        <v/>
      </c>
    </row>
    <row r="994">
      <c r="A994" t="n">
        <v>2317</v>
      </c>
      <c r="B994">
        <f>Sheet1!C994+Sheet1!D994+Sheet1!E994+Sheet1!F994+Sheet1!J994+Sheet1!K994+Sheet1!L994+Sheet1!M994</f>
        <v/>
      </c>
      <c r="C994">
        <f>IF(ISNUMBER(B994),B994,"")</f>
        <v/>
      </c>
      <c r="D994">
        <f>IF(ISNUMBER(C994),_xlfn.RANK.EQ(C994,$C$2:$C$1031),"")</f>
        <v/>
      </c>
      <c r="E994">
        <f>Sheet1!C994+Sheet1!D994+Sheet1!E994+Sheet1!F994+Sheet1!J994+Sheet1!K994+Sheet1!L994+Sheet1!M994+Sheet1!Q994+Sheet1!R994+Sheet1!S994+Sheet1!T994</f>
        <v/>
      </c>
      <c r="F994">
        <f>IF(ISNUMBER(E994),E994,"")</f>
        <v/>
      </c>
      <c r="G994">
        <f>IF(ISNUMBER(F994),_xlfn.RANK.EQ(F994,$F$2:$F$1031),"")</f>
        <v/>
      </c>
      <c r="H994">
        <f>INDEX(Sheet1!AH:AH,MATCH(A994,Sheet1!A:A,0))</f>
        <v/>
      </c>
    </row>
    <row r="995">
      <c r="A995" t="n">
        <v>2319</v>
      </c>
      <c r="B995">
        <f>Sheet1!C995+Sheet1!D995+Sheet1!E995+Sheet1!F995+Sheet1!J995+Sheet1!K995+Sheet1!L995+Sheet1!M995</f>
        <v/>
      </c>
      <c r="C995">
        <f>IF(ISNUMBER(B995),B995,"")</f>
        <v/>
      </c>
      <c r="D995">
        <f>IF(ISNUMBER(C995),_xlfn.RANK.EQ(C995,$C$2:$C$1031),"")</f>
        <v/>
      </c>
      <c r="E995">
        <f>Sheet1!C995+Sheet1!D995+Sheet1!E995+Sheet1!F995+Sheet1!J995+Sheet1!K995+Sheet1!L995+Sheet1!M995+Sheet1!Q995+Sheet1!R995+Sheet1!S995+Sheet1!T995</f>
        <v/>
      </c>
      <c r="F995">
        <f>IF(ISNUMBER(E995),E995,"")</f>
        <v/>
      </c>
      <c r="G995">
        <f>IF(ISNUMBER(F995),_xlfn.RANK.EQ(F995,$F$2:$F$1031),"")</f>
        <v/>
      </c>
      <c r="H995">
        <f>INDEX(Sheet1!AH:AH,MATCH(A995,Sheet1!A:A,0))</f>
        <v/>
      </c>
    </row>
    <row r="996">
      <c r="A996" t="n">
        <v>2320</v>
      </c>
      <c r="B996">
        <f>Sheet1!C996+Sheet1!D996+Sheet1!E996+Sheet1!F996+Sheet1!J996+Sheet1!K996+Sheet1!L996+Sheet1!M996</f>
        <v/>
      </c>
      <c r="C996">
        <f>IF(ISNUMBER(B996),B996,"")</f>
        <v/>
      </c>
      <c r="D996">
        <f>IF(ISNUMBER(C996),_xlfn.RANK.EQ(C996,$C$2:$C$1031),"")</f>
        <v/>
      </c>
      <c r="E996">
        <f>Sheet1!C996+Sheet1!D996+Sheet1!E996+Sheet1!F996+Sheet1!J996+Sheet1!K996+Sheet1!L996+Sheet1!M996+Sheet1!Q996+Sheet1!R996+Sheet1!S996+Sheet1!T996</f>
        <v/>
      </c>
      <c r="F996">
        <f>IF(ISNUMBER(E996),E996,"")</f>
        <v/>
      </c>
      <c r="G996">
        <f>IF(ISNUMBER(F996),_xlfn.RANK.EQ(F996,$F$2:$F$1031),"")</f>
        <v/>
      </c>
      <c r="H996">
        <f>INDEX(Sheet1!AH:AH,MATCH(A996,Sheet1!A:A,0))</f>
        <v/>
      </c>
    </row>
    <row r="997">
      <c r="A997" t="n">
        <v>2321</v>
      </c>
      <c r="B997">
        <f>Sheet1!C997+Sheet1!D997+Sheet1!E997+Sheet1!F997+Sheet1!J997+Sheet1!K997+Sheet1!L997+Sheet1!M997</f>
        <v/>
      </c>
      <c r="C997">
        <f>IF(ISNUMBER(B997),B997,"")</f>
        <v/>
      </c>
      <c r="D997">
        <f>IF(ISNUMBER(C997),_xlfn.RANK.EQ(C997,$C$2:$C$1031),"")</f>
        <v/>
      </c>
      <c r="E997">
        <f>Sheet1!C997+Sheet1!D997+Sheet1!E997+Sheet1!F997+Sheet1!J997+Sheet1!K997+Sheet1!L997+Sheet1!M997+Sheet1!Q997+Sheet1!R997+Sheet1!S997+Sheet1!T997</f>
        <v/>
      </c>
      <c r="F997">
        <f>IF(ISNUMBER(E997),E997,"")</f>
        <v/>
      </c>
      <c r="G997">
        <f>IF(ISNUMBER(F997),_xlfn.RANK.EQ(F997,$F$2:$F$1031),"")</f>
        <v/>
      </c>
      <c r="H997">
        <f>INDEX(Sheet1!AH:AH,MATCH(A997,Sheet1!A:A,0))</f>
        <v/>
      </c>
    </row>
    <row r="998">
      <c r="A998" t="n">
        <v>2324</v>
      </c>
      <c r="B998">
        <f>Sheet1!C998+Sheet1!D998+Sheet1!E998+Sheet1!F998+Sheet1!J998+Sheet1!K998+Sheet1!L998+Sheet1!M998</f>
        <v/>
      </c>
      <c r="C998">
        <f>IF(ISNUMBER(B998),B998,"")</f>
        <v/>
      </c>
      <c r="D998">
        <f>IF(ISNUMBER(C998),_xlfn.RANK.EQ(C998,$C$2:$C$1031),"")</f>
        <v/>
      </c>
      <c r="E998">
        <f>Sheet1!C998+Sheet1!D998+Sheet1!E998+Sheet1!F998+Sheet1!J998+Sheet1!K998+Sheet1!L998+Sheet1!M998+Sheet1!Q998+Sheet1!R998+Sheet1!S998+Sheet1!T998</f>
        <v/>
      </c>
      <c r="F998">
        <f>IF(ISNUMBER(E998),E998,"")</f>
        <v/>
      </c>
      <c r="G998">
        <f>IF(ISNUMBER(F998),_xlfn.RANK.EQ(F998,$F$2:$F$1031),"")</f>
        <v/>
      </c>
      <c r="H998">
        <f>INDEX(Sheet1!AH:AH,MATCH(A998,Sheet1!A:A,0))</f>
        <v/>
      </c>
    </row>
    <row r="999">
      <c r="A999" t="n">
        <v>2325</v>
      </c>
      <c r="B999">
        <f>Sheet1!C999+Sheet1!D999+Sheet1!E999+Sheet1!F999+Sheet1!J999+Sheet1!K999+Sheet1!L999+Sheet1!M999</f>
        <v/>
      </c>
      <c r="C999">
        <f>IF(ISNUMBER(B999),B999,"")</f>
        <v/>
      </c>
      <c r="D999">
        <f>IF(ISNUMBER(C999),_xlfn.RANK.EQ(C999,$C$2:$C$1031),"")</f>
        <v/>
      </c>
      <c r="E999">
        <f>Sheet1!C999+Sheet1!D999+Sheet1!E999+Sheet1!F999+Sheet1!J999+Sheet1!K999+Sheet1!L999+Sheet1!M999+Sheet1!Q999+Sheet1!R999+Sheet1!S999+Sheet1!T999</f>
        <v/>
      </c>
      <c r="F999">
        <f>IF(ISNUMBER(E999),E999,"")</f>
        <v/>
      </c>
      <c r="G999">
        <f>IF(ISNUMBER(F999),_xlfn.RANK.EQ(F999,$F$2:$F$1031),"")</f>
        <v/>
      </c>
      <c r="H999">
        <f>INDEX(Sheet1!AH:AH,MATCH(A999,Sheet1!A:A,0))</f>
        <v/>
      </c>
    </row>
    <row r="1000">
      <c r="A1000" t="n">
        <v>2326</v>
      </c>
      <c r="B1000">
        <f>Sheet1!C1000+Sheet1!D1000+Sheet1!E1000+Sheet1!F1000+Sheet1!J1000+Sheet1!K1000+Sheet1!L1000+Sheet1!M1000</f>
        <v/>
      </c>
      <c r="C1000">
        <f>IF(ISNUMBER(B1000),B1000,"")</f>
        <v/>
      </c>
      <c r="D1000">
        <f>IF(ISNUMBER(C1000),_xlfn.RANK.EQ(C1000,$C$2:$C$1031),"")</f>
        <v/>
      </c>
      <c r="E1000">
        <f>Sheet1!C1000+Sheet1!D1000+Sheet1!E1000+Sheet1!F1000+Sheet1!J1000+Sheet1!K1000+Sheet1!L1000+Sheet1!M1000+Sheet1!Q1000+Sheet1!R1000+Sheet1!S1000+Sheet1!T1000</f>
        <v/>
      </c>
      <c r="F1000">
        <f>IF(ISNUMBER(E1000),E1000,"")</f>
        <v/>
      </c>
      <c r="G1000">
        <f>IF(ISNUMBER(F1000),_xlfn.RANK.EQ(F1000,$F$2:$F$1031),"")</f>
        <v/>
      </c>
      <c r="H1000">
        <f>INDEX(Sheet1!AH:AH,MATCH(A1000,Sheet1!A:A,0))</f>
        <v/>
      </c>
    </row>
    <row r="1001">
      <c r="A1001" t="n">
        <v>2327</v>
      </c>
      <c r="B1001">
        <f>Sheet1!C1001+Sheet1!D1001+Sheet1!E1001+Sheet1!F1001+Sheet1!J1001+Sheet1!K1001+Sheet1!L1001+Sheet1!M1001</f>
        <v/>
      </c>
      <c r="C1001">
        <f>IF(ISNUMBER(B1001),B1001,"")</f>
        <v/>
      </c>
      <c r="D1001">
        <f>IF(ISNUMBER(C1001),_xlfn.RANK.EQ(C1001,$C$2:$C$1031),"")</f>
        <v/>
      </c>
      <c r="E1001">
        <f>Sheet1!C1001+Sheet1!D1001+Sheet1!E1001+Sheet1!F1001+Sheet1!J1001+Sheet1!K1001+Sheet1!L1001+Sheet1!M1001+Sheet1!Q1001+Sheet1!R1001+Sheet1!S1001+Sheet1!T1001</f>
        <v/>
      </c>
      <c r="F1001">
        <f>IF(ISNUMBER(E1001),E1001,"")</f>
        <v/>
      </c>
      <c r="G1001">
        <f>IF(ISNUMBER(F1001),_xlfn.RANK.EQ(F1001,$F$2:$F$1031),"")</f>
        <v/>
      </c>
      <c r="H1001">
        <f>INDEX(Sheet1!AH:AH,MATCH(A1001,Sheet1!A:A,0))</f>
        <v/>
      </c>
    </row>
    <row r="1002">
      <c r="A1002" t="n">
        <v>2328</v>
      </c>
      <c r="B1002">
        <f>Sheet1!C1002+Sheet1!D1002+Sheet1!E1002+Sheet1!F1002+Sheet1!J1002+Sheet1!K1002+Sheet1!L1002+Sheet1!M1002</f>
        <v/>
      </c>
      <c r="C1002">
        <f>IF(ISNUMBER(B1002),B1002,"")</f>
        <v/>
      </c>
      <c r="D1002">
        <f>IF(ISNUMBER(C1002),_xlfn.RANK.EQ(C1002,$C$2:$C$1031),"")</f>
        <v/>
      </c>
      <c r="E1002">
        <f>Sheet1!C1002+Sheet1!D1002+Sheet1!E1002+Sheet1!F1002+Sheet1!J1002+Sheet1!K1002+Sheet1!L1002+Sheet1!M1002+Sheet1!Q1002+Sheet1!R1002+Sheet1!S1002+Sheet1!T1002</f>
        <v/>
      </c>
      <c r="F1002">
        <f>IF(ISNUMBER(E1002),E1002,"")</f>
        <v/>
      </c>
      <c r="G1002">
        <f>IF(ISNUMBER(F1002),_xlfn.RANK.EQ(F1002,$F$2:$F$1031),"")</f>
        <v/>
      </c>
      <c r="H1002">
        <f>INDEX(Sheet1!AH:AH,MATCH(A1002,Sheet1!A:A,0))</f>
        <v/>
      </c>
    </row>
    <row r="1003">
      <c r="A1003" t="n">
        <v>2330</v>
      </c>
      <c r="B1003">
        <f>Sheet1!C1003+Sheet1!D1003+Sheet1!E1003+Sheet1!F1003+Sheet1!J1003+Sheet1!K1003+Sheet1!L1003+Sheet1!M1003</f>
        <v/>
      </c>
      <c r="C1003">
        <f>IF(ISNUMBER(B1003),B1003,"")</f>
        <v/>
      </c>
      <c r="D1003">
        <f>IF(ISNUMBER(C1003),_xlfn.RANK.EQ(C1003,$C$2:$C$1031),"")</f>
        <v/>
      </c>
      <c r="E1003">
        <f>Sheet1!C1003+Sheet1!D1003+Sheet1!E1003+Sheet1!F1003+Sheet1!J1003+Sheet1!K1003+Sheet1!L1003+Sheet1!M1003+Sheet1!Q1003+Sheet1!R1003+Sheet1!S1003+Sheet1!T1003</f>
        <v/>
      </c>
      <c r="F1003">
        <f>IF(ISNUMBER(E1003),E1003,"")</f>
        <v/>
      </c>
      <c r="G1003">
        <f>IF(ISNUMBER(F1003),_xlfn.RANK.EQ(F1003,$F$2:$F$1031),"")</f>
        <v/>
      </c>
      <c r="H1003">
        <f>INDEX(Sheet1!AH:AH,MATCH(A1003,Sheet1!A:A,0))</f>
        <v/>
      </c>
    </row>
    <row r="1004">
      <c r="A1004" t="n">
        <v>2331</v>
      </c>
      <c r="B1004">
        <f>Sheet1!C1004+Sheet1!D1004+Sheet1!E1004+Sheet1!F1004+Sheet1!J1004+Sheet1!K1004+Sheet1!L1004+Sheet1!M1004</f>
        <v/>
      </c>
      <c r="C1004">
        <f>IF(ISNUMBER(B1004),B1004,"")</f>
        <v/>
      </c>
      <c r="D1004">
        <f>IF(ISNUMBER(C1004),_xlfn.RANK.EQ(C1004,$C$2:$C$1031),"")</f>
        <v/>
      </c>
      <c r="E1004">
        <f>Sheet1!C1004+Sheet1!D1004+Sheet1!E1004+Sheet1!F1004+Sheet1!J1004+Sheet1!K1004+Sheet1!L1004+Sheet1!M1004+Sheet1!Q1004+Sheet1!R1004+Sheet1!S1004+Sheet1!T1004</f>
        <v/>
      </c>
      <c r="F1004">
        <f>IF(ISNUMBER(E1004),E1004,"")</f>
        <v/>
      </c>
      <c r="G1004">
        <f>IF(ISNUMBER(F1004),_xlfn.RANK.EQ(F1004,$F$2:$F$1031),"")</f>
        <v/>
      </c>
      <c r="H1004">
        <f>INDEX(Sheet1!AH:AH,MATCH(A1004,Sheet1!A:A,0))</f>
        <v/>
      </c>
    </row>
    <row r="1005">
      <c r="A1005" t="n">
        <v>2332</v>
      </c>
      <c r="B1005">
        <f>Sheet1!C1005+Sheet1!D1005+Sheet1!E1005+Sheet1!F1005+Sheet1!J1005+Sheet1!K1005+Sheet1!L1005+Sheet1!M1005</f>
        <v/>
      </c>
      <c r="C1005">
        <f>IF(ISNUMBER(B1005),B1005,"")</f>
        <v/>
      </c>
      <c r="D1005">
        <f>IF(ISNUMBER(C1005),_xlfn.RANK.EQ(C1005,$C$2:$C$1031),"")</f>
        <v/>
      </c>
      <c r="E1005">
        <f>Sheet1!C1005+Sheet1!D1005+Sheet1!E1005+Sheet1!F1005+Sheet1!J1005+Sheet1!K1005+Sheet1!L1005+Sheet1!M1005+Sheet1!Q1005+Sheet1!R1005+Sheet1!S1005+Sheet1!T1005</f>
        <v/>
      </c>
      <c r="F1005">
        <f>IF(ISNUMBER(E1005),E1005,"")</f>
        <v/>
      </c>
      <c r="G1005">
        <f>IF(ISNUMBER(F1005),_xlfn.RANK.EQ(F1005,$F$2:$F$1031),"")</f>
        <v/>
      </c>
      <c r="H1005">
        <f>INDEX(Sheet1!AH:AH,MATCH(A1005,Sheet1!A:A,0))</f>
        <v/>
      </c>
    </row>
    <row r="1006">
      <c r="A1006" t="n">
        <v>2333</v>
      </c>
      <c r="B1006">
        <f>Sheet1!C1006+Sheet1!D1006+Sheet1!E1006+Sheet1!F1006+Sheet1!J1006+Sheet1!K1006+Sheet1!L1006+Sheet1!M1006</f>
        <v/>
      </c>
      <c r="C1006">
        <f>IF(ISNUMBER(B1006),B1006,"")</f>
        <v/>
      </c>
      <c r="D1006">
        <f>IF(ISNUMBER(C1006),_xlfn.RANK.EQ(C1006,$C$2:$C$1031),"")</f>
        <v/>
      </c>
      <c r="E1006">
        <f>Sheet1!C1006+Sheet1!D1006+Sheet1!E1006+Sheet1!F1006+Sheet1!J1006+Sheet1!K1006+Sheet1!L1006+Sheet1!M1006+Sheet1!Q1006+Sheet1!R1006+Sheet1!S1006+Sheet1!T1006</f>
        <v/>
      </c>
      <c r="F1006">
        <f>IF(ISNUMBER(E1006),E1006,"")</f>
        <v/>
      </c>
      <c r="G1006">
        <f>IF(ISNUMBER(F1006),_xlfn.RANK.EQ(F1006,$F$2:$F$1031),"")</f>
        <v/>
      </c>
      <c r="H1006">
        <f>INDEX(Sheet1!AH:AH,MATCH(A1006,Sheet1!A:A,0))</f>
        <v/>
      </c>
    </row>
    <row r="1007">
      <c r="A1007" t="n">
        <v>2334</v>
      </c>
      <c r="B1007">
        <f>Sheet1!C1007+Sheet1!D1007+Sheet1!E1007+Sheet1!F1007+Sheet1!J1007+Sheet1!K1007+Sheet1!L1007+Sheet1!M1007</f>
        <v/>
      </c>
      <c r="C1007">
        <f>IF(ISNUMBER(B1007),B1007,"")</f>
        <v/>
      </c>
      <c r="D1007">
        <f>IF(ISNUMBER(C1007),_xlfn.RANK.EQ(C1007,$C$2:$C$1031),"")</f>
        <v/>
      </c>
      <c r="E1007">
        <f>Sheet1!C1007+Sheet1!D1007+Sheet1!E1007+Sheet1!F1007+Sheet1!J1007+Sheet1!K1007+Sheet1!L1007+Sheet1!M1007+Sheet1!Q1007+Sheet1!R1007+Sheet1!S1007+Sheet1!T1007</f>
        <v/>
      </c>
      <c r="F1007">
        <f>IF(ISNUMBER(E1007),E1007,"")</f>
        <v/>
      </c>
      <c r="G1007">
        <f>IF(ISNUMBER(F1007),_xlfn.RANK.EQ(F1007,$F$2:$F$1031),"")</f>
        <v/>
      </c>
      <c r="H1007">
        <f>INDEX(Sheet1!AH:AH,MATCH(A1007,Sheet1!A:A,0))</f>
        <v/>
      </c>
    </row>
    <row r="1008">
      <c r="A1008" t="n">
        <v>2335</v>
      </c>
      <c r="B1008">
        <f>Sheet1!C1008+Sheet1!D1008+Sheet1!E1008+Sheet1!F1008+Sheet1!J1008+Sheet1!K1008+Sheet1!L1008+Sheet1!M1008</f>
        <v/>
      </c>
      <c r="C1008">
        <f>IF(ISNUMBER(B1008),B1008,"")</f>
        <v/>
      </c>
      <c r="D1008">
        <f>IF(ISNUMBER(C1008),_xlfn.RANK.EQ(C1008,$C$2:$C$1031),"")</f>
        <v/>
      </c>
      <c r="E1008">
        <f>Sheet1!C1008+Sheet1!D1008+Sheet1!E1008+Sheet1!F1008+Sheet1!J1008+Sheet1!K1008+Sheet1!L1008+Sheet1!M1008+Sheet1!Q1008+Sheet1!R1008+Sheet1!S1008+Sheet1!T1008</f>
        <v/>
      </c>
      <c r="F1008">
        <f>IF(ISNUMBER(E1008),E1008,"")</f>
        <v/>
      </c>
      <c r="G1008">
        <f>IF(ISNUMBER(F1008),_xlfn.RANK.EQ(F1008,$F$2:$F$1031),"")</f>
        <v/>
      </c>
      <c r="H1008">
        <f>INDEX(Sheet1!AH:AH,MATCH(A1008,Sheet1!A:A,0))</f>
        <v/>
      </c>
    </row>
    <row r="1009">
      <c r="A1009" t="n">
        <v>2336</v>
      </c>
      <c r="B1009">
        <f>Sheet1!C1009+Sheet1!D1009+Sheet1!E1009+Sheet1!F1009+Sheet1!J1009+Sheet1!K1009+Sheet1!L1009+Sheet1!M1009</f>
        <v/>
      </c>
      <c r="C1009">
        <f>IF(ISNUMBER(B1009),B1009,"")</f>
        <v/>
      </c>
      <c r="D1009">
        <f>IF(ISNUMBER(C1009),_xlfn.RANK.EQ(C1009,$C$2:$C$1031),"")</f>
        <v/>
      </c>
      <c r="E1009">
        <f>Sheet1!C1009+Sheet1!D1009+Sheet1!E1009+Sheet1!F1009+Sheet1!J1009+Sheet1!K1009+Sheet1!L1009+Sheet1!M1009+Sheet1!Q1009+Sheet1!R1009+Sheet1!S1009+Sheet1!T1009</f>
        <v/>
      </c>
      <c r="F1009">
        <f>IF(ISNUMBER(E1009),E1009,"")</f>
        <v/>
      </c>
      <c r="G1009">
        <f>IF(ISNUMBER(F1009),_xlfn.RANK.EQ(F1009,$F$2:$F$1031),"")</f>
        <v/>
      </c>
      <c r="H1009">
        <f>INDEX(Sheet1!AH:AH,MATCH(A1009,Sheet1!A:A,0))</f>
        <v/>
      </c>
    </row>
    <row r="1010">
      <c r="A1010" t="n">
        <v>2338</v>
      </c>
      <c r="B1010">
        <f>Sheet1!C1010+Sheet1!D1010+Sheet1!E1010+Sheet1!F1010+Sheet1!J1010+Sheet1!K1010+Sheet1!L1010+Sheet1!M1010</f>
        <v/>
      </c>
      <c r="C1010">
        <f>IF(ISNUMBER(B1010),B1010,"")</f>
        <v/>
      </c>
      <c r="D1010">
        <f>IF(ISNUMBER(C1010),_xlfn.RANK.EQ(C1010,$C$2:$C$1031),"")</f>
        <v/>
      </c>
      <c r="E1010">
        <f>Sheet1!C1010+Sheet1!D1010+Sheet1!E1010+Sheet1!F1010+Sheet1!J1010+Sheet1!K1010+Sheet1!L1010+Sheet1!M1010+Sheet1!Q1010+Sheet1!R1010+Sheet1!S1010+Sheet1!T1010</f>
        <v/>
      </c>
      <c r="F1010">
        <f>IF(ISNUMBER(E1010),E1010,"")</f>
        <v/>
      </c>
      <c r="G1010">
        <f>IF(ISNUMBER(F1010),_xlfn.RANK.EQ(F1010,$F$2:$F$1031),"")</f>
        <v/>
      </c>
      <c r="H1010">
        <f>INDEX(Sheet1!AH:AH,MATCH(A1010,Sheet1!A:A,0))</f>
        <v/>
      </c>
    </row>
    <row r="1011">
      <c r="A1011" t="n">
        <v>2341</v>
      </c>
      <c r="B1011">
        <f>Sheet1!C1011+Sheet1!D1011+Sheet1!E1011+Sheet1!F1011+Sheet1!J1011+Sheet1!K1011+Sheet1!L1011+Sheet1!M1011</f>
        <v/>
      </c>
      <c r="C1011">
        <f>IF(ISNUMBER(B1011),B1011,"")</f>
        <v/>
      </c>
      <c r="D1011">
        <f>IF(ISNUMBER(C1011),_xlfn.RANK.EQ(C1011,$C$2:$C$1031),"")</f>
        <v/>
      </c>
      <c r="E1011">
        <f>Sheet1!C1011+Sheet1!D1011+Sheet1!E1011+Sheet1!F1011+Sheet1!J1011+Sheet1!K1011+Sheet1!L1011+Sheet1!M1011+Sheet1!Q1011+Sheet1!R1011+Sheet1!S1011+Sheet1!T1011</f>
        <v/>
      </c>
      <c r="F1011">
        <f>IF(ISNUMBER(E1011),E1011,"")</f>
        <v/>
      </c>
      <c r="G1011">
        <f>IF(ISNUMBER(F1011),_xlfn.RANK.EQ(F1011,$F$2:$F$1031),"")</f>
        <v/>
      </c>
      <c r="H1011">
        <f>INDEX(Sheet1!AH:AH,MATCH(A1011,Sheet1!A:A,0))</f>
        <v/>
      </c>
    </row>
    <row r="1012">
      <c r="A1012" t="n">
        <v>2342</v>
      </c>
      <c r="B1012">
        <f>Sheet1!C1012+Sheet1!D1012+Sheet1!E1012+Sheet1!F1012+Sheet1!J1012+Sheet1!K1012+Sheet1!L1012+Sheet1!M1012</f>
        <v/>
      </c>
      <c r="C1012">
        <f>IF(ISNUMBER(B1012),B1012,"")</f>
        <v/>
      </c>
      <c r="D1012">
        <f>IF(ISNUMBER(C1012),_xlfn.RANK.EQ(C1012,$C$2:$C$1031),"")</f>
        <v/>
      </c>
      <c r="E1012">
        <f>Sheet1!C1012+Sheet1!D1012+Sheet1!E1012+Sheet1!F1012+Sheet1!J1012+Sheet1!K1012+Sheet1!L1012+Sheet1!M1012+Sheet1!Q1012+Sheet1!R1012+Sheet1!S1012+Sheet1!T1012</f>
        <v/>
      </c>
      <c r="F1012">
        <f>IF(ISNUMBER(E1012),E1012,"")</f>
        <v/>
      </c>
      <c r="G1012">
        <f>IF(ISNUMBER(F1012),_xlfn.RANK.EQ(F1012,$F$2:$F$1031),"")</f>
        <v/>
      </c>
      <c r="H1012">
        <f>INDEX(Sheet1!AH:AH,MATCH(A1012,Sheet1!A:A,0))</f>
        <v/>
      </c>
    </row>
    <row r="1013">
      <c r="A1013" t="n">
        <v>2344</v>
      </c>
      <c r="B1013">
        <f>Sheet1!C1013+Sheet1!D1013+Sheet1!E1013+Sheet1!F1013+Sheet1!J1013+Sheet1!K1013+Sheet1!L1013+Sheet1!M1013</f>
        <v/>
      </c>
      <c r="C1013">
        <f>IF(ISNUMBER(B1013),B1013,"")</f>
        <v/>
      </c>
      <c r="D1013">
        <f>IF(ISNUMBER(C1013),_xlfn.RANK.EQ(C1013,$C$2:$C$1031),"")</f>
        <v/>
      </c>
      <c r="E1013">
        <f>Sheet1!C1013+Sheet1!D1013+Sheet1!E1013+Sheet1!F1013+Sheet1!J1013+Sheet1!K1013+Sheet1!L1013+Sheet1!M1013+Sheet1!Q1013+Sheet1!R1013+Sheet1!S1013+Sheet1!T1013</f>
        <v/>
      </c>
      <c r="F1013">
        <f>IF(ISNUMBER(E1013),E1013,"")</f>
        <v/>
      </c>
      <c r="G1013">
        <f>IF(ISNUMBER(F1013),_xlfn.RANK.EQ(F1013,$F$2:$F$1031),"")</f>
        <v/>
      </c>
      <c r="H1013">
        <f>INDEX(Sheet1!AH:AH,MATCH(A1013,Sheet1!A:A,0))</f>
        <v/>
      </c>
    </row>
    <row r="1014">
      <c r="A1014" t="n">
        <v>2345</v>
      </c>
      <c r="B1014">
        <f>Sheet1!C1014+Sheet1!D1014+Sheet1!E1014+Sheet1!F1014+Sheet1!J1014+Sheet1!K1014+Sheet1!L1014+Sheet1!M1014</f>
        <v/>
      </c>
      <c r="C1014">
        <f>IF(ISNUMBER(B1014),B1014,"")</f>
        <v/>
      </c>
      <c r="D1014">
        <f>IF(ISNUMBER(C1014),_xlfn.RANK.EQ(C1014,$C$2:$C$1031),"")</f>
        <v/>
      </c>
      <c r="E1014">
        <f>Sheet1!C1014+Sheet1!D1014+Sheet1!E1014+Sheet1!F1014+Sheet1!J1014+Sheet1!K1014+Sheet1!L1014+Sheet1!M1014+Sheet1!Q1014+Sheet1!R1014+Sheet1!S1014+Sheet1!T1014</f>
        <v/>
      </c>
      <c r="F1014">
        <f>IF(ISNUMBER(E1014),E1014,"")</f>
        <v/>
      </c>
      <c r="G1014">
        <f>IF(ISNUMBER(F1014),_xlfn.RANK.EQ(F1014,$F$2:$F$1031),"")</f>
        <v/>
      </c>
      <c r="H1014">
        <f>INDEX(Sheet1!AH:AH,MATCH(A1014,Sheet1!A:A,0))</f>
        <v/>
      </c>
    </row>
    <row r="1015">
      <c r="A1015" t="n">
        <v>2346</v>
      </c>
      <c r="B1015">
        <f>Sheet1!C1015+Sheet1!D1015+Sheet1!E1015+Sheet1!F1015+Sheet1!J1015+Sheet1!K1015+Sheet1!L1015+Sheet1!M1015</f>
        <v/>
      </c>
      <c r="C1015">
        <f>IF(ISNUMBER(B1015),B1015,"")</f>
        <v/>
      </c>
      <c r="D1015">
        <f>IF(ISNUMBER(C1015),_xlfn.RANK.EQ(C1015,$C$2:$C$1031),"")</f>
        <v/>
      </c>
      <c r="E1015">
        <f>Sheet1!C1015+Sheet1!D1015+Sheet1!E1015+Sheet1!F1015+Sheet1!J1015+Sheet1!K1015+Sheet1!L1015+Sheet1!M1015+Sheet1!Q1015+Sheet1!R1015+Sheet1!S1015+Sheet1!T1015</f>
        <v/>
      </c>
      <c r="F1015">
        <f>IF(ISNUMBER(E1015),E1015,"")</f>
        <v/>
      </c>
      <c r="G1015">
        <f>IF(ISNUMBER(F1015),_xlfn.RANK.EQ(F1015,$F$2:$F$1031),"")</f>
        <v/>
      </c>
      <c r="H1015">
        <f>INDEX(Sheet1!AH:AH,MATCH(A1015,Sheet1!A:A,0))</f>
        <v/>
      </c>
    </row>
    <row r="1016">
      <c r="A1016" t="n">
        <v>2347</v>
      </c>
      <c r="B1016">
        <f>Sheet1!C1016+Sheet1!D1016+Sheet1!E1016+Sheet1!F1016+Sheet1!J1016+Sheet1!K1016+Sheet1!L1016+Sheet1!M1016</f>
        <v/>
      </c>
      <c r="C1016">
        <f>IF(ISNUMBER(B1016),B1016,"")</f>
        <v/>
      </c>
      <c r="D1016">
        <f>IF(ISNUMBER(C1016),_xlfn.RANK.EQ(C1016,$C$2:$C$1031),"")</f>
        <v/>
      </c>
      <c r="E1016">
        <f>Sheet1!C1016+Sheet1!D1016+Sheet1!E1016+Sheet1!F1016+Sheet1!J1016+Sheet1!K1016+Sheet1!L1016+Sheet1!M1016+Sheet1!Q1016+Sheet1!R1016+Sheet1!S1016+Sheet1!T1016</f>
        <v/>
      </c>
      <c r="F1016">
        <f>IF(ISNUMBER(E1016),E1016,"")</f>
        <v/>
      </c>
      <c r="G1016">
        <f>IF(ISNUMBER(F1016),_xlfn.RANK.EQ(F1016,$F$2:$F$1031),"")</f>
        <v/>
      </c>
      <c r="H1016">
        <f>INDEX(Sheet1!AH:AH,MATCH(A1016,Sheet1!A:A,0))</f>
        <v/>
      </c>
    </row>
    <row r="1017">
      <c r="A1017" t="n">
        <v>2349</v>
      </c>
      <c r="B1017">
        <f>Sheet1!C1017+Sheet1!D1017+Sheet1!E1017+Sheet1!F1017+Sheet1!J1017+Sheet1!K1017+Sheet1!L1017+Sheet1!M1017</f>
        <v/>
      </c>
      <c r="C1017">
        <f>IF(ISNUMBER(B1017),B1017,"")</f>
        <v/>
      </c>
      <c r="D1017">
        <f>IF(ISNUMBER(C1017),_xlfn.RANK.EQ(C1017,$C$2:$C$1031),"")</f>
        <v/>
      </c>
      <c r="E1017">
        <f>Sheet1!C1017+Sheet1!D1017+Sheet1!E1017+Sheet1!F1017+Sheet1!J1017+Sheet1!K1017+Sheet1!L1017+Sheet1!M1017+Sheet1!Q1017+Sheet1!R1017+Sheet1!S1017+Sheet1!T1017</f>
        <v/>
      </c>
      <c r="F1017">
        <f>IF(ISNUMBER(E1017),E1017,"")</f>
        <v/>
      </c>
      <c r="G1017">
        <f>IF(ISNUMBER(F1017),_xlfn.RANK.EQ(F1017,$F$2:$F$1031),"")</f>
        <v/>
      </c>
      <c r="H1017">
        <f>INDEX(Sheet1!AH:AH,MATCH(A1017,Sheet1!A:A,0))</f>
        <v/>
      </c>
    </row>
    <row r="1018">
      <c r="A1018" t="n">
        <v>2350</v>
      </c>
      <c r="B1018">
        <f>Sheet1!C1018+Sheet1!D1018+Sheet1!E1018+Sheet1!F1018+Sheet1!J1018+Sheet1!K1018+Sheet1!L1018+Sheet1!M1018</f>
        <v/>
      </c>
      <c r="C1018">
        <f>IF(ISNUMBER(B1018),B1018,"")</f>
        <v/>
      </c>
      <c r="D1018">
        <f>IF(ISNUMBER(C1018),_xlfn.RANK.EQ(C1018,$C$2:$C$1031),"")</f>
        <v/>
      </c>
      <c r="E1018">
        <f>Sheet1!C1018+Sheet1!D1018+Sheet1!E1018+Sheet1!F1018+Sheet1!J1018+Sheet1!K1018+Sheet1!L1018+Sheet1!M1018+Sheet1!Q1018+Sheet1!R1018+Sheet1!S1018+Sheet1!T1018</f>
        <v/>
      </c>
      <c r="F1018">
        <f>IF(ISNUMBER(E1018),E1018,"")</f>
        <v/>
      </c>
      <c r="G1018">
        <f>IF(ISNUMBER(F1018),_xlfn.RANK.EQ(F1018,$F$2:$F$1031),"")</f>
        <v/>
      </c>
      <c r="H1018">
        <f>INDEX(Sheet1!AH:AH,MATCH(A1018,Sheet1!A:A,0))</f>
        <v/>
      </c>
    </row>
    <row r="1019">
      <c r="A1019" t="n">
        <v>2351</v>
      </c>
      <c r="B1019">
        <f>Sheet1!C1019+Sheet1!D1019+Sheet1!E1019+Sheet1!F1019+Sheet1!J1019+Sheet1!K1019+Sheet1!L1019+Sheet1!M1019</f>
        <v/>
      </c>
      <c r="C1019">
        <f>IF(ISNUMBER(B1019),B1019,"")</f>
        <v/>
      </c>
      <c r="D1019">
        <f>IF(ISNUMBER(C1019),_xlfn.RANK.EQ(C1019,$C$2:$C$1031),"")</f>
        <v/>
      </c>
      <c r="E1019">
        <f>Sheet1!C1019+Sheet1!D1019+Sheet1!E1019+Sheet1!F1019+Sheet1!J1019+Sheet1!K1019+Sheet1!L1019+Sheet1!M1019+Sheet1!Q1019+Sheet1!R1019+Sheet1!S1019+Sheet1!T1019</f>
        <v/>
      </c>
      <c r="F1019">
        <f>IF(ISNUMBER(E1019),E1019,"")</f>
        <v/>
      </c>
      <c r="G1019">
        <f>IF(ISNUMBER(F1019),_xlfn.RANK.EQ(F1019,$F$2:$F$1031),"")</f>
        <v/>
      </c>
      <c r="H1019">
        <f>INDEX(Sheet1!AH:AH,MATCH(A1019,Sheet1!A:A,0))</f>
        <v/>
      </c>
    </row>
    <row r="1020">
      <c r="A1020" t="n">
        <v>2352</v>
      </c>
      <c r="B1020">
        <f>Sheet1!C1020+Sheet1!D1020+Sheet1!E1020+Sheet1!F1020+Sheet1!J1020+Sheet1!K1020+Sheet1!L1020+Sheet1!M1020</f>
        <v/>
      </c>
      <c r="C1020">
        <f>IF(ISNUMBER(B1020),B1020,"")</f>
        <v/>
      </c>
      <c r="D1020">
        <f>IF(ISNUMBER(C1020),_xlfn.RANK.EQ(C1020,$C$2:$C$1031),"")</f>
        <v/>
      </c>
      <c r="E1020">
        <f>Sheet1!C1020+Sheet1!D1020+Sheet1!E1020+Sheet1!F1020+Sheet1!J1020+Sheet1!K1020+Sheet1!L1020+Sheet1!M1020+Sheet1!Q1020+Sheet1!R1020+Sheet1!S1020+Sheet1!T1020</f>
        <v/>
      </c>
      <c r="F1020">
        <f>IF(ISNUMBER(E1020),E1020,"")</f>
        <v/>
      </c>
      <c r="G1020">
        <f>IF(ISNUMBER(F1020),_xlfn.RANK.EQ(F1020,$F$2:$F$1031),"")</f>
        <v/>
      </c>
      <c r="H1020">
        <f>INDEX(Sheet1!AH:AH,MATCH(A1020,Sheet1!A:A,0))</f>
        <v/>
      </c>
    </row>
    <row r="1021">
      <c r="A1021" t="n">
        <v>2353</v>
      </c>
      <c r="B1021">
        <f>Sheet1!C1021+Sheet1!D1021+Sheet1!E1021+Sheet1!F1021+Sheet1!J1021+Sheet1!K1021+Sheet1!L1021+Sheet1!M1021</f>
        <v/>
      </c>
      <c r="C1021">
        <f>IF(ISNUMBER(B1021),B1021,"")</f>
        <v/>
      </c>
      <c r="D1021">
        <f>IF(ISNUMBER(C1021),_xlfn.RANK.EQ(C1021,$C$2:$C$1031),"")</f>
        <v/>
      </c>
      <c r="E1021">
        <f>Sheet1!C1021+Sheet1!D1021+Sheet1!E1021+Sheet1!F1021+Sheet1!J1021+Sheet1!K1021+Sheet1!L1021+Sheet1!M1021+Sheet1!Q1021+Sheet1!R1021+Sheet1!S1021+Sheet1!T1021</f>
        <v/>
      </c>
      <c r="F1021">
        <f>IF(ISNUMBER(E1021),E1021,"")</f>
        <v/>
      </c>
      <c r="G1021">
        <f>IF(ISNUMBER(F1021),_xlfn.RANK.EQ(F1021,$F$2:$F$1031),"")</f>
        <v/>
      </c>
      <c r="H1021">
        <f>INDEX(Sheet1!AH:AH,MATCH(A1021,Sheet1!A:A,0))</f>
        <v/>
      </c>
    </row>
    <row r="1022">
      <c r="A1022" t="n">
        <v>2354</v>
      </c>
      <c r="B1022">
        <f>Sheet1!C1022+Sheet1!D1022+Sheet1!E1022+Sheet1!F1022+Sheet1!J1022+Sheet1!K1022+Sheet1!L1022+Sheet1!M1022</f>
        <v/>
      </c>
      <c r="C1022">
        <f>IF(ISNUMBER(B1022),B1022,"")</f>
        <v/>
      </c>
      <c r="D1022">
        <f>IF(ISNUMBER(C1022),_xlfn.RANK.EQ(C1022,$C$2:$C$1031),"")</f>
        <v/>
      </c>
      <c r="E1022">
        <f>Sheet1!C1022+Sheet1!D1022+Sheet1!E1022+Sheet1!F1022+Sheet1!J1022+Sheet1!K1022+Sheet1!L1022+Sheet1!M1022+Sheet1!Q1022+Sheet1!R1022+Sheet1!S1022+Sheet1!T1022</f>
        <v/>
      </c>
      <c r="F1022">
        <f>IF(ISNUMBER(E1022),E1022,"")</f>
        <v/>
      </c>
      <c r="G1022">
        <f>IF(ISNUMBER(F1022),_xlfn.RANK.EQ(F1022,$F$2:$F$1031),"")</f>
        <v/>
      </c>
      <c r="H1022">
        <f>INDEX(Sheet1!AH:AH,MATCH(A1022,Sheet1!A:A,0))</f>
        <v/>
      </c>
    </row>
    <row r="1023">
      <c r="A1023" t="n">
        <v>2355</v>
      </c>
      <c r="B1023">
        <f>Sheet1!C1023+Sheet1!D1023+Sheet1!E1023+Sheet1!F1023+Sheet1!J1023+Sheet1!K1023+Sheet1!L1023+Sheet1!M1023</f>
        <v/>
      </c>
      <c r="C1023">
        <f>IF(ISNUMBER(B1023),B1023,"")</f>
        <v/>
      </c>
      <c r="D1023">
        <f>IF(ISNUMBER(C1023),_xlfn.RANK.EQ(C1023,$C$2:$C$1031),"")</f>
        <v/>
      </c>
      <c r="E1023">
        <f>Sheet1!C1023+Sheet1!D1023+Sheet1!E1023+Sheet1!F1023+Sheet1!J1023+Sheet1!K1023+Sheet1!L1023+Sheet1!M1023+Sheet1!Q1023+Sheet1!R1023+Sheet1!S1023+Sheet1!T1023</f>
        <v/>
      </c>
      <c r="F1023">
        <f>IF(ISNUMBER(E1023),E1023,"")</f>
        <v/>
      </c>
      <c r="G1023">
        <f>IF(ISNUMBER(F1023),_xlfn.RANK.EQ(F1023,$F$2:$F$1031),"")</f>
        <v/>
      </c>
      <c r="H1023">
        <f>INDEX(Sheet1!AH:AH,MATCH(A1023,Sheet1!A:A,0))</f>
        <v/>
      </c>
    </row>
    <row r="1024">
      <c r="A1024" t="n">
        <v>2356</v>
      </c>
      <c r="B1024">
        <f>Sheet1!C1024+Sheet1!D1024+Sheet1!E1024+Sheet1!F1024+Sheet1!J1024+Sheet1!K1024+Sheet1!L1024+Sheet1!M1024</f>
        <v/>
      </c>
      <c r="C1024">
        <f>IF(ISNUMBER(B1024),B1024,"")</f>
        <v/>
      </c>
      <c r="D1024">
        <f>IF(ISNUMBER(C1024),_xlfn.RANK.EQ(C1024,$C$2:$C$1031),"")</f>
        <v/>
      </c>
      <c r="E1024">
        <f>Sheet1!C1024+Sheet1!D1024+Sheet1!E1024+Sheet1!F1024+Sheet1!J1024+Sheet1!K1024+Sheet1!L1024+Sheet1!M1024+Sheet1!Q1024+Sheet1!R1024+Sheet1!S1024+Sheet1!T1024</f>
        <v/>
      </c>
      <c r="F1024">
        <f>IF(ISNUMBER(E1024),E1024,"")</f>
        <v/>
      </c>
      <c r="G1024">
        <f>IF(ISNUMBER(F1024),_xlfn.RANK.EQ(F1024,$F$2:$F$1031),"")</f>
        <v/>
      </c>
      <c r="H1024">
        <f>INDEX(Sheet1!AH:AH,MATCH(A1024,Sheet1!A:A,0))</f>
        <v/>
      </c>
    </row>
    <row r="1025">
      <c r="A1025" t="n">
        <v>2358</v>
      </c>
      <c r="B1025">
        <f>Sheet1!C1025+Sheet1!D1025+Sheet1!E1025+Sheet1!F1025+Sheet1!J1025+Sheet1!K1025+Sheet1!L1025+Sheet1!M1025</f>
        <v/>
      </c>
      <c r="C1025">
        <f>IF(ISNUMBER(B1025),B1025,"")</f>
        <v/>
      </c>
      <c r="D1025">
        <f>IF(ISNUMBER(C1025),_xlfn.RANK.EQ(C1025,$C$2:$C$1031),"")</f>
        <v/>
      </c>
      <c r="E1025">
        <f>Sheet1!C1025+Sheet1!D1025+Sheet1!E1025+Sheet1!F1025+Sheet1!J1025+Sheet1!K1025+Sheet1!L1025+Sheet1!M1025+Sheet1!Q1025+Sheet1!R1025+Sheet1!S1025+Sheet1!T1025</f>
        <v/>
      </c>
      <c r="F1025">
        <f>IF(ISNUMBER(E1025),E1025,"")</f>
        <v/>
      </c>
      <c r="G1025">
        <f>IF(ISNUMBER(F1025),_xlfn.RANK.EQ(F1025,$F$2:$F$1031),"")</f>
        <v/>
      </c>
      <c r="H1025">
        <f>INDEX(Sheet1!AH:AH,MATCH(A1025,Sheet1!A:A,0))</f>
        <v/>
      </c>
    </row>
    <row r="1026">
      <c r="A1026" t="n">
        <v>2365</v>
      </c>
      <c r="B1026">
        <f>Sheet1!C1026+Sheet1!D1026+Sheet1!E1026+Sheet1!F1026+Sheet1!J1026+Sheet1!K1026+Sheet1!L1026+Sheet1!M1026</f>
        <v/>
      </c>
      <c r="C1026">
        <f>IF(ISNUMBER(B1026),B1026,"")</f>
        <v/>
      </c>
      <c r="D1026">
        <f>IF(ISNUMBER(C1026),_xlfn.RANK.EQ(C1026,$C$2:$C$1031),"")</f>
        <v/>
      </c>
      <c r="E1026">
        <f>Sheet1!C1026+Sheet1!D1026+Sheet1!E1026+Sheet1!F1026+Sheet1!J1026+Sheet1!K1026+Sheet1!L1026+Sheet1!M1026+Sheet1!Q1026+Sheet1!R1026+Sheet1!S1026+Sheet1!T1026</f>
        <v/>
      </c>
      <c r="F1026">
        <f>IF(ISNUMBER(E1026),E1026,"")</f>
        <v/>
      </c>
      <c r="G1026">
        <f>IF(ISNUMBER(F1026),_xlfn.RANK.EQ(F1026,$F$2:$F$1031),"")</f>
        <v/>
      </c>
      <c r="H1026">
        <f>INDEX(Sheet1!AH:AH,MATCH(A1026,Sheet1!A:A,0))</f>
        <v/>
      </c>
    </row>
    <row r="1027">
      <c r="A1027" t="n">
        <v>2457</v>
      </c>
      <c r="B1027">
        <f>Sheet1!C1027+Sheet1!D1027+Sheet1!E1027+Sheet1!F1027+Sheet1!J1027+Sheet1!K1027+Sheet1!L1027+Sheet1!M1027</f>
        <v/>
      </c>
      <c r="C1027">
        <f>IF(ISNUMBER(B1027),B1027,"")</f>
        <v/>
      </c>
      <c r="D1027">
        <f>IF(ISNUMBER(C1027),_xlfn.RANK.EQ(C1027,$C$2:$C$1031),"")</f>
        <v/>
      </c>
      <c r="E1027">
        <f>Sheet1!C1027+Sheet1!D1027+Sheet1!E1027+Sheet1!F1027+Sheet1!J1027+Sheet1!K1027+Sheet1!L1027+Sheet1!M1027+Sheet1!Q1027+Sheet1!R1027+Sheet1!S1027+Sheet1!T1027</f>
        <v/>
      </c>
      <c r="F1027">
        <f>IF(ISNUMBER(E1027),E1027,"")</f>
        <v/>
      </c>
      <c r="G1027">
        <f>IF(ISNUMBER(F1027),_xlfn.RANK.EQ(F1027,$F$2:$F$1031),"")</f>
        <v/>
      </c>
      <c r="H1027">
        <f>INDEX(Sheet1!AH:AH,MATCH(A1027,Sheet1!A:A,0))</f>
        <v/>
      </c>
    </row>
    <row r="1028">
      <c r="A1028" t="n">
        <v>2458</v>
      </c>
      <c r="B1028">
        <f>Sheet1!C1028+Sheet1!D1028+Sheet1!E1028+Sheet1!F1028+Sheet1!J1028+Sheet1!K1028+Sheet1!L1028+Sheet1!M1028</f>
        <v/>
      </c>
      <c r="C1028">
        <f>IF(ISNUMBER(B1028),B1028,"")</f>
        <v/>
      </c>
      <c r="D1028">
        <f>IF(ISNUMBER(C1028),_xlfn.RANK.EQ(C1028,$C$2:$C$1031),"")</f>
        <v/>
      </c>
      <c r="E1028">
        <f>Sheet1!C1028+Sheet1!D1028+Sheet1!E1028+Sheet1!F1028+Sheet1!J1028+Sheet1!K1028+Sheet1!L1028+Sheet1!M1028+Sheet1!Q1028+Sheet1!R1028+Sheet1!S1028+Sheet1!T1028</f>
        <v/>
      </c>
      <c r="F1028">
        <f>IF(ISNUMBER(E1028),E1028,"")</f>
        <v/>
      </c>
      <c r="G1028">
        <f>IF(ISNUMBER(F1028),_xlfn.RANK.EQ(F1028,$F$2:$F$1031),"")</f>
        <v/>
      </c>
      <c r="H1028">
        <f>INDEX(Sheet1!AH:AH,MATCH(A1028,Sheet1!A:A,0))</f>
        <v/>
      </c>
    </row>
    <row r="1029">
      <c r="A1029" t="n">
        <v>2520</v>
      </c>
      <c r="B1029">
        <f>Sheet1!C1029+Sheet1!D1029+Sheet1!E1029+Sheet1!F1029+Sheet1!J1029+Sheet1!K1029+Sheet1!L1029+Sheet1!M1029</f>
        <v/>
      </c>
      <c r="C1029">
        <f>IF(ISNUMBER(B1029),B1029,"")</f>
        <v/>
      </c>
      <c r="D1029">
        <f>IF(ISNUMBER(C1029),_xlfn.RANK.EQ(C1029,$C$2:$C$1031),"")</f>
        <v/>
      </c>
      <c r="E1029">
        <f>Sheet1!C1029+Sheet1!D1029+Sheet1!E1029+Sheet1!F1029+Sheet1!J1029+Sheet1!K1029+Sheet1!L1029+Sheet1!M1029+Sheet1!Q1029+Sheet1!R1029+Sheet1!S1029+Sheet1!T1029</f>
        <v/>
      </c>
      <c r="F1029">
        <f>IF(ISNUMBER(E1029),E1029,"")</f>
        <v/>
      </c>
      <c r="G1029">
        <f>IF(ISNUMBER(F1029),_xlfn.RANK.EQ(F1029,$F$2:$F$1031),"")</f>
        <v/>
      </c>
      <c r="H1029">
        <f>INDEX(Sheet1!AH:AH,MATCH(A1029,Sheet1!A:A,0))</f>
        <v/>
      </c>
    </row>
    <row r="1030">
      <c r="A1030" t="n">
        <v>2545</v>
      </c>
      <c r="B1030">
        <f>Sheet1!C1030+Sheet1!D1030+Sheet1!E1030+Sheet1!F1030+Sheet1!J1030+Sheet1!K1030+Sheet1!L1030+Sheet1!M1030</f>
        <v/>
      </c>
      <c r="C1030">
        <f>IF(ISNUMBER(B1030),B1030,"")</f>
        <v/>
      </c>
      <c r="D1030">
        <f>IF(ISNUMBER(C1030),_xlfn.RANK.EQ(C1030,$C$2:$C$1031),"")</f>
        <v/>
      </c>
      <c r="E1030">
        <f>Sheet1!C1030+Sheet1!D1030+Sheet1!E1030+Sheet1!F1030+Sheet1!J1030+Sheet1!K1030+Sheet1!L1030+Sheet1!M1030+Sheet1!Q1030+Sheet1!R1030+Sheet1!S1030+Sheet1!T1030</f>
        <v/>
      </c>
      <c r="F1030">
        <f>IF(ISNUMBER(E1030),E1030,"")</f>
        <v/>
      </c>
      <c r="G1030">
        <f>IF(ISNUMBER(F1030),_xlfn.RANK.EQ(F1030,$F$2:$F$1031),"")</f>
        <v/>
      </c>
      <c r="H1030">
        <f>INDEX(Sheet1!AH:AH,MATCH(A1030,Sheet1!A:A,0))</f>
        <v/>
      </c>
    </row>
    <row r="1031">
      <c r="A1031" t="n">
        <v>2603</v>
      </c>
      <c r="B1031">
        <f>Sheet1!C1031+Sheet1!D1031+Sheet1!E1031+Sheet1!F1031+Sheet1!J1031+Sheet1!K1031+Sheet1!L1031+Sheet1!M1031</f>
        <v/>
      </c>
      <c r="C1031">
        <f>IF(ISNUMBER(B1031),B1031,"")</f>
        <v/>
      </c>
      <c r="D1031">
        <f>IF(ISNUMBER(C1031),_xlfn.RANK.EQ(C1031,$C$2:$C$1031),"")</f>
        <v/>
      </c>
      <c r="E1031">
        <f>Sheet1!C1031+Sheet1!D1031+Sheet1!E1031+Sheet1!F1031+Sheet1!J1031+Sheet1!K1031+Sheet1!L1031+Sheet1!M1031+Sheet1!Q1031+Sheet1!R1031+Sheet1!S1031+Sheet1!T1031</f>
        <v/>
      </c>
      <c r="F1031">
        <f>IF(ISNUMBER(E1031),E1031,"")</f>
        <v/>
      </c>
      <c r="G1031">
        <f>IF(ISNUMBER(F1031),_xlfn.RANK.EQ(F1031,$F$2:$F$1031),"")</f>
        <v/>
      </c>
      <c r="H1031">
        <f>INDEX(Sheet1!AH:AH,MATCH(A1031,Sheet1!A:A,0))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1"/>
  <sheetViews>
    <sheetView workbookViewId="0">
      <selection activeCell="E2" sqref="E2"/>
    </sheetView>
  </sheetViews>
  <sheetFormatPr baseColWidth="8" defaultRowHeight="25.8"/>
  <cols>
    <col width="13.6640625" customWidth="1" style="19" min="1" max="1"/>
    <col width="17.77734375" customWidth="1" style="20" min="2" max="2"/>
    <col width="17.77734375" customWidth="1" style="21" min="3" max="3"/>
    <col width="17.77734375" customWidth="1" style="22" min="4" max="4"/>
    <col width="17.77734375" customWidth="1" style="23" min="5" max="5"/>
  </cols>
  <sheetData>
    <row r="1">
      <c r="A1" s="19" t="inlineStr">
        <is>
          <t>ID</t>
        </is>
      </c>
      <c r="B1" s="20" t="inlineStr">
        <is>
          <t>FIRST YEAR RANK</t>
        </is>
      </c>
      <c r="C1" s="21" t="inlineStr">
        <is>
          <t>SECOND YEAR RANK C</t>
        </is>
      </c>
      <c r="D1" s="22" t="inlineStr">
        <is>
          <t>THIRD YEAR RANK C</t>
        </is>
      </c>
      <c r="E1" s="23" t="inlineStr">
        <is>
          <t>FOURTH YEAR RANK C</t>
        </is>
      </c>
    </row>
    <row r="2">
      <c r="A2" s="19" t="n">
        <v>4</v>
      </c>
      <c r="B2" s="20">
        <f>IFERROR(INDEX(Sheet1!I:I,MATCH(A2,Sheet1!A:A,0)),"")</f>
        <v/>
      </c>
      <c r="C2" s="21">
        <f>IFERROR(INDEX(Sheet3!D:D,MATCH(A2,Sheet3!A:A,0)),"")</f>
        <v/>
      </c>
      <c r="D2" s="22">
        <f>IFERROR(INDEX(Sheet3!G:G,MATCH(A2,Sheet3!A:A,0)),"")</f>
        <v/>
      </c>
      <c r="E2" s="23">
        <f>IFERROR(INDEX(Sheet3!H:H,MATCH(A2,Sheet3!A:A,0)),"")</f>
        <v/>
      </c>
    </row>
    <row r="3">
      <c r="A3" s="19" t="n">
        <v>6</v>
      </c>
      <c r="B3" s="20">
        <f>IFERROR(INDEX(Sheet1!I:I,MATCH(A3,Sheet1!A:A,0)),"")</f>
        <v/>
      </c>
      <c r="C3" s="21">
        <f>IFERROR(INDEX(Sheet3!D:D,MATCH(A3,Sheet3!A:A,0)),"")</f>
        <v/>
      </c>
      <c r="D3" s="22">
        <f>IFERROR(INDEX(Sheet3!G:G,MATCH(A3,Sheet3!A:A,0)),"")</f>
        <v/>
      </c>
      <c r="E3" s="23">
        <f>IFERROR(INDEX(Sheet3!H:H,MATCH(A3,Sheet3!A:A,0)),"")</f>
        <v/>
      </c>
    </row>
    <row r="4">
      <c r="A4" s="19" t="n">
        <v>9</v>
      </c>
      <c r="B4" s="20">
        <f>IFERROR(INDEX(Sheet1!I:I,MATCH(A4,Sheet1!A:A,0)),"")</f>
        <v/>
      </c>
      <c r="C4" s="21">
        <f>IFERROR(INDEX(Sheet3!D:D,MATCH(A4,Sheet3!A:A,0)),"")</f>
        <v/>
      </c>
      <c r="D4" s="22">
        <f>IFERROR(INDEX(Sheet3!G:G,MATCH(A4,Sheet3!A:A,0)),"")</f>
        <v/>
      </c>
      <c r="E4" s="23">
        <f>IFERROR(INDEX(Sheet3!H:H,MATCH(A4,Sheet3!A:A,0)),"")</f>
        <v/>
      </c>
    </row>
    <row r="5">
      <c r="A5" s="19" t="n">
        <v>13</v>
      </c>
      <c r="B5" s="20">
        <f>IFERROR(INDEX(Sheet1!I:I,MATCH(A5,Sheet1!A:A,0)),"")</f>
        <v/>
      </c>
      <c r="C5" s="21">
        <f>IFERROR(INDEX(Sheet3!D:D,MATCH(A5,Sheet3!A:A,0)),"")</f>
        <v/>
      </c>
      <c r="D5" s="22">
        <f>IFERROR(INDEX(Sheet3!G:G,MATCH(A5,Sheet3!A:A,0)),"")</f>
        <v/>
      </c>
      <c r="E5" s="23">
        <f>IFERROR(INDEX(Sheet3!H:H,MATCH(A5,Sheet3!A:A,0)),"")</f>
        <v/>
      </c>
    </row>
    <row r="6">
      <c r="A6" s="19" t="n">
        <v>15</v>
      </c>
      <c r="B6" s="20">
        <f>IFERROR(INDEX(Sheet1!I:I,MATCH(A6,Sheet1!A:A,0)),"")</f>
        <v/>
      </c>
      <c r="C6" s="21">
        <f>IFERROR(INDEX(Sheet3!D:D,MATCH(A6,Sheet3!A:A,0)),"")</f>
        <v/>
      </c>
      <c r="D6" s="22">
        <f>IFERROR(INDEX(Sheet3!G:G,MATCH(A6,Sheet3!A:A,0)),"")</f>
        <v/>
      </c>
      <c r="E6" s="23">
        <f>IFERROR(INDEX(Sheet3!H:H,MATCH(A6,Sheet3!A:A,0)),"")</f>
        <v/>
      </c>
    </row>
    <row r="7">
      <c r="A7" s="19" t="n">
        <v>31</v>
      </c>
      <c r="B7" s="20">
        <f>IFERROR(INDEX(Sheet1!I:I,MATCH(A7,Sheet1!A:A,0)),"")</f>
        <v/>
      </c>
      <c r="C7" s="21">
        <f>IFERROR(INDEX(Sheet3!D:D,MATCH(A7,Sheet3!A:A,0)),"")</f>
        <v/>
      </c>
      <c r="D7" s="22">
        <f>IFERROR(INDEX(Sheet3!G:G,MATCH(A7,Sheet3!A:A,0)),"")</f>
        <v/>
      </c>
      <c r="E7" s="23">
        <f>IFERROR(INDEX(Sheet3!H:H,MATCH(A7,Sheet3!A:A,0)),"")</f>
        <v/>
      </c>
    </row>
    <row r="8">
      <c r="A8" s="19" t="n">
        <v>32</v>
      </c>
      <c r="B8" s="20">
        <f>IFERROR(INDEX(Sheet1!I:I,MATCH(A8,Sheet1!A:A,0)),"")</f>
        <v/>
      </c>
      <c r="C8" s="21">
        <f>IFERROR(INDEX(Sheet3!D:D,MATCH(A8,Sheet3!A:A,0)),"")</f>
        <v/>
      </c>
      <c r="D8" s="22">
        <f>IFERROR(INDEX(Sheet3!G:G,MATCH(A8,Sheet3!A:A,0)),"")</f>
        <v/>
      </c>
      <c r="E8" s="23">
        <f>IFERROR(INDEX(Sheet3!H:H,MATCH(A8,Sheet3!A:A,0)),"")</f>
        <v/>
      </c>
    </row>
    <row r="9">
      <c r="A9" s="19" t="n">
        <v>34</v>
      </c>
      <c r="B9" s="20">
        <f>IFERROR(INDEX(Sheet1!I:I,MATCH(A9,Sheet1!A:A,0)),"")</f>
        <v/>
      </c>
      <c r="C9" s="21">
        <f>IFERROR(INDEX(Sheet3!D:D,MATCH(A9,Sheet3!A:A,0)),"")</f>
        <v/>
      </c>
      <c r="D9" s="22">
        <f>IFERROR(INDEX(Sheet3!G:G,MATCH(A9,Sheet3!A:A,0)),"")</f>
        <v/>
      </c>
      <c r="E9" s="23">
        <f>IFERROR(INDEX(Sheet3!H:H,MATCH(A9,Sheet3!A:A,0)),"")</f>
        <v/>
      </c>
    </row>
    <row r="10">
      <c r="A10" s="19" t="n">
        <v>35</v>
      </c>
      <c r="B10" s="20">
        <f>IFERROR(INDEX(Sheet1!I:I,MATCH(A10,Sheet1!A:A,0)),"")</f>
        <v/>
      </c>
      <c r="C10" s="21">
        <f>IFERROR(INDEX(Sheet3!D:D,MATCH(A10,Sheet3!A:A,0)),"")</f>
        <v/>
      </c>
      <c r="D10" s="22">
        <f>IFERROR(INDEX(Sheet3!G:G,MATCH(A10,Sheet3!A:A,0)),"")</f>
        <v/>
      </c>
      <c r="E10" s="23">
        <f>IFERROR(INDEX(Sheet3!H:H,MATCH(A10,Sheet3!A:A,0)),"")</f>
        <v/>
      </c>
    </row>
    <row r="11">
      <c r="A11" s="19" t="n">
        <v>37</v>
      </c>
      <c r="B11" s="20">
        <f>IFERROR(INDEX(Sheet1!I:I,MATCH(A11,Sheet1!A:A,0)),"")</f>
        <v/>
      </c>
      <c r="C11" s="21">
        <f>IFERROR(INDEX(Sheet3!D:D,MATCH(A11,Sheet3!A:A,0)),"")</f>
        <v/>
      </c>
      <c r="D11" s="22">
        <f>IFERROR(INDEX(Sheet3!G:G,MATCH(A11,Sheet3!A:A,0)),"")</f>
        <v/>
      </c>
      <c r="E11" s="23">
        <f>IFERROR(INDEX(Sheet3!H:H,MATCH(A11,Sheet3!A:A,0)),"")</f>
        <v/>
      </c>
    </row>
    <row r="12">
      <c r="A12" s="19" t="n">
        <v>38</v>
      </c>
      <c r="B12" s="20">
        <f>IFERROR(INDEX(Sheet1!I:I,MATCH(A12,Sheet1!A:A,0)),"")</f>
        <v/>
      </c>
      <c r="C12" s="21">
        <f>IFERROR(INDEX(Sheet3!D:D,MATCH(A12,Sheet3!A:A,0)),"")</f>
        <v/>
      </c>
      <c r="D12" s="22">
        <f>IFERROR(INDEX(Sheet3!G:G,MATCH(A12,Sheet3!A:A,0)),"")</f>
        <v/>
      </c>
      <c r="E12" s="23">
        <f>IFERROR(INDEX(Sheet3!H:H,MATCH(A12,Sheet3!A:A,0)),"")</f>
        <v/>
      </c>
    </row>
    <row r="13">
      <c r="A13" s="19" t="n">
        <v>39</v>
      </c>
      <c r="B13" s="20">
        <f>IFERROR(INDEX(Sheet1!I:I,MATCH(A13,Sheet1!A:A,0)),"")</f>
        <v/>
      </c>
      <c r="C13" s="21">
        <f>IFERROR(INDEX(Sheet3!D:D,MATCH(A13,Sheet3!A:A,0)),"")</f>
        <v/>
      </c>
      <c r="D13" s="22">
        <f>IFERROR(INDEX(Sheet3!G:G,MATCH(A13,Sheet3!A:A,0)),"")</f>
        <v/>
      </c>
      <c r="E13" s="23">
        <f>IFERROR(INDEX(Sheet3!H:H,MATCH(A13,Sheet3!A:A,0)),"")</f>
        <v/>
      </c>
    </row>
    <row r="14">
      <c r="A14" s="19" t="n">
        <v>40</v>
      </c>
      <c r="B14" s="20">
        <f>IFERROR(INDEX(Sheet1!I:I,MATCH(A14,Sheet1!A:A,0)),"")</f>
        <v/>
      </c>
      <c r="C14" s="21">
        <f>IFERROR(INDEX(Sheet3!D:D,MATCH(A14,Sheet3!A:A,0)),"")</f>
        <v/>
      </c>
      <c r="D14" s="22">
        <f>IFERROR(INDEX(Sheet3!G:G,MATCH(A14,Sheet3!A:A,0)),"")</f>
        <v/>
      </c>
      <c r="E14" s="23">
        <f>IFERROR(INDEX(Sheet3!H:H,MATCH(A14,Sheet3!A:A,0)),"")</f>
        <v/>
      </c>
    </row>
    <row r="15">
      <c r="A15" s="19" t="n">
        <v>41</v>
      </c>
      <c r="B15" s="20">
        <f>IFERROR(INDEX(Sheet1!I:I,MATCH(A15,Sheet1!A:A,0)),"")</f>
        <v/>
      </c>
      <c r="C15" s="21">
        <f>IFERROR(INDEX(Sheet3!D:D,MATCH(A15,Sheet3!A:A,0)),"")</f>
        <v/>
      </c>
      <c r="D15" s="22">
        <f>IFERROR(INDEX(Sheet3!G:G,MATCH(A15,Sheet3!A:A,0)),"")</f>
        <v/>
      </c>
      <c r="E15" s="23">
        <f>IFERROR(INDEX(Sheet3!H:H,MATCH(A15,Sheet3!A:A,0)),"")</f>
        <v/>
      </c>
    </row>
    <row r="16">
      <c r="A16" s="19" t="n">
        <v>42</v>
      </c>
      <c r="B16" s="20">
        <f>IFERROR(INDEX(Sheet1!I:I,MATCH(A16,Sheet1!A:A,0)),"")</f>
        <v/>
      </c>
      <c r="C16" s="21">
        <f>IFERROR(INDEX(Sheet3!D:D,MATCH(A16,Sheet3!A:A,0)),"")</f>
        <v/>
      </c>
      <c r="D16" s="22">
        <f>IFERROR(INDEX(Sheet3!G:G,MATCH(A16,Sheet3!A:A,0)),"")</f>
        <v/>
      </c>
      <c r="E16" s="23">
        <f>IFERROR(INDEX(Sheet3!H:H,MATCH(A16,Sheet3!A:A,0)),"")</f>
        <v/>
      </c>
    </row>
    <row r="17">
      <c r="A17" s="19" t="n">
        <v>46</v>
      </c>
      <c r="B17" s="20">
        <f>IFERROR(INDEX(Sheet1!I:I,MATCH(A17,Sheet1!A:A,0)),"")</f>
        <v/>
      </c>
      <c r="C17" s="21">
        <f>IFERROR(INDEX(Sheet3!D:D,MATCH(A17,Sheet3!A:A,0)),"")</f>
        <v/>
      </c>
      <c r="D17" s="22">
        <f>IFERROR(INDEX(Sheet3!G:G,MATCH(A17,Sheet3!A:A,0)),"")</f>
        <v/>
      </c>
      <c r="E17" s="23">
        <f>IFERROR(INDEX(Sheet3!H:H,MATCH(A17,Sheet3!A:A,0)),"")</f>
        <v/>
      </c>
    </row>
    <row r="18">
      <c r="A18" s="19" t="n">
        <v>50</v>
      </c>
      <c r="B18" s="20">
        <f>IFERROR(INDEX(Sheet1!I:I,MATCH(A18,Sheet1!A:A,0)),"")</f>
        <v/>
      </c>
      <c r="C18" s="21">
        <f>IFERROR(INDEX(Sheet3!D:D,MATCH(A18,Sheet3!A:A,0)),"")</f>
        <v/>
      </c>
      <c r="D18" s="22">
        <f>IFERROR(INDEX(Sheet3!G:G,MATCH(A18,Sheet3!A:A,0)),"")</f>
        <v/>
      </c>
      <c r="E18" s="23">
        <f>IFERROR(INDEX(Sheet3!H:H,MATCH(A18,Sheet3!A:A,0)),"")</f>
        <v/>
      </c>
    </row>
    <row r="19">
      <c r="A19" s="19" t="n">
        <v>51</v>
      </c>
      <c r="B19" s="20">
        <f>IFERROR(INDEX(Sheet1!I:I,MATCH(A19,Sheet1!A:A,0)),"")</f>
        <v/>
      </c>
      <c r="C19" s="21">
        <f>IFERROR(INDEX(Sheet3!D:D,MATCH(A19,Sheet3!A:A,0)),"")</f>
        <v/>
      </c>
      <c r="D19" s="22">
        <f>IFERROR(INDEX(Sheet3!G:G,MATCH(A19,Sheet3!A:A,0)),"")</f>
        <v/>
      </c>
      <c r="E19" s="23">
        <f>IFERROR(INDEX(Sheet3!H:H,MATCH(A19,Sheet3!A:A,0)),"")</f>
        <v/>
      </c>
    </row>
    <row r="20">
      <c r="A20" s="19" t="n">
        <v>52</v>
      </c>
      <c r="B20" s="20">
        <f>IFERROR(INDEX(Sheet1!I:I,MATCH(A20,Sheet1!A:A,0)),"")</f>
        <v/>
      </c>
      <c r="C20" s="21">
        <f>IFERROR(INDEX(Sheet3!D:D,MATCH(A20,Sheet3!A:A,0)),"")</f>
        <v/>
      </c>
      <c r="D20" s="22">
        <f>IFERROR(INDEX(Sheet3!G:G,MATCH(A20,Sheet3!A:A,0)),"")</f>
        <v/>
      </c>
      <c r="E20" s="23">
        <f>IFERROR(INDEX(Sheet3!H:H,MATCH(A20,Sheet3!A:A,0)),"")</f>
        <v/>
      </c>
    </row>
    <row r="21">
      <c r="A21" s="19" t="n">
        <v>53</v>
      </c>
      <c r="B21" s="20">
        <f>IFERROR(INDEX(Sheet1!I:I,MATCH(A21,Sheet1!A:A,0)),"")</f>
        <v/>
      </c>
      <c r="C21" s="21">
        <f>IFERROR(INDEX(Sheet3!D:D,MATCH(A21,Sheet3!A:A,0)),"")</f>
        <v/>
      </c>
      <c r="D21" s="22">
        <f>IFERROR(INDEX(Sheet3!G:G,MATCH(A21,Sheet3!A:A,0)),"")</f>
        <v/>
      </c>
      <c r="E21" s="23">
        <f>IFERROR(INDEX(Sheet3!H:H,MATCH(A21,Sheet3!A:A,0)),"")</f>
        <v/>
      </c>
    </row>
    <row r="22">
      <c r="A22" s="19" t="n">
        <v>54</v>
      </c>
      <c r="B22" s="20">
        <f>IFERROR(INDEX(Sheet1!I:I,MATCH(A22,Sheet1!A:A,0)),"")</f>
        <v/>
      </c>
      <c r="C22" s="21">
        <f>IFERROR(INDEX(Sheet3!D:D,MATCH(A22,Sheet3!A:A,0)),"")</f>
        <v/>
      </c>
      <c r="D22" s="22">
        <f>IFERROR(INDEX(Sheet3!G:G,MATCH(A22,Sheet3!A:A,0)),"")</f>
        <v/>
      </c>
      <c r="E22" s="23">
        <f>IFERROR(INDEX(Sheet3!H:H,MATCH(A22,Sheet3!A:A,0)),"")</f>
        <v/>
      </c>
    </row>
    <row r="23">
      <c r="A23" s="19" t="n">
        <v>55</v>
      </c>
      <c r="B23" s="20">
        <f>IFERROR(INDEX(Sheet1!I:I,MATCH(A23,Sheet1!A:A,0)),"")</f>
        <v/>
      </c>
      <c r="C23" s="21">
        <f>IFERROR(INDEX(Sheet3!D:D,MATCH(A23,Sheet3!A:A,0)),"")</f>
        <v/>
      </c>
      <c r="D23" s="22">
        <f>IFERROR(INDEX(Sheet3!G:G,MATCH(A23,Sheet3!A:A,0)),"")</f>
        <v/>
      </c>
      <c r="E23" s="23">
        <f>IFERROR(INDEX(Sheet3!H:H,MATCH(A23,Sheet3!A:A,0)),"")</f>
        <v/>
      </c>
    </row>
    <row r="24">
      <c r="A24" s="19" t="n">
        <v>58</v>
      </c>
      <c r="B24" s="20">
        <f>IFERROR(INDEX(Sheet1!I:I,MATCH(A24,Sheet1!A:A,0)),"")</f>
        <v/>
      </c>
      <c r="C24" s="21">
        <f>IFERROR(INDEX(Sheet3!D:D,MATCH(A24,Sheet3!A:A,0)),"")</f>
        <v/>
      </c>
      <c r="D24" s="22">
        <f>IFERROR(INDEX(Sheet3!G:G,MATCH(A24,Sheet3!A:A,0)),"")</f>
        <v/>
      </c>
      <c r="E24" s="23">
        <f>IFERROR(INDEX(Sheet3!H:H,MATCH(A24,Sheet3!A:A,0)),"")</f>
        <v/>
      </c>
    </row>
    <row r="25">
      <c r="A25" s="19" t="n">
        <v>59</v>
      </c>
      <c r="B25" s="20">
        <f>IFERROR(INDEX(Sheet1!I:I,MATCH(A25,Sheet1!A:A,0)),"")</f>
        <v/>
      </c>
      <c r="C25" s="21">
        <f>IFERROR(INDEX(Sheet3!D:D,MATCH(A25,Sheet3!A:A,0)),"")</f>
        <v/>
      </c>
      <c r="D25" s="22">
        <f>IFERROR(INDEX(Sheet3!G:G,MATCH(A25,Sheet3!A:A,0)),"")</f>
        <v/>
      </c>
      <c r="E25" s="23">
        <f>IFERROR(INDEX(Sheet3!H:H,MATCH(A25,Sheet3!A:A,0)),"")</f>
        <v/>
      </c>
    </row>
    <row r="26">
      <c r="A26" s="19" t="n">
        <v>60</v>
      </c>
      <c r="B26" s="20">
        <f>IFERROR(INDEX(Sheet1!I:I,MATCH(A26,Sheet1!A:A,0)),"")</f>
        <v/>
      </c>
      <c r="C26" s="21">
        <f>IFERROR(INDEX(Sheet3!D:D,MATCH(A26,Sheet3!A:A,0)),"")</f>
        <v/>
      </c>
      <c r="D26" s="22">
        <f>IFERROR(INDEX(Sheet3!G:G,MATCH(A26,Sheet3!A:A,0)),"")</f>
        <v/>
      </c>
      <c r="E26" s="23">
        <f>IFERROR(INDEX(Sheet3!H:H,MATCH(A26,Sheet3!A:A,0)),"")</f>
        <v/>
      </c>
    </row>
    <row r="27">
      <c r="A27" s="19" t="n">
        <v>67</v>
      </c>
      <c r="B27" s="20">
        <f>IFERROR(INDEX(Sheet1!I:I,MATCH(A27,Sheet1!A:A,0)),"")</f>
        <v/>
      </c>
      <c r="C27" s="21">
        <f>IFERROR(INDEX(Sheet3!D:D,MATCH(A27,Sheet3!A:A,0)),"")</f>
        <v/>
      </c>
      <c r="D27" s="22">
        <f>IFERROR(INDEX(Sheet3!G:G,MATCH(A27,Sheet3!A:A,0)),"")</f>
        <v/>
      </c>
      <c r="E27" s="23">
        <f>IFERROR(INDEX(Sheet3!H:H,MATCH(A27,Sheet3!A:A,0)),"")</f>
        <v/>
      </c>
    </row>
    <row r="28">
      <c r="A28" s="19" t="n">
        <v>68</v>
      </c>
      <c r="B28" s="20">
        <f>IFERROR(INDEX(Sheet1!I:I,MATCH(A28,Sheet1!A:A,0)),"")</f>
        <v/>
      </c>
      <c r="C28" s="21">
        <f>IFERROR(INDEX(Sheet3!D:D,MATCH(A28,Sheet3!A:A,0)),"")</f>
        <v/>
      </c>
      <c r="D28" s="22">
        <f>IFERROR(INDEX(Sheet3!G:G,MATCH(A28,Sheet3!A:A,0)),"")</f>
        <v/>
      </c>
      <c r="E28" s="23">
        <f>IFERROR(INDEX(Sheet3!H:H,MATCH(A28,Sheet3!A:A,0)),"")</f>
        <v/>
      </c>
    </row>
    <row r="29">
      <c r="A29" s="19" t="n">
        <v>72</v>
      </c>
      <c r="B29" s="20">
        <f>IFERROR(INDEX(Sheet1!I:I,MATCH(A29,Sheet1!A:A,0)),"")</f>
        <v/>
      </c>
      <c r="C29" s="21">
        <f>IFERROR(INDEX(Sheet3!D:D,MATCH(A29,Sheet3!A:A,0)),"")</f>
        <v/>
      </c>
      <c r="D29" s="22">
        <f>IFERROR(INDEX(Sheet3!G:G,MATCH(A29,Sheet3!A:A,0)),"")</f>
        <v/>
      </c>
      <c r="E29" s="23">
        <f>IFERROR(INDEX(Sheet3!H:H,MATCH(A29,Sheet3!A:A,0)),"")</f>
        <v/>
      </c>
    </row>
    <row r="30">
      <c r="A30" s="19" t="n">
        <v>74</v>
      </c>
      <c r="B30" s="20">
        <f>IFERROR(INDEX(Sheet1!I:I,MATCH(A30,Sheet1!A:A,0)),"")</f>
        <v/>
      </c>
      <c r="C30" s="21">
        <f>IFERROR(INDEX(Sheet3!D:D,MATCH(A30,Sheet3!A:A,0)),"")</f>
        <v/>
      </c>
      <c r="D30" s="22">
        <f>IFERROR(INDEX(Sheet3!G:G,MATCH(A30,Sheet3!A:A,0)),"")</f>
        <v/>
      </c>
      <c r="E30" s="23">
        <f>IFERROR(INDEX(Sheet3!H:H,MATCH(A30,Sheet3!A:A,0)),"")</f>
        <v/>
      </c>
    </row>
    <row r="31">
      <c r="A31" s="19" t="n">
        <v>75</v>
      </c>
      <c r="B31" s="20">
        <f>IFERROR(INDEX(Sheet1!I:I,MATCH(A31,Sheet1!A:A,0)),"")</f>
        <v/>
      </c>
      <c r="C31" s="21">
        <f>IFERROR(INDEX(Sheet3!D:D,MATCH(A31,Sheet3!A:A,0)),"")</f>
        <v/>
      </c>
      <c r="D31" s="22">
        <f>IFERROR(INDEX(Sheet3!G:G,MATCH(A31,Sheet3!A:A,0)),"")</f>
        <v/>
      </c>
      <c r="E31" s="23">
        <f>IFERROR(INDEX(Sheet3!H:H,MATCH(A31,Sheet3!A:A,0)),"")</f>
        <v/>
      </c>
    </row>
    <row r="32">
      <c r="A32" s="19" t="n">
        <v>76</v>
      </c>
      <c r="B32" s="20">
        <f>IFERROR(INDEX(Sheet1!I:I,MATCH(A32,Sheet1!A:A,0)),"")</f>
        <v/>
      </c>
      <c r="C32" s="21">
        <f>IFERROR(INDEX(Sheet3!D:D,MATCH(A32,Sheet3!A:A,0)),"")</f>
        <v/>
      </c>
      <c r="D32" s="22">
        <f>IFERROR(INDEX(Sheet3!G:G,MATCH(A32,Sheet3!A:A,0)),"")</f>
        <v/>
      </c>
      <c r="E32" s="23">
        <f>IFERROR(INDEX(Sheet3!H:H,MATCH(A32,Sheet3!A:A,0)),"")</f>
        <v/>
      </c>
    </row>
    <row r="33">
      <c r="A33" s="19" t="n">
        <v>77</v>
      </c>
      <c r="B33" s="20">
        <f>IFERROR(INDEX(Sheet1!I:I,MATCH(A33,Sheet1!A:A,0)),"")</f>
        <v/>
      </c>
      <c r="C33" s="21">
        <f>IFERROR(INDEX(Sheet3!D:D,MATCH(A33,Sheet3!A:A,0)),"")</f>
        <v/>
      </c>
      <c r="D33" s="22">
        <f>IFERROR(INDEX(Sheet3!G:G,MATCH(A33,Sheet3!A:A,0)),"")</f>
        <v/>
      </c>
      <c r="E33" s="23">
        <f>IFERROR(INDEX(Sheet3!H:H,MATCH(A33,Sheet3!A:A,0)),"")</f>
        <v/>
      </c>
    </row>
    <row r="34">
      <c r="A34" s="19" t="n">
        <v>78</v>
      </c>
      <c r="B34" s="20">
        <f>IFERROR(INDEX(Sheet1!I:I,MATCH(A34,Sheet1!A:A,0)),"")</f>
        <v/>
      </c>
      <c r="C34" s="21">
        <f>IFERROR(INDEX(Sheet3!D:D,MATCH(A34,Sheet3!A:A,0)),"")</f>
        <v/>
      </c>
      <c r="D34" s="22">
        <f>IFERROR(INDEX(Sheet3!G:G,MATCH(A34,Sheet3!A:A,0)),"")</f>
        <v/>
      </c>
      <c r="E34" s="23">
        <f>IFERROR(INDEX(Sheet3!H:H,MATCH(A34,Sheet3!A:A,0)),"")</f>
        <v/>
      </c>
    </row>
    <row r="35">
      <c r="A35" s="19" t="n">
        <v>79</v>
      </c>
      <c r="B35" s="20">
        <f>IFERROR(INDEX(Sheet1!I:I,MATCH(A35,Sheet1!A:A,0)),"")</f>
        <v/>
      </c>
      <c r="C35" s="21">
        <f>IFERROR(INDEX(Sheet3!D:D,MATCH(A35,Sheet3!A:A,0)),"")</f>
        <v/>
      </c>
      <c r="D35" s="22">
        <f>IFERROR(INDEX(Sheet3!G:G,MATCH(A35,Sheet3!A:A,0)),"")</f>
        <v/>
      </c>
      <c r="E35" s="23">
        <f>IFERROR(INDEX(Sheet3!H:H,MATCH(A35,Sheet3!A:A,0)),"")</f>
        <v/>
      </c>
    </row>
    <row r="36">
      <c r="A36" s="19" t="n">
        <v>80</v>
      </c>
      <c r="B36" s="20">
        <f>IFERROR(INDEX(Sheet1!I:I,MATCH(A36,Sheet1!A:A,0)),"")</f>
        <v/>
      </c>
      <c r="C36" s="21">
        <f>IFERROR(INDEX(Sheet3!D:D,MATCH(A36,Sheet3!A:A,0)),"")</f>
        <v/>
      </c>
      <c r="D36" s="22">
        <f>IFERROR(INDEX(Sheet3!G:G,MATCH(A36,Sheet3!A:A,0)),"")</f>
        <v/>
      </c>
      <c r="E36" s="23">
        <f>IFERROR(INDEX(Sheet3!H:H,MATCH(A36,Sheet3!A:A,0)),"")</f>
        <v/>
      </c>
    </row>
    <row r="37">
      <c r="A37" s="19" t="n">
        <v>81</v>
      </c>
      <c r="B37" s="20">
        <f>IFERROR(INDEX(Sheet1!I:I,MATCH(A37,Sheet1!A:A,0)),"")</f>
        <v/>
      </c>
      <c r="C37" s="21">
        <f>IFERROR(INDEX(Sheet3!D:D,MATCH(A37,Sheet3!A:A,0)),"")</f>
        <v/>
      </c>
      <c r="D37" s="22">
        <f>IFERROR(INDEX(Sheet3!G:G,MATCH(A37,Sheet3!A:A,0)),"")</f>
        <v/>
      </c>
      <c r="E37" s="23">
        <f>IFERROR(INDEX(Sheet3!H:H,MATCH(A37,Sheet3!A:A,0)),"")</f>
        <v/>
      </c>
    </row>
    <row r="38">
      <c r="A38" s="19" t="n">
        <v>82</v>
      </c>
      <c r="B38" s="20">
        <f>IFERROR(INDEX(Sheet1!I:I,MATCH(A38,Sheet1!A:A,0)),"")</f>
        <v/>
      </c>
      <c r="C38" s="21">
        <f>IFERROR(INDEX(Sheet3!D:D,MATCH(A38,Sheet3!A:A,0)),"")</f>
        <v/>
      </c>
      <c r="D38" s="22">
        <f>IFERROR(INDEX(Sheet3!G:G,MATCH(A38,Sheet3!A:A,0)),"")</f>
        <v/>
      </c>
      <c r="E38" s="23">
        <f>IFERROR(INDEX(Sheet3!H:H,MATCH(A38,Sheet3!A:A,0)),"")</f>
        <v/>
      </c>
    </row>
    <row r="39">
      <c r="A39" s="19" t="n">
        <v>83</v>
      </c>
      <c r="B39" s="20">
        <f>IFERROR(INDEX(Sheet1!I:I,MATCH(A39,Sheet1!A:A,0)),"")</f>
        <v/>
      </c>
      <c r="C39" s="21">
        <f>IFERROR(INDEX(Sheet3!D:D,MATCH(A39,Sheet3!A:A,0)),"")</f>
        <v/>
      </c>
      <c r="D39" s="22">
        <f>IFERROR(INDEX(Sheet3!G:G,MATCH(A39,Sheet3!A:A,0)),"")</f>
        <v/>
      </c>
      <c r="E39" s="23">
        <f>IFERROR(INDEX(Sheet3!H:H,MATCH(A39,Sheet3!A:A,0)),"")</f>
        <v/>
      </c>
    </row>
    <row r="40">
      <c r="A40" s="19" t="n">
        <v>85</v>
      </c>
      <c r="B40" s="20">
        <f>IFERROR(INDEX(Sheet1!I:I,MATCH(A40,Sheet1!A:A,0)),"")</f>
        <v/>
      </c>
      <c r="C40" s="21">
        <f>IFERROR(INDEX(Sheet3!D:D,MATCH(A40,Sheet3!A:A,0)),"")</f>
        <v/>
      </c>
      <c r="D40" s="22">
        <f>IFERROR(INDEX(Sheet3!G:G,MATCH(A40,Sheet3!A:A,0)),"")</f>
        <v/>
      </c>
      <c r="E40" s="23">
        <f>IFERROR(INDEX(Sheet3!H:H,MATCH(A40,Sheet3!A:A,0)),"")</f>
        <v/>
      </c>
    </row>
    <row r="41">
      <c r="A41" s="19" t="n">
        <v>89</v>
      </c>
      <c r="B41" s="20">
        <f>IFERROR(INDEX(Sheet1!I:I,MATCH(A41,Sheet1!A:A,0)),"")</f>
        <v/>
      </c>
      <c r="C41" s="21">
        <f>IFERROR(INDEX(Sheet3!D:D,MATCH(A41,Sheet3!A:A,0)),"")</f>
        <v/>
      </c>
      <c r="D41" s="22">
        <f>IFERROR(INDEX(Sheet3!G:G,MATCH(A41,Sheet3!A:A,0)),"")</f>
        <v/>
      </c>
      <c r="E41" s="23">
        <f>IFERROR(INDEX(Sheet3!H:H,MATCH(A41,Sheet3!A:A,0)),"")</f>
        <v/>
      </c>
    </row>
    <row r="42">
      <c r="A42" s="19" t="n">
        <v>90</v>
      </c>
      <c r="B42" s="20">
        <f>IFERROR(INDEX(Sheet1!I:I,MATCH(A42,Sheet1!A:A,0)),"")</f>
        <v/>
      </c>
      <c r="C42" s="21">
        <f>IFERROR(INDEX(Sheet3!D:D,MATCH(A42,Sheet3!A:A,0)),"")</f>
        <v/>
      </c>
      <c r="D42" s="22">
        <f>IFERROR(INDEX(Sheet3!G:G,MATCH(A42,Sheet3!A:A,0)),"")</f>
        <v/>
      </c>
      <c r="E42" s="23">
        <f>IFERROR(INDEX(Sheet3!H:H,MATCH(A42,Sheet3!A:A,0)),"")</f>
        <v/>
      </c>
    </row>
    <row r="43">
      <c r="A43" s="19" t="n">
        <v>91</v>
      </c>
      <c r="B43" s="20">
        <f>IFERROR(INDEX(Sheet1!I:I,MATCH(A43,Sheet1!A:A,0)),"")</f>
        <v/>
      </c>
      <c r="C43" s="21">
        <f>IFERROR(INDEX(Sheet3!D:D,MATCH(A43,Sheet3!A:A,0)),"")</f>
        <v/>
      </c>
      <c r="D43" s="22">
        <f>IFERROR(INDEX(Sheet3!G:G,MATCH(A43,Sheet3!A:A,0)),"")</f>
        <v/>
      </c>
      <c r="E43" s="23">
        <f>IFERROR(INDEX(Sheet3!H:H,MATCH(A43,Sheet3!A:A,0)),"")</f>
        <v/>
      </c>
    </row>
    <row r="44">
      <c r="A44" s="19" t="n">
        <v>93</v>
      </c>
      <c r="B44" s="20">
        <f>IFERROR(INDEX(Sheet1!I:I,MATCH(A44,Sheet1!A:A,0)),"")</f>
        <v/>
      </c>
      <c r="C44" s="21">
        <f>IFERROR(INDEX(Sheet3!D:D,MATCH(A44,Sheet3!A:A,0)),"")</f>
        <v/>
      </c>
      <c r="D44" s="22">
        <f>IFERROR(INDEX(Sheet3!G:G,MATCH(A44,Sheet3!A:A,0)),"")</f>
        <v/>
      </c>
      <c r="E44" s="23">
        <f>IFERROR(INDEX(Sheet3!H:H,MATCH(A44,Sheet3!A:A,0)),"")</f>
        <v/>
      </c>
    </row>
    <row r="45">
      <c r="A45" s="19" t="n">
        <v>95</v>
      </c>
      <c r="B45" s="20">
        <f>IFERROR(INDEX(Sheet1!I:I,MATCH(A45,Sheet1!A:A,0)),"")</f>
        <v/>
      </c>
      <c r="C45" s="21">
        <f>IFERROR(INDEX(Sheet3!D:D,MATCH(A45,Sheet3!A:A,0)),"")</f>
        <v/>
      </c>
      <c r="D45" s="22">
        <f>IFERROR(INDEX(Sheet3!G:G,MATCH(A45,Sheet3!A:A,0)),"")</f>
        <v/>
      </c>
      <c r="E45" s="23">
        <f>IFERROR(INDEX(Sheet3!H:H,MATCH(A45,Sheet3!A:A,0)),"")</f>
        <v/>
      </c>
    </row>
    <row r="46">
      <c r="A46" s="19" t="n">
        <v>97</v>
      </c>
      <c r="B46" s="20">
        <f>IFERROR(INDEX(Sheet1!I:I,MATCH(A46,Sheet1!A:A,0)),"")</f>
        <v/>
      </c>
      <c r="C46" s="21">
        <f>IFERROR(INDEX(Sheet3!D:D,MATCH(A46,Sheet3!A:A,0)),"")</f>
        <v/>
      </c>
      <c r="D46" s="22">
        <f>IFERROR(INDEX(Sheet3!G:G,MATCH(A46,Sheet3!A:A,0)),"")</f>
        <v/>
      </c>
      <c r="E46" s="23">
        <f>IFERROR(INDEX(Sheet3!H:H,MATCH(A46,Sheet3!A:A,0)),"")</f>
        <v/>
      </c>
    </row>
    <row r="47">
      <c r="A47" s="19" t="n">
        <v>100</v>
      </c>
      <c r="B47" s="20">
        <f>IFERROR(INDEX(Sheet1!I:I,MATCH(A47,Sheet1!A:A,0)),"")</f>
        <v/>
      </c>
      <c r="C47" s="21">
        <f>IFERROR(INDEX(Sheet3!D:D,MATCH(A47,Sheet3!A:A,0)),"")</f>
        <v/>
      </c>
      <c r="D47" s="22">
        <f>IFERROR(INDEX(Sheet3!G:G,MATCH(A47,Sheet3!A:A,0)),"")</f>
        <v/>
      </c>
      <c r="E47" s="23">
        <f>IFERROR(INDEX(Sheet3!H:H,MATCH(A47,Sheet3!A:A,0)),"")</f>
        <v/>
      </c>
    </row>
    <row r="48">
      <c r="A48" s="19" t="n">
        <v>101</v>
      </c>
      <c r="B48" s="20">
        <f>IFERROR(INDEX(Sheet1!I:I,MATCH(A48,Sheet1!A:A,0)),"")</f>
        <v/>
      </c>
      <c r="C48" s="21">
        <f>IFERROR(INDEX(Sheet3!D:D,MATCH(A48,Sheet3!A:A,0)),"")</f>
        <v/>
      </c>
      <c r="D48" s="22">
        <f>IFERROR(INDEX(Sheet3!G:G,MATCH(A48,Sheet3!A:A,0)),"")</f>
        <v/>
      </c>
      <c r="E48" s="23">
        <f>IFERROR(INDEX(Sheet3!H:H,MATCH(A48,Sheet3!A:A,0)),"")</f>
        <v/>
      </c>
    </row>
    <row r="49">
      <c r="A49" s="19" t="n">
        <v>107</v>
      </c>
      <c r="B49" s="20">
        <f>IFERROR(INDEX(Sheet1!I:I,MATCH(A49,Sheet1!A:A,0)),"")</f>
        <v/>
      </c>
      <c r="C49" s="21">
        <f>IFERROR(INDEX(Sheet3!D:D,MATCH(A49,Sheet3!A:A,0)),"")</f>
        <v/>
      </c>
      <c r="D49" s="22">
        <f>IFERROR(INDEX(Sheet3!G:G,MATCH(A49,Sheet3!A:A,0)),"")</f>
        <v/>
      </c>
      <c r="E49" s="23">
        <f>IFERROR(INDEX(Sheet3!H:H,MATCH(A49,Sheet3!A:A,0)),"")</f>
        <v/>
      </c>
    </row>
    <row r="50">
      <c r="A50" s="19" t="n">
        <v>109</v>
      </c>
      <c r="B50" s="20">
        <f>IFERROR(INDEX(Sheet1!I:I,MATCH(A50,Sheet1!A:A,0)),"")</f>
        <v/>
      </c>
      <c r="C50" s="21">
        <f>IFERROR(INDEX(Sheet3!D:D,MATCH(A50,Sheet3!A:A,0)),"")</f>
        <v/>
      </c>
      <c r="D50" s="22">
        <f>IFERROR(INDEX(Sheet3!G:G,MATCH(A50,Sheet3!A:A,0)),"")</f>
        <v/>
      </c>
      <c r="E50" s="23">
        <f>IFERROR(INDEX(Sheet3!H:H,MATCH(A50,Sheet3!A:A,0)),"")</f>
        <v/>
      </c>
    </row>
    <row r="51">
      <c r="A51" s="19" t="n">
        <v>110</v>
      </c>
      <c r="B51" s="20">
        <f>IFERROR(INDEX(Sheet1!I:I,MATCH(A51,Sheet1!A:A,0)),"")</f>
        <v/>
      </c>
      <c r="C51" s="21">
        <f>IFERROR(INDEX(Sheet3!D:D,MATCH(A51,Sheet3!A:A,0)),"")</f>
        <v/>
      </c>
      <c r="D51" s="22">
        <f>IFERROR(INDEX(Sheet3!G:G,MATCH(A51,Sheet3!A:A,0)),"")</f>
        <v/>
      </c>
      <c r="E51" s="23">
        <f>IFERROR(INDEX(Sheet3!H:H,MATCH(A51,Sheet3!A:A,0)),"")</f>
        <v/>
      </c>
    </row>
    <row r="52">
      <c r="A52" s="19" t="n">
        <v>112</v>
      </c>
      <c r="B52" s="20">
        <f>IFERROR(INDEX(Sheet1!I:I,MATCH(A52,Sheet1!A:A,0)),"")</f>
        <v/>
      </c>
      <c r="C52" s="21">
        <f>IFERROR(INDEX(Sheet3!D:D,MATCH(A52,Sheet3!A:A,0)),"")</f>
        <v/>
      </c>
      <c r="D52" s="22">
        <f>IFERROR(INDEX(Sheet3!G:G,MATCH(A52,Sheet3!A:A,0)),"")</f>
        <v/>
      </c>
      <c r="E52" s="23">
        <f>IFERROR(INDEX(Sheet3!H:H,MATCH(A52,Sheet3!A:A,0)),"")</f>
        <v/>
      </c>
    </row>
    <row r="53">
      <c r="A53" s="19" t="n">
        <v>115</v>
      </c>
      <c r="B53" s="20">
        <f>IFERROR(INDEX(Sheet1!I:I,MATCH(A53,Sheet1!A:A,0)),"")</f>
        <v/>
      </c>
      <c r="C53" s="21">
        <f>IFERROR(INDEX(Sheet3!D:D,MATCH(A53,Sheet3!A:A,0)),"")</f>
        <v/>
      </c>
      <c r="D53" s="22">
        <f>IFERROR(INDEX(Sheet3!G:G,MATCH(A53,Sheet3!A:A,0)),"")</f>
        <v/>
      </c>
      <c r="E53" s="23">
        <f>IFERROR(INDEX(Sheet3!H:H,MATCH(A53,Sheet3!A:A,0)),"")</f>
        <v/>
      </c>
    </row>
    <row r="54">
      <c r="A54" s="19" t="n">
        <v>117</v>
      </c>
      <c r="B54" s="20">
        <f>IFERROR(INDEX(Sheet1!I:I,MATCH(A54,Sheet1!A:A,0)),"")</f>
        <v/>
      </c>
      <c r="C54" s="21">
        <f>IFERROR(INDEX(Sheet3!D:D,MATCH(A54,Sheet3!A:A,0)),"")</f>
        <v/>
      </c>
      <c r="D54" s="22">
        <f>IFERROR(INDEX(Sheet3!G:G,MATCH(A54,Sheet3!A:A,0)),"")</f>
        <v/>
      </c>
      <c r="E54" s="23">
        <f>IFERROR(INDEX(Sheet3!H:H,MATCH(A54,Sheet3!A:A,0)),"")</f>
        <v/>
      </c>
    </row>
    <row r="55">
      <c r="A55" s="19" t="n">
        <v>118</v>
      </c>
      <c r="B55" s="20">
        <f>IFERROR(INDEX(Sheet1!I:I,MATCH(A55,Sheet1!A:A,0)),"")</f>
        <v/>
      </c>
      <c r="C55" s="21">
        <f>IFERROR(INDEX(Sheet3!D:D,MATCH(A55,Sheet3!A:A,0)),"")</f>
        <v/>
      </c>
      <c r="D55" s="22">
        <f>IFERROR(INDEX(Sheet3!G:G,MATCH(A55,Sheet3!A:A,0)),"")</f>
        <v/>
      </c>
      <c r="E55" s="23">
        <f>IFERROR(INDEX(Sheet3!H:H,MATCH(A55,Sheet3!A:A,0)),"")</f>
        <v/>
      </c>
    </row>
    <row r="56">
      <c r="A56" s="19" t="n">
        <v>119</v>
      </c>
      <c r="B56" s="20">
        <f>IFERROR(INDEX(Sheet1!I:I,MATCH(A56,Sheet1!A:A,0)),"")</f>
        <v/>
      </c>
      <c r="C56" s="21">
        <f>IFERROR(INDEX(Sheet3!D:D,MATCH(A56,Sheet3!A:A,0)),"")</f>
        <v/>
      </c>
      <c r="D56" s="22">
        <f>IFERROR(INDEX(Sheet3!G:G,MATCH(A56,Sheet3!A:A,0)),"")</f>
        <v/>
      </c>
      <c r="E56" s="23">
        <f>IFERROR(INDEX(Sheet3!H:H,MATCH(A56,Sheet3!A:A,0)),"")</f>
        <v/>
      </c>
    </row>
    <row r="57">
      <c r="A57" s="19" t="n">
        <v>120</v>
      </c>
      <c r="B57" s="20">
        <f>IFERROR(INDEX(Sheet1!I:I,MATCH(A57,Sheet1!A:A,0)),"")</f>
        <v/>
      </c>
      <c r="C57" s="21">
        <f>IFERROR(INDEX(Sheet3!D:D,MATCH(A57,Sheet3!A:A,0)),"")</f>
        <v/>
      </c>
      <c r="D57" s="22">
        <f>IFERROR(INDEX(Sheet3!G:G,MATCH(A57,Sheet3!A:A,0)),"")</f>
        <v/>
      </c>
      <c r="E57" s="23">
        <f>IFERROR(INDEX(Sheet3!H:H,MATCH(A57,Sheet3!A:A,0)),"")</f>
        <v/>
      </c>
    </row>
    <row r="58">
      <c r="A58" s="19" t="n">
        <v>122</v>
      </c>
      <c r="B58" s="20">
        <f>IFERROR(INDEX(Sheet1!I:I,MATCH(A58,Sheet1!A:A,0)),"")</f>
        <v/>
      </c>
      <c r="C58" s="21">
        <f>IFERROR(INDEX(Sheet3!D:D,MATCH(A58,Sheet3!A:A,0)),"")</f>
        <v/>
      </c>
      <c r="D58" s="22">
        <f>IFERROR(INDEX(Sheet3!G:G,MATCH(A58,Sheet3!A:A,0)),"")</f>
        <v/>
      </c>
      <c r="E58" s="23">
        <f>IFERROR(INDEX(Sheet3!H:H,MATCH(A58,Sheet3!A:A,0)),"")</f>
        <v/>
      </c>
    </row>
    <row r="59">
      <c r="A59" s="19" t="n">
        <v>124</v>
      </c>
      <c r="B59" s="20">
        <f>IFERROR(INDEX(Sheet1!I:I,MATCH(A59,Sheet1!A:A,0)),"")</f>
        <v/>
      </c>
      <c r="C59" s="21">
        <f>IFERROR(INDEX(Sheet3!D:D,MATCH(A59,Sheet3!A:A,0)),"")</f>
        <v/>
      </c>
      <c r="D59" s="22">
        <f>IFERROR(INDEX(Sheet3!G:G,MATCH(A59,Sheet3!A:A,0)),"")</f>
        <v/>
      </c>
      <c r="E59" s="23">
        <f>IFERROR(INDEX(Sheet3!H:H,MATCH(A59,Sheet3!A:A,0)),"")</f>
        <v/>
      </c>
    </row>
    <row r="60">
      <c r="A60" s="19" t="n">
        <v>130</v>
      </c>
      <c r="B60" s="20">
        <f>IFERROR(INDEX(Sheet1!I:I,MATCH(A60,Sheet1!A:A,0)),"")</f>
        <v/>
      </c>
      <c r="C60" s="21">
        <f>IFERROR(INDEX(Sheet3!D:D,MATCH(A60,Sheet3!A:A,0)),"")</f>
        <v/>
      </c>
      <c r="D60" s="22">
        <f>IFERROR(INDEX(Sheet3!G:G,MATCH(A60,Sheet3!A:A,0)),"")</f>
        <v/>
      </c>
      <c r="E60" s="23">
        <f>IFERROR(INDEX(Sheet3!H:H,MATCH(A60,Sheet3!A:A,0)),"")</f>
        <v/>
      </c>
    </row>
    <row r="61">
      <c r="A61" s="19" t="n">
        <v>132</v>
      </c>
      <c r="B61" s="20">
        <f>IFERROR(INDEX(Sheet1!I:I,MATCH(A61,Sheet1!A:A,0)),"")</f>
        <v/>
      </c>
      <c r="C61" s="21">
        <f>IFERROR(INDEX(Sheet3!D:D,MATCH(A61,Sheet3!A:A,0)),"")</f>
        <v/>
      </c>
      <c r="D61" s="22">
        <f>IFERROR(INDEX(Sheet3!G:G,MATCH(A61,Sheet3!A:A,0)),"")</f>
        <v/>
      </c>
      <c r="E61" s="23">
        <f>IFERROR(INDEX(Sheet3!H:H,MATCH(A61,Sheet3!A:A,0)),"")</f>
        <v/>
      </c>
    </row>
    <row r="62">
      <c r="A62" s="19" t="n">
        <v>133</v>
      </c>
      <c r="B62" s="20">
        <f>IFERROR(INDEX(Sheet1!I:I,MATCH(A62,Sheet1!A:A,0)),"")</f>
        <v/>
      </c>
      <c r="C62" s="21">
        <f>IFERROR(INDEX(Sheet3!D:D,MATCH(A62,Sheet3!A:A,0)),"")</f>
        <v/>
      </c>
      <c r="D62" s="22">
        <f>IFERROR(INDEX(Sheet3!G:G,MATCH(A62,Sheet3!A:A,0)),"")</f>
        <v/>
      </c>
      <c r="E62" s="23">
        <f>IFERROR(INDEX(Sheet3!H:H,MATCH(A62,Sheet3!A:A,0)),"")</f>
        <v/>
      </c>
    </row>
    <row r="63">
      <c r="A63" s="19" t="n">
        <v>135</v>
      </c>
      <c r="B63" s="20">
        <f>IFERROR(INDEX(Sheet1!I:I,MATCH(A63,Sheet1!A:A,0)),"")</f>
        <v/>
      </c>
      <c r="C63" s="21">
        <f>IFERROR(INDEX(Sheet3!D:D,MATCH(A63,Sheet3!A:A,0)),"")</f>
        <v/>
      </c>
      <c r="D63" s="22">
        <f>IFERROR(INDEX(Sheet3!G:G,MATCH(A63,Sheet3!A:A,0)),"")</f>
        <v/>
      </c>
      <c r="E63" s="23">
        <f>IFERROR(INDEX(Sheet3!H:H,MATCH(A63,Sheet3!A:A,0)),"")</f>
        <v/>
      </c>
    </row>
    <row r="64">
      <c r="A64" s="19" t="n">
        <v>136</v>
      </c>
      <c r="B64" s="20">
        <f>IFERROR(INDEX(Sheet1!I:I,MATCH(A64,Sheet1!A:A,0)),"")</f>
        <v/>
      </c>
      <c r="C64" s="21">
        <f>IFERROR(INDEX(Sheet3!D:D,MATCH(A64,Sheet3!A:A,0)),"")</f>
        <v/>
      </c>
      <c r="D64" s="22">
        <f>IFERROR(INDEX(Sheet3!G:G,MATCH(A64,Sheet3!A:A,0)),"")</f>
        <v/>
      </c>
      <c r="E64" s="23">
        <f>IFERROR(INDEX(Sheet3!H:H,MATCH(A64,Sheet3!A:A,0)),"")</f>
        <v/>
      </c>
    </row>
    <row r="65">
      <c r="A65" s="19" t="n">
        <v>140</v>
      </c>
      <c r="B65" s="20">
        <f>IFERROR(INDEX(Sheet1!I:I,MATCH(A65,Sheet1!A:A,0)),"")</f>
        <v/>
      </c>
      <c r="C65" s="21">
        <f>IFERROR(INDEX(Sheet3!D:D,MATCH(A65,Sheet3!A:A,0)),"")</f>
        <v/>
      </c>
      <c r="D65" s="22">
        <f>IFERROR(INDEX(Sheet3!G:G,MATCH(A65,Sheet3!A:A,0)),"")</f>
        <v/>
      </c>
      <c r="E65" s="23">
        <f>IFERROR(INDEX(Sheet3!H:H,MATCH(A65,Sheet3!A:A,0)),"")</f>
        <v/>
      </c>
    </row>
    <row r="66">
      <c r="A66" s="19" t="n">
        <v>141</v>
      </c>
      <c r="B66" s="20">
        <f>IFERROR(INDEX(Sheet1!I:I,MATCH(A66,Sheet1!A:A,0)),"")</f>
        <v/>
      </c>
      <c r="C66" s="21">
        <f>IFERROR(INDEX(Sheet3!D:D,MATCH(A66,Sheet3!A:A,0)),"")</f>
        <v/>
      </c>
      <c r="D66" s="22">
        <f>IFERROR(INDEX(Sheet3!G:G,MATCH(A66,Sheet3!A:A,0)),"")</f>
        <v/>
      </c>
      <c r="E66" s="23">
        <f>IFERROR(INDEX(Sheet3!H:H,MATCH(A66,Sheet3!A:A,0)),"")</f>
        <v/>
      </c>
    </row>
    <row r="67">
      <c r="A67" s="19" t="n">
        <v>142</v>
      </c>
      <c r="B67" s="20">
        <f>IFERROR(INDEX(Sheet1!I:I,MATCH(A67,Sheet1!A:A,0)),"")</f>
        <v/>
      </c>
      <c r="C67" s="21">
        <f>IFERROR(INDEX(Sheet3!D:D,MATCH(A67,Sheet3!A:A,0)),"")</f>
        <v/>
      </c>
      <c r="D67" s="22">
        <f>IFERROR(INDEX(Sheet3!G:G,MATCH(A67,Sheet3!A:A,0)),"")</f>
        <v/>
      </c>
      <c r="E67" s="23">
        <f>IFERROR(INDEX(Sheet3!H:H,MATCH(A67,Sheet3!A:A,0)),"")</f>
        <v/>
      </c>
    </row>
    <row r="68">
      <c r="A68" s="19" t="n">
        <v>143</v>
      </c>
      <c r="B68" s="20">
        <f>IFERROR(INDEX(Sheet1!I:I,MATCH(A68,Sheet1!A:A,0)),"")</f>
        <v/>
      </c>
      <c r="C68" s="21">
        <f>IFERROR(INDEX(Sheet3!D:D,MATCH(A68,Sheet3!A:A,0)),"")</f>
        <v/>
      </c>
      <c r="D68" s="22">
        <f>IFERROR(INDEX(Sheet3!G:G,MATCH(A68,Sheet3!A:A,0)),"")</f>
        <v/>
      </c>
      <c r="E68" s="23">
        <f>IFERROR(INDEX(Sheet3!H:H,MATCH(A68,Sheet3!A:A,0)),"")</f>
        <v/>
      </c>
    </row>
    <row r="69">
      <c r="A69" s="19" t="n">
        <v>144</v>
      </c>
      <c r="B69" s="20">
        <f>IFERROR(INDEX(Sheet1!I:I,MATCH(A69,Sheet1!A:A,0)),"")</f>
        <v/>
      </c>
      <c r="C69" s="21">
        <f>IFERROR(INDEX(Sheet3!D:D,MATCH(A69,Sheet3!A:A,0)),"")</f>
        <v/>
      </c>
      <c r="D69" s="22">
        <f>IFERROR(INDEX(Sheet3!G:G,MATCH(A69,Sheet3!A:A,0)),"")</f>
        <v/>
      </c>
      <c r="E69" s="23">
        <f>IFERROR(INDEX(Sheet3!H:H,MATCH(A69,Sheet3!A:A,0)),"")</f>
        <v/>
      </c>
    </row>
    <row r="70">
      <c r="A70" s="19" t="n">
        <v>146</v>
      </c>
      <c r="B70" s="20">
        <f>IFERROR(INDEX(Sheet1!I:I,MATCH(A70,Sheet1!A:A,0)),"")</f>
        <v/>
      </c>
      <c r="C70" s="21">
        <f>IFERROR(INDEX(Sheet3!D:D,MATCH(A70,Sheet3!A:A,0)),"")</f>
        <v/>
      </c>
      <c r="D70" s="22">
        <f>IFERROR(INDEX(Sheet3!G:G,MATCH(A70,Sheet3!A:A,0)),"")</f>
        <v/>
      </c>
      <c r="E70" s="23">
        <f>IFERROR(INDEX(Sheet3!H:H,MATCH(A70,Sheet3!A:A,0)),"")</f>
        <v/>
      </c>
    </row>
    <row r="71">
      <c r="A71" s="19" t="n">
        <v>148</v>
      </c>
      <c r="B71" s="20">
        <f>IFERROR(INDEX(Sheet1!I:I,MATCH(A71,Sheet1!A:A,0)),"")</f>
        <v/>
      </c>
      <c r="C71" s="21">
        <f>IFERROR(INDEX(Sheet3!D:D,MATCH(A71,Sheet3!A:A,0)),"")</f>
        <v/>
      </c>
      <c r="D71" s="22">
        <f>IFERROR(INDEX(Sheet3!G:G,MATCH(A71,Sheet3!A:A,0)),"")</f>
        <v/>
      </c>
      <c r="E71" s="23">
        <f>IFERROR(INDEX(Sheet3!H:H,MATCH(A71,Sheet3!A:A,0)),"")</f>
        <v/>
      </c>
    </row>
    <row r="72">
      <c r="A72" s="19" t="n">
        <v>151</v>
      </c>
      <c r="B72" s="20">
        <f>IFERROR(INDEX(Sheet1!I:I,MATCH(A72,Sheet1!A:A,0)),"")</f>
        <v/>
      </c>
      <c r="C72" s="21">
        <f>IFERROR(INDEX(Sheet3!D:D,MATCH(A72,Sheet3!A:A,0)),"")</f>
        <v/>
      </c>
      <c r="D72" s="22">
        <f>IFERROR(INDEX(Sheet3!G:G,MATCH(A72,Sheet3!A:A,0)),"")</f>
        <v/>
      </c>
      <c r="E72" s="23">
        <f>IFERROR(INDEX(Sheet3!H:H,MATCH(A72,Sheet3!A:A,0)),"")</f>
        <v/>
      </c>
    </row>
    <row r="73">
      <c r="A73" s="19" t="n">
        <v>152</v>
      </c>
      <c r="B73" s="20">
        <f>IFERROR(INDEX(Sheet1!I:I,MATCH(A73,Sheet1!A:A,0)),"")</f>
        <v/>
      </c>
      <c r="C73" s="21">
        <f>IFERROR(INDEX(Sheet3!D:D,MATCH(A73,Sheet3!A:A,0)),"")</f>
        <v/>
      </c>
      <c r="D73" s="22">
        <f>IFERROR(INDEX(Sheet3!G:G,MATCH(A73,Sheet3!A:A,0)),"")</f>
        <v/>
      </c>
      <c r="E73" s="23">
        <f>IFERROR(INDEX(Sheet3!H:H,MATCH(A73,Sheet3!A:A,0)),"")</f>
        <v/>
      </c>
    </row>
    <row r="74">
      <c r="A74" s="19" t="n">
        <v>155</v>
      </c>
      <c r="B74" s="20">
        <f>IFERROR(INDEX(Sheet1!I:I,MATCH(A74,Sheet1!A:A,0)),"")</f>
        <v/>
      </c>
      <c r="C74" s="21">
        <f>IFERROR(INDEX(Sheet3!D:D,MATCH(A74,Sheet3!A:A,0)),"")</f>
        <v/>
      </c>
      <c r="D74" s="22">
        <f>IFERROR(INDEX(Sheet3!G:G,MATCH(A74,Sheet3!A:A,0)),"")</f>
        <v/>
      </c>
      <c r="E74" s="23">
        <f>IFERROR(INDEX(Sheet3!H:H,MATCH(A74,Sheet3!A:A,0)),"")</f>
        <v/>
      </c>
    </row>
    <row r="75">
      <c r="A75" s="19" t="n">
        <v>156</v>
      </c>
      <c r="B75" s="20">
        <f>IFERROR(INDEX(Sheet1!I:I,MATCH(A75,Sheet1!A:A,0)),"")</f>
        <v/>
      </c>
      <c r="C75" s="21">
        <f>IFERROR(INDEX(Sheet3!D:D,MATCH(A75,Sheet3!A:A,0)),"")</f>
        <v/>
      </c>
      <c r="D75" s="22">
        <f>IFERROR(INDEX(Sheet3!G:G,MATCH(A75,Sheet3!A:A,0)),"")</f>
        <v/>
      </c>
      <c r="E75" s="23">
        <f>IFERROR(INDEX(Sheet3!H:H,MATCH(A75,Sheet3!A:A,0)),"")</f>
        <v/>
      </c>
    </row>
    <row r="76">
      <c r="A76" s="19" t="n">
        <v>157</v>
      </c>
      <c r="B76" s="20">
        <f>IFERROR(INDEX(Sheet1!I:I,MATCH(A76,Sheet1!A:A,0)),"")</f>
        <v/>
      </c>
      <c r="C76" s="21">
        <f>IFERROR(INDEX(Sheet3!D:D,MATCH(A76,Sheet3!A:A,0)),"")</f>
        <v/>
      </c>
      <c r="D76" s="22">
        <f>IFERROR(INDEX(Sheet3!G:G,MATCH(A76,Sheet3!A:A,0)),"")</f>
        <v/>
      </c>
      <c r="E76" s="23">
        <f>IFERROR(INDEX(Sheet3!H:H,MATCH(A76,Sheet3!A:A,0)),"")</f>
        <v/>
      </c>
    </row>
    <row r="77">
      <c r="A77" s="19" t="n">
        <v>160</v>
      </c>
      <c r="B77" s="20">
        <f>IFERROR(INDEX(Sheet1!I:I,MATCH(A77,Sheet1!A:A,0)),"")</f>
        <v/>
      </c>
      <c r="C77" s="21">
        <f>IFERROR(INDEX(Sheet3!D:D,MATCH(A77,Sheet3!A:A,0)),"")</f>
        <v/>
      </c>
      <c r="D77" s="22">
        <f>IFERROR(INDEX(Sheet3!G:G,MATCH(A77,Sheet3!A:A,0)),"")</f>
        <v/>
      </c>
      <c r="E77" s="23">
        <f>IFERROR(INDEX(Sheet3!H:H,MATCH(A77,Sheet3!A:A,0)),"")</f>
        <v/>
      </c>
    </row>
    <row r="78">
      <c r="A78" s="19" t="n">
        <v>162</v>
      </c>
      <c r="B78" s="20">
        <f>IFERROR(INDEX(Sheet1!I:I,MATCH(A78,Sheet1!A:A,0)),"")</f>
        <v/>
      </c>
      <c r="C78" s="21">
        <f>IFERROR(INDEX(Sheet3!D:D,MATCH(A78,Sheet3!A:A,0)),"")</f>
        <v/>
      </c>
      <c r="D78" s="22">
        <f>IFERROR(INDEX(Sheet3!G:G,MATCH(A78,Sheet3!A:A,0)),"")</f>
        <v/>
      </c>
      <c r="E78" s="23">
        <f>IFERROR(INDEX(Sheet3!H:H,MATCH(A78,Sheet3!A:A,0)),"")</f>
        <v/>
      </c>
    </row>
    <row r="79">
      <c r="A79" s="19" t="n">
        <v>163</v>
      </c>
      <c r="B79" s="20">
        <f>IFERROR(INDEX(Sheet1!I:I,MATCH(A79,Sheet1!A:A,0)),"")</f>
        <v/>
      </c>
      <c r="C79" s="21">
        <f>IFERROR(INDEX(Sheet3!D:D,MATCH(A79,Sheet3!A:A,0)),"")</f>
        <v/>
      </c>
      <c r="D79" s="22">
        <f>IFERROR(INDEX(Sheet3!G:G,MATCH(A79,Sheet3!A:A,0)),"")</f>
        <v/>
      </c>
      <c r="E79" s="23">
        <f>IFERROR(INDEX(Sheet3!H:H,MATCH(A79,Sheet3!A:A,0)),"")</f>
        <v/>
      </c>
    </row>
    <row r="80">
      <c r="A80" s="19" t="n">
        <v>164</v>
      </c>
      <c r="B80" s="20">
        <f>IFERROR(INDEX(Sheet1!I:I,MATCH(A80,Sheet1!A:A,0)),"")</f>
        <v/>
      </c>
      <c r="C80" s="21">
        <f>IFERROR(INDEX(Sheet3!D:D,MATCH(A80,Sheet3!A:A,0)),"")</f>
        <v/>
      </c>
      <c r="D80" s="22">
        <f>IFERROR(INDEX(Sheet3!G:G,MATCH(A80,Sheet3!A:A,0)),"")</f>
        <v/>
      </c>
      <c r="E80" s="23">
        <f>IFERROR(INDEX(Sheet3!H:H,MATCH(A80,Sheet3!A:A,0)),"")</f>
        <v/>
      </c>
    </row>
    <row r="81">
      <c r="A81" s="19" t="n">
        <v>166</v>
      </c>
      <c r="B81" s="20">
        <f>IFERROR(INDEX(Sheet1!I:I,MATCH(A81,Sheet1!A:A,0)),"")</f>
        <v/>
      </c>
      <c r="C81" s="21">
        <f>IFERROR(INDEX(Sheet3!D:D,MATCH(A81,Sheet3!A:A,0)),"")</f>
        <v/>
      </c>
      <c r="D81" s="22">
        <f>IFERROR(INDEX(Sheet3!G:G,MATCH(A81,Sheet3!A:A,0)),"")</f>
        <v/>
      </c>
      <c r="E81" s="23">
        <f>IFERROR(INDEX(Sheet3!H:H,MATCH(A81,Sheet3!A:A,0)),"")</f>
        <v/>
      </c>
    </row>
    <row r="82">
      <c r="A82" s="19" t="n">
        <v>167</v>
      </c>
      <c r="B82" s="20">
        <f>IFERROR(INDEX(Sheet1!I:I,MATCH(A82,Sheet1!A:A,0)),"")</f>
        <v/>
      </c>
      <c r="C82" s="21">
        <f>IFERROR(INDEX(Sheet3!D:D,MATCH(A82,Sheet3!A:A,0)),"")</f>
        <v/>
      </c>
      <c r="D82" s="22">
        <f>IFERROR(INDEX(Sheet3!G:G,MATCH(A82,Sheet3!A:A,0)),"")</f>
        <v/>
      </c>
      <c r="E82" s="23">
        <f>IFERROR(INDEX(Sheet3!H:H,MATCH(A82,Sheet3!A:A,0)),"")</f>
        <v/>
      </c>
    </row>
    <row r="83">
      <c r="A83" s="19" t="n">
        <v>168</v>
      </c>
      <c r="B83" s="20">
        <f>IFERROR(INDEX(Sheet1!I:I,MATCH(A83,Sheet1!A:A,0)),"")</f>
        <v/>
      </c>
      <c r="C83" s="21">
        <f>IFERROR(INDEX(Sheet3!D:D,MATCH(A83,Sheet3!A:A,0)),"")</f>
        <v/>
      </c>
      <c r="D83" s="22">
        <f>IFERROR(INDEX(Sheet3!G:G,MATCH(A83,Sheet3!A:A,0)),"")</f>
        <v/>
      </c>
      <c r="E83" s="23">
        <f>IFERROR(INDEX(Sheet3!H:H,MATCH(A83,Sheet3!A:A,0)),"")</f>
        <v/>
      </c>
    </row>
    <row r="84">
      <c r="A84" s="19" t="n">
        <v>171</v>
      </c>
      <c r="B84" s="20">
        <f>IFERROR(INDEX(Sheet1!I:I,MATCH(A84,Sheet1!A:A,0)),"")</f>
        <v/>
      </c>
      <c r="C84" s="21">
        <f>IFERROR(INDEX(Sheet3!D:D,MATCH(A84,Sheet3!A:A,0)),"")</f>
        <v/>
      </c>
      <c r="D84" s="22">
        <f>IFERROR(INDEX(Sheet3!G:G,MATCH(A84,Sheet3!A:A,0)),"")</f>
        <v/>
      </c>
      <c r="E84" s="23">
        <f>IFERROR(INDEX(Sheet3!H:H,MATCH(A84,Sheet3!A:A,0)),"")</f>
        <v/>
      </c>
    </row>
    <row r="85">
      <c r="A85" s="19" t="n">
        <v>174</v>
      </c>
      <c r="B85" s="20">
        <f>IFERROR(INDEX(Sheet1!I:I,MATCH(A85,Sheet1!A:A,0)),"")</f>
        <v/>
      </c>
      <c r="C85" s="21">
        <f>IFERROR(INDEX(Sheet3!D:D,MATCH(A85,Sheet3!A:A,0)),"")</f>
        <v/>
      </c>
      <c r="D85" s="22">
        <f>IFERROR(INDEX(Sheet3!G:G,MATCH(A85,Sheet3!A:A,0)),"")</f>
        <v/>
      </c>
      <c r="E85" s="23">
        <f>IFERROR(INDEX(Sheet3!H:H,MATCH(A85,Sheet3!A:A,0)),"")</f>
        <v/>
      </c>
    </row>
    <row r="86">
      <c r="A86" s="19" t="n">
        <v>175</v>
      </c>
      <c r="B86" s="20">
        <f>IFERROR(INDEX(Sheet1!I:I,MATCH(A86,Sheet1!A:A,0)),"")</f>
        <v/>
      </c>
      <c r="C86" s="21">
        <f>IFERROR(INDEX(Sheet3!D:D,MATCH(A86,Sheet3!A:A,0)),"")</f>
        <v/>
      </c>
      <c r="D86" s="22">
        <f>IFERROR(INDEX(Sheet3!G:G,MATCH(A86,Sheet3!A:A,0)),"")</f>
        <v/>
      </c>
      <c r="E86" s="23">
        <f>IFERROR(INDEX(Sheet3!H:H,MATCH(A86,Sheet3!A:A,0)),"")</f>
        <v/>
      </c>
    </row>
    <row r="87">
      <c r="A87" s="19" t="n">
        <v>176</v>
      </c>
      <c r="B87" s="20">
        <f>IFERROR(INDEX(Sheet1!I:I,MATCH(A87,Sheet1!A:A,0)),"")</f>
        <v/>
      </c>
      <c r="C87" s="21">
        <f>IFERROR(INDEX(Sheet3!D:D,MATCH(A87,Sheet3!A:A,0)),"")</f>
        <v/>
      </c>
      <c r="D87" s="22">
        <f>IFERROR(INDEX(Sheet3!G:G,MATCH(A87,Sheet3!A:A,0)),"")</f>
        <v/>
      </c>
      <c r="E87" s="23">
        <f>IFERROR(INDEX(Sheet3!H:H,MATCH(A87,Sheet3!A:A,0)),"")</f>
        <v/>
      </c>
    </row>
    <row r="88">
      <c r="A88" s="19" t="n">
        <v>178</v>
      </c>
      <c r="B88" s="20">
        <f>IFERROR(INDEX(Sheet1!I:I,MATCH(A88,Sheet1!A:A,0)),"")</f>
        <v/>
      </c>
      <c r="C88" s="21">
        <f>IFERROR(INDEX(Sheet3!D:D,MATCH(A88,Sheet3!A:A,0)),"")</f>
        <v/>
      </c>
      <c r="D88" s="22">
        <f>IFERROR(INDEX(Sheet3!G:G,MATCH(A88,Sheet3!A:A,0)),"")</f>
        <v/>
      </c>
      <c r="E88" s="23">
        <f>IFERROR(INDEX(Sheet3!H:H,MATCH(A88,Sheet3!A:A,0)),"")</f>
        <v/>
      </c>
    </row>
    <row r="89">
      <c r="A89" s="19" t="n">
        <v>182</v>
      </c>
      <c r="B89" s="20">
        <f>IFERROR(INDEX(Sheet1!I:I,MATCH(A89,Sheet1!A:A,0)),"")</f>
        <v/>
      </c>
      <c r="C89" s="21">
        <f>IFERROR(INDEX(Sheet3!D:D,MATCH(A89,Sheet3!A:A,0)),"")</f>
        <v/>
      </c>
      <c r="D89" s="22">
        <f>IFERROR(INDEX(Sheet3!G:G,MATCH(A89,Sheet3!A:A,0)),"")</f>
        <v/>
      </c>
      <c r="E89" s="23">
        <f>IFERROR(INDEX(Sheet3!H:H,MATCH(A89,Sheet3!A:A,0)),"")</f>
        <v/>
      </c>
    </row>
    <row r="90">
      <c r="A90" s="19" t="n">
        <v>183</v>
      </c>
      <c r="B90" s="20">
        <f>IFERROR(INDEX(Sheet1!I:I,MATCH(A90,Sheet1!A:A,0)),"")</f>
        <v/>
      </c>
      <c r="C90" s="21">
        <f>IFERROR(INDEX(Sheet3!D:D,MATCH(A90,Sheet3!A:A,0)),"")</f>
        <v/>
      </c>
      <c r="D90" s="22">
        <f>IFERROR(INDEX(Sheet3!G:G,MATCH(A90,Sheet3!A:A,0)),"")</f>
        <v/>
      </c>
      <c r="E90" s="23">
        <f>IFERROR(INDEX(Sheet3!H:H,MATCH(A90,Sheet3!A:A,0)),"")</f>
        <v/>
      </c>
    </row>
    <row r="91">
      <c r="A91" s="19" t="n">
        <v>184</v>
      </c>
      <c r="B91" s="20">
        <f>IFERROR(INDEX(Sheet1!I:I,MATCH(A91,Sheet1!A:A,0)),"")</f>
        <v/>
      </c>
      <c r="C91" s="21">
        <f>IFERROR(INDEX(Sheet3!D:D,MATCH(A91,Sheet3!A:A,0)),"")</f>
        <v/>
      </c>
      <c r="D91" s="22">
        <f>IFERROR(INDEX(Sheet3!G:G,MATCH(A91,Sheet3!A:A,0)),"")</f>
        <v/>
      </c>
      <c r="E91" s="23">
        <f>IFERROR(INDEX(Sheet3!H:H,MATCH(A91,Sheet3!A:A,0)),"")</f>
        <v/>
      </c>
    </row>
    <row r="92">
      <c r="A92" s="19" t="n">
        <v>185</v>
      </c>
      <c r="B92" s="20">
        <f>IFERROR(INDEX(Sheet1!I:I,MATCH(A92,Sheet1!A:A,0)),"")</f>
        <v/>
      </c>
      <c r="C92" s="21">
        <f>IFERROR(INDEX(Sheet3!D:D,MATCH(A92,Sheet3!A:A,0)),"")</f>
        <v/>
      </c>
      <c r="D92" s="22">
        <f>IFERROR(INDEX(Sheet3!G:G,MATCH(A92,Sheet3!A:A,0)),"")</f>
        <v/>
      </c>
      <c r="E92" s="23">
        <f>IFERROR(INDEX(Sheet3!H:H,MATCH(A92,Sheet3!A:A,0)),"")</f>
        <v/>
      </c>
    </row>
    <row r="93">
      <c r="A93" s="19" t="n">
        <v>186</v>
      </c>
      <c r="B93" s="20">
        <f>IFERROR(INDEX(Sheet1!I:I,MATCH(A93,Sheet1!A:A,0)),"")</f>
        <v/>
      </c>
      <c r="C93" s="21">
        <f>IFERROR(INDEX(Sheet3!D:D,MATCH(A93,Sheet3!A:A,0)),"")</f>
        <v/>
      </c>
      <c r="D93" s="22">
        <f>IFERROR(INDEX(Sheet3!G:G,MATCH(A93,Sheet3!A:A,0)),"")</f>
        <v/>
      </c>
      <c r="E93" s="23">
        <f>IFERROR(INDEX(Sheet3!H:H,MATCH(A93,Sheet3!A:A,0)),"")</f>
        <v/>
      </c>
    </row>
    <row r="94">
      <c r="A94" s="19" t="n">
        <v>187</v>
      </c>
      <c r="B94" s="20">
        <f>IFERROR(INDEX(Sheet1!I:I,MATCH(A94,Sheet1!A:A,0)),"")</f>
        <v/>
      </c>
      <c r="C94" s="21">
        <f>IFERROR(INDEX(Sheet3!D:D,MATCH(A94,Sheet3!A:A,0)),"")</f>
        <v/>
      </c>
      <c r="D94" s="22">
        <f>IFERROR(INDEX(Sheet3!G:G,MATCH(A94,Sheet3!A:A,0)),"")</f>
        <v/>
      </c>
      <c r="E94" s="23">
        <f>IFERROR(INDEX(Sheet3!H:H,MATCH(A94,Sheet3!A:A,0)),"")</f>
        <v/>
      </c>
    </row>
    <row r="95">
      <c r="A95" s="19" t="n">
        <v>189</v>
      </c>
      <c r="B95" s="20">
        <f>IFERROR(INDEX(Sheet1!I:I,MATCH(A95,Sheet1!A:A,0)),"")</f>
        <v/>
      </c>
      <c r="C95" s="21">
        <f>IFERROR(INDEX(Sheet3!D:D,MATCH(A95,Sheet3!A:A,0)),"")</f>
        <v/>
      </c>
      <c r="D95" s="22">
        <f>IFERROR(INDEX(Sheet3!G:G,MATCH(A95,Sheet3!A:A,0)),"")</f>
        <v/>
      </c>
      <c r="E95" s="23">
        <f>IFERROR(INDEX(Sheet3!H:H,MATCH(A95,Sheet3!A:A,0)),"")</f>
        <v/>
      </c>
    </row>
    <row r="96">
      <c r="A96" s="19" t="n">
        <v>191</v>
      </c>
      <c r="B96" s="20">
        <f>IFERROR(INDEX(Sheet1!I:I,MATCH(A96,Sheet1!A:A,0)),"")</f>
        <v/>
      </c>
      <c r="C96" s="21">
        <f>IFERROR(INDEX(Sheet3!D:D,MATCH(A96,Sheet3!A:A,0)),"")</f>
        <v/>
      </c>
      <c r="D96" s="22">
        <f>IFERROR(INDEX(Sheet3!G:G,MATCH(A96,Sheet3!A:A,0)),"")</f>
        <v/>
      </c>
      <c r="E96" s="23">
        <f>IFERROR(INDEX(Sheet3!H:H,MATCH(A96,Sheet3!A:A,0)),"")</f>
        <v/>
      </c>
    </row>
    <row r="97">
      <c r="A97" s="19" t="n">
        <v>192</v>
      </c>
      <c r="B97" s="20">
        <f>IFERROR(INDEX(Sheet1!I:I,MATCH(A97,Sheet1!A:A,0)),"")</f>
        <v/>
      </c>
      <c r="C97" s="21">
        <f>IFERROR(INDEX(Sheet3!D:D,MATCH(A97,Sheet3!A:A,0)),"")</f>
        <v/>
      </c>
      <c r="D97" s="22">
        <f>IFERROR(INDEX(Sheet3!G:G,MATCH(A97,Sheet3!A:A,0)),"")</f>
        <v/>
      </c>
      <c r="E97" s="23">
        <f>IFERROR(INDEX(Sheet3!H:H,MATCH(A97,Sheet3!A:A,0)),"")</f>
        <v/>
      </c>
    </row>
    <row r="98">
      <c r="A98" s="19" t="n">
        <v>196</v>
      </c>
      <c r="B98" s="20">
        <f>IFERROR(INDEX(Sheet1!I:I,MATCH(A98,Sheet1!A:A,0)),"")</f>
        <v/>
      </c>
      <c r="C98" s="21">
        <f>IFERROR(INDEX(Sheet3!D:D,MATCH(A98,Sheet3!A:A,0)),"")</f>
        <v/>
      </c>
      <c r="D98" s="22">
        <f>IFERROR(INDEX(Sheet3!G:G,MATCH(A98,Sheet3!A:A,0)),"")</f>
        <v/>
      </c>
      <c r="E98" s="23">
        <f>IFERROR(INDEX(Sheet3!H:H,MATCH(A98,Sheet3!A:A,0)),"")</f>
        <v/>
      </c>
    </row>
    <row r="99">
      <c r="A99" s="19" t="n">
        <v>198</v>
      </c>
      <c r="B99" s="20">
        <f>IFERROR(INDEX(Sheet1!I:I,MATCH(A99,Sheet1!A:A,0)),"")</f>
        <v/>
      </c>
      <c r="C99" s="21">
        <f>IFERROR(INDEX(Sheet3!D:D,MATCH(A99,Sheet3!A:A,0)),"")</f>
        <v/>
      </c>
      <c r="D99" s="22">
        <f>IFERROR(INDEX(Sheet3!G:G,MATCH(A99,Sheet3!A:A,0)),"")</f>
        <v/>
      </c>
      <c r="E99" s="23">
        <f>IFERROR(INDEX(Sheet3!H:H,MATCH(A99,Sheet3!A:A,0)),"")</f>
        <v/>
      </c>
    </row>
    <row r="100">
      <c r="A100" s="19" t="n">
        <v>200</v>
      </c>
      <c r="B100" s="20">
        <f>IFERROR(INDEX(Sheet1!I:I,MATCH(A100,Sheet1!A:A,0)),"")</f>
        <v/>
      </c>
      <c r="C100" s="21">
        <f>IFERROR(INDEX(Sheet3!D:D,MATCH(A100,Sheet3!A:A,0)),"")</f>
        <v/>
      </c>
      <c r="D100" s="22">
        <f>IFERROR(INDEX(Sheet3!G:G,MATCH(A100,Sheet3!A:A,0)),"")</f>
        <v/>
      </c>
      <c r="E100" s="23">
        <f>IFERROR(INDEX(Sheet3!H:H,MATCH(A100,Sheet3!A:A,0)),"")</f>
        <v/>
      </c>
    </row>
    <row r="101">
      <c r="A101" s="19" t="n">
        <v>201</v>
      </c>
      <c r="B101" s="20">
        <f>IFERROR(INDEX(Sheet1!I:I,MATCH(A101,Sheet1!A:A,0)),"")</f>
        <v/>
      </c>
      <c r="C101" s="21">
        <f>IFERROR(INDEX(Sheet3!D:D,MATCH(A101,Sheet3!A:A,0)),"")</f>
        <v/>
      </c>
      <c r="D101" s="22">
        <f>IFERROR(INDEX(Sheet3!G:G,MATCH(A101,Sheet3!A:A,0)),"")</f>
        <v/>
      </c>
      <c r="E101" s="23">
        <f>IFERROR(INDEX(Sheet3!H:H,MATCH(A101,Sheet3!A:A,0)),"")</f>
        <v/>
      </c>
    </row>
    <row r="102">
      <c r="A102" s="19" t="n">
        <v>205</v>
      </c>
      <c r="B102" s="20">
        <f>IFERROR(INDEX(Sheet1!I:I,MATCH(A102,Sheet1!A:A,0)),"")</f>
        <v/>
      </c>
      <c r="C102" s="21">
        <f>IFERROR(INDEX(Sheet3!D:D,MATCH(A102,Sheet3!A:A,0)),"")</f>
        <v/>
      </c>
      <c r="D102" s="22">
        <f>IFERROR(INDEX(Sheet3!G:G,MATCH(A102,Sheet3!A:A,0)),"")</f>
        <v/>
      </c>
      <c r="E102" s="23">
        <f>IFERROR(INDEX(Sheet3!H:H,MATCH(A102,Sheet3!A:A,0)),"")</f>
        <v/>
      </c>
    </row>
    <row r="103">
      <c r="A103" s="19" t="n">
        <v>208</v>
      </c>
      <c r="B103" s="20">
        <f>IFERROR(INDEX(Sheet1!I:I,MATCH(A103,Sheet1!A:A,0)),"")</f>
        <v/>
      </c>
      <c r="C103" s="21">
        <f>IFERROR(INDEX(Sheet3!D:D,MATCH(A103,Sheet3!A:A,0)),"")</f>
        <v/>
      </c>
      <c r="D103" s="22">
        <f>IFERROR(INDEX(Sheet3!G:G,MATCH(A103,Sheet3!A:A,0)),"")</f>
        <v/>
      </c>
      <c r="E103" s="23">
        <f>IFERROR(INDEX(Sheet3!H:H,MATCH(A103,Sheet3!A:A,0)),"")</f>
        <v/>
      </c>
    </row>
    <row r="104">
      <c r="A104" s="19" t="n">
        <v>210</v>
      </c>
      <c r="B104" s="20">
        <f>IFERROR(INDEX(Sheet1!I:I,MATCH(A104,Sheet1!A:A,0)),"")</f>
        <v/>
      </c>
      <c r="C104" s="21">
        <f>IFERROR(INDEX(Sheet3!D:D,MATCH(A104,Sheet3!A:A,0)),"")</f>
        <v/>
      </c>
      <c r="D104" s="22">
        <f>IFERROR(INDEX(Sheet3!G:G,MATCH(A104,Sheet3!A:A,0)),"")</f>
        <v/>
      </c>
      <c r="E104" s="23">
        <f>IFERROR(INDEX(Sheet3!H:H,MATCH(A104,Sheet3!A:A,0)),"")</f>
        <v/>
      </c>
    </row>
    <row r="105">
      <c r="A105" s="19" t="n">
        <v>211</v>
      </c>
      <c r="B105" s="20">
        <f>IFERROR(INDEX(Sheet1!I:I,MATCH(A105,Sheet1!A:A,0)),"")</f>
        <v/>
      </c>
      <c r="C105" s="21">
        <f>IFERROR(INDEX(Sheet3!D:D,MATCH(A105,Sheet3!A:A,0)),"")</f>
        <v/>
      </c>
      <c r="D105" s="22">
        <f>IFERROR(INDEX(Sheet3!G:G,MATCH(A105,Sheet3!A:A,0)),"")</f>
        <v/>
      </c>
      <c r="E105" s="23">
        <f>IFERROR(INDEX(Sheet3!H:H,MATCH(A105,Sheet3!A:A,0)),"")</f>
        <v/>
      </c>
    </row>
    <row r="106">
      <c r="A106" s="19" t="n">
        <v>212</v>
      </c>
      <c r="B106" s="20">
        <f>IFERROR(INDEX(Sheet1!I:I,MATCH(A106,Sheet1!A:A,0)),"")</f>
        <v/>
      </c>
      <c r="C106" s="21">
        <f>IFERROR(INDEX(Sheet3!D:D,MATCH(A106,Sheet3!A:A,0)),"")</f>
        <v/>
      </c>
      <c r="D106" s="22">
        <f>IFERROR(INDEX(Sheet3!G:G,MATCH(A106,Sheet3!A:A,0)),"")</f>
        <v/>
      </c>
      <c r="E106" s="23">
        <f>IFERROR(INDEX(Sheet3!H:H,MATCH(A106,Sheet3!A:A,0)),"")</f>
        <v/>
      </c>
    </row>
    <row r="107">
      <c r="A107" s="19" t="n">
        <v>215</v>
      </c>
      <c r="B107" s="20">
        <f>IFERROR(INDEX(Sheet1!I:I,MATCH(A107,Sheet1!A:A,0)),"")</f>
        <v/>
      </c>
      <c r="C107" s="21">
        <f>IFERROR(INDEX(Sheet3!D:D,MATCH(A107,Sheet3!A:A,0)),"")</f>
        <v/>
      </c>
      <c r="D107" s="22">
        <f>IFERROR(INDEX(Sheet3!G:G,MATCH(A107,Sheet3!A:A,0)),"")</f>
        <v/>
      </c>
      <c r="E107" s="23">
        <f>IFERROR(INDEX(Sheet3!H:H,MATCH(A107,Sheet3!A:A,0)),"")</f>
        <v/>
      </c>
    </row>
    <row r="108">
      <c r="A108" s="19" t="n">
        <v>216</v>
      </c>
      <c r="B108" s="20">
        <f>IFERROR(INDEX(Sheet1!I:I,MATCH(A108,Sheet1!A:A,0)),"")</f>
        <v/>
      </c>
      <c r="C108" s="21">
        <f>IFERROR(INDEX(Sheet3!D:D,MATCH(A108,Sheet3!A:A,0)),"")</f>
        <v/>
      </c>
      <c r="D108" s="22">
        <f>IFERROR(INDEX(Sheet3!G:G,MATCH(A108,Sheet3!A:A,0)),"")</f>
        <v/>
      </c>
      <c r="E108" s="23">
        <f>IFERROR(INDEX(Sheet3!H:H,MATCH(A108,Sheet3!A:A,0)),"")</f>
        <v/>
      </c>
    </row>
    <row r="109">
      <c r="A109" s="19" t="n">
        <v>217</v>
      </c>
      <c r="B109" s="20">
        <f>IFERROR(INDEX(Sheet1!I:I,MATCH(A109,Sheet1!A:A,0)),"")</f>
        <v/>
      </c>
      <c r="C109" s="21">
        <f>IFERROR(INDEX(Sheet3!D:D,MATCH(A109,Sheet3!A:A,0)),"")</f>
        <v/>
      </c>
      <c r="D109" s="22">
        <f>IFERROR(INDEX(Sheet3!G:G,MATCH(A109,Sheet3!A:A,0)),"")</f>
        <v/>
      </c>
      <c r="E109" s="23">
        <f>IFERROR(INDEX(Sheet3!H:H,MATCH(A109,Sheet3!A:A,0)),"")</f>
        <v/>
      </c>
    </row>
    <row r="110">
      <c r="A110" s="19" t="n">
        <v>219</v>
      </c>
      <c r="B110" s="20">
        <f>IFERROR(INDEX(Sheet1!I:I,MATCH(A110,Sheet1!A:A,0)),"")</f>
        <v/>
      </c>
      <c r="C110" s="21">
        <f>IFERROR(INDEX(Sheet3!D:D,MATCH(A110,Sheet3!A:A,0)),"")</f>
        <v/>
      </c>
      <c r="D110" s="22">
        <f>IFERROR(INDEX(Sheet3!G:G,MATCH(A110,Sheet3!A:A,0)),"")</f>
        <v/>
      </c>
      <c r="E110" s="23">
        <f>IFERROR(INDEX(Sheet3!H:H,MATCH(A110,Sheet3!A:A,0)),"")</f>
        <v/>
      </c>
    </row>
    <row r="111">
      <c r="A111" s="19" t="n">
        <v>220</v>
      </c>
      <c r="B111" s="20">
        <f>IFERROR(INDEX(Sheet1!I:I,MATCH(A111,Sheet1!A:A,0)),"")</f>
        <v/>
      </c>
      <c r="C111" s="21">
        <f>IFERROR(INDEX(Sheet3!D:D,MATCH(A111,Sheet3!A:A,0)),"")</f>
        <v/>
      </c>
      <c r="D111" s="22">
        <f>IFERROR(INDEX(Sheet3!G:G,MATCH(A111,Sheet3!A:A,0)),"")</f>
        <v/>
      </c>
      <c r="E111" s="23">
        <f>IFERROR(INDEX(Sheet3!H:H,MATCH(A111,Sheet3!A:A,0)),"")</f>
        <v/>
      </c>
    </row>
    <row r="112">
      <c r="A112" s="19" t="n">
        <v>221</v>
      </c>
      <c r="B112" s="20">
        <f>IFERROR(INDEX(Sheet1!I:I,MATCH(A112,Sheet1!A:A,0)),"")</f>
        <v/>
      </c>
      <c r="C112" s="21">
        <f>IFERROR(INDEX(Sheet3!D:D,MATCH(A112,Sheet3!A:A,0)),"")</f>
        <v/>
      </c>
      <c r="D112" s="22">
        <f>IFERROR(INDEX(Sheet3!G:G,MATCH(A112,Sheet3!A:A,0)),"")</f>
        <v/>
      </c>
      <c r="E112" s="23">
        <f>IFERROR(INDEX(Sheet3!H:H,MATCH(A112,Sheet3!A:A,0)),"")</f>
        <v/>
      </c>
    </row>
    <row r="113">
      <c r="A113" s="19" t="n">
        <v>223</v>
      </c>
      <c r="B113" s="20">
        <f>IFERROR(INDEX(Sheet1!I:I,MATCH(A113,Sheet1!A:A,0)),"")</f>
        <v/>
      </c>
      <c r="C113" s="21">
        <f>IFERROR(INDEX(Sheet3!D:D,MATCH(A113,Sheet3!A:A,0)),"")</f>
        <v/>
      </c>
      <c r="D113" s="22">
        <f>IFERROR(INDEX(Sheet3!G:G,MATCH(A113,Sheet3!A:A,0)),"")</f>
        <v/>
      </c>
      <c r="E113" s="23">
        <f>IFERROR(INDEX(Sheet3!H:H,MATCH(A113,Sheet3!A:A,0)),"")</f>
        <v/>
      </c>
    </row>
    <row r="114">
      <c r="A114" s="19" t="n">
        <v>225</v>
      </c>
      <c r="B114" s="20">
        <f>IFERROR(INDEX(Sheet1!I:I,MATCH(A114,Sheet1!A:A,0)),"")</f>
        <v/>
      </c>
      <c r="C114" s="21">
        <f>IFERROR(INDEX(Sheet3!D:D,MATCH(A114,Sheet3!A:A,0)),"")</f>
        <v/>
      </c>
      <c r="D114" s="22">
        <f>IFERROR(INDEX(Sheet3!G:G,MATCH(A114,Sheet3!A:A,0)),"")</f>
        <v/>
      </c>
      <c r="E114" s="23">
        <f>IFERROR(INDEX(Sheet3!H:H,MATCH(A114,Sheet3!A:A,0)),"")</f>
        <v/>
      </c>
    </row>
    <row r="115">
      <c r="A115" s="19" t="n">
        <v>227</v>
      </c>
      <c r="B115" s="20">
        <f>IFERROR(INDEX(Sheet1!I:I,MATCH(A115,Sheet1!A:A,0)),"")</f>
        <v/>
      </c>
      <c r="C115" s="21">
        <f>IFERROR(INDEX(Sheet3!D:D,MATCH(A115,Sheet3!A:A,0)),"")</f>
        <v/>
      </c>
      <c r="D115" s="22">
        <f>IFERROR(INDEX(Sheet3!G:G,MATCH(A115,Sheet3!A:A,0)),"")</f>
        <v/>
      </c>
      <c r="E115" s="23">
        <f>IFERROR(INDEX(Sheet3!H:H,MATCH(A115,Sheet3!A:A,0)),"")</f>
        <v/>
      </c>
    </row>
    <row r="116">
      <c r="A116" s="19" t="n">
        <v>228</v>
      </c>
      <c r="B116" s="20">
        <f>IFERROR(INDEX(Sheet1!I:I,MATCH(A116,Sheet1!A:A,0)),"")</f>
        <v/>
      </c>
      <c r="C116" s="21">
        <f>IFERROR(INDEX(Sheet3!D:D,MATCH(A116,Sheet3!A:A,0)),"")</f>
        <v/>
      </c>
      <c r="D116" s="22">
        <f>IFERROR(INDEX(Sheet3!G:G,MATCH(A116,Sheet3!A:A,0)),"")</f>
        <v/>
      </c>
      <c r="E116" s="23">
        <f>IFERROR(INDEX(Sheet3!H:H,MATCH(A116,Sheet3!A:A,0)),"")</f>
        <v/>
      </c>
    </row>
    <row r="117">
      <c r="A117" s="19" t="n">
        <v>229</v>
      </c>
      <c r="B117" s="20">
        <f>IFERROR(INDEX(Sheet1!I:I,MATCH(A117,Sheet1!A:A,0)),"")</f>
        <v/>
      </c>
      <c r="C117" s="21">
        <f>IFERROR(INDEX(Sheet3!D:D,MATCH(A117,Sheet3!A:A,0)),"")</f>
        <v/>
      </c>
      <c r="D117" s="22">
        <f>IFERROR(INDEX(Sheet3!G:G,MATCH(A117,Sheet3!A:A,0)),"")</f>
        <v/>
      </c>
      <c r="E117" s="23">
        <f>IFERROR(INDEX(Sheet3!H:H,MATCH(A117,Sheet3!A:A,0)),"")</f>
        <v/>
      </c>
    </row>
    <row r="118">
      <c r="A118" s="19" t="n">
        <v>231</v>
      </c>
      <c r="B118" s="20">
        <f>IFERROR(INDEX(Sheet1!I:I,MATCH(A118,Sheet1!A:A,0)),"")</f>
        <v/>
      </c>
      <c r="C118" s="21">
        <f>IFERROR(INDEX(Sheet3!D:D,MATCH(A118,Sheet3!A:A,0)),"")</f>
        <v/>
      </c>
      <c r="D118" s="22">
        <f>IFERROR(INDEX(Sheet3!G:G,MATCH(A118,Sheet3!A:A,0)),"")</f>
        <v/>
      </c>
      <c r="E118" s="23">
        <f>IFERROR(INDEX(Sheet3!H:H,MATCH(A118,Sheet3!A:A,0)),"")</f>
        <v/>
      </c>
    </row>
    <row r="119">
      <c r="A119" s="19" t="n">
        <v>232</v>
      </c>
      <c r="B119" s="20">
        <f>IFERROR(INDEX(Sheet1!I:I,MATCH(A119,Sheet1!A:A,0)),"")</f>
        <v/>
      </c>
      <c r="C119" s="21">
        <f>IFERROR(INDEX(Sheet3!D:D,MATCH(A119,Sheet3!A:A,0)),"")</f>
        <v/>
      </c>
      <c r="D119" s="22">
        <f>IFERROR(INDEX(Sheet3!G:G,MATCH(A119,Sheet3!A:A,0)),"")</f>
        <v/>
      </c>
      <c r="E119" s="23">
        <f>IFERROR(INDEX(Sheet3!H:H,MATCH(A119,Sheet3!A:A,0)),"")</f>
        <v/>
      </c>
    </row>
    <row r="120">
      <c r="A120" s="19" t="n">
        <v>233</v>
      </c>
      <c r="B120" s="20">
        <f>IFERROR(INDEX(Sheet1!I:I,MATCH(A120,Sheet1!A:A,0)),"")</f>
        <v/>
      </c>
      <c r="C120" s="21">
        <f>IFERROR(INDEX(Sheet3!D:D,MATCH(A120,Sheet3!A:A,0)),"")</f>
        <v/>
      </c>
      <c r="D120" s="22">
        <f>IFERROR(INDEX(Sheet3!G:G,MATCH(A120,Sheet3!A:A,0)),"")</f>
        <v/>
      </c>
      <c r="E120" s="23">
        <f>IFERROR(INDEX(Sheet3!H:H,MATCH(A120,Sheet3!A:A,0)),"")</f>
        <v/>
      </c>
    </row>
    <row r="121">
      <c r="A121" s="19" t="n">
        <v>234</v>
      </c>
      <c r="B121" s="20">
        <f>IFERROR(INDEX(Sheet1!I:I,MATCH(A121,Sheet1!A:A,0)),"")</f>
        <v/>
      </c>
      <c r="C121" s="21">
        <f>IFERROR(INDEX(Sheet3!D:D,MATCH(A121,Sheet3!A:A,0)),"")</f>
        <v/>
      </c>
      <c r="D121" s="22">
        <f>IFERROR(INDEX(Sheet3!G:G,MATCH(A121,Sheet3!A:A,0)),"")</f>
        <v/>
      </c>
      <c r="E121" s="23">
        <f>IFERROR(INDEX(Sheet3!H:H,MATCH(A121,Sheet3!A:A,0)),"")</f>
        <v/>
      </c>
    </row>
    <row r="122">
      <c r="A122" s="19" t="n">
        <v>235</v>
      </c>
      <c r="B122" s="20">
        <f>IFERROR(INDEX(Sheet1!I:I,MATCH(A122,Sheet1!A:A,0)),"")</f>
        <v/>
      </c>
      <c r="C122" s="21">
        <f>IFERROR(INDEX(Sheet3!D:D,MATCH(A122,Sheet3!A:A,0)),"")</f>
        <v/>
      </c>
      <c r="D122" s="22">
        <f>IFERROR(INDEX(Sheet3!G:G,MATCH(A122,Sheet3!A:A,0)),"")</f>
        <v/>
      </c>
      <c r="E122" s="23">
        <f>IFERROR(INDEX(Sheet3!H:H,MATCH(A122,Sheet3!A:A,0)),"")</f>
        <v/>
      </c>
    </row>
    <row r="123">
      <c r="A123" s="19" t="n">
        <v>236</v>
      </c>
      <c r="B123" s="20">
        <f>IFERROR(INDEX(Sheet1!I:I,MATCH(A123,Sheet1!A:A,0)),"")</f>
        <v/>
      </c>
      <c r="C123" s="21">
        <f>IFERROR(INDEX(Sheet3!D:D,MATCH(A123,Sheet3!A:A,0)),"")</f>
        <v/>
      </c>
      <c r="D123" s="22">
        <f>IFERROR(INDEX(Sheet3!G:G,MATCH(A123,Sheet3!A:A,0)),"")</f>
        <v/>
      </c>
      <c r="E123" s="23">
        <f>IFERROR(INDEX(Sheet3!H:H,MATCH(A123,Sheet3!A:A,0)),"")</f>
        <v/>
      </c>
    </row>
    <row r="124">
      <c r="A124" s="19" t="n">
        <v>237</v>
      </c>
      <c r="B124" s="20">
        <f>IFERROR(INDEX(Sheet1!I:I,MATCH(A124,Sheet1!A:A,0)),"")</f>
        <v/>
      </c>
      <c r="C124" s="21">
        <f>IFERROR(INDEX(Sheet3!D:D,MATCH(A124,Sheet3!A:A,0)),"")</f>
        <v/>
      </c>
      <c r="D124" s="22">
        <f>IFERROR(INDEX(Sheet3!G:G,MATCH(A124,Sheet3!A:A,0)),"")</f>
        <v/>
      </c>
      <c r="E124" s="23">
        <f>IFERROR(INDEX(Sheet3!H:H,MATCH(A124,Sheet3!A:A,0)),"")</f>
        <v/>
      </c>
    </row>
    <row r="125">
      <c r="A125" s="19" t="n">
        <v>238</v>
      </c>
      <c r="B125" s="20">
        <f>IFERROR(INDEX(Sheet1!I:I,MATCH(A125,Sheet1!A:A,0)),"")</f>
        <v/>
      </c>
      <c r="C125" s="21">
        <f>IFERROR(INDEX(Sheet3!D:D,MATCH(A125,Sheet3!A:A,0)),"")</f>
        <v/>
      </c>
      <c r="D125" s="22">
        <f>IFERROR(INDEX(Sheet3!G:G,MATCH(A125,Sheet3!A:A,0)),"")</f>
        <v/>
      </c>
      <c r="E125" s="23">
        <f>IFERROR(INDEX(Sheet3!H:H,MATCH(A125,Sheet3!A:A,0)),"")</f>
        <v/>
      </c>
    </row>
    <row r="126">
      <c r="A126" s="19" t="n">
        <v>239</v>
      </c>
      <c r="B126" s="20">
        <f>IFERROR(INDEX(Sheet1!I:I,MATCH(A126,Sheet1!A:A,0)),"")</f>
        <v/>
      </c>
      <c r="C126" s="21">
        <f>IFERROR(INDEX(Sheet3!D:D,MATCH(A126,Sheet3!A:A,0)),"")</f>
        <v/>
      </c>
      <c r="D126" s="22">
        <f>IFERROR(INDEX(Sheet3!G:G,MATCH(A126,Sheet3!A:A,0)),"")</f>
        <v/>
      </c>
      <c r="E126" s="23">
        <f>IFERROR(INDEX(Sheet3!H:H,MATCH(A126,Sheet3!A:A,0)),"")</f>
        <v/>
      </c>
    </row>
    <row r="127">
      <c r="A127" s="19" t="n">
        <v>240</v>
      </c>
      <c r="B127" s="20">
        <f>IFERROR(INDEX(Sheet1!I:I,MATCH(A127,Sheet1!A:A,0)),"")</f>
        <v/>
      </c>
      <c r="C127" s="21">
        <f>IFERROR(INDEX(Sheet3!D:D,MATCH(A127,Sheet3!A:A,0)),"")</f>
        <v/>
      </c>
      <c r="D127" s="22">
        <f>IFERROR(INDEX(Sheet3!G:G,MATCH(A127,Sheet3!A:A,0)),"")</f>
        <v/>
      </c>
      <c r="E127" s="23">
        <f>IFERROR(INDEX(Sheet3!H:H,MATCH(A127,Sheet3!A:A,0)),"")</f>
        <v/>
      </c>
    </row>
    <row r="128">
      <c r="A128" s="19" t="n">
        <v>241</v>
      </c>
      <c r="B128" s="20">
        <f>IFERROR(INDEX(Sheet1!I:I,MATCH(A128,Sheet1!A:A,0)),"")</f>
        <v/>
      </c>
      <c r="C128" s="21">
        <f>IFERROR(INDEX(Sheet3!D:D,MATCH(A128,Sheet3!A:A,0)),"")</f>
        <v/>
      </c>
      <c r="D128" s="22">
        <f>IFERROR(INDEX(Sheet3!G:G,MATCH(A128,Sheet3!A:A,0)),"")</f>
        <v/>
      </c>
      <c r="E128" s="23">
        <f>IFERROR(INDEX(Sheet3!H:H,MATCH(A128,Sheet3!A:A,0)),"")</f>
        <v/>
      </c>
    </row>
    <row r="129">
      <c r="A129" s="19" t="n">
        <v>243</v>
      </c>
      <c r="B129" s="20">
        <f>IFERROR(INDEX(Sheet1!I:I,MATCH(A129,Sheet1!A:A,0)),"")</f>
        <v/>
      </c>
      <c r="C129" s="21">
        <f>IFERROR(INDEX(Sheet3!D:D,MATCH(A129,Sheet3!A:A,0)),"")</f>
        <v/>
      </c>
      <c r="D129" s="22">
        <f>IFERROR(INDEX(Sheet3!G:G,MATCH(A129,Sheet3!A:A,0)),"")</f>
        <v/>
      </c>
      <c r="E129" s="23">
        <f>IFERROR(INDEX(Sheet3!H:H,MATCH(A129,Sheet3!A:A,0)),"")</f>
        <v/>
      </c>
    </row>
    <row r="130">
      <c r="A130" s="19" t="n">
        <v>244</v>
      </c>
      <c r="B130" s="20">
        <f>IFERROR(INDEX(Sheet1!I:I,MATCH(A130,Sheet1!A:A,0)),"")</f>
        <v/>
      </c>
      <c r="C130" s="21">
        <f>IFERROR(INDEX(Sheet3!D:D,MATCH(A130,Sheet3!A:A,0)),"")</f>
        <v/>
      </c>
      <c r="D130" s="22">
        <f>IFERROR(INDEX(Sheet3!G:G,MATCH(A130,Sheet3!A:A,0)),"")</f>
        <v/>
      </c>
      <c r="E130" s="23">
        <f>IFERROR(INDEX(Sheet3!H:H,MATCH(A130,Sheet3!A:A,0)),"")</f>
        <v/>
      </c>
    </row>
    <row r="131">
      <c r="A131" s="19" t="n">
        <v>246</v>
      </c>
      <c r="B131" s="20">
        <f>IFERROR(INDEX(Sheet1!I:I,MATCH(A131,Sheet1!A:A,0)),"")</f>
        <v/>
      </c>
      <c r="C131" s="21">
        <f>IFERROR(INDEX(Sheet3!D:D,MATCH(A131,Sheet3!A:A,0)),"")</f>
        <v/>
      </c>
      <c r="D131" s="22">
        <f>IFERROR(INDEX(Sheet3!G:G,MATCH(A131,Sheet3!A:A,0)),"")</f>
        <v/>
      </c>
      <c r="E131" s="23">
        <f>IFERROR(INDEX(Sheet3!H:H,MATCH(A131,Sheet3!A:A,0)),"")</f>
        <v/>
      </c>
    </row>
    <row r="132">
      <c r="A132" s="19" t="n">
        <v>248</v>
      </c>
      <c r="B132" s="20">
        <f>IFERROR(INDEX(Sheet1!I:I,MATCH(A132,Sheet1!A:A,0)),"")</f>
        <v/>
      </c>
      <c r="C132" s="21">
        <f>IFERROR(INDEX(Sheet3!D:D,MATCH(A132,Sheet3!A:A,0)),"")</f>
        <v/>
      </c>
      <c r="D132" s="22">
        <f>IFERROR(INDEX(Sheet3!G:G,MATCH(A132,Sheet3!A:A,0)),"")</f>
        <v/>
      </c>
      <c r="E132" s="23">
        <f>IFERROR(INDEX(Sheet3!H:H,MATCH(A132,Sheet3!A:A,0)),"")</f>
        <v/>
      </c>
    </row>
    <row r="133">
      <c r="A133" s="19" t="n">
        <v>255</v>
      </c>
      <c r="B133" s="20">
        <f>IFERROR(INDEX(Sheet1!I:I,MATCH(A133,Sheet1!A:A,0)),"")</f>
        <v/>
      </c>
      <c r="C133" s="21">
        <f>IFERROR(INDEX(Sheet3!D:D,MATCH(A133,Sheet3!A:A,0)),"")</f>
        <v/>
      </c>
      <c r="D133" s="22">
        <f>IFERROR(INDEX(Sheet3!G:G,MATCH(A133,Sheet3!A:A,0)),"")</f>
        <v/>
      </c>
      <c r="E133" s="23">
        <f>IFERROR(INDEX(Sheet3!H:H,MATCH(A133,Sheet3!A:A,0)),"")</f>
        <v/>
      </c>
    </row>
    <row r="134">
      <c r="A134" s="19" t="n">
        <v>260</v>
      </c>
      <c r="B134" s="20">
        <f>IFERROR(INDEX(Sheet1!I:I,MATCH(A134,Sheet1!A:A,0)),"")</f>
        <v/>
      </c>
      <c r="C134" s="21">
        <f>IFERROR(INDEX(Sheet3!D:D,MATCH(A134,Sheet3!A:A,0)),"")</f>
        <v/>
      </c>
      <c r="D134" s="22">
        <f>IFERROR(INDEX(Sheet3!G:G,MATCH(A134,Sheet3!A:A,0)),"")</f>
        <v/>
      </c>
      <c r="E134" s="23">
        <f>IFERROR(INDEX(Sheet3!H:H,MATCH(A134,Sheet3!A:A,0)),"")</f>
        <v/>
      </c>
    </row>
    <row r="135">
      <c r="A135" s="19" t="n">
        <v>264</v>
      </c>
      <c r="B135" s="20">
        <f>IFERROR(INDEX(Sheet1!I:I,MATCH(A135,Sheet1!A:A,0)),"")</f>
        <v/>
      </c>
      <c r="C135" s="21">
        <f>IFERROR(INDEX(Sheet3!D:D,MATCH(A135,Sheet3!A:A,0)),"")</f>
        <v/>
      </c>
      <c r="D135" s="22">
        <f>IFERROR(INDEX(Sheet3!G:G,MATCH(A135,Sheet3!A:A,0)),"")</f>
        <v/>
      </c>
      <c r="E135" s="23">
        <f>IFERROR(INDEX(Sheet3!H:H,MATCH(A135,Sheet3!A:A,0)),"")</f>
        <v/>
      </c>
    </row>
    <row r="136">
      <c r="A136" s="19" t="n">
        <v>265</v>
      </c>
      <c r="B136" s="20">
        <f>IFERROR(INDEX(Sheet1!I:I,MATCH(A136,Sheet1!A:A,0)),"")</f>
        <v/>
      </c>
      <c r="C136" s="21">
        <f>IFERROR(INDEX(Sheet3!D:D,MATCH(A136,Sheet3!A:A,0)),"")</f>
        <v/>
      </c>
      <c r="D136" s="22">
        <f>IFERROR(INDEX(Sheet3!G:G,MATCH(A136,Sheet3!A:A,0)),"")</f>
        <v/>
      </c>
      <c r="E136" s="23">
        <f>IFERROR(INDEX(Sheet3!H:H,MATCH(A136,Sheet3!A:A,0)),"")</f>
        <v/>
      </c>
    </row>
    <row r="137">
      <c r="A137" s="19" t="n">
        <v>266</v>
      </c>
      <c r="B137" s="20">
        <f>IFERROR(INDEX(Sheet1!I:I,MATCH(A137,Sheet1!A:A,0)),"")</f>
        <v/>
      </c>
      <c r="C137" s="21">
        <f>IFERROR(INDEX(Sheet3!D:D,MATCH(A137,Sheet3!A:A,0)),"")</f>
        <v/>
      </c>
      <c r="D137" s="22">
        <f>IFERROR(INDEX(Sheet3!G:G,MATCH(A137,Sheet3!A:A,0)),"")</f>
        <v/>
      </c>
      <c r="E137" s="23">
        <f>IFERROR(INDEX(Sheet3!H:H,MATCH(A137,Sheet3!A:A,0)),"")</f>
        <v/>
      </c>
    </row>
    <row r="138">
      <c r="A138" s="19" t="n">
        <v>268</v>
      </c>
      <c r="B138" s="20">
        <f>IFERROR(INDEX(Sheet1!I:I,MATCH(A138,Sheet1!A:A,0)),"")</f>
        <v/>
      </c>
      <c r="C138" s="21">
        <f>IFERROR(INDEX(Sheet3!D:D,MATCH(A138,Sheet3!A:A,0)),"")</f>
        <v/>
      </c>
      <c r="D138" s="22">
        <f>IFERROR(INDEX(Sheet3!G:G,MATCH(A138,Sheet3!A:A,0)),"")</f>
        <v/>
      </c>
      <c r="E138" s="23">
        <f>IFERROR(INDEX(Sheet3!H:H,MATCH(A138,Sheet3!A:A,0)),"")</f>
        <v/>
      </c>
    </row>
    <row r="139">
      <c r="A139" s="19" t="n">
        <v>270</v>
      </c>
      <c r="B139" s="20">
        <f>IFERROR(INDEX(Sheet1!I:I,MATCH(A139,Sheet1!A:A,0)),"")</f>
        <v/>
      </c>
      <c r="C139" s="21">
        <f>IFERROR(INDEX(Sheet3!D:D,MATCH(A139,Sheet3!A:A,0)),"")</f>
        <v/>
      </c>
      <c r="D139" s="22">
        <f>IFERROR(INDEX(Sheet3!G:G,MATCH(A139,Sheet3!A:A,0)),"")</f>
        <v/>
      </c>
      <c r="E139" s="23">
        <f>IFERROR(INDEX(Sheet3!H:H,MATCH(A139,Sheet3!A:A,0)),"")</f>
        <v/>
      </c>
    </row>
    <row r="140">
      <c r="A140" s="19" t="n">
        <v>271</v>
      </c>
      <c r="B140" s="20">
        <f>IFERROR(INDEX(Sheet1!I:I,MATCH(A140,Sheet1!A:A,0)),"")</f>
        <v/>
      </c>
      <c r="C140" s="21">
        <f>IFERROR(INDEX(Sheet3!D:D,MATCH(A140,Sheet3!A:A,0)),"")</f>
        <v/>
      </c>
      <c r="D140" s="22">
        <f>IFERROR(INDEX(Sheet3!G:G,MATCH(A140,Sheet3!A:A,0)),"")</f>
        <v/>
      </c>
      <c r="E140" s="23">
        <f>IFERROR(INDEX(Sheet3!H:H,MATCH(A140,Sheet3!A:A,0)),"")</f>
        <v/>
      </c>
    </row>
    <row r="141">
      <c r="A141" s="19" t="n">
        <v>274</v>
      </c>
      <c r="B141" s="20">
        <f>IFERROR(INDEX(Sheet1!I:I,MATCH(A141,Sheet1!A:A,0)),"")</f>
        <v/>
      </c>
      <c r="C141" s="21">
        <f>IFERROR(INDEX(Sheet3!D:D,MATCH(A141,Sheet3!A:A,0)),"")</f>
        <v/>
      </c>
      <c r="D141" s="22">
        <f>IFERROR(INDEX(Sheet3!G:G,MATCH(A141,Sheet3!A:A,0)),"")</f>
        <v/>
      </c>
      <c r="E141" s="23">
        <f>IFERROR(INDEX(Sheet3!H:H,MATCH(A141,Sheet3!A:A,0)),"")</f>
        <v/>
      </c>
    </row>
    <row r="142">
      <c r="A142" s="19" t="n">
        <v>275</v>
      </c>
      <c r="B142" s="20">
        <f>IFERROR(INDEX(Sheet1!I:I,MATCH(A142,Sheet1!A:A,0)),"")</f>
        <v/>
      </c>
      <c r="C142" s="21">
        <f>IFERROR(INDEX(Sheet3!D:D,MATCH(A142,Sheet3!A:A,0)),"")</f>
        <v/>
      </c>
      <c r="D142" s="22">
        <f>IFERROR(INDEX(Sheet3!G:G,MATCH(A142,Sheet3!A:A,0)),"")</f>
        <v/>
      </c>
      <c r="E142" s="23">
        <f>IFERROR(INDEX(Sheet3!H:H,MATCH(A142,Sheet3!A:A,0)),"")</f>
        <v/>
      </c>
    </row>
    <row r="143">
      <c r="A143" s="19" t="n">
        <v>277</v>
      </c>
      <c r="B143" s="20">
        <f>IFERROR(INDEX(Sheet1!I:I,MATCH(A143,Sheet1!A:A,0)),"")</f>
        <v/>
      </c>
      <c r="C143" s="21">
        <f>IFERROR(INDEX(Sheet3!D:D,MATCH(A143,Sheet3!A:A,0)),"")</f>
        <v/>
      </c>
      <c r="D143" s="22">
        <f>IFERROR(INDEX(Sheet3!G:G,MATCH(A143,Sheet3!A:A,0)),"")</f>
        <v/>
      </c>
      <c r="E143" s="23">
        <f>IFERROR(INDEX(Sheet3!H:H,MATCH(A143,Sheet3!A:A,0)),"")</f>
        <v/>
      </c>
    </row>
    <row r="144">
      <c r="A144" s="19" t="n">
        <v>279</v>
      </c>
      <c r="B144" s="20">
        <f>IFERROR(INDEX(Sheet1!I:I,MATCH(A144,Sheet1!A:A,0)),"")</f>
        <v/>
      </c>
      <c r="C144" s="21">
        <f>IFERROR(INDEX(Sheet3!D:D,MATCH(A144,Sheet3!A:A,0)),"")</f>
        <v/>
      </c>
      <c r="D144" s="22">
        <f>IFERROR(INDEX(Sheet3!G:G,MATCH(A144,Sheet3!A:A,0)),"")</f>
        <v/>
      </c>
      <c r="E144" s="23">
        <f>IFERROR(INDEX(Sheet3!H:H,MATCH(A144,Sheet3!A:A,0)),"")</f>
        <v/>
      </c>
    </row>
    <row r="145">
      <c r="A145" s="19" t="n">
        <v>280</v>
      </c>
      <c r="B145" s="20">
        <f>IFERROR(INDEX(Sheet1!I:I,MATCH(A145,Sheet1!A:A,0)),"")</f>
        <v/>
      </c>
      <c r="C145" s="21">
        <f>IFERROR(INDEX(Sheet3!D:D,MATCH(A145,Sheet3!A:A,0)),"")</f>
        <v/>
      </c>
      <c r="D145" s="22">
        <f>IFERROR(INDEX(Sheet3!G:G,MATCH(A145,Sheet3!A:A,0)),"")</f>
        <v/>
      </c>
      <c r="E145" s="23">
        <f>IFERROR(INDEX(Sheet3!H:H,MATCH(A145,Sheet3!A:A,0)),"")</f>
        <v/>
      </c>
    </row>
    <row r="146">
      <c r="A146" s="19" t="n">
        <v>288</v>
      </c>
      <c r="B146" s="20">
        <f>IFERROR(INDEX(Sheet1!I:I,MATCH(A146,Sheet1!A:A,0)),"")</f>
        <v/>
      </c>
      <c r="C146" s="21">
        <f>IFERROR(INDEX(Sheet3!D:D,MATCH(A146,Sheet3!A:A,0)),"")</f>
        <v/>
      </c>
      <c r="D146" s="22">
        <f>IFERROR(INDEX(Sheet3!G:G,MATCH(A146,Sheet3!A:A,0)),"")</f>
        <v/>
      </c>
      <c r="E146" s="23">
        <f>IFERROR(INDEX(Sheet3!H:H,MATCH(A146,Sheet3!A:A,0)),"")</f>
        <v/>
      </c>
    </row>
    <row r="147">
      <c r="A147" s="19" t="n">
        <v>301</v>
      </c>
      <c r="B147" s="20">
        <f>IFERROR(INDEX(Sheet1!I:I,MATCH(A147,Sheet1!A:A,0)),"")</f>
        <v/>
      </c>
      <c r="C147" s="21">
        <f>IFERROR(INDEX(Sheet3!D:D,MATCH(A147,Sheet3!A:A,0)),"")</f>
        <v/>
      </c>
      <c r="D147" s="22">
        <f>IFERROR(INDEX(Sheet3!G:G,MATCH(A147,Sheet3!A:A,0)),"")</f>
        <v/>
      </c>
      <c r="E147" s="23">
        <f>IFERROR(INDEX(Sheet3!H:H,MATCH(A147,Sheet3!A:A,0)),"")</f>
        <v/>
      </c>
    </row>
    <row r="148">
      <c r="A148" s="19" t="n">
        <v>305</v>
      </c>
      <c r="B148" s="20">
        <f>IFERROR(INDEX(Sheet1!I:I,MATCH(A148,Sheet1!A:A,0)),"")</f>
        <v/>
      </c>
      <c r="C148" s="21">
        <f>IFERROR(INDEX(Sheet3!D:D,MATCH(A148,Sheet3!A:A,0)),"")</f>
        <v/>
      </c>
      <c r="D148" s="22">
        <f>IFERROR(INDEX(Sheet3!G:G,MATCH(A148,Sheet3!A:A,0)),"")</f>
        <v/>
      </c>
      <c r="E148" s="23">
        <f>IFERROR(INDEX(Sheet3!H:H,MATCH(A148,Sheet3!A:A,0)),"")</f>
        <v/>
      </c>
    </row>
    <row r="149">
      <c r="A149" s="19" t="n">
        <v>307</v>
      </c>
      <c r="B149" s="20">
        <f>IFERROR(INDEX(Sheet1!I:I,MATCH(A149,Sheet1!A:A,0)),"")</f>
        <v/>
      </c>
      <c r="C149" s="21">
        <f>IFERROR(INDEX(Sheet3!D:D,MATCH(A149,Sheet3!A:A,0)),"")</f>
        <v/>
      </c>
      <c r="D149" s="22">
        <f>IFERROR(INDEX(Sheet3!G:G,MATCH(A149,Sheet3!A:A,0)),"")</f>
        <v/>
      </c>
      <c r="E149" s="23">
        <f>IFERROR(INDEX(Sheet3!H:H,MATCH(A149,Sheet3!A:A,0)),"")</f>
        <v/>
      </c>
    </row>
    <row r="150">
      <c r="A150" s="19" t="n">
        <v>308</v>
      </c>
      <c r="B150" s="20">
        <f>IFERROR(INDEX(Sheet1!I:I,MATCH(A150,Sheet1!A:A,0)),"")</f>
        <v/>
      </c>
      <c r="C150" s="21">
        <f>IFERROR(INDEX(Sheet3!D:D,MATCH(A150,Sheet3!A:A,0)),"")</f>
        <v/>
      </c>
      <c r="D150" s="22">
        <f>IFERROR(INDEX(Sheet3!G:G,MATCH(A150,Sheet3!A:A,0)),"")</f>
        <v/>
      </c>
      <c r="E150" s="23">
        <f>IFERROR(INDEX(Sheet3!H:H,MATCH(A150,Sheet3!A:A,0)),"")</f>
        <v/>
      </c>
    </row>
    <row r="151">
      <c r="A151" s="19" t="n">
        <v>309</v>
      </c>
      <c r="B151" s="20">
        <f>IFERROR(INDEX(Sheet1!I:I,MATCH(A151,Sheet1!A:A,0)),"")</f>
        <v/>
      </c>
      <c r="C151" s="21">
        <f>IFERROR(INDEX(Sheet3!D:D,MATCH(A151,Sheet3!A:A,0)),"")</f>
        <v/>
      </c>
      <c r="D151" s="22">
        <f>IFERROR(INDEX(Sheet3!G:G,MATCH(A151,Sheet3!A:A,0)),"")</f>
        <v/>
      </c>
      <c r="E151" s="23">
        <f>IFERROR(INDEX(Sheet3!H:H,MATCH(A151,Sheet3!A:A,0)),"")</f>
        <v/>
      </c>
    </row>
    <row r="152">
      <c r="A152" s="19" t="n">
        <v>310</v>
      </c>
      <c r="B152" s="20">
        <f>IFERROR(INDEX(Sheet1!I:I,MATCH(A152,Sheet1!A:A,0)),"")</f>
        <v/>
      </c>
      <c r="C152" s="21">
        <f>IFERROR(INDEX(Sheet3!D:D,MATCH(A152,Sheet3!A:A,0)),"")</f>
        <v/>
      </c>
      <c r="D152" s="22">
        <f>IFERROR(INDEX(Sheet3!G:G,MATCH(A152,Sheet3!A:A,0)),"")</f>
        <v/>
      </c>
      <c r="E152" s="23">
        <f>IFERROR(INDEX(Sheet3!H:H,MATCH(A152,Sheet3!A:A,0)),"")</f>
        <v/>
      </c>
    </row>
    <row r="153">
      <c r="A153" s="19" t="n">
        <v>314</v>
      </c>
      <c r="B153" s="20">
        <f>IFERROR(INDEX(Sheet1!I:I,MATCH(A153,Sheet1!A:A,0)),"")</f>
        <v/>
      </c>
      <c r="C153" s="21">
        <f>IFERROR(INDEX(Sheet3!D:D,MATCH(A153,Sheet3!A:A,0)),"")</f>
        <v/>
      </c>
      <c r="D153" s="22">
        <f>IFERROR(INDEX(Sheet3!G:G,MATCH(A153,Sheet3!A:A,0)),"")</f>
        <v/>
      </c>
      <c r="E153" s="23">
        <f>IFERROR(INDEX(Sheet3!H:H,MATCH(A153,Sheet3!A:A,0)),"")</f>
        <v/>
      </c>
    </row>
    <row r="154">
      <c r="A154" s="19" t="n">
        <v>316</v>
      </c>
      <c r="B154" s="20">
        <f>IFERROR(INDEX(Sheet1!I:I,MATCH(A154,Sheet1!A:A,0)),"")</f>
        <v/>
      </c>
      <c r="C154" s="21">
        <f>IFERROR(INDEX(Sheet3!D:D,MATCH(A154,Sheet3!A:A,0)),"")</f>
        <v/>
      </c>
      <c r="D154" s="22">
        <f>IFERROR(INDEX(Sheet3!G:G,MATCH(A154,Sheet3!A:A,0)),"")</f>
        <v/>
      </c>
      <c r="E154" s="23">
        <f>IFERROR(INDEX(Sheet3!H:H,MATCH(A154,Sheet3!A:A,0)),"")</f>
        <v/>
      </c>
    </row>
    <row r="155">
      <c r="A155" s="19" t="n">
        <v>317</v>
      </c>
      <c r="B155" s="20">
        <f>IFERROR(INDEX(Sheet1!I:I,MATCH(A155,Sheet1!A:A,0)),"")</f>
        <v/>
      </c>
      <c r="C155" s="21">
        <f>IFERROR(INDEX(Sheet3!D:D,MATCH(A155,Sheet3!A:A,0)),"")</f>
        <v/>
      </c>
      <c r="D155" s="22">
        <f>IFERROR(INDEX(Sheet3!G:G,MATCH(A155,Sheet3!A:A,0)),"")</f>
        <v/>
      </c>
      <c r="E155" s="23">
        <f>IFERROR(INDEX(Sheet3!H:H,MATCH(A155,Sheet3!A:A,0)),"")</f>
        <v/>
      </c>
    </row>
    <row r="156">
      <c r="A156" s="19" t="n">
        <v>319</v>
      </c>
      <c r="B156" s="20">
        <f>IFERROR(INDEX(Sheet1!I:I,MATCH(A156,Sheet1!A:A,0)),"")</f>
        <v/>
      </c>
      <c r="C156" s="21">
        <f>IFERROR(INDEX(Sheet3!D:D,MATCH(A156,Sheet3!A:A,0)),"")</f>
        <v/>
      </c>
      <c r="D156" s="22">
        <f>IFERROR(INDEX(Sheet3!G:G,MATCH(A156,Sheet3!A:A,0)),"")</f>
        <v/>
      </c>
      <c r="E156" s="23">
        <f>IFERROR(INDEX(Sheet3!H:H,MATCH(A156,Sheet3!A:A,0)),"")</f>
        <v/>
      </c>
    </row>
    <row r="157">
      <c r="A157" s="19" t="n">
        <v>321</v>
      </c>
      <c r="B157" s="20">
        <f>IFERROR(INDEX(Sheet1!I:I,MATCH(A157,Sheet1!A:A,0)),"")</f>
        <v/>
      </c>
      <c r="C157" s="21">
        <f>IFERROR(INDEX(Sheet3!D:D,MATCH(A157,Sheet3!A:A,0)),"")</f>
        <v/>
      </c>
      <c r="D157" s="22">
        <f>IFERROR(INDEX(Sheet3!G:G,MATCH(A157,Sheet3!A:A,0)),"")</f>
        <v/>
      </c>
      <c r="E157" s="23">
        <f>IFERROR(INDEX(Sheet3!H:H,MATCH(A157,Sheet3!A:A,0)),"")</f>
        <v/>
      </c>
    </row>
    <row r="158">
      <c r="A158" s="19" t="n">
        <v>323</v>
      </c>
      <c r="B158" s="20">
        <f>IFERROR(INDEX(Sheet1!I:I,MATCH(A158,Sheet1!A:A,0)),"")</f>
        <v/>
      </c>
      <c r="C158" s="21">
        <f>IFERROR(INDEX(Sheet3!D:D,MATCH(A158,Sheet3!A:A,0)),"")</f>
        <v/>
      </c>
      <c r="D158" s="22">
        <f>IFERROR(INDEX(Sheet3!G:G,MATCH(A158,Sheet3!A:A,0)),"")</f>
        <v/>
      </c>
      <c r="E158" s="23">
        <f>IFERROR(INDEX(Sheet3!H:H,MATCH(A158,Sheet3!A:A,0)),"")</f>
        <v/>
      </c>
    </row>
    <row r="159">
      <c r="A159" s="19" t="n">
        <v>324</v>
      </c>
      <c r="B159" s="20">
        <f>IFERROR(INDEX(Sheet1!I:I,MATCH(A159,Sheet1!A:A,0)),"")</f>
        <v/>
      </c>
      <c r="C159" s="21">
        <f>IFERROR(INDEX(Sheet3!D:D,MATCH(A159,Sheet3!A:A,0)),"")</f>
        <v/>
      </c>
      <c r="D159" s="22">
        <f>IFERROR(INDEX(Sheet3!G:G,MATCH(A159,Sheet3!A:A,0)),"")</f>
        <v/>
      </c>
      <c r="E159" s="23">
        <f>IFERROR(INDEX(Sheet3!H:H,MATCH(A159,Sheet3!A:A,0)),"")</f>
        <v/>
      </c>
    </row>
    <row r="160">
      <c r="A160" s="19" t="n">
        <v>327</v>
      </c>
      <c r="B160" s="20">
        <f>IFERROR(INDEX(Sheet1!I:I,MATCH(A160,Sheet1!A:A,0)),"")</f>
        <v/>
      </c>
      <c r="C160" s="21">
        <f>IFERROR(INDEX(Sheet3!D:D,MATCH(A160,Sheet3!A:A,0)),"")</f>
        <v/>
      </c>
      <c r="D160" s="22">
        <f>IFERROR(INDEX(Sheet3!G:G,MATCH(A160,Sheet3!A:A,0)),"")</f>
        <v/>
      </c>
      <c r="E160" s="23">
        <f>IFERROR(INDEX(Sheet3!H:H,MATCH(A160,Sheet3!A:A,0)),"")</f>
        <v/>
      </c>
    </row>
    <row r="161">
      <c r="A161" s="19" t="n">
        <v>328</v>
      </c>
      <c r="B161" s="20">
        <f>IFERROR(INDEX(Sheet1!I:I,MATCH(A161,Sheet1!A:A,0)),"")</f>
        <v/>
      </c>
      <c r="C161" s="21">
        <f>IFERROR(INDEX(Sheet3!D:D,MATCH(A161,Sheet3!A:A,0)),"")</f>
        <v/>
      </c>
      <c r="D161" s="22">
        <f>IFERROR(INDEX(Sheet3!G:G,MATCH(A161,Sheet3!A:A,0)),"")</f>
        <v/>
      </c>
      <c r="E161" s="23">
        <f>IFERROR(INDEX(Sheet3!H:H,MATCH(A161,Sheet3!A:A,0)),"")</f>
        <v/>
      </c>
    </row>
    <row r="162">
      <c r="A162" s="19" t="n">
        <v>329</v>
      </c>
      <c r="B162" s="20">
        <f>IFERROR(INDEX(Sheet1!I:I,MATCH(A162,Sheet1!A:A,0)),"")</f>
        <v/>
      </c>
      <c r="C162" s="21">
        <f>IFERROR(INDEX(Sheet3!D:D,MATCH(A162,Sheet3!A:A,0)),"")</f>
        <v/>
      </c>
      <c r="D162" s="22">
        <f>IFERROR(INDEX(Sheet3!G:G,MATCH(A162,Sheet3!A:A,0)),"")</f>
        <v/>
      </c>
      <c r="E162" s="23">
        <f>IFERROR(INDEX(Sheet3!H:H,MATCH(A162,Sheet3!A:A,0)),"")</f>
        <v/>
      </c>
    </row>
    <row r="163">
      <c r="A163" s="19" t="n">
        <v>330</v>
      </c>
      <c r="B163" s="20">
        <f>IFERROR(INDEX(Sheet1!I:I,MATCH(A163,Sheet1!A:A,0)),"")</f>
        <v/>
      </c>
      <c r="C163" s="21">
        <f>IFERROR(INDEX(Sheet3!D:D,MATCH(A163,Sheet3!A:A,0)),"")</f>
        <v/>
      </c>
      <c r="D163" s="22">
        <f>IFERROR(INDEX(Sheet3!G:G,MATCH(A163,Sheet3!A:A,0)),"")</f>
        <v/>
      </c>
      <c r="E163" s="23">
        <f>IFERROR(INDEX(Sheet3!H:H,MATCH(A163,Sheet3!A:A,0)),"")</f>
        <v/>
      </c>
    </row>
    <row r="164">
      <c r="A164" s="19" t="n">
        <v>331</v>
      </c>
      <c r="B164" s="20">
        <f>IFERROR(INDEX(Sheet1!I:I,MATCH(A164,Sheet1!A:A,0)),"")</f>
        <v/>
      </c>
      <c r="C164" s="21">
        <f>IFERROR(INDEX(Sheet3!D:D,MATCH(A164,Sheet3!A:A,0)),"")</f>
        <v/>
      </c>
      <c r="D164" s="22">
        <f>IFERROR(INDEX(Sheet3!G:G,MATCH(A164,Sheet3!A:A,0)),"")</f>
        <v/>
      </c>
      <c r="E164" s="23">
        <f>IFERROR(INDEX(Sheet3!H:H,MATCH(A164,Sheet3!A:A,0)),"")</f>
        <v/>
      </c>
    </row>
    <row r="165">
      <c r="A165" s="19" t="n">
        <v>332</v>
      </c>
      <c r="B165" s="20">
        <f>IFERROR(INDEX(Sheet1!I:I,MATCH(A165,Sheet1!A:A,0)),"")</f>
        <v/>
      </c>
      <c r="C165" s="21">
        <f>IFERROR(INDEX(Sheet3!D:D,MATCH(A165,Sheet3!A:A,0)),"")</f>
        <v/>
      </c>
      <c r="D165" s="22">
        <f>IFERROR(INDEX(Sheet3!G:G,MATCH(A165,Sheet3!A:A,0)),"")</f>
        <v/>
      </c>
      <c r="E165" s="23">
        <f>IFERROR(INDEX(Sheet3!H:H,MATCH(A165,Sheet3!A:A,0)),"")</f>
        <v/>
      </c>
    </row>
    <row r="166">
      <c r="A166" s="19" t="n">
        <v>333</v>
      </c>
      <c r="B166" s="20">
        <f>IFERROR(INDEX(Sheet1!I:I,MATCH(A166,Sheet1!A:A,0)),"")</f>
        <v/>
      </c>
      <c r="C166" s="21">
        <f>IFERROR(INDEX(Sheet3!D:D,MATCH(A166,Sheet3!A:A,0)),"")</f>
        <v/>
      </c>
      <c r="D166" s="22">
        <f>IFERROR(INDEX(Sheet3!G:G,MATCH(A166,Sheet3!A:A,0)),"")</f>
        <v/>
      </c>
      <c r="E166" s="23">
        <f>IFERROR(INDEX(Sheet3!H:H,MATCH(A166,Sheet3!A:A,0)),"")</f>
        <v/>
      </c>
    </row>
    <row r="167">
      <c r="A167" s="19" t="n">
        <v>334</v>
      </c>
      <c r="B167" s="20">
        <f>IFERROR(INDEX(Sheet1!I:I,MATCH(A167,Sheet1!A:A,0)),"")</f>
        <v/>
      </c>
      <c r="C167" s="21">
        <f>IFERROR(INDEX(Sheet3!D:D,MATCH(A167,Sheet3!A:A,0)),"")</f>
        <v/>
      </c>
      <c r="D167" s="22">
        <f>IFERROR(INDEX(Sheet3!G:G,MATCH(A167,Sheet3!A:A,0)),"")</f>
        <v/>
      </c>
      <c r="E167" s="23">
        <f>IFERROR(INDEX(Sheet3!H:H,MATCH(A167,Sheet3!A:A,0)),"")</f>
        <v/>
      </c>
    </row>
    <row r="168">
      <c r="A168" s="19" t="n">
        <v>340</v>
      </c>
      <c r="B168" s="20">
        <f>IFERROR(INDEX(Sheet1!I:I,MATCH(A168,Sheet1!A:A,0)),"")</f>
        <v/>
      </c>
      <c r="C168" s="21">
        <f>IFERROR(INDEX(Sheet3!D:D,MATCH(A168,Sheet3!A:A,0)),"")</f>
        <v/>
      </c>
      <c r="D168" s="22">
        <f>IFERROR(INDEX(Sheet3!G:G,MATCH(A168,Sheet3!A:A,0)),"")</f>
        <v/>
      </c>
      <c r="E168" s="23">
        <f>IFERROR(INDEX(Sheet3!H:H,MATCH(A168,Sheet3!A:A,0)),"")</f>
        <v/>
      </c>
    </row>
    <row r="169">
      <c r="A169" s="19" t="n">
        <v>351</v>
      </c>
      <c r="B169" s="20">
        <f>IFERROR(INDEX(Sheet1!I:I,MATCH(A169,Sheet1!A:A,0)),"")</f>
        <v/>
      </c>
      <c r="C169" s="21">
        <f>IFERROR(INDEX(Sheet3!D:D,MATCH(A169,Sheet3!A:A,0)),"")</f>
        <v/>
      </c>
      <c r="D169" s="22">
        <f>IFERROR(INDEX(Sheet3!G:G,MATCH(A169,Sheet3!A:A,0)),"")</f>
        <v/>
      </c>
      <c r="E169" s="23">
        <f>IFERROR(INDEX(Sheet3!H:H,MATCH(A169,Sheet3!A:A,0)),"")</f>
        <v/>
      </c>
    </row>
    <row r="170">
      <c r="A170" s="19" t="n">
        <v>357</v>
      </c>
      <c r="B170" s="20">
        <f>IFERROR(INDEX(Sheet1!I:I,MATCH(A170,Sheet1!A:A,0)),"")</f>
        <v/>
      </c>
      <c r="C170" s="21">
        <f>IFERROR(INDEX(Sheet3!D:D,MATCH(A170,Sheet3!A:A,0)),"")</f>
        <v/>
      </c>
      <c r="D170" s="22">
        <f>IFERROR(INDEX(Sheet3!G:G,MATCH(A170,Sheet3!A:A,0)),"")</f>
        <v/>
      </c>
      <c r="E170" s="23">
        <f>IFERROR(INDEX(Sheet3!H:H,MATCH(A170,Sheet3!A:A,0)),"")</f>
        <v/>
      </c>
    </row>
    <row r="171">
      <c r="A171" s="19" t="n">
        <v>358</v>
      </c>
      <c r="B171" s="20">
        <f>IFERROR(INDEX(Sheet1!I:I,MATCH(A171,Sheet1!A:A,0)),"")</f>
        <v/>
      </c>
      <c r="C171" s="21">
        <f>IFERROR(INDEX(Sheet3!D:D,MATCH(A171,Sheet3!A:A,0)),"")</f>
        <v/>
      </c>
      <c r="D171" s="22">
        <f>IFERROR(INDEX(Sheet3!G:G,MATCH(A171,Sheet3!A:A,0)),"")</f>
        <v/>
      </c>
      <c r="E171" s="23">
        <f>IFERROR(INDEX(Sheet3!H:H,MATCH(A171,Sheet3!A:A,0)),"")</f>
        <v/>
      </c>
    </row>
    <row r="172">
      <c r="A172" s="19" t="n">
        <v>361</v>
      </c>
      <c r="B172" s="20">
        <f>IFERROR(INDEX(Sheet1!I:I,MATCH(A172,Sheet1!A:A,0)),"")</f>
        <v/>
      </c>
      <c r="C172" s="21">
        <f>IFERROR(INDEX(Sheet3!D:D,MATCH(A172,Sheet3!A:A,0)),"")</f>
        <v/>
      </c>
      <c r="D172" s="22">
        <f>IFERROR(INDEX(Sheet3!G:G,MATCH(A172,Sheet3!A:A,0)),"")</f>
        <v/>
      </c>
      <c r="E172" s="23">
        <f>IFERROR(INDEX(Sheet3!H:H,MATCH(A172,Sheet3!A:A,0)),"")</f>
        <v/>
      </c>
    </row>
    <row r="173">
      <c r="A173" s="19" t="n">
        <v>362</v>
      </c>
      <c r="B173" s="20">
        <f>IFERROR(INDEX(Sheet1!I:I,MATCH(A173,Sheet1!A:A,0)),"")</f>
        <v/>
      </c>
      <c r="C173" s="21">
        <f>IFERROR(INDEX(Sheet3!D:D,MATCH(A173,Sheet3!A:A,0)),"")</f>
        <v/>
      </c>
      <c r="D173" s="22">
        <f>IFERROR(INDEX(Sheet3!G:G,MATCH(A173,Sheet3!A:A,0)),"")</f>
        <v/>
      </c>
      <c r="E173" s="23">
        <f>IFERROR(INDEX(Sheet3!H:H,MATCH(A173,Sheet3!A:A,0)),"")</f>
        <v/>
      </c>
    </row>
    <row r="174">
      <c r="A174" s="19" t="n">
        <v>365</v>
      </c>
      <c r="B174" s="20">
        <f>IFERROR(INDEX(Sheet1!I:I,MATCH(A174,Sheet1!A:A,0)),"")</f>
        <v/>
      </c>
      <c r="C174" s="21">
        <f>IFERROR(INDEX(Sheet3!D:D,MATCH(A174,Sheet3!A:A,0)),"")</f>
        <v/>
      </c>
      <c r="D174" s="22">
        <f>IFERROR(INDEX(Sheet3!G:G,MATCH(A174,Sheet3!A:A,0)),"")</f>
        <v/>
      </c>
      <c r="E174" s="23">
        <f>IFERROR(INDEX(Sheet3!H:H,MATCH(A174,Sheet3!A:A,0)),"")</f>
        <v/>
      </c>
    </row>
    <row r="175">
      <c r="A175" s="19" t="n">
        <v>369</v>
      </c>
      <c r="B175" s="20">
        <f>IFERROR(INDEX(Sheet1!I:I,MATCH(A175,Sheet1!A:A,0)),"")</f>
        <v/>
      </c>
      <c r="C175" s="21">
        <f>IFERROR(INDEX(Sheet3!D:D,MATCH(A175,Sheet3!A:A,0)),"")</f>
        <v/>
      </c>
      <c r="D175" s="22">
        <f>IFERROR(INDEX(Sheet3!G:G,MATCH(A175,Sheet3!A:A,0)),"")</f>
        <v/>
      </c>
      <c r="E175" s="23">
        <f>IFERROR(INDEX(Sheet3!H:H,MATCH(A175,Sheet3!A:A,0)),"")</f>
        <v/>
      </c>
    </row>
    <row r="176">
      <c r="A176" s="19" t="n">
        <v>370</v>
      </c>
      <c r="B176" s="20">
        <f>IFERROR(INDEX(Sheet1!I:I,MATCH(A176,Sheet1!A:A,0)),"")</f>
        <v/>
      </c>
      <c r="C176" s="21">
        <f>IFERROR(INDEX(Sheet3!D:D,MATCH(A176,Sheet3!A:A,0)),"")</f>
        <v/>
      </c>
      <c r="D176" s="22">
        <f>IFERROR(INDEX(Sheet3!G:G,MATCH(A176,Sheet3!A:A,0)),"")</f>
        <v/>
      </c>
      <c r="E176" s="23">
        <f>IFERROR(INDEX(Sheet3!H:H,MATCH(A176,Sheet3!A:A,0)),"")</f>
        <v/>
      </c>
    </row>
    <row r="177">
      <c r="A177" s="19" t="n">
        <v>371</v>
      </c>
      <c r="B177" s="20">
        <f>IFERROR(INDEX(Sheet1!I:I,MATCH(A177,Sheet1!A:A,0)),"")</f>
        <v/>
      </c>
      <c r="C177" s="21">
        <f>IFERROR(INDEX(Sheet3!D:D,MATCH(A177,Sheet3!A:A,0)),"")</f>
        <v/>
      </c>
      <c r="D177" s="22">
        <f>IFERROR(INDEX(Sheet3!G:G,MATCH(A177,Sheet3!A:A,0)),"")</f>
        <v/>
      </c>
      <c r="E177" s="23">
        <f>IFERROR(INDEX(Sheet3!H:H,MATCH(A177,Sheet3!A:A,0)),"")</f>
        <v/>
      </c>
    </row>
    <row r="178">
      <c r="A178" s="19" t="n">
        <v>372</v>
      </c>
      <c r="B178" s="20">
        <f>IFERROR(INDEX(Sheet1!I:I,MATCH(A178,Sheet1!A:A,0)),"")</f>
        <v/>
      </c>
      <c r="C178" s="21">
        <f>IFERROR(INDEX(Sheet3!D:D,MATCH(A178,Sheet3!A:A,0)),"")</f>
        <v/>
      </c>
      <c r="D178" s="22">
        <f>IFERROR(INDEX(Sheet3!G:G,MATCH(A178,Sheet3!A:A,0)),"")</f>
        <v/>
      </c>
      <c r="E178" s="23">
        <f>IFERROR(INDEX(Sheet3!H:H,MATCH(A178,Sheet3!A:A,0)),"")</f>
        <v/>
      </c>
    </row>
    <row r="179">
      <c r="A179" s="19" t="n">
        <v>374</v>
      </c>
      <c r="B179" s="20">
        <f>IFERROR(INDEX(Sheet1!I:I,MATCH(A179,Sheet1!A:A,0)),"")</f>
        <v/>
      </c>
      <c r="C179" s="21">
        <f>IFERROR(INDEX(Sheet3!D:D,MATCH(A179,Sheet3!A:A,0)),"")</f>
        <v/>
      </c>
      <c r="D179" s="22">
        <f>IFERROR(INDEX(Sheet3!G:G,MATCH(A179,Sheet3!A:A,0)),"")</f>
        <v/>
      </c>
      <c r="E179" s="23">
        <f>IFERROR(INDEX(Sheet3!H:H,MATCH(A179,Sheet3!A:A,0)),"")</f>
        <v/>
      </c>
    </row>
    <row r="180">
      <c r="A180" s="19" t="n">
        <v>375</v>
      </c>
      <c r="B180" s="20">
        <f>IFERROR(INDEX(Sheet1!I:I,MATCH(A180,Sheet1!A:A,0)),"")</f>
        <v/>
      </c>
      <c r="C180" s="21">
        <f>IFERROR(INDEX(Sheet3!D:D,MATCH(A180,Sheet3!A:A,0)),"")</f>
        <v/>
      </c>
      <c r="D180" s="22">
        <f>IFERROR(INDEX(Sheet3!G:G,MATCH(A180,Sheet3!A:A,0)),"")</f>
        <v/>
      </c>
      <c r="E180" s="23">
        <f>IFERROR(INDEX(Sheet3!H:H,MATCH(A180,Sheet3!A:A,0)),"")</f>
        <v/>
      </c>
    </row>
    <row r="181">
      <c r="A181" s="19" t="n">
        <v>376</v>
      </c>
      <c r="B181" s="20">
        <f>IFERROR(INDEX(Sheet1!I:I,MATCH(A181,Sheet1!A:A,0)),"")</f>
        <v/>
      </c>
      <c r="C181" s="21">
        <f>IFERROR(INDEX(Sheet3!D:D,MATCH(A181,Sheet3!A:A,0)),"")</f>
        <v/>
      </c>
      <c r="D181" s="22">
        <f>IFERROR(INDEX(Sheet3!G:G,MATCH(A181,Sheet3!A:A,0)),"")</f>
        <v/>
      </c>
      <c r="E181" s="23">
        <f>IFERROR(INDEX(Sheet3!H:H,MATCH(A181,Sheet3!A:A,0)),"")</f>
        <v/>
      </c>
    </row>
    <row r="182">
      <c r="A182" s="19" t="n">
        <v>377</v>
      </c>
      <c r="B182" s="20">
        <f>IFERROR(INDEX(Sheet1!I:I,MATCH(A182,Sheet1!A:A,0)),"")</f>
        <v/>
      </c>
      <c r="C182" s="21">
        <f>IFERROR(INDEX(Sheet3!D:D,MATCH(A182,Sheet3!A:A,0)),"")</f>
        <v/>
      </c>
      <c r="D182" s="22">
        <f>IFERROR(INDEX(Sheet3!G:G,MATCH(A182,Sheet3!A:A,0)),"")</f>
        <v/>
      </c>
      <c r="E182" s="23">
        <f>IFERROR(INDEX(Sheet3!H:H,MATCH(A182,Sheet3!A:A,0)),"")</f>
        <v/>
      </c>
    </row>
    <row r="183">
      <c r="A183" s="19" t="n">
        <v>378</v>
      </c>
      <c r="B183" s="20">
        <f>IFERROR(INDEX(Sheet1!I:I,MATCH(A183,Sheet1!A:A,0)),"")</f>
        <v/>
      </c>
      <c r="C183" s="21">
        <f>IFERROR(INDEX(Sheet3!D:D,MATCH(A183,Sheet3!A:A,0)),"")</f>
        <v/>
      </c>
      <c r="D183" s="22">
        <f>IFERROR(INDEX(Sheet3!G:G,MATCH(A183,Sheet3!A:A,0)),"")</f>
        <v/>
      </c>
      <c r="E183" s="23">
        <f>IFERROR(INDEX(Sheet3!H:H,MATCH(A183,Sheet3!A:A,0)),"")</f>
        <v/>
      </c>
    </row>
    <row r="184">
      <c r="A184" s="19" t="n">
        <v>379</v>
      </c>
      <c r="B184" s="20">
        <f>IFERROR(INDEX(Sheet1!I:I,MATCH(A184,Sheet1!A:A,0)),"")</f>
        <v/>
      </c>
      <c r="C184" s="21">
        <f>IFERROR(INDEX(Sheet3!D:D,MATCH(A184,Sheet3!A:A,0)),"")</f>
        <v/>
      </c>
      <c r="D184" s="22">
        <f>IFERROR(INDEX(Sheet3!G:G,MATCH(A184,Sheet3!A:A,0)),"")</f>
        <v/>
      </c>
      <c r="E184" s="23">
        <f>IFERROR(INDEX(Sheet3!H:H,MATCH(A184,Sheet3!A:A,0)),"")</f>
        <v/>
      </c>
    </row>
    <row r="185">
      <c r="A185" s="19" t="n">
        <v>380</v>
      </c>
      <c r="B185" s="20">
        <f>IFERROR(INDEX(Sheet1!I:I,MATCH(A185,Sheet1!A:A,0)),"")</f>
        <v/>
      </c>
      <c r="C185" s="21">
        <f>IFERROR(INDEX(Sheet3!D:D,MATCH(A185,Sheet3!A:A,0)),"")</f>
        <v/>
      </c>
      <c r="D185" s="22">
        <f>IFERROR(INDEX(Sheet3!G:G,MATCH(A185,Sheet3!A:A,0)),"")</f>
        <v/>
      </c>
      <c r="E185" s="23">
        <f>IFERROR(INDEX(Sheet3!H:H,MATCH(A185,Sheet3!A:A,0)),"")</f>
        <v/>
      </c>
    </row>
    <row r="186">
      <c r="A186" s="19" t="n">
        <v>384</v>
      </c>
      <c r="B186" s="20">
        <f>IFERROR(INDEX(Sheet1!I:I,MATCH(A186,Sheet1!A:A,0)),"")</f>
        <v/>
      </c>
      <c r="C186" s="21">
        <f>IFERROR(INDEX(Sheet3!D:D,MATCH(A186,Sheet3!A:A,0)),"")</f>
        <v/>
      </c>
      <c r="D186" s="22">
        <f>IFERROR(INDEX(Sheet3!G:G,MATCH(A186,Sheet3!A:A,0)),"")</f>
        <v/>
      </c>
      <c r="E186" s="23">
        <f>IFERROR(INDEX(Sheet3!H:H,MATCH(A186,Sheet3!A:A,0)),"")</f>
        <v/>
      </c>
    </row>
    <row r="187">
      <c r="A187" s="19" t="n">
        <v>387</v>
      </c>
      <c r="B187" s="20">
        <f>IFERROR(INDEX(Sheet1!I:I,MATCH(A187,Sheet1!A:A,0)),"")</f>
        <v/>
      </c>
      <c r="C187" s="21">
        <f>IFERROR(INDEX(Sheet3!D:D,MATCH(A187,Sheet3!A:A,0)),"")</f>
        <v/>
      </c>
      <c r="D187" s="22">
        <f>IFERROR(INDEX(Sheet3!G:G,MATCH(A187,Sheet3!A:A,0)),"")</f>
        <v/>
      </c>
      <c r="E187" s="23">
        <f>IFERROR(INDEX(Sheet3!H:H,MATCH(A187,Sheet3!A:A,0)),"")</f>
        <v/>
      </c>
    </row>
    <row r="188">
      <c r="A188" s="19" t="n">
        <v>389</v>
      </c>
      <c r="B188" s="20">
        <f>IFERROR(INDEX(Sheet1!I:I,MATCH(A188,Sheet1!A:A,0)),"")</f>
        <v/>
      </c>
      <c r="C188" s="21">
        <f>IFERROR(INDEX(Sheet3!D:D,MATCH(A188,Sheet3!A:A,0)),"")</f>
        <v/>
      </c>
      <c r="D188" s="22">
        <f>IFERROR(INDEX(Sheet3!G:G,MATCH(A188,Sheet3!A:A,0)),"")</f>
        <v/>
      </c>
      <c r="E188" s="23">
        <f>IFERROR(INDEX(Sheet3!H:H,MATCH(A188,Sheet3!A:A,0)),"")</f>
        <v/>
      </c>
    </row>
    <row r="189">
      <c r="A189" s="19" t="n">
        <v>391</v>
      </c>
      <c r="B189" s="20">
        <f>IFERROR(INDEX(Sheet1!I:I,MATCH(A189,Sheet1!A:A,0)),"")</f>
        <v/>
      </c>
      <c r="C189" s="21">
        <f>IFERROR(INDEX(Sheet3!D:D,MATCH(A189,Sheet3!A:A,0)),"")</f>
        <v/>
      </c>
      <c r="D189" s="22">
        <f>IFERROR(INDEX(Sheet3!G:G,MATCH(A189,Sheet3!A:A,0)),"")</f>
        <v/>
      </c>
      <c r="E189" s="23">
        <f>IFERROR(INDEX(Sheet3!H:H,MATCH(A189,Sheet3!A:A,0)),"")</f>
        <v/>
      </c>
    </row>
    <row r="190">
      <c r="A190" s="19" t="n">
        <v>392</v>
      </c>
      <c r="B190" s="20">
        <f>IFERROR(INDEX(Sheet1!I:I,MATCH(A190,Sheet1!A:A,0)),"")</f>
        <v/>
      </c>
      <c r="C190" s="21">
        <f>IFERROR(INDEX(Sheet3!D:D,MATCH(A190,Sheet3!A:A,0)),"")</f>
        <v/>
      </c>
      <c r="D190" s="22">
        <f>IFERROR(INDEX(Sheet3!G:G,MATCH(A190,Sheet3!A:A,0)),"")</f>
        <v/>
      </c>
      <c r="E190" s="23">
        <f>IFERROR(INDEX(Sheet3!H:H,MATCH(A190,Sheet3!A:A,0)),"")</f>
        <v/>
      </c>
    </row>
    <row r="191">
      <c r="A191" s="19" t="n">
        <v>393</v>
      </c>
      <c r="B191" s="20">
        <f>IFERROR(INDEX(Sheet1!I:I,MATCH(A191,Sheet1!A:A,0)),"")</f>
        <v/>
      </c>
      <c r="C191" s="21">
        <f>IFERROR(INDEX(Sheet3!D:D,MATCH(A191,Sheet3!A:A,0)),"")</f>
        <v/>
      </c>
      <c r="D191" s="22">
        <f>IFERROR(INDEX(Sheet3!G:G,MATCH(A191,Sheet3!A:A,0)),"")</f>
        <v/>
      </c>
      <c r="E191" s="23">
        <f>IFERROR(INDEX(Sheet3!H:H,MATCH(A191,Sheet3!A:A,0)),"")</f>
        <v/>
      </c>
    </row>
    <row r="192">
      <c r="A192" s="19" t="n">
        <v>394</v>
      </c>
      <c r="B192" s="20">
        <f>IFERROR(INDEX(Sheet1!I:I,MATCH(A192,Sheet1!A:A,0)),"")</f>
        <v/>
      </c>
      <c r="C192" s="21">
        <f>IFERROR(INDEX(Sheet3!D:D,MATCH(A192,Sheet3!A:A,0)),"")</f>
        <v/>
      </c>
      <c r="D192" s="22">
        <f>IFERROR(INDEX(Sheet3!G:G,MATCH(A192,Sheet3!A:A,0)),"")</f>
        <v/>
      </c>
      <c r="E192" s="23">
        <f>IFERROR(INDEX(Sheet3!H:H,MATCH(A192,Sheet3!A:A,0)),"")</f>
        <v/>
      </c>
    </row>
    <row r="193">
      <c r="A193" s="19" t="n">
        <v>396</v>
      </c>
      <c r="B193" s="20">
        <f>IFERROR(INDEX(Sheet1!I:I,MATCH(A193,Sheet1!A:A,0)),"")</f>
        <v/>
      </c>
      <c r="C193" s="21">
        <f>IFERROR(INDEX(Sheet3!D:D,MATCH(A193,Sheet3!A:A,0)),"")</f>
        <v/>
      </c>
      <c r="D193" s="22">
        <f>IFERROR(INDEX(Sheet3!G:G,MATCH(A193,Sheet3!A:A,0)),"")</f>
        <v/>
      </c>
      <c r="E193" s="23">
        <f>IFERROR(INDEX(Sheet3!H:H,MATCH(A193,Sheet3!A:A,0)),"")</f>
        <v/>
      </c>
    </row>
    <row r="194">
      <c r="A194" s="19" t="n">
        <v>399</v>
      </c>
      <c r="B194" s="20">
        <f>IFERROR(INDEX(Sheet1!I:I,MATCH(A194,Sheet1!A:A,0)),"")</f>
        <v/>
      </c>
      <c r="C194" s="21">
        <f>IFERROR(INDEX(Sheet3!D:D,MATCH(A194,Sheet3!A:A,0)),"")</f>
        <v/>
      </c>
      <c r="D194" s="22">
        <f>IFERROR(INDEX(Sheet3!G:G,MATCH(A194,Sheet3!A:A,0)),"")</f>
        <v/>
      </c>
      <c r="E194" s="23">
        <f>IFERROR(INDEX(Sheet3!H:H,MATCH(A194,Sheet3!A:A,0)),"")</f>
        <v/>
      </c>
    </row>
    <row r="195">
      <c r="A195" s="19" t="n">
        <v>400</v>
      </c>
      <c r="B195" s="20">
        <f>IFERROR(INDEX(Sheet1!I:I,MATCH(A195,Sheet1!A:A,0)),"")</f>
        <v/>
      </c>
      <c r="C195" s="21">
        <f>IFERROR(INDEX(Sheet3!D:D,MATCH(A195,Sheet3!A:A,0)),"")</f>
        <v/>
      </c>
      <c r="D195" s="22">
        <f>IFERROR(INDEX(Sheet3!G:G,MATCH(A195,Sheet3!A:A,0)),"")</f>
        <v/>
      </c>
      <c r="E195" s="23">
        <f>IFERROR(INDEX(Sheet3!H:H,MATCH(A195,Sheet3!A:A,0)),"")</f>
        <v/>
      </c>
    </row>
    <row r="196">
      <c r="A196" s="19" t="n">
        <v>403</v>
      </c>
      <c r="B196" s="20">
        <f>IFERROR(INDEX(Sheet1!I:I,MATCH(A196,Sheet1!A:A,0)),"")</f>
        <v/>
      </c>
      <c r="C196" s="21">
        <f>IFERROR(INDEX(Sheet3!D:D,MATCH(A196,Sheet3!A:A,0)),"")</f>
        <v/>
      </c>
      <c r="D196" s="22">
        <f>IFERROR(INDEX(Sheet3!G:G,MATCH(A196,Sheet3!A:A,0)),"")</f>
        <v/>
      </c>
      <c r="E196" s="23">
        <f>IFERROR(INDEX(Sheet3!H:H,MATCH(A196,Sheet3!A:A,0)),"")</f>
        <v/>
      </c>
    </row>
    <row r="197">
      <c r="A197" s="19" t="n">
        <v>415</v>
      </c>
      <c r="B197" s="20">
        <f>IFERROR(INDEX(Sheet1!I:I,MATCH(A197,Sheet1!A:A,0)),"")</f>
        <v/>
      </c>
      <c r="C197" s="21">
        <f>IFERROR(INDEX(Sheet3!D:D,MATCH(A197,Sheet3!A:A,0)),"")</f>
        <v/>
      </c>
      <c r="D197" s="22">
        <f>IFERROR(INDEX(Sheet3!G:G,MATCH(A197,Sheet3!A:A,0)),"")</f>
        <v/>
      </c>
      <c r="E197" s="23">
        <f>IFERROR(INDEX(Sheet3!H:H,MATCH(A197,Sheet3!A:A,0)),"")</f>
        <v/>
      </c>
    </row>
    <row r="198">
      <c r="A198" s="19" t="n">
        <v>416</v>
      </c>
      <c r="B198" s="20">
        <f>IFERROR(INDEX(Sheet1!I:I,MATCH(A198,Sheet1!A:A,0)),"")</f>
        <v/>
      </c>
      <c r="C198" s="21">
        <f>IFERROR(INDEX(Sheet3!D:D,MATCH(A198,Sheet3!A:A,0)),"")</f>
        <v/>
      </c>
      <c r="D198" s="22">
        <f>IFERROR(INDEX(Sheet3!G:G,MATCH(A198,Sheet3!A:A,0)),"")</f>
        <v/>
      </c>
      <c r="E198" s="23">
        <f>IFERROR(INDEX(Sheet3!H:H,MATCH(A198,Sheet3!A:A,0)),"")</f>
        <v/>
      </c>
    </row>
    <row r="199">
      <c r="A199" s="19" t="n">
        <v>423</v>
      </c>
      <c r="B199" s="20">
        <f>IFERROR(INDEX(Sheet1!I:I,MATCH(A199,Sheet1!A:A,0)),"")</f>
        <v/>
      </c>
      <c r="C199" s="21">
        <f>IFERROR(INDEX(Sheet3!D:D,MATCH(A199,Sheet3!A:A,0)),"")</f>
        <v/>
      </c>
      <c r="D199" s="22">
        <f>IFERROR(INDEX(Sheet3!G:G,MATCH(A199,Sheet3!A:A,0)),"")</f>
        <v/>
      </c>
      <c r="E199" s="23">
        <f>IFERROR(INDEX(Sheet3!H:H,MATCH(A199,Sheet3!A:A,0)),"")</f>
        <v/>
      </c>
    </row>
    <row r="200">
      <c r="A200" s="19" t="n">
        <v>424</v>
      </c>
      <c r="B200" s="20">
        <f>IFERROR(INDEX(Sheet1!I:I,MATCH(A200,Sheet1!A:A,0)),"")</f>
        <v/>
      </c>
      <c r="C200" s="21">
        <f>IFERROR(INDEX(Sheet3!D:D,MATCH(A200,Sheet3!A:A,0)),"")</f>
        <v/>
      </c>
      <c r="D200" s="22">
        <f>IFERROR(INDEX(Sheet3!G:G,MATCH(A200,Sheet3!A:A,0)),"")</f>
        <v/>
      </c>
      <c r="E200" s="23">
        <f>IFERROR(INDEX(Sheet3!H:H,MATCH(A200,Sheet3!A:A,0)),"")</f>
        <v/>
      </c>
    </row>
    <row r="201">
      <c r="A201" s="19" t="n">
        <v>425</v>
      </c>
      <c r="B201" s="20">
        <f>IFERROR(INDEX(Sheet1!I:I,MATCH(A201,Sheet1!A:A,0)),"")</f>
        <v/>
      </c>
      <c r="C201" s="21">
        <f>IFERROR(INDEX(Sheet3!D:D,MATCH(A201,Sheet3!A:A,0)),"")</f>
        <v/>
      </c>
      <c r="D201" s="22">
        <f>IFERROR(INDEX(Sheet3!G:G,MATCH(A201,Sheet3!A:A,0)),"")</f>
        <v/>
      </c>
      <c r="E201" s="23">
        <f>IFERROR(INDEX(Sheet3!H:H,MATCH(A201,Sheet3!A:A,0)),"")</f>
        <v/>
      </c>
    </row>
    <row r="202">
      <c r="A202" s="19" t="n">
        <v>426</v>
      </c>
      <c r="B202" s="20">
        <f>IFERROR(INDEX(Sheet1!I:I,MATCH(A202,Sheet1!A:A,0)),"")</f>
        <v/>
      </c>
      <c r="C202" s="21">
        <f>IFERROR(INDEX(Sheet3!D:D,MATCH(A202,Sheet3!A:A,0)),"")</f>
        <v/>
      </c>
      <c r="D202" s="22">
        <f>IFERROR(INDEX(Sheet3!G:G,MATCH(A202,Sheet3!A:A,0)),"")</f>
        <v/>
      </c>
      <c r="E202" s="23">
        <f>IFERROR(INDEX(Sheet3!H:H,MATCH(A202,Sheet3!A:A,0)),"")</f>
        <v/>
      </c>
    </row>
    <row r="203">
      <c r="A203" s="19" t="n">
        <v>428</v>
      </c>
      <c r="B203" s="20">
        <f>IFERROR(INDEX(Sheet1!I:I,MATCH(A203,Sheet1!A:A,0)),"")</f>
        <v/>
      </c>
      <c r="C203" s="21">
        <f>IFERROR(INDEX(Sheet3!D:D,MATCH(A203,Sheet3!A:A,0)),"")</f>
        <v/>
      </c>
      <c r="D203" s="22">
        <f>IFERROR(INDEX(Sheet3!G:G,MATCH(A203,Sheet3!A:A,0)),"")</f>
        <v/>
      </c>
      <c r="E203" s="23">
        <f>IFERROR(INDEX(Sheet3!H:H,MATCH(A203,Sheet3!A:A,0)),"")</f>
        <v/>
      </c>
    </row>
    <row r="204">
      <c r="A204" s="19" t="n">
        <v>429</v>
      </c>
      <c r="B204" s="20">
        <f>IFERROR(INDEX(Sheet1!I:I,MATCH(A204,Sheet1!A:A,0)),"")</f>
        <v/>
      </c>
      <c r="C204" s="21">
        <f>IFERROR(INDEX(Sheet3!D:D,MATCH(A204,Sheet3!A:A,0)),"")</f>
        <v/>
      </c>
      <c r="D204" s="22">
        <f>IFERROR(INDEX(Sheet3!G:G,MATCH(A204,Sheet3!A:A,0)),"")</f>
        <v/>
      </c>
      <c r="E204" s="23">
        <f>IFERROR(INDEX(Sheet3!H:H,MATCH(A204,Sheet3!A:A,0)),"")</f>
        <v/>
      </c>
    </row>
    <row r="205">
      <c r="A205" s="19" t="n">
        <v>430</v>
      </c>
      <c r="B205" s="20">
        <f>IFERROR(INDEX(Sheet1!I:I,MATCH(A205,Sheet1!A:A,0)),"")</f>
        <v/>
      </c>
      <c r="C205" s="21">
        <f>IFERROR(INDEX(Sheet3!D:D,MATCH(A205,Sheet3!A:A,0)),"")</f>
        <v/>
      </c>
      <c r="D205" s="22">
        <f>IFERROR(INDEX(Sheet3!G:G,MATCH(A205,Sheet3!A:A,0)),"")</f>
        <v/>
      </c>
      <c r="E205" s="23">
        <f>IFERROR(INDEX(Sheet3!H:H,MATCH(A205,Sheet3!A:A,0)),"")</f>
        <v/>
      </c>
    </row>
    <row r="206">
      <c r="A206" s="19" t="n">
        <v>431</v>
      </c>
      <c r="B206" s="20">
        <f>IFERROR(INDEX(Sheet1!I:I,MATCH(A206,Sheet1!A:A,0)),"")</f>
        <v/>
      </c>
      <c r="C206" s="21">
        <f>IFERROR(INDEX(Sheet3!D:D,MATCH(A206,Sheet3!A:A,0)),"")</f>
        <v/>
      </c>
      <c r="D206" s="22">
        <f>IFERROR(INDEX(Sheet3!G:G,MATCH(A206,Sheet3!A:A,0)),"")</f>
        <v/>
      </c>
      <c r="E206" s="23">
        <f>IFERROR(INDEX(Sheet3!H:H,MATCH(A206,Sheet3!A:A,0)),"")</f>
        <v/>
      </c>
    </row>
    <row r="207">
      <c r="A207" s="19" t="n">
        <v>432</v>
      </c>
      <c r="B207" s="20">
        <f>IFERROR(INDEX(Sheet1!I:I,MATCH(A207,Sheet1!A:A,0)),"")</f>
        <v/>
      </c>
      <c r="C207" s="21">
        <f>IFERROR(INDEX(Sheet3!D:D,MATCH(A207,Sheet3!A:A,0)),"")</f>
        <v/>
      </c>
      <c r="D207" s="22">
        <f>IFERROR(INDEX(Sheet3!G:G,MATCH(A207,Sheet3!A:A,0)),"")</f>
        <v/>
      </c>
      <c r="E207" s="23">
        <f>IFERROR(INDEX(Sheet3!H:H,MATCH(A207,Sheet3!A:A,0)),"")</f>
        <v/>
      </c>
    </row>
    <row r="208">
      <c r="A208" s="19" t="n">
        <v>433</v>
      </c>
      <c r="B208" s="20">
        <f>IFERROR(INDEX(Sheet1!I:I,MATCH(A208,Sheet1!A:A,0)),"")</f>
        <v/>
      </c>
      <c r="C208" s="21">
        <f>IFERROR(INDEX(Sheet3!D:D,MATCH(A208,Sheet3!A:A,0)),"")</f>
        <v/>
      </c>
      <c r="D208" s="22">
        <f>IFERROR(INDEX(Sheet3!G:G,MATCH(A208,Sheet3!A:A,0)),"")</f>
        <v/>
      </c>
      <c r="E208" s="23">
        <f>IFERROR(INDEX(Sheet3!H:H,MATCH(A208,Sheet3!A:A,0)),"")</f>
        <v/>
      </c>
    </row>
    <row r="209">
      <c r="A209" s="19" t="n">
        <v>434</v>
      </c>
      <c r="B209" s="20">
        <f>IFERROR(INDEX(Sheet1!I:I,MATCH(A209,Sheet1!A:A,0)),"")</f>
        <v/>
      </c>
      <c r="C209" s="21">
        <f>IFERROR(INDEX(Sheet3!D:D,MATCH(A209,Sheet3!A:A,0)),"")</f>
        <v/>
      </c>
      <c r="D209" s="22">
        <f>IFERROR(INDEX(Sheet3!G:G,MATCH(A209,Sheet3!A:A,0)),"")</f>
        <v/>
      </c>
      <c r="E209" s="23">
        <f>IFERROR(INDEX(Sheet3!H:H,MATCH(A209,Sheet3!A:A,0)),"")</f>
        <v/>
      </c>
    </row>
    <row r="210">
      <c r="A210" s="19" t="n">
        <v>435</v>
      </c>
      <c r="B210" s="20">
        <f>IFERROR(INDEX(Sheet1!I:I,MATCH(A210,Sheet1!A:A,0)),"")</f>
        <v/>
      </c>
      <c r="C210" s="21">
        <f>IFERROR(INDEX(Sheet3!D:D,MATCH(A210,Sheet3!A:A,0)),"")</f>
        <v/>
      </c>
      <c r="D210" s="22">
        <f>IFERROR(INDEX(Sheet3!G:G,MATCH(A210,Sheet3!A:A,0)),"")</f>
        <v/>
      </c>
      <c r="E210" s="23">
        <f>IFERROR(INDEX(Sheet3!H:H,MATCH(A210,Sheet3!A:A,0)),"")</f>
        <v/>
      </c>
    </row>
    <row r="211">
      <c r="A211" s="19" t="n">
        <v>436</v>
      </c>
      <c r="B211" s="20">
        <f>IFERROR(INDEX(Sheet1!I:I,MATCH(A211,Sheet1!A:A,0)),"")</f>
        <v/>
      </c>
      <c r="C211" s="21">
        <f>IFERROR(INDEX(Sheet3!D:D,MATCH(A211,Sheet3!A:A,0)),"")</f>
        <v/>
      </c>
      <c r="D211" s="22">
        <f>IFERROR(INDEX(Sheet3!G:G,MATCH(A211,Sheet3!A:A,0)),"")</f>
        <v/>
      </c>
      <c r="E211" s="23">
        <f>IFERROR(INDEX(Sheet3!H:H,MATCH(A211,Sheet3!A:A,0)),"")</f>
        <v/>
      </c>
    </row>
    <row r="212">
      <c r="A212" s="19" t="n">
        <v>437</v>
      </c>
      <c r="B212" s="20">
        <f>IFERROR(INDEX(Sheet1!I:I,MATCH(A212,Sheet1!A:A,0)),"")</f>
        <v/>
      </c>
      <c r="C212" s="21">
        <f>IFERROR(INDEX(Sheet3!D:D,MATCH(A212,Sheet3!A:A,0)),"")</f>
        <v/>
      </c>
      <c r="D212" s="22">
        <f>IFERROR(INDEX(Sheet3!G:G,MATCH(A212,Sheet3!A:A,0)),"")</f>
        <v/>
      </c>
      <c r="E212" s="23">
        <f>IFERROR(INDEX(Sheet3!H:H,MATCH(A212,Sheet3!A:A,0)),"")</f>
        <v/>
      </c>
    </row>
    <row r="213">
      <c r="A213" s="19" t="n">
        <v>438</v>
      </c>
      <c r="B213" s="20">
        <f>IFERROR(INDEX(Sheet1!I:I,MATCH(A213,Sheet1!A:A,0)),"")</f>
        <v/>
      </c>
      <c r="C213" s="21">
        <f>IFERROR(INDEX(Sheet3!D:D,MATCH(A213,Sheet3!A:A,0)),"")</f>
        <v/>
      </c>
      <c r="D213" s="22">
        <f>IFERROR(INDEX(Sheet3!G:G,MATCH(A213,Sheet3!A:A,0)),"")</f>
        <v/>
      </c>
      <c r="E213" s="23">
        <f>IFERROR(INDEX(Sheet3!H:H,MATCH(A213,Sheet3!A:A,0)),"")</f>
        <v/>
      </c>
    </row>
    <row r="214">
      <c r="A214" s="19" t="n">
        <v>439</v>
      </c>
      <c r="B214" s="20">
        <f>IFERROR(INDEX(Sheet1!I:I,MATCH(A214,Sheet1!A:A,0)),"")</f>
        <v/>
      </c>
      <c r="C214" s="21">
        <f>IFERROR(INDEX(Sheet3!D:D,MATCH(A214,Sheet3!A:A,0)),"")</f>
        <v/>
      </c>
      <c r="D214" s="22">
        <f>IFERROR(INDEX(Sheet3!G:G,MATCH(A214,Sheet3!A:A,0)),"")</f>
        <v/>
      </c>
      <c r="E214" s="23">
        <f>IFERROR(INDEX(Sheet3!H:H,MATCH(A214,Sheet3!A:A,0)),"")</f>
        <v/>
      </c>
    </row>
    <row r="215">
      <c r="A215" s="19" t="n">
        <v>448</v>
      </c>
      <c r="B215" s="20">
        <f>IFERROR(INDEX(Sheet1!I:I,MATCH(A215,Sheet1!A:A,0)),"")</f>
        <v/>
      </c>
      <c r="C215" s="21">
        <f>IFERROR(INDEX(Sheet3!D:D,MATCH(A215,Sheet3!A:A,0)),"")</f>
        <v/>
      </c>
      <c r="D215" s="22">
        <f>IFERROR(INDEX(Sheet3!G:G,MATCH(A215,Sheet3!A:A,0)),"")</f>
        <v/>
      </c>
      <c r="E215" s="23">
        <f>IFERROR(INDEX(Sheet3!H:H,MATCH(A215,Sheet3!A:A,0)),"")</f>
        <v/>
      </c>
    </row>
    <row r="216">
      <c r="A216" s="19" t="n">
        <v>450</v>
      </c>
      <c r="B216" s="20">
        <f>IFERROR(INDEX(Sheet1!I:I,MATCH(A216,Sheet1!A:A,0)),"")</f>
        <v/>
      </c>
      <c r="C216" s="21">
        <f>IFERROR(INDEX(Sheet3!D:D,MATCH(A216,Sheet3!A:A,0)),"")</f>
        <v/>
      </c>
      <c r="D216" s="22">
        <f>IFERROR(INDEX(Sheet3!G:G,MATCH(A216,Sheet3!A:A,0)),"")</f>
        <v/>
      </c>
      <c r="E216" s="23">
        <f>IFERROR(INDEX(Sheet3!H:H,MATCH(A216,Sheet3!A:A,0)),"")</f>
        <v/>
      </c>
    </row>
    <row r="217">
      <c r="A217" s="19" t="n">
        <v>459</v>
      </c>
      <c r="B217" s="20">
        <f>IFERROR(INDEX(Sheet1!I:I,MATCH(A217,Sheet1!A:A,0)),"")</f>
        <v/>
      </c>
      <c r="C217" s="21">
        <f>IFERROR(INDEX(Sheet3!D:D,MATCH(A217,Sheet3!A:A,0)),"")</f>
        <v/>
      </c>
      <c r="D217" s="22">
        <f>IFERROR(INDEX(Sheet3!G:G,MATCH(A217,Sheet3!A:A,0)),"")</f>
        <v/>
      </c>
      <c r="E217" s="23">
        <f>IFERROR(INDEX(Sheet3!H:H,MATCH(A217,Sheet3!A:A,0)),"")</f>
        <v/>
      </c>
    </row>
    <row r="218">
      <c r="A218" s="19" t="n">
        <v>460</v>
      </c>
      <c r="B218" s="20">
        <f>IFERROR(INDEX(Sheet1!I:I,MATCH(A218,Sheet1!A:A,0)),"")</f>
        <v/>
      </c>
      <c r="C218" s="21">
        <f>IFERROR(INDEX(Sheet3!D:D,MATCH(A218,Sheet3!A:A,0)),"")</f>
        <v/>
      </c>
      <c r="D218" s="22">
        <f>IFERROR(INDEX(Sheet3!G:G,MATCH(A218,Sheet3!A:A,0)),"")</f>
        <v/>
      </c>
      <c r="E218" s="23">
        <f>IFERROR(INDEX(Sheet3!H:H,MATCH(A218,Sheet3!A:A,0)),"")</f>
        <v/>
      </c>
    </row>
    <row r="219">
      <c r="A219" s="19" t="n">
        <v>475</v>
      </c>
      <c r="B219" s="20">
        <f>IFERROR(INDEX(Sheet1!I:I,MATCH(A219,Sheet1!A:A,0)),"")</f>
        <v/>
      </c>
      <c r="C219" s="21">
        <f>IFERROR(INDEX(Sheet3!D:D,MATCH(A219,Sheet3!A:A,0)),"")</f>
        <v/>
      </c>
      <c r="D219" s="22">
        <f>IFERROR(INDEX(Sheet3!G:G,MATCH(A219,Sheet3!A:A,0)),"")</f>
        <v/>
      </c>
      <c r="E219" s="23">
        <f>IFERROR(INDEX(Sheet3!H:H,MATCH(A219,Sheet3!A:A,0)),"")</f>
        <v/>
      </c>
    </row>
    <row r="220">
      <c r="A220" s="19" t="n">
        <v>476</v>
      </c>
      <c r="B220" s="20">
        <f>IFERROR(INDEX(Sheet1!I:I,MATCH(A220,Sheet1!A:A,0)),"")</f>
        <v/>
      </c>
      <c r="C220" s="21">
        <f>IFERROR(INDEX(Sheet3!D:D,MATCH(A220,Sheet3!A:A,0)),"")</f>
        <v/>
      </c>
      <c r="D220" s="22">
        <f>IFERROR(INDEX(Sheet3!G:G,MATCH(A220,Sheet3!A:A,0)),"")</f>
        <v/>
      </c>
      <c r="E220" s="23">
        <f>IFERROR(INDEX(Sheet3!H:H,MATCH(A220,Sheet3!A:A,0)),"")</f>
        <v/>
      </c>
    </row>
    <row r="221">
      <c r="A221" s="19" t="n">
        <v>477</v>
      </c>
      <c r="B221" s="20">
        <f>IFERROR(INDEX(Sheet1!I:I,MATCH(A221,Sheet1!A:A,0)),"")</f>
        <v/>
      </c>
      <c r="C221" s="21">
        <f>IFERROR(INDEX(Sheet3!D:D,MATCH(A221,Sheet3!A:A,0)),"")</f>
        <v/>
      </c>
      <c r="D221" s="22">
        <f>IFERROR(INDEX(Sheet3!G:G,MATCH(A221,Sheet3!A:A,0)),"")</f>
        <v/>
      </c>
      <c r="E221" s="23">
        <f>IFERROR(INDEX(Sheet3!H:H,MATCH(A221,Sheet3!A:A,0)),"")</f>
        <v/>
      </c>
    </row>
    <row r="222">
      <c r="A222" s="19" t="n">
        <v>479</v>
      </c>
      <c r="B222" s="20">
        <f>IFERROR(INDEX(Sheet1!I:I,MATCH(A222,Sheet1!A:A,0)),"")</f>
        <v/>
      </c>
      <c r="C222" s="21">
        <f>IFERROR(INDEX(Sheet3!D:D,MATCH(A222,Sheet3!A:A,0)),"")</f>
        <v/>
      </c>
      <c r="D222" s="22">
        <f>IFERROR(INDEX(Sheet3!G:G,MATCH(A222,Sheet3!A:A,0)),"")</f>
        <v/>
      </c>
      <c r="E222" s="23">
        <f>IFERROR(INDEX(Sheet3!H:H,MATCH(A222,Sheet3!A:A,0)),"")</f>
        <v/>
      </c>
    </row>
    <row r="223">
      <c r="A223" s="19" t="n">
        <v>481</v>
      </c>
      <c r="B223" s="20">
        <f>IFERROR(INDEX(Sheet1!I:I,MATCH(A223,Sheet1!A:A,0)),"")</f>
        <v/>
      </c>
      <c r="C223" s="21">
        <f>IFERROR(INDEX(Sheet3!D:D,MATCH(A223,Sheet3!A:A,0)),"")</f>
        <v/>
      </c>
      <c r="D223" s="22">
        <f>IFERROR(INDEX(Sheet3!G:G,MATCH(A223,Sheet3!A:A,0)),"")</f>
        <v/>
      </c>
      <c r="E223" s="23">
        <f>IFERROR(INDEX(Sheet3!H:H,MATCH(A223,Sheet3!A:A,0)),"")</f>
        <v/>
      </c>
    </row>
    <row r="224">
      <c r="A224" s="19" t="n">
        <v>483</v>
      </c>
      <c r="B224" s="20">
        <f>IFERROR(INDEX(Sheet1!I:I,MATCH(A224,Sheet1!A:A,0)),"")</f>
        <v/>
      </c>
      <c r="C224" s="21">
        <f>IFERROR(INDEX(Sheet3!D:D,MATCH(A224,Sheet3!A:A,0)),"")</f>
        <v/>
      </c>
      <c r="D224" s="22">
        <f>IFERROR(INDEX(Sheet3!G:G,MATCH(A224,Sheet3!A:A,0)),"")</f>
        <v/>
      </c>
      <c r="E224" s="23">
        <f>IFERROR(INDEX(Sheet3!H:H,MATCH(A224,Sheet3!A:A,0)),"")</f>
        <v/>
      </c>
    </row>
    <row r="225">
      <c r="A225" s="19" t="n">
        <v>484</v>
      </c>
      <c r="B225" s="20">
        <f>IFERROR(INDEX(Sheet1!I:I,MATCH(A225,Sheet1!A:A,0)),"")</f>
        <v/>
      </c>
      <c r="C225" s="21">
        <f>IFERROR(INDEX(Sheet3!D:D,MATCH(A225,Sheet3!A:A,0)),"")</f>
        <v/>
      </c>
      <c r="D225" s="22">
        <f>IFERROR(INDEX(Sheet3!G:G,MATCH(A225,Sheet3!A:A,0)),"")</f>
        <v/>
      </c>
      <c r="E225" s="23">
        <f>IFERROR(INDEX(Sheet3!H:H,MATCH(A225,Sheet3!A:A,0)),"")</f>
        <v/>
      </c>
    </row>
    <row r="226">
      <c r="A226" s="19" t="n">
        <v>485</v>
      </c>
      <c r="B226" s="20">
        <f>IFERROR(INDEX(Sheet1!I:I,MATCH(A226,Sheet1!A:A,0)),"")</f>
        <v/>
      </c>
      <c r="C226" s="21">
        <f>IFERROR(INDEX(Sheet3!D:D,MATCH(A226,Sheet3!A:A,0)),"")</f>
        <v/>
      </c>
      <c r="D226" s="22">
        <f>IFERROR(INDEX(Sheet3!G:G,MATCH(A226,Sheet3!A:A,0)),"")</f>
        <v/>
      </c>
      <c r="E226" s="23">
        <f>IFERROR(INDEX(Sheet3!H:H,MATCH(A226,Sheet3!A:A,0)),"")</f>
        <v/>
      </c>
    </row>
    <row r="227">
      <c r="A227" s="19" t="n">
        <v>486</v>
      </c>
      <c r="B227" s="20">
        <f>IFERROR(INDEX(Sheet1!I:I,MATCH(A227,Sheet1!A:A,0)),"")</f>
        <v/>
      </c>
      <c r="C227" s="21">
        <f>IFERROR(INDEX(Sheet3!D:D,MATCH(A227,Sheet3!A:A,0)),"")</f>
        <v/>
      </c>
      <c r="D227" s="22">
        <f>IFERROR(INDEX(Sheet3!G:G,MATCH(A227,Sheet3!A:A,0)),"")</f>
        <v/>
      </c>
      <c r="E227" s="23">
        <f>IFERROR(INDEX(Sheet3!H:H,MATCH(A227,Sheet3!A:A,0)),"")</f>
        <v/>
      </c>
    </row>
    <row r="228">
      <c r="A228" s="19" t="n">
        <v>493</v>
      </c>
      <c r="B228" s="20">
        <f>IFERROR(INDEX(Sheet1!I:I,MATCH(A228,Sheet1!A:A,0)),"")</f>
        <v/>
      </c>
      <c r="C228" s="21">
        <f>IFERROR(INDEX(Sheet3!D:D,MATCH(A228,Sheet3!A:A,0)),"")</f>
        <v/>
      </c>
      <c r="D228" s="22">
        <f>IFERROR(INDEX(Sheet3!G:G,MATCH(A228,Sheet3!A:A,0)),"")</f>
        <v/>
      </c>
      <c r="E228" s="23">
        <f>IFERROR(INDEX(Sheet3!H:H,MATCH(A228,Sheet3!A:A,0)),"")</f>
        <v/>
      </c>
    </row>
    <row r="229">
      <c r="A229" s="19" t="n">
        <v>494</v>
      </c>
      <c r="B229" s="20">
        <f>IFERROR(INDEX(Sheet1!I:I,MATCH(A229,Sheet1!A:A,0)),"")</f>
        <v/>
      </c>
      <c r="C229" s="21">
        <f>IFERROR(INDEX(Sheet3!D:D,MATCH(A229,Sheet3!A:A,0)),"")</f>
        <v/>
      </c>
      <c r="D229" s="22">
        <f>IFERROR(INDEX(Sheet3!G:G,MATCH(A229,Sheet3!A:A,0)),"")</f>
        <v/>
      </c>
      <c r="E229" s="23">
        <f>IFERROR(INDEX(Sheet3!H:H,MATCH(A229,Sheet3!A:A,0)),"")</f>
        <v/>
      </c>
    </row>
    <row r="230">
      <c r="A230" s="19" t="n">
        <v>496</v>
      </c>
      <c r="B230" s="20">
        <f>IFERROR(INDEX(Sheet1!I:I,MATCH(A230,Sheet1!A:A,0)),"")</f>
        <v/>
      </c>
      <c r="C230" s="21">
        <f>IFERROR(INDEX(Sheet3!D:D,MATCH(A230,Sheet3!A:A,0)),"")</f>
        <v/>
      </c>
      <c r="D230" s="22">
        <f>IFERROR(INDEX(Sheet3!G:G,MATCH(A230,Sheet3!A:A,0)),"")</f>
        <v/>
      </c>
      <c r="E230" s="23">
        <f>IFERROR(INDEX(Sheet3!H:H,MATCH(A230,Sheet3!A:A,0)),"")</f>
        <v/>
      </c>
    </row>
    <row r="231">
      <c r="A231" s="19" t="n">
        <v>501</v>
      </c>
      <c r="B231" s="20">
        <f>IFERROR(INDEX(Sheet1!I:I,MATCH(A231,Sheet1!A:A,0)),"")</f>
        <v/>
      </c>
      <c r="C231" s="21">
        <f>IFERROR(INDEX(Sheet3!D:D,MATCH(A231,Sheet3!A:A,0)),"")</f>
        <v/>
      </c>
      <c r="D231" s="22">
        <f>IFERROR(INDEX(Sheet3!G:G,MATCH(A231,Sheet3!A:A,0)),"")</f>
        <v/>
      </c>
      <c r="E231" s="23">
        <f>IFERROR(INDEX(Sheet3!H:H,MATCH(A231,Sheet3!A:A,0)),"")</f>
        <v/>
      </c>
    </row>
    <row r="232">
      <c r="A232" s="19" t="n">
        <v>502</v>
      </c>
      <c r="B232" s="20">
        <f>IFERROR(INDEX(Sheet1!I:I,MATCH(A232,Sheet1!A:A,0)),"")</f>
        <v/>
      </c>
      <c r="C232" s="21">
        <f>IFERROR(INDEX(Sheet3!D:D,MATCH(A232,Sheet3!A:A,0)),"")</f>
        <v/>
      </c>
      <c r="D232" s="22">
        <f>IFERROR(INDEX(Sheet3!G:G,MATCH(A232,Sheet3!A:A,0)),"")</f>
        <v/>
      </c>
      <c r="E232" s="23">
        <f>IFERROR(INDEX(Sheet3!H:H,MATCH(A232,Sheet3!A:A,0)),"")</f>
        <v/>
      </c>
    </row>
    <row r="233">
      <c r="A233" s="19" t="n">
        <v>503</v>
      </c>
      <c r="B233" s="20">
        <f>IFERROR(INDEX(Sheet1!I:I,MATCH(A233,Sheet1!A:A,0)),"")</f>
        <v/>
      </c>
      <c r="C233" s="21">
        <f>IFERROR(INDEX(Sheet3!D:D,MATCH(A233,Sheet3!A:A,0)),"")</f>
        <v/>
      </c>
      <c r="D233" s="22">
        <f>IFERROR(INDEX(Sheet3!G:G,MATCH(A233,Sheet3!A:A,0)),"")</f>
        <v/>
      </c>
      <c r="E233" s="23">
        <f>IFERROR(INDEX(Sheet3!H:H,MATCH(A233,Sheet3!A:A,0)),"")</f>
        <v/>
      </c>
    </row>
    <row r="234">
      <c r="A234" s="19" t="n">
        <v>504</v>
      </c>
      <c r="B234" s="20">
        <f>IFERROR(INDEX(Sheet1!I:I,MATCH(A234,Sheet1!A:A,0)),"")</f>
        <v/>
      </c>
      <c r="C234" s="21">
        <f>IFERROR(INDEX(Sheet3!D:D,MATCH(A234,Sheet3!A:A,0)),"")</f>
        <v/>
      </c>
      <c r="D234" s="22">
        <f>IFERROR(INDEX(Sheet3!G:G,MATCH(A234,Sheet3!A:A,0)),"")</f>
        <v/>
      </c>
      <c r="E234" s="23">
        <f>IFERROR(INDEX(Sheet3!H:H,MATCH(A234,Sheet3!A:A,0)),"")</f>
        <v/>
      </c>
    </row>
    <row r="235">
      <c r="A235" s="19" t="n">
        <v>506</v>
      </c>
      <c r="B235" s="20">
        <f>IFERROR(INDEX(Sheet1!I:I,MATCH(A235,Sheet1!A:A,0)),"")</f>
        <v/>
      </c>
      <c r="C235" s="21">
        <f>IFERROR(INDEX(Sheet3!D:D,MATCH(A235,Sheet3!A:A,0)),"")</f>
        <v/>
      </c>
      <c r="D235" s="22">
        <f>IFERROR(INDEX(Sheet3!G:G,MATCH(A235,Sheet3!A:A,0)),"")</f>
        <v/>
      </c>
      <c r="E235" s="23">
        <f>IFERROR(INDEX(Sheet3!H:H,MATCH(A235,Sheet3!A:A,0)),"")</f>
        <v/>
      </c>
    </row>
    <row r="236">
      <c r="A236" s="19" t="n">
        <v>507</v>
      </c>
      <c r="B236" s="20">
        <f>IFERROR(INDEX(Sheet1!I:I,MATCH(A236,Sheet1!A:A,0)),"")</f>
        <v/>
      </c>
      <c r="C236" s="21">
        <f>IFERROR(INDEX(Sheet3!D:D,MATCH(A236,Sheet3!A:A,0)),"")</f>
        <v/>
      </c>
      <c r="D236" s="22">
        <f>IFERROR(INDEX(Sheet3!G:G,MATCH(A236,Sheet3!A:A,0)),"")</f>
        <v/>
      </c>
      <c r="E236" s="23">
        <f>IFERROR(INDEX(Sheet3!H:H,MATCH(A236,Sheet3!A:A,0)),"")</f>
        <v/>
      </c>
    </row>
    <row r="237">
      <c r="A237" s="19" t="n">
        <v>508</v>
      </c>
      <c r="B237" s="20">
        <f>IFERROR(INDEX(Sheet1!I:I,MATCH(A237,Sheet1!A:A,0)),"")</f>
        <v/>
      </c>
      <c r="C237" s="21">
        <f>IFERROR(INDEX(Sheet3!D:D,MATCH(A237,Sheet3!A:A,0)),"")</f>
        <v/>
      </c>
      <c r="D237" s="22">
        <f>IFERROR(INDEX(Sheet3!G:G,MATCH(A237,Sheet3!A:A,0)),"")</f>
        <v/>
      </c>
      <c r="E237" s="23">
        <f>IFERROR(INDEX(Sheet3!H:H,MATCH(A237,Sheet3!A:A,0)),"")</f>
        <v/>
      </c>
    </row>
    <row r="238">
      <c r="A238" s="19" t="n">
        <v>509</v>
      </c>
      <c r="B238" s="20">
        <f>IFERROR(INDEX(Sheet1!I:I,MATCH(A238,Sheet1!A:A,0)),"")</f>
        <v/>
      </c>
      <c r="C238" s="21">
        <f>IFERROR(INDEX(Sheet3!D:D,MATCH(A238,Sheet3!A:A,0)),"")</f>
        <v/>
      </c>
      <c r="D238" s="22">
        <f>IFERROR(INDEX(Sheet3!G:G,MATCH(A238,Sheet3!A:A,0)),"")</f>
        <v/>
      </c>
      <c r="E238" s="23">
        <f>IFERROR(INDEX(Sheet3!H:H,MATCH(A238,Sheet3!A:A,0)),"")</f>
        <v/>
      </c>
    </row>
    <row r="239">
      <c r="A239" s="19" t="n">
        <v>513</v>
      </c>
      <c r="B239" s="20">
        <f>IFERROR(INDEX(Sheet1!I:I,MATCH(A239,Sheet1!A:A,0)),"")</f>
        <v/>
      </c>
      <c r="C239" s="21">
        <f>IFERROR(INDEX(Sheet3!D:D,MATCH(A239,Sheet3!A:A,0)),"")</f>
        <v/>
      </c>
      <c r="D239" s="22">
        <f>IFERROR(INDEX(Sheet3!G:G,MATCH(A239,Sheet3!A:A,0)),"")</f>
        <v/>
      </c>
      <c r="E239" s="23">
        <f>IFERROR(INDEX(Sheet3!H:H,MATCH(A239,Sheet3!A:A,0)),"")</f>
        <v/>
      </c>
    </row>
    <row r="240">
      <c r="A240" s="19" t="n">
        <v>515</v>
      </c>
      <c r="B240" s="20">
        <f>IFERROR(INDEX(Sheet1!I:I,MATCH(A240,Sheet1!A:A,0)),"")</f>
        <v/>
      </c>
      <c r="C240" s="21">
        <f>IFERROR(INDEX(Sheet3!D:D,MATCH(A240,Sheet3!A:A,0)),"")</f>
        <v/>
      </c>
      <c r="D240" s="22">
        <f>IFERROR(INDEX(Sheet3!G:G,MATCH(A240,Sheet3!A:A,0)),"")</f>
        <v/>
      </c>
      <c r="E240" s="23">
        <f>IFERROR(INDEX(Sheet3!H:H,MATCH(A240,Sheet3!A:A,0)),"")</f>
        <v/>
      </c>
    </row>
    <row r="241">
      <c r="A241" s="19" t="n">
        <v>519</v>
      </c>
      <c r="B241" s="20">
        <f>IFERROR(INDEX(Sheet1!I:I,MATCH(A241,Sheet1!A:A,0)),"")</f>
        <v/>
      </c>
      <c r="C241" s="21">
        <f>IFERROR(INDEX(Sheet3!D:D,MATCH(A241,Sheet3!A:A,0)),"")</f>
        <v/>
      </c>
      <c r="D241" s="22">
        <f>IFERROR(INDEX(Sheet3!G:G,MATCH(A241,Sheet3!A:A,0)),"")</f>
        <v/>
      </c>
      <c r="E241" s="23">
        <f>IFERROR(INDEX(Sheet3!H:H,MATCH(A241,Sheet3!A:A,0)),"")</f>
        <v/>
      </c>
    </row>
    <row r="242">
      <c r="A242" s="19" t="n">
        <v>522</v>
      </c>
      <c r="B242" s="20">
        <f>IFERROR(INDEX(Sheet1!I:I,MATCH(A242,Sheet1!A:A,0)),"")</f>
        <v/>
      </c>
      <c r="C242" s="21">
        <f>IFERROR(INDEX(Sheet3!D:D,MATCH(A242,Sheet3!A:A,0)),"")</f>
        <v/>
      </c>
      <c r="D242" s="22">
        <f>IFERROR(INDEX(Sheet3!G:G,MATCH(A242,Sheet3!A:A,0)),"")</f>
        <v/>
      </c>
      <c r="E242" s="23">
        <f>IFERROR(INDEX(Sheet3!H:H,MATCH(A242,Sheet3!A:A,0)),"")</f>
        <v/>
      </c>
    </row>
    <row r="243">
      <c r="A243" s="19" t="n">
        <v>523</v>
      </c>
      <c r="B243" s="20">
        <f>IFERROR(INDEX(Sheet1!I:I,MATCH(A243,Sheet1!A:A,0)),"")</f>
        <v/>
      </c>
      <c r="C243" s="21">
        <f>IFERROR(INDEX(Sheet3!D:D,MATCH(A243,Sheet3!A:A,0)),"")</f>
        <v/>
      </c>
      <c r="D243" s="22">
        <f>IFERROR(INDEX(Sheet3!G:G,MATCH(A243,Sheet3!A:A,0)),"")</f>
        <v/>
      </c>
      <c r="E243" s="23">
        <f>IFERROR(INDEX(Sheet3!H:H,MATCH(A243,Sheet3!A:A,0)),"")</f>
        <v/>
      </c>
    </row>
    <row r="244">
      <c r="A244" s="19" t="n">
        <v>524</v>
      </c>
      <c r="B244" s="20">
        <f>IFERROR(INDEX(Sheet1!I:I,MATCH(A244,Sheet1!A:A,0)),"")</f>
        <v/>
      </c>
      <c r="C244" s="21">
        <f>IFERROR(INDEX(Sheet3!D:D,MATCH(A244,Sheet3!A:A,0)),"")</f>
        <v/>
      </c>
      <c r="D244" s="22">
        <f>IFERROR(INDEX(Sheet3!G:G,MATCH(A244,Sheet3!A:A,0)),"")</f>
        <v/>
      </c>
      <c r="E244" s="23">
        <f>IFERROR(INDEX(Sheet3!H:H,MATCH(A244,Sheet3!A:A,0)),"")</f>
        <v/>
      </c>
    </row>
    <row r="245">
      <c r="A245" s="19" t="n">
        <v>526</v>
      </c>
      <c r="B245" s="20">
        <f>IFERROR(INDEX(Sheet1!I:I,MATCH(A245,Sheet1!A:A,0)),"")</f>
        <v/>
      </c>
      <c r="C245" s="21">
        <f>IFERROR(INDEX(Sheet3!D:D,MATCH(A245,Sheet3!A:A,0)),"")</f>
        <v/>
      </c>
      <c r="D245" s="22">
        <f>IFERROR(INDEX(Sheet3!G:G,MATCH(A245,Sheet3!A:A,0)),"")</f>
        <v/>
      </c>
      <c r="E245" s="23">
        <f>IFERROR(INDEX(Sheet3!H:H,MATCH(A245,Sheet3!A:A,0)),"")</f>
        <v/>
      </c>
    </row>
    <row r="246">
      <c r="A246" s="19" t="n">
        <v>527</v>
      </c>
      <c r="B246" s="20">
        <f>IFERROR(INDEX(Sheet1!I:I,MATCH(A246,Sheet1!A:A,0)),"")</f>
        <v/>
      </c>
      <c r="C246" s="21">
        <f>IFERROR(INDEX(Sheet3!D:D,MATCH(A246,Sheet3!A:A,0)),"")</f>
        <v/>
      </c>
      <c r="D246" s="22">
        <f>IFERROR(INDEX(Sheet3!G:G,MATCH(A246,Sheet3!A:A,0)),"")</f>
        <v/>
      </c>
      <c r="E246" s="23">
        <f>IFERROR(INDEX(Sheet3!H:H,MATCH(A246,Sheet3!A:A,0)),"")</f>
        <v/>
      </c>
    </row>
    <row r="247">
      <c r="A247" s="19" t="n">
        <v>528</v>
      </c>
      <c r="B247" s="20">
        <f>IFERROR(INDEX(Sheet1!I:I,MATCH(A247,Sheet1!A:A,0)),"")</f>
        <v/>
      </c>
      <c r="C247" s="21">
        <f>IFERROR(INDEX(Sheet3!D:D,MATCH(A247,Sheet3!A:A,0)),"")</f>
        <v/>
      </c>
      <c r="D247" s="22">
        <f>IFERROR(INDEX(Sheet3!G:G,MATCH(A247,Sheet3!A:A,0)),"")</f>
        <v/>
      </c>
      <c r="E247" s="23">
        <f>IFERROR(INDEX(Sheet3!H:H,MATCH(A247,Sheet3!A:A,0)),"")</f>
        <v/>
      </c>
    </row>
    <row r="248">
      <c r="A248" s="19" t="n">
        <v>529</v>
      </c>
      <c r="B248" s="20">
        <f>IFERROR(INDEX(Sheet1!I:I,MATCH(A248,Sheet1!A:A,0)),"")</f>
        <v/>
      </c>
      <c r="C248" s="21">
        <f>IFERROR(INDEX(Sheet3!D:D,MATCH(A248,Sheet3!A:A,0)),"")</f>
        <v/>
      </c>
      <c r="D248" s="22">
        <f>IFERROR(INDEX(Sheet3!G:G,MATCH(A248,Sheet3!A:A,0)),"")</f>
        <v/>
      </c>
      <c r="E248" s="23">
        <f>IFERROR(INDEX(Sheet3!H:H,MATCH(A248,Sheet3!A:A,0)),"")</f>
        <v/>
      </c>
    </row>
    <row r="249">
      <c r="A249" s="19" t="n">
        <v>530</v>
      </c>
      <c r="B249" s="20">
        <f>IFERROR(INDEX(Sheet1!I:I,MATCH(A249,Sheet1!A:A,0)),"")</f>
        <v/>
      </c>
      <c r="C249" s="21">
        <f>IFERROR(INDEX(Sheet3!D:D,MATCH(A249,Sheet3!A:A,0)),"")</f>
        <v/>
      </c>
      <c r="D249" s="22">
        <f>IFERROR(INDEX(Sheet3!G:G,MATCH(A249,Sheet3!A:A,0)),"")</f>
        <v/>
      </c>
      <c r="E249" s="23">
        <f>IFERROR(INDEX(Sheet3!H:H,MATCH(A249,Sheet3!A:A,0)),"")</f>
        <v/>
      </c>
    </row>
    <row r="250">
      <c r="A250" s="19" t="n">
        <v>531</v>
      </c>
      <c r="B250" s="20">
        <f>IFERROR(INDEX(Sheet1!I:I,MATCH(A250,Sheet1!A:A,0)),"")</f>
        <v/>
      </c>
      <c r="C250" s="21">
        <f>IFERROR(INDEX(Sheet3!D:D,MATCH(A250,Sheet3!A:A,0)),"")</f>
        <v/>
      </c>
      <c r="D250" s="22">
        <f>IFERROR(INDEX(Sheet3!G:G,MATCH(A250,Sheet3!A:A,0)),"")</f>
        <v/>
      </c>
      <c r="E250" s="23">
        <f>IFERROR(INDEX(Sheet3!H:H,MATCH(A250,Sheet3!A:A,0)),"")</f>
        <v/>
      </c>
    </row>
    <row r="251">
      <c r="A251" s="19" t="n">
        <v>532</v>
      </c>
      <c r="B251" s="20">
        <f>IFERROR(INDEX(Sheet1!I:I,MATCH(A251,Sheet1!A:A,0)),"")</f>
        <v/>
      </c>
      <c r="C251" s="21">
        <f>IFERROR(INDEX(Sheet3!D:D,MATCH(A251,Sheet3!A:A,0)),"")</f>
        <v/>
      </c>
      <c r="D251" s="22">
        <f>IFERROR(INDEX(Sheet3!G:G,MATCH(A251,Sheet3!A:A,0)),"")</f>
        <v/>
      </c>
      <c r="E251" s="23">
        <f>IFERROR(INDEX(Sheet3!H:H,MATCH(A251,Sheet3!A:A,0)),"")</f>
        <v/>
      </c>
    </row>
    <row r="252">
      <c r="A252" s="19" t="n">
        <v>533</v>
      </c>
      <c r="B252" s="20">
        <f>IFERROR(INDEX(Sheet1!I:I,MATCH(A252,Sheet1!A:A,0)),"")</f>
        <v/>
      </c>
      <c r="C252" s="21">
        <f>IFERROR(INDEX(Sheet3!D:D,MATCH(A252,Sheet3!A:A,0)),"")</f>
        <v/>
      </c>
      <c r="D252" s="22">
        <f>IFERROR(INDEX(Sheet3!G:G,MATCH(A252,Sheet3!A:A,0)),"")</f>
        <v/>
      </c>
      <c r="E252" s="23">
        <f>IFERROR(INDEX(Sheet3!H:H,MATCH(A252,Sheet3!A:A,0)),"")</f>
        <v/>
      </c>
    </row>
    <row r="253">
      <c r="A253" s="19" t="n">
        <v>535</v>
      </c>
      <c r="B253" s="20">
        <f>IFERROR(INDEX(Sheet1!I:I,MATCH(A253,Sheet1!A:A,0)),"")</f>
        <v/>
      </c>
      <c r="C253" s="21">
        <f>IFERROR(INDEX(Sheet3!D:D,MATCH(A253,Sheet3!A:A,0)),"")</f>
        <v/>
      </c>
      <c r="D253" s="22">
        <f>IFERROR(INDEX(Sheet3!G:G,MATCH(A253,Sheet3!A:A,0)),"")</f>
        <v/>
      </c>
      <c r="E253" s="23">
        <f>IFERROR(INDEX(Sheet3!H:H,MATCH(A253,Sheet3!A:A,0)),"")</f>
        <v/>
      </c>
    </row>
    <row r="254">
      <c r="A254" s="19" t="n">
        <v>536</v>
      </c>
      <c r="B254" s="20">
        <f>IFERROR(INDEX(Sheet1!I:I,MATCH(A254,Sheet1!A:A,0)),"")</f>
        <v/>
      </c>
      <c r="C254" s="21">
        <f>IFERROR(INDEX(Sheet3!D:D,MATCH(A254,Sheet3!A:A,0)),"")</f>
        <v/>
      </c>
      <c r="D254" s="22">
        <f>IFERROR(INDEX(Sheet3!G:G,MATCH(A254,Sheet3!A:A,0)),"")</f>
        <v/>
      </c>
      <c r="E254" s="23">
        <f>IFERROR(INDEX(Sheet3!H:H,MATCH(A254,Sheet3!A:A,0)),"")</f>
        <v/>
      </c>
    </row>
    <row r="255">
      <c r="A255" s="19" t="n">
        <v>538</v>
      </c>
      <c r="B255" s="20">
        <f>IFERROR(INDEX(Sheet1!I:I,MATCH(A255,Sheet1!A:A,0)),"")</f>
        <v/>
      </c>
      <c r="C255" s="21">
        <f>IFERROR(INDEX(Sheet3!D:D,MATCH(A255,Sheet3!A:A,0)),"")</f>
        <v/>
      </c>
      <c r="D255" s="22">
        <f>IFERROR(INDEX(Sheet3!G:G,MATCH(A255,Sheet3!A:A,0)),"")</f>
        <v/>
      </c>
      <c r="E255" s="23">
        <f>IFERROR(INDEX(Sheet3!H:H,MATCH(A255,Sheet3!A:A,0)),"")</f>
        <v/>
      </c>
    </row>
    <row r="256">
      <c r="A256" s="19" t="n">
        <v>540</v>
      </c>
      <c r="B256" s="20">
        <f>IFERROR(INDEX(Sheet1!I:I,MATCH(A256,Sheet1!A:A,0)),"")</f>
        <v/>
      </c>
      <c r="C256" s="21">
        <f>IFERROR(INDEX(Sheet3!D:D,MATCH(A256,Sheet3!A:A,0)),"")</f>
        <v/>
      </c>
      <c r="D256" s="22">
        <f>IFERROR(INDEX(Sheet3!G:G,MATCH(A256,Sheet3!A:A,0)),"")</f>
        <v/>
      </c>
      <c r="E256" s="23">
        <f>IFERROR(INDEX(Sheet3!H:H,MATCH(A256,Sheet3!A:A,0)),"")</f>
        <v/>
      </c>
    </row>
    <row r="257">
      <c r="A257" s="19" t="n">
        <v>541</v>
      </c>
      <c r="B257" s="20">
        <f>IFERROR(INDEX(Sheet1!I:I,MATCH(A257,Sheet1!A:A,0)),"")</f>
        <v/>
      </c>
      <c r="C257" s="21">
        <f>IFERROR(INDEX(Sheet3!D:D,MATCH(A257,Sheet3!A:A,0)),"")</f>
        <v/>
      </c>
      <c r="D257" s="22">
        <f>IFERROR(INDEX(Sheet3!G:G,MATCH(A257,Sheet3!A:A,0)),"")</f>
        <v/>
      </c>
      <c r="E257" s="23">
        <f>IFERROR(INDEX(Sheet3!H:H,MATCH(A257,Sheet3!A:A,0)),"")</f>
        <v/>
      </c>
    </row>
    <row r="258">
      <c r="A258" s="19" t="n">
        <v>544</v>
      </c>
      <c r="B258" s="20">
        <f>IFERROR(INDEX(Sheet1!I:I,MATCH(A258,Sheet1!A:A,0)),"")</f>
        <v/>
      </c>
      <c r="C258" s="21">
        <f>IFERROR(INDEX(Sheet3!D:D,MATCH(A258,Sheet3!A:A,0)),"")</f>
        <v/>
      </c>
      <c r="D258" s="22">
        <f>IFERROR(INDEX(Sheet3!G:G,MATCH(A258,Sheet3!A:A,0)),"")</f>
        <v/>
      </c>
      <c r="E258" s="23">
        <f>IFERROR(INDEX(Sheet3!H:H,MATCH(A258,Sheet3!A:A,0)),"")</f>
        <v/>
      </c>
    </row>
    <row r="259">
      <c r="A259" s="19" t="n">
        <v>545</v>
      </c>
      <c r="B259" s="20">
        <f>IFERROR(INDEX(Sheet1!I:I,MATCH(A259,Sheet1!A:A,0)),"")</f>
        <v/>
      </c>
      <c r="C259" s="21">
        <f>IFERROR(INDEX(Sheet3!D:D,MATCH(A259,Sheet3!A:A,0)),"")</f>
        <v/>
      </c>
      <c r="D259" s="22">
        <f>IFERROR(INDEX(Sheet3!G:G,MATCH(A259,Sheet3!A:A,0)),"")</f>
        <v/>
      </c>
      <c r="E259" s="23">
        <f>IFERROR(INDEX(Sheet3!H:H,MATCH(A259,Sheet3!A:A,0)),"")</f>
        <v/>
      </c>
    </row>
    <row r="260">
      <c r="A260" s="19" t="n">
        <v>546</v>
      </c>
      <c r="B260" s="20">
        <f>IFERROR(INDEX(Sheet1!I:I,MATCH(A260,Sheet1!A:A,0)),"")</f>
        <v/>
      </c>
      <c r="C260" s="21">
        <f>IFERROR(INDEX(Sheet3!D:D,MATCH(A260,Sheet3!A:A,0)),"")</f>
        <v/>
      </c>
      <c r="D260" s="22">
        <f>IFERROR(INDEX(Sheet3!G:G,MATCH(A260,Sheet3!A:A,0)),"")</f>
        <v/>
      </c>
      <c r="E260" s="23">
        <f>IFERROR(INDEX(Sheet3!H:H,MATCH(A260,Sheet3!A:A,0)),"")</f>
        <v/>
      </c>
    </row>
    <row r="261">
      <c r="A261" s="19" t="n">
        <v>547</v>
      </c>
      <c r="B261" s="20">
        <f>IFERROR(INDEX(Sheet1!I:I,MATCH(A261,Sheet1!A:A,0)),"")</f>
        <v/>
      </c>
      <c r="C261" s="21">
        <f>IFERROR(INDEX(Sheet3!D:D,MATCH(A261,Sheet3!A:A,0)),"")</f>
        <v/>
      </c>
      <c r="D261" s="22">
        <f>IFERROR(INDEX(Sheet3!G:G,MATCH(A261,Sheet3!A:A,0)),"")</f>
        <v/>
      </c>
      <c r="E261" s="23">
        <f>IFERROR(INDEX(Sheet3!H:H,MATCH(A261,Sheet3!A:A,0)),"")</f>
        <v/>
      </c>
    </row>
    <row r="262">
      <c r="A262" s="19" t="n">
        <v>548</v>
      </c>
      <c r="B262" s="20">
        <f>IFERROR(INDEX(Sheet1!I:I,MATCH(A262,Sheet1!A:A,0)),"")</f>
        <v/>
      </c>
      <c r="C262" s="21">
        <f>IFERROR(INDEX(Sheet3!D:D,MATCH(A262,Sheet3!A:A,0)),"")</f>
        <v/>
      </c>
      <c r="D262" s="22">
        <f>IFERROR(INDEX(Sheet3!G:G,MATCH(A262,Sheet3!A:A,0)),"")</f>
        <v/>
      </c>
      <c r="E262" s="23">
        <f>IFERROR(INDEX(Sheet3!H:H,MATCH(A262,Sheet3!A:A,0)),"")</f>
        <v/>
      </c>
    </row>
    <row r="263">
      <c r="A263" s="19" t="n">
        <v>549</v>
      </c>
      <c r="B263" s="20">
        <f>IFERROR(INDEX(Sheet1!I:I,MATCH(A263,Sheet1!A:A,0)),"")</f>
        <v/>
      </c>
      <c r="C263" s="21">
        <f>IFERROR(INDEX(Sheet3!D:D,MATCH(A263,Sheet3!A:A,0)),"")</f>
        <v/>
      </c>
      <c r="D263" s="22">
        <f>IFERROR(INDEX(Sheet3!G:G,MATCH(A263,Sheet3!A:A,0)),"")</f>
        <v/>
      </c>
      <c r="E263" s="23">
        <f>IFERROR(INDEX(Sheet3!H:H,MATCH(A263,Sheet3!A:A,0)),"")</f>
        <v/>
      </c>
    </row>
    <row r="264">
      <c r="A264" s="19" t="n">
        <v>550</v>
      </c>
      <c r="B264" s="20">
        <f>IFERROR(INDEX(Sheet1!I:I,MATCH(A264,Sheet1!A:A,0)),"")</f>
        <v/>
      </c>
      <c r="C264" s="21">
        <f>IFERROR(INDEX(Sheet3!D:D,MATCH(A264,Sheet3!A:A,0)),"")</f>
        <v/>
      </c>
      <c r="D264" s="22">
        <f>IFERROR(INDEX(Sheet3!G:G,MATCH(A264,Sheet3!A:A,0)),"")</f>
        <v/>
      </c>
      <c r="E264" s="23">
        <f>IFERROR(INDEX(Sheet3!H:H,MATCH(A264,Sheet3!A:A,0)),"")</f>
        <v/>
      </c>
    </row>
    <row r="265">
      <c r="A265" s="19" t="n">
        <v>551</v>
      </c>
      <c r="B265" s="20">
        <f>IFERROR(INDEX(Sheet1!I:I,MATCH(A265,Sheet1!A:A,0)),"")</f>
        <v/>
      </c>
      <c r="C265" s="21">
        <f>IFERROR(INDEX(Sheet3!D:D,MATCH(A265,Sheet3!A:A,0)),"")</f>
        <v/>
      </c>
      <c r="D265" s="22">
        <f>IFERROR(INDEX(Sheet3!G:G,MATCH(A265,Sheet3!A:A,0)),"")</f>
        <v/>
      </c>
      <c r="E265" s="23">
        <f>IFERROR(INDEX(Sheet3!H:H,MATCH(A265,Sheet3!A:A,0)),"")</f>
        <v/>
      </c>
    </row>
    <row r="266">
      <c r="A266" s="19" t="n">
        <v>552</v>
      </c>
      <c r="B266" s="20">
        <f>IFERROR(INDEX(Sheet1!I:I,MATCH(A266,Sheet1!A:A,0)),"")</f>
        <v/>
      </c>
      <c r="C266" s="21">
        <f>IFERROR(INDEX(Sheet3!D:D,MATCH(A266,Sheet3!A:A,0)),"")</f>
        <v/>
      </c>
      <c r="D266" s="22">
        <f>IFERROR(INDEX(Sheet3!G:G,MATCH(A266,Sheet3!A:A,0)),"")</f>
        <v/>
      </c>
      <c r="E266" s="23">
        <f>IFERROR(INDEX(Sheet3!H:H,MATCH(A266,Sheet3!A:A,0)),"")</f>
        <v/>
      </c>
    </row>
    <row r="267">
      <c r="A267" s="19" t="n">
        <v>553</v>
      </c>
      <c r="B267" s="20">
        <f>IFERROR(INDEX(Sheet1!I:I,MATCH(A267,Sheet1!A:A,0)),"")</f>
        <v/>
      </c>
      <c r="C267" s="21">
        <f>IFERROR(INDEX(Sheet3!D:D,MATCH(A267,Sheet3!A:A,0)),"")</f>
        <v/>
      </c>
      <c r="D267" s="22">
        <f>IFERROR(INDEX(Sheet3!G:G,MATCH(A267,Sheet3!A:A,0)),"")</f>
        <v/>
      </c>
      <c r="E267" s="23">
        <f>IFERROR(INDEX(Sheet3!H:H,MATCH(A267,Sheet3!A:A,0)),"")</f>
        <v/>
      </c>
    </row>
    <row r="268">
      <c r="A268" s="19" t="n">
        <v>563</v>
      </c>
      <c r="B268" s="20">
        <f>IFERROR(INDEX(Sheet1!I:I,MATCH(A268,Sheet1!A:A,0)),"")</f>
        <v/>
      </c>
      <c r="C268" s="21">
        <f>IFERROR(INDEX(Sheet3!D:D,MATCH(A268,Sheet3!A:A,0)),"")</f>
        <v/>
      </c>
      <c r="D268" s="22">
        <f>IFERROR(INDEX(Sheet3!G:G,MATCH(A268,Sheet3!A:A,0)),"")</f>
        <v/>
      </c>
      <c r="E268" s="23">
        <f>IFERROR(INDEX(Sheet3!H:H,MATCH(A268,Sheet3!A:A,0)),"")</f>
        <v/>
      </c>
    </row>
    <row r="269">
      <c r="A269" s="19" t="n">
        <v>564</v>
      </c>
      <c r="B269" s="20">
        <f>IFERROR(INDEX(Sheet1!I:I,MATCH(A269,Sheet1!A:A,0)),"")</f>
        <v/>
      </c>
      <c r="C269" s="21">
        <f>IFERROR(INDEX(Sheet3!D:D,MATCH(A269,Sheet3!A:A,0)),"")</f>
        <v/>
      </c>
      <c r="D269" s="22">
        <f>IFERROR(INDEX(Sheet3!G:G,MATCH(A269,Sheet3!A:A,0)),"")</f>
        <v/>
      </c>
      <c r="E269" s="23">
        <f>IFERROR(INDEX(Sheet3!H:H,MATCH(A269,Sheet3!A:A,0)),"")</f>
        <v/>
      </c>
    </row>
    <row r="270">
      <c r="A270" s="19" t="n">
        <v>567</v>
      </c>
      <c r="B270" s="20">
        <f>IFERROR(INDEX(Sheet1!I:I,MATCH(A270,Sheet1!A:A,0)),"")</f>
        <v/>
      </c>
      <c r="C270" s="21">
        <f>IFERROR(INDEX(Sheet3!D:D,MATCH(A270,Sheet3!A:A,0)),"")</f>
        <v/>
      </c>
      <c r="D270" s="22">
        <f>IFERROR(INDEX(Sheet3!G:G,MATCH(A270,Sheet3!A:A,0)),"")</f>
        <v/>
      </c>
      <c r="E270" s="23">
        <f>IFERROR(INDEX(Sheet3!H:H,MATCH(A270,Sheet3!A:A,0)),"")</f>
        <v/>
      </c>
    </row>
    <row r="271">
      <c r="A271" s="19" t="n">
        <v>572</v>
      </c>
      <c r="B271" s="20">
        <f>IFERROR(INDEX(Sheet1!I:I,MATCH(A271,Sheet1!A:A,0)),"")</f>
        <v/>
      </c>
      <c r="C271" s="21">
        <f>IFERROR(INDEX(Sheet3!D:D,MATCH(A271,Sheet3!A:A,0)),"")</f>
        <v/>
      </c>
      <c r="D271" s="22">
        <f>IFERROR(INDEX(Sheet3!G:G,MATCH(A271,Sheet3!A:A,0)),"")</f>
        <v/>
      </c>
      <c r="E271" s="23">
        <f>IFERROR(INDEX(Sheet3!H:H,MATCH(A271,Sheet3!A:A,0)),"")</f>
        <v/>
      </c>
    </row>
    <row r="272">
      <c r="A272" s="19" t="n">
        <v>573</v>
      </c>
      <c r="B272" s="20">
        <f>IFERROR(INDEX(Sheet1!I:I,MATCH(A272,Sheet1!A:A,0)),"")</f>
        <v/>
      </c>
      <c r="C272" s="21">
        <f>IFERROR(INDEX(Sheet3!D:D,MATCH(A272,Sheet3!A:A,0)),"")</f>
        <v/>
      </c>
      <c r="D272" s="22">
        <f>IFERROR(INDEX(Sheet3!G:G,MATCH(A272,Sheet3!A:A,0)),"")</f>
        <v/>
      </c>
      <c r="E272" s="23">
        <f>IFERROR(INDEX(Sheet3!H:H,MATCH(A272,Sheet3!A:A,0)),"")</f>
        <v/>
      </c>
    </row>
    <row r="273">
      <c r="A273" s="19" t="n">
        <v>595</v>
      </c>
      <c r="B273" s="20">
        <f>IFERROR(INDEX(Sheet1!I:I,MATCH(A273,Sheet1!A:A,0)),"")</f>
        <v/>
      </c>
      <c r="C273" s="21">
        <f>IFERROR(INDEX(Sheet3!D:D,MATCH(A273,Sheet3!A:A,0)),"")</f>
        <v/>
      </c>
      <c r="D273" s="22">
        <f>IFERROR(INDEX(Sheet3!G:G,MATCH(A273,Sheet3!A:A,0)),"")</f>
        <v/>
      </c>
      <c r="E273" s="23">
        <f>IFERROR(INDEX(Sheet3!H:H,MATCH(A273,Sheet3!A:A,0)),"")</f>
        <v/>
      </c>
    </row>
    <row r="274">
      <c r="A274" s="19" t="n">
        <v>596</v>
      </c>
      <c r="B274" s="20">
        <f>IFERROR(INDEX(Sheet1!I:I,MATCH(A274,Sheet1!A:A,0)),"")</f>
        <v/>
      </c>
      <c r="C274" s="21">
        <f>IFERROR(INDEX(Sheet3!D:D,MATCH(A274,Sheet3!A:A,0)),"")</f>
        <v/>
      </c>
      <c r="D274" s="22">
        <f>IFERROR(INDEX(Sheet3!G:G,MATCH(A274,Sheet3!A:A,0)),"")</f>
        <v/>
      </c>
      <c r="E274" s="23">
        <f>IFERROR(INDEX(Sheet3!H:H,MATCH(A274,Sheet3!A:A,0)),"")</f>
        <v/>
      </c>
    </row>
    <row r="275">
      <c r="A275" s="19" t="n">
        <v>603</v>
      </c>
      <c r="B275" s="20">
        <f>IFERROR(INDEX(Sheet1!I:I,MATCH(A275,Sheet1!A:A,0)),"")</f>
        <v/>
      </c>
      <c r="C275" s="21">
        <f>IFERROR(INDEX(Sheet3!D:D,MATCH(A275,Sheet3!A:A,0)),"")</f>
        <v/>
      </c>
      <c r="D275" s="22">
        <f>IFERROR(INDEX(Sheet3!G:G,MATCH(A275,Sheet3!A:A,0)),"")</f>
        <v/>
      </c>
      <c r="E275" s="23">
        <f>IFERROR(INDEX(Sheet3!H:H,MATCH(A275,Sheet3!A:A,0)),"")</f>
        <v/>
      </c>
    </row>
    <row r="276">
      <c r="A276" s="19" t="n">
        <v>605</v>
      </c>
      <c r="B276" s="20">
        <f>IFERROR(INDEX(Sheet1!I:I,MATCH(A276,Sheet1!A:A,0)),"")</f>
        <v/>
      </c>
      <c r="C276" s="21">
        <f>IFERROR(INDEX(Sheet3!D:D,MATCH(A276,Sheet3!A:A,0)),"")</f>
        <v/>
      </c>
      <c r="D276" s="22">
        <f>IFERROR(INDEX(Sheet3!G:G,MATCH(A276,Sheet3!A:A,0)),"")</f>
        <v/>
      </c>
      <c r="E276" s="23">
        <f>IFERROR(INDEX(Sheet3!H:H,MATCH(A276,Sheet3!A:A,0)),"")</f>
        <v/>
      </c>
    </row>
    <row r="277">
      <c r="A277" s="19" t="n">
        <v>606</v>
      </c>
      <c r="B277" s="20">
        <f>IFERROR(INDEX(Sheet1!I:I,MATCH(A277,Sheet1!A:A,0)),"")</f>
        <v/>
      </c>
      <c r="C277" s="21">
        <f>IFERROR(INDEX(Sheet3!D:D,MATCH(A277,Sheet3!A:A,0)),"")</f>
        <v/>
      </c>
      <c r="D277" s="22">
        <f>IFERROR(INDEX(Sheet3!G:G,MATCH(A277,Sheet3!A:A,0)),"")</f>
        <v/>
      </c>
      <c r="E277" s="23">
        <f>IFERROR(INDEX(Sheet3!H:H,MATCH(A277,Sheet3!A:A,0)),"")</f>
        <v/>
      </c>
    </row>
    <row r="278">
      <c r="A278" s="19" t="n">
        <v>607</v>
      </c>
      <c r="B278" s="20">
        <f>IFERROR(INDEX(Sheet1!I:I,MATCH(A278,Sheet1!A:A,0)),"")</f>
        <v/>
      </c>
      <c r="C278" s="21">
        <f>IFERROR(INDEX(Sheet3!D:D,MATCH(A278,Sheet3!A:A,0)),"")</f>
        <v/>
      </c>
      <c r="D278" s="22">
        <f>IFERROR(INDEX(Sheet3!G:G,MATCH(A278,Sheet3!A:A,0)),"")</f>
        <v/>
      </c>
      <c r="E278" s="23">
        <f>IFERROR(INDEX(Sheet3!H:H,MATCH(A278,Sheet3!A:A,0)),"")</f>
        <v/>
      </c>
    </row>
    <row r="279">
      <c r="A279" s="19" t="n">
        <v>608</v>
      </c>
      <c r="B279" s="20">
        <f>IFERROR(INDEX(Sheet1!I:I,MATCH(A279,Sheet1!A:A,0)),"")</f>
        <v/>
      </c>
      <c r="C279" s="21">
        <f>IFERROR(INDEX(Sheet3!D:D,MATCH(A279,Sheet3!A:A,0)),"")</f>
        <v/>
      </c>
      <c r="D279" s="22">
        <f>IFERROR(INDEX(Sheet3!G:G,MATCH(A279,Sheet3!A:A,0)),"")</f>
        <v/>
      </c>
      <c r="E279" s="23">
        <f>IFERROR(INDEX(Sheet3!H:H,MATCH(A279,Sheet3!A:A,0)),"")</f>
        <v/>
      </c>
    </row>
    <row r="280">
      <c r="A280" s="19" t="n">
        <v>609</v>
      </c>
      <c r="B280" s="20">
        <f>IFERROR(INDEX(Sheet1!I:I,MATCH(A280,Sheet1!A:A,0)),"")</f>
        <v/>
      </c>
      <c r="C280" s="21">
        <f>IFERROR(INDEX(Sheet3!D:D,MATCH(A280,Sheet3!A:A,0)),"")</f>
        <v/>
      </c>
      <c r="D280" s="22">
        <f>IFERROR(INDEX(Sheet3!G:G,MATCH(A280,Sheet3!A:A,0)),"")</f>
        <v/>
      </c>
      <c r="E280" s="23">
        <f>IFERROR(INDEX(Sheet3!H:H,MATCH(A280,Sheet3!A:A,0)),"")</f>
        <v/>
      </c>
    </row>
    <row r="281">
      <c r="A281" s="19" t="n">
        <v>610</v>
      </c>
      <c r="B281" s="20">
        <f>IFERROR(INDEX(Sheet1!I:I,MATCH(A281,Sheet1!A:A,0)),"")</f>
        <v/>
      </c>
      <c r="C281" s="21">
        <f>IFERROR(INDEX(Sheet3!D:D,MATCH(A281,Sheet3!A:A,0)),"")</f>
        <v/>
      </c>
      <c r="D281" s="22">
        <f>IFERROR(INDEX(Sheet3!G:G,MATCH(A281,Sheet3!A:A,0)),"")</f>
        <v/>
      </c>
      <c r="E281" s="23">
        <f>IFERROR(INDEX(Sheet3!H:H,MATCH(A281,Sheet3!A:A,0)),"")</f>
        <v/>
      </c>
    </row>
    <row r="282">
      <c r="A282" s="19" t="n">
        <v>613</v>
      </c>
      <c r="B282" s="20">
        <f>IFERROR(INDEX(Sheet1!I:I,MATCH(A282,Sheet1!A:A,0)),"")</f>
        <v/>
      </c>
      <c r="C282" s="21">
        <f>IFERROR(INDEX(Sheet3!D:D,MATCH(A282,Sheet3!A:A,0)),"")</f>
        <v/>
      </c>
      <c r="D282" s="22">
        <f>IFERROR(INDEX(Sheet3!G:G,MATCH(A282,Sheet3!A:A,0)),"")</f>
        <v/>
      </c>
      <c r="E282" s="23">
        <f>IFERROR(INDEX(Sheet3!H:H,MATCH(A282,Sheet3!A:A,0)),"")</f>
        <v/>
      </c>
    </row>
    <row r="283">
      <c r="A283" s="19" t="n">
        <v>614</v>
      </c>
      <c r="B283" s="20">
        <f>IFERROR(INDEX(Sheet1!I:I,MATCH(A283,Sheet1!A:A,0)),"")</f>
        <v/>
      </c>
      <c r="C283" s="21">
        <f>IFERROR(INDEX(Sheet3!D:D,MATCH(A283,Sheet3!A:A,0)),"")</f>
        <v/>
      </c>
      <c r="D283" s="22">
        <f>IFERROR(INDEX(Sheet3!G:G,MATCH(A283,Sheet3!A:A,0)),"")</f>
        <v/>
      </c>
      <c r="E283" s="23">
        <f>IFERROR(INDEX(Sheet3!H:H,MATCH(A283,Sheet3!A:A,0)),"")</f>
        <v/>
      </c>
    </row>
    <row r="284">
      <c r="A284" s="19" t="n">
        <v>615</v>
      </c>
      <c r="B284" s="20">
        <f>IFERROR(INDEX(Sheet1!I:I,MATCH(A284,Sheet1!A:A,0)),"")</f>
        <v/>
      </c>
      <c r="C284" s="21">
        <f>IFERROR(INDEX(Sheet3!D:D,MATCH(A284,Sheet3!A:A,0)),"")</f>
        <v/>
      </c>
      <c r="D284" s="22">
        <f>IFERROR(INDEX(Sheet3!G:G,MATCH(A284,Sheet3!A:A,0)),"")</f>
        <v/>
      </c>
      <c r="E284" s="23">
        <f>IFERROR(INDEX(Sheet3!H:H,MATCH(A284,Sheet3!A:A,0)),"")</f>
        <v/>
      </c>
    </row>
    <row r="285">
      <c r="A285" s="19" t="n">
        <v>616</v>
      </c>
      <c r="B285" s="20">
        <f>IFERROR(INDEX(Sheet1!I:I,MATCH(A285,Sheet1!A:A,0)),"")</f>
        <v/>
      </c>
      <c r="C285" s="21">
        <f>IFERROR(INDEX(Sheet3!D:D,MATCH(A285,Sheet3!A:A,0)),"")</f>
        <v/>
      </c>
      <c r="D285" s="22">
        <f>IFERROR(INDEX(Sheet3!G:G,MATCH(A285,Sheet3!A:A,0)),"")</f>
        <v/>
      </c>
      <c r="E285" s="23">
        <f>IFERROR(INDEX(Sheet3!H:H,MATCH(A285,Sheet3!A:A,0)),"")</f>
        <v/>
      </c>
    </row>
    <row r="286">
      <c r="A286" s="19" t="n">
        <v>629</v>
      </c>
      <c r="B286" s="20">
        <f>IFERROR(INDEX(Sheet1!I:I,MATCH(A286,Sheet1!A:A,0)),"")</f>
        <v/>
      </c>
      <c r="C286" s="21">
        <f>IFERROR(INDEX(Sheet3!D:D,MATCH(A286,Sheet3!A:A,0)),"")</f>
        <v/>
      </c>
      <c r="D286" s="22">
        <f>IFERROR(INDEX(Sheet3!G:G,MATCH(A286,Sheet3!A:A,0)),"")</f>
        <v/>
      </c>
      <c r="E286" s="23">
        <f>IFERROR(INDEX(Sheet3!H:H,MATCH(A286,Sheet3!A:A,0)),"")</f>
        <v/>
      </c>
    </row>
    <row r="287">
      <c r="A287" s="19" t="n">
        <v>633</v>
      </c>
      <c r="B287" s="20">
        <f>IFERROR(INDEX(Sheet1!I:I,MATCH(A287,Sheet1!A:A,0)),"")</f>
        <v/>
      </c>
      <c r="C287" s="21">
        <f>IFERROR(INDEX(Sheet3!D:D,MATCH(A287,Sheet3!A:A,0)),"")</f>
        <v/>
      </c>
      <c r="D287" s="22">
        <f>IFERROR(INDEX(Sheet3!G:G,MATCH(A287,Sheet3!A:A,0)),"")</f>
        <v/>
      </c>
      <c r="E287" s="23">
        <f>IFERROR(INDEX(Sheet3!H:H,MATCH(A287,Sheet3!A:A,0)),"")</f>
        <v/>
      </c>
    </row>
    <row r="288">
      <c r="A288" s="19" t="n">
        <v>637</v>
      </c>
      <c r="B288" s="20">
        <f>IFERROR(INDEX(Sheet1!I:I,MATCH(A288,Sheet1!A:A,0)),"")</f>
        <v/>
      </c>
      <c r="C288" s="21">
        <f>IFERROR(INDEX(Sheet3!D:D,MATCH(A288,Sheet3!A:A,0)),"")</f>
        <v/>
      </c>
      <c r="D288" s="22">
        <f>IFERROR(INDEX(Sheet3!G:G,MATCH(A288,Sheet3!A:A,0)),"")</f>
        <v/>
      </c>
      <c r="E288" s="23">
        <f>IFERROR(INDEX(Sheet3!H:H,MATCH(A288,Sheet3!A:A,0)),"")</f>
        <v/>
      </c>
    </row>
    <row r="289">
      <c r="A289" s="19" t="n">
        <v>648</v>
      </c>
      <c r="B289" s="20">
        <f>IFERROR(INDEX(Sheet1!I:I,MATCH(A289,Sheet1!A:A,0)),"")</f>
        <v/>
      </c>
      <c r="C289" s="21">
        <f>IFERROR(INDEX(Sheet3!D:D,MATCH(A289,Sheet3!A:A,0)),"")</f>
        <v/>
      </c>
      <c r="D289" s="22">
        <f>IFERROR(INDEX(Sheet3!G:G,MATCH(A289,Sheet3!A:A,0)),"")</f>
        <v/>
      </c>
      <c r="E289" s="23">
        <f>IFERROR(INDEX(Sheet3!H:H,MATCH(A289,Sheet3!A:A,0)),"")</f>
        <v/>
      </c>
    </row>
    <row r="290">
      <c r="A290" s="19" t="n">
        <v>649</v>
      </c>
      <c r="B290" s="20">
        <f>IFERROR(INDEX(Sheet1!I:I,MATCH(A290,Sheet1!A:A,0)),"")</f>
        <v/>
      </c>
      <c r="C290" s="21">
        <f>IFERROR(INDEX(Sheet3!D:D,MATCH(A290,Sheet3!A:A,0)),"")</f>
        <v/>
      </c>
      <c r="D290" s="22">
        <f>IFERROR(INDEX(Sheet3!G:G,MATCH(A290,Sheet3!A:A,0)),"")</f>
        <v/>
      </c>
      <c r="E290" s="23">
        <f>IFERROR(INDEX(Sheet3!H:H,MATCH(A290,Sheet3!A:A,0)),"")</f>
        <v/>
      </c>
    </row>
    <row r="291">
      <c r="A291" s="19" t="n">
        <v>660</v>
      </c>
      <c r="B291" s="20">
        <f>IFERROR(INDEX(Sheet1!I:I,MATCH(A291,Sheet1!A:A,0)),"")</f>
        <v/>
      </c>
      <c r="C291" s="21">
        <f>IFERROR(INDEX(Sheet3!D:D,MATCH(A291,Sheet3!A:A,0)),"")</f>
        <v/>
      </c>
      <c r="D291" s="22">
        <f>IFERROR(INDEX(Sheet3!G:G,MATCH(A291,Sheet3!A:A,0)),"")</f>
        <v/>
      </c>
      <c r="E291" s="23">
        <f>IFERROR(INDEX(Sheet3!H:H,MATCH(A291,Sheet3!A:A,0)),"")</f>
        <v/>
      </c>
    </row>
    <row r="292">
      <c r="A292" s="19" t="n">
        <v>662</v>
      </c>
      <c r="B292" s="20">
        <f>IFERROR(INDEX(Sheet1!I:I,MATCH(A292,Sheet1!A:A,0)),"")</f>
        <v/>
      </c>
      <c r="C292" s="21">
        <f>IFERROR(INDEX(Sheet3!D:D,MATCH(A292,Sheet3!A:A,0)),"")</f>
        <v/>
      </c>
      <c r="D292" s="22">
        <f>IFERROR(INDEX(Sheet3!G:G,MATCH(A292,Sheet3!A:A,0)),"")</f>
        <v/>
      </c>
      <c r="E292" s="23">
        <f>IFERROR(INDEX(Sheet3!H:H,MATCH(A292,Sheet3!A:A,0)),"")</f>
        <v/>
      </c>
    </row>
    <row r="293">
      <c r="A293" s="19" t="n">
        <v>665</v>
      </c>
      <c r="B293" s="20">
        <f>IFERROR(INDEX(Sheet1!I:I,MATCH(A293,Sheet1!A:A,0)),"")</f>
        <v/>
      </c>
      <c r="C293" s="21">
        <f>IFERROR(INDEX(Sheet3!D:D,MATCH(A293,Sheet3!A:A,0)),"")</f>
        <v/>
      </c>
      <c r="D293" s="22">
        <f>IFERROR(INDEX(Sheet3!G:G,MATCH(A293,Sheet3!A:A,0)),"")</f>
        <v/>
      </c>
      <c r="E293" s="23">
        <f>IFERROR(INDEX(Sheet3!H:H,MATCH(A293,Sheet3!A:A,0)),"")</f>
        <v/>
      </c>
    </row>
    <row r="294">
      <c r="A294" s="19" t="n">
        <v>666</v>
      </c>
      <c r="B294" s="20">
        <f>IFERROR(INDEX(Sheet1!I:I,MATCH(A294,Sheet1!A:A,0)),"")</f>
        <v/>
      </c>
      <c r="C294" s="21">
        <f>IFERROR(INDEX(Sheet3!D:D,MATCH(A294,Sheet3!A:A,0)),"")</f>
        <v/>
      </c>
      <c r="D294" s="22">
        <f>IFERROR(INDEX(Sheet3!G:G,MATCH(A294,Sheet3!A:A,0)),"")</f>
        <v/>
      </c>
      <c r="E294" s="23">
        <f>IFERROR(INDEX(Sheet3!H:H,MATCH(A294,Sheet3!A:A,0)),"")</f>
        <v/>
      </c>
    </row>
    <row r="295">
      <c r="A295" s="19" t="n">
        <v>667</v>
      </c>
      <c r="B295" s="20">
        <f>IFERROR(INDEX(Sheet1!I:I,MATCH(A295,Sheet1!A:A,0)),"")</f>
        <v/>
      </c>
      <c r="C295" s="21">
        <f>IFERROR(INDEX(Sheet3!D:D,MATCH(A295,Sheet3!A:A,0)),"")</f>
        <v/>
      </c>
      <c r="D295" s="22">
        <f>IFERROR(INDEX(Sheet3!G:G,MATCH(A295,Sheet3!A:A,0)),"")</f>
        <v/>
      </c>
      <c r="E295" s="23">
        <f>IFERROR(INDEX(Sheet3!H:H,MATCH(A295,Sheet3!A:A,0)),"")</f>
        <v/>
      </c>
    </row>
    <row r="296">
      <c r="A296" s="19" t="n">
        <v>677</v>
      </c>
      <c r="B296" s="20">
        <f>IFERROR(INDEX(Sheet1!I:I,MATCH(A296,Sheet1!A:A,0)),"")</f>
        <v/>
      </c>
      <c r="C296" s="21">
        <f>IFERROR(INDEX(Sheet3!D:D,MATCH(A296,Sheet3!A:A,0)),"")</f>
        <v/>
      </c>
      <c r="D296" s="22">
        <f>IFERROR(INDEX(Sheet3!G:G,MATCH(A296,Sheet3!A:A,0)),"")</f>
        <v/>
      </c>
      <c r="E296" s="23">
        <f>IFERROR(INDEX(Sheet3!H:H,MATCH(A296,Sheet3!A:A,0)),"")</f>
        <v/>
      </c>
    </row>
    <row r="297">
      <c r="A297" s="19" t="n">
        <v>681</v>
      </c>
      <c r="B297" s="20">
        <f>IFERROR(INDEX(Sheet1!I:I,MATCH(A297,Sheet1!A:A,0)),"")</f>
        <v/>
      </c>
      <c r="C297" s="21">
        <f>IFERROR(INDEX(Sheet3!D:D,MATCH(A297,Sheet3!A:A,0)),"")</f>
        <v/>
      </c>
      <c r="D297" s="22">
        <f>IFERROR(INDEX(Sheet3!G:G,MATCH(A297,Sheet3!A:A,0)),"")</f>
        <v/>
      </c>
      <c r="E297" s="23">
        <f>IFERROR(INDEX(Sheet3!H:H,MATCH(A297,Sheet3!A:A,0)),"")</f>
        <v/>
      </c>
    </row>
    <row r="298">
      <c r="A298" s="19" t="n">
        <v>686</v>
      </c>
      <c r="B298" s="20">
        <f>IFERROR(INDEX(Sheet1!I:I,MATCH(A298,Sheet1!A:A,0)),"")</f>
        <v/>
      </c>
      <c r="C298" s="21">
        <f>IFERROR(INDEX(Sheet3!D:D,MATCH(A298,Sheet3!A:A,0)),"")</f>
        <v/>
      </c>
      <c r="D298" s="22">
        <f>IFERROR(INDEX(Sheet3!G:G,MATCH(A298,Sheet3!A:A,0)),"")</f>
        <v/>
      </c>
      <c r="E298" s="23">
        <f>IFERROR(INDEX(Sheet3!H:H,MATCH(A298,Sheet3!A:A,0)),"")</f>
        <v/>
      </c>
    </row>
    <row r="299">
      <c r="A299" s="19" t="n">
        <v>687</v>
      </c>
      <c r="B299" s="20">
        <f>IFERROR(INDEX(Sheet1!I:I,MATCH(A299,Sheet1!A:A,0)),"")</f>
        <v/>
      </c>
      <c r="C299" s="21">
        <f>IFERROR(INDEX(Sheet3!D:D,MATCH(A299,Sheet3!A:A,0)),"")</f>
        <v/>
      </c>
      <c r="D299" s="22">
        <f>IFERROR(INDEX(Sheet3!G:G,MATCH(A299,Sheet3!A:A,0)),"")</f>
        <v/>
      </c>
      <c r="E299" s="23">
        <f>IFERROR(INDEX(Sheet3!H:H,MATCH(A299,Sheet3!A:A,0)),"")</f>
        <v/>
      </c>
    </row>
    <row r="300">
      <c r="A300" s="19" t="n">
        <v>688</v>
      </c>
      <c r="B300" s="20">
        <f>IFERROR(INDEX(Sheet1!I:I,MATCH(A300,Sheet1!A:A,0)),"")</f>
        <v/>
      </c>
      <c r="C300" s="21">
        <f>IFERROR(INDEX(Sheet3!D:D,MATCH(A300,Sheet3!A:A,0)),"")</f>
        <v/>
      </c>
      <c r="D300" s="22">
        <f>IFERROR(INDEX(Sheet3!G:G,MATCH(A300,Sheet3!A:A,0)),"")</f>
        <v/>
      </c>
      <c r="E300" s="23">
        <f>IFERROR(INDEX(Sheet3!H:H,MATCH(A300,Sheet3!A:A,0)),"")</f>
        <v/>
      </c>
    </row>
    <row r="301">
      <c r="A301" s="19" t="n">
        <v>689</v>
      </c>
      <c r="B301" s="20">
        <f>IFERROR(INDEX(Sheet1!I:I,MATCH(A301,Sheet1!A:A,0)),"")</f>
        <v/>
      </c>
      <c r="C301" s="21">
        <f>IFERROR(INDEX(Sheet3!D:D,MATCH(A301,Sheet3!A:A,0)),"")</f>
        <v/>
      </c>
      <c r="D301" s="22">
        <f>IFERROR(INDEX(Sheet3!G:G,MATCH(A301,Sheet3!A:A,0)),"")</f>
        <v/>
      </c>
      <c r="E301" s="23">
        <f>IFERROR(INDEX(Sheet3!H:H,MATCH(A301,Sheet3!A:A,0)),"")</f>
        <v/>
      </c>
    </row>
    <row r="302">
      <c r="A302" s="19" t="n">
        <v>691</v>
      </c>
      <c r="B302" s="20">
        <f>IFERROR(INDEX(Sheet1!I:I,MATCH(A302,Sheet1!A:A,0)),"")</f>
        <v/>
      </c>
      <c r="C302" s="21">
        <f>IFERROR(INDEX(Sheet3!D:D,MATCH(A302,Sheet3!A:A,0)),"")</f>
        <v/>
      </c>
      <c r="D302" s="22">
        <f>IFERROR(INDEX(Sheet3!G:G,MATCH(A302,Sheet3!A:A,0)),"")</f>
        <v/>
      </c>
      <c r="E302" s="23">
        <f>IFERROR(INDEX(Sheet3!H:H,MATCH(A302,Sheet3!A:A,0)),"")</f>
        <v/>
      </c>
    </row>
    <row r="303">
      <c r="A303" s="19" t="n">
        <v>692</v>
      </c>
      <c r="B303" s="20">
        <f>IFERROR(INDEX(Sheet1!I:I,MATCH(A303,Sheet1!A:A,0)),"")</f>
        <v/>
      </c>
      <c r="C303" s="21">
        <f>IFERROR(INDEX(Sheet3!D:D,MATCH(A303,Sheet3!A:A,0)),"")</f>
        <v/>
      </c>
      <c r="D303" s="22">
        <f>IFERROR(INDEX(Sheet3!G:G,MATCH(A303,Sheet3!A:A,0)),"")</f>
        <v/>
      </c>
      <c r="E303" s="23">
        <f>IFERROR(INDEX(Sheet3!H:H,MATCH(A303,Sheet3!A:A,0)),"")</f>
        <v/>
      </c>
    </row>
    <row r="304">
      <c r="A304" s="19" t="n">
        <v>693</v>
      </c>
      <c r="B304" s="20">
        <f>IFERROR(INDEX(Sheet1!I:I,MATCH(A304,Sheet1!A:A,0)),"")</f>
        <v/>
      </c>
      <c r="C304" s="21">
        <f>IFERROR(INDEX(Sheet3!D:D,MATCH(A304,Sheet3!A:A,0)),"")</f>
        <v/>
      </c>
      <c r="D304" s="22">
        <f>IFERROR(INDEX(Sheet3!G:G,MATCH(A304,Sheet3!A:A,0)),"")</f>
        <v/>
      </c>
      <c r="E304" s="23">
        <f>IFERROR(INDEX(Sheet3!H:H,MATCH(A304,Sheet3!A:A,0)),"")</f>
        <v/>
      </c>
    </row>
    <row r="305">
      <c r="A305" s="19" t="n">
        <v>701</v>
      </c>
      <c r="B305" s="20">
        <f>IFERROR(INDEX(Sheet1!I:I,MATCH(A305,Sheet1!A:A,0)),"")</f>
        <v/>
      </c>
      <c r="C305" s="21">
        <f>IFERROR(INDEX(Sheet3!D:D,MATCH(A305,Sheet3!A:A,0)),"")</f>
        <v/>
      </c>
      <c r="D305" s="22">
        <f>IFERROR(INDEX(Sheet3!G:G,MATCH(A305,Sheet3!A:A,0)),"")</f>
        <v/>
      </c>
      <c r="E305" s="23">
        <f>IFERROR(INDEX(Sheet3!H:H,MATCH(A305,Sheet3!A:A,0)),"")</f>
        <v/>
      </c>
    </row>
    <row r="306">
      <c r="A306" s="19" t="n">
        <v>703</v>
      </c>
      <c r="B306" s="20">
        <f>IFERROR(INDEX(Sheet1!I:I,MATCH(A306,Sheet1!A:A,0)),"")</f>
        <v/>
      </c>
      <c r="C306" s="21">
        <f>IFERROR(INDEX(Sheet3!D:D,MATCH(A306,Sheet3!A:A,0)),"")</f>
        <v/>
      </c>
      <c r="D306" s="22">
        <f>IFERROR(INDEX(Sheet3!G:G,MATCH(A306,Sheet3!A:A,0)),"")</f>
        <v/>
      </c>
      <c r="E306" s="23">
        <f>IFERROR(INDEX(Sheet3!H:H,MATCH(A306,Sheet3!A:A,0)),"")</f>
        <v/>
      </c>
    </row>
    <row r="307">
      <c r="A307" s="19" t="n">
        <v>704</v>
      </c>
      <c r="B307" s="20">
        <f>IFERROR(INDEX(Sheet1!I:I,MATCH(A307,Sheet1!A:A,0)),"")</f>
        <v/>
      </c>
      <c r="C307" s="21">
        <f>IFERROR(INDEX(Sheet3!D:D,MATCH(A307,Sheet3!A:A,0)),"")</f>
        <v/>
      </c>
      <c r="D307" s="22">
        <f>IFERROR(INDEX(Sheet3!G:G,MATCH(A307,Sheet3!A:A,0)),"")</f>
        <v/>
      </c>
      <c r="E307" s="23">
        <f>IFERROR(INDEX(Sheet3!H:H,MATCH(A307,Sheet3!A:A,0)),"")</f>
        <v/>
      </c>
    </row>
    <row r="308">
      <c r="A308" s="19" t="n">
        <v>715</v>
      </c>
      <c r="B308" s="20">
        <f>IFERROR(INDEX(Sheet1!I:I,MATCH(A308,Sheet1!A:A,0)),"")</f>
        <v/>
      </c>
      <c r="C308" s="21">
        <f>IFERROR(INDEX(Sheet3!D:D,MATCH(A308,Sheet3!A:A,0)),"")</f>
        <v/>
      </c>
      <c r="D308" s="22">
        <f>IFERROR(INDEX(Sheet3!G:G,MATCH(A308,Sheet3!A:A,0)),"")</f>
        <v/>
      </c>
      <c r="E308" s="23">
        <f>IFERROR(INDEX(Sheet3!H:H,MATCH(A308,Sheet3!A:A,0)),"")</f>
        <v/>
      </c>
    </row>
    <row r="309">
      <c r="A309" s="19" t="n">
        <v>716</v>
      </c>
      <c r="B309" s="20">
        <f>IFERROR(INDEX(Sheet1!I:I,MATCH(A309,Sheet1!A:A,0)),"")</f>
        <v/>
      </c>
      <c r="C309" s="21">
        <f>IFERROR(INDEX(Sheet3!D:D,MATCH(A309,Sheet3!A:A,0)),"")</f>
        <v/>
      </c>
      <c r="D309" s="22">
        <f>IFERROR(INDEX(Sheet3!G:G,MATCH(A309,Sheet3!A:A,0)),"")</f>
        <v/>
      </c>
      <c r="E309" s="23">
        <f>IFERROR(INDEX(Sheet3!H:H,MATCH(A309,Sheet3!A:A,0)),"")</f>
        <v/>
      </c>
    </row>
    <row r="310">
      <c r="A310" s="19" t="n">
        <v>719</v>
      </c>
      <c r="B310" s="20">
        <f>IFERROR(INDEX(Sheet1!I:I,MATCH(A310,Sheet1!A:A,0)),"")</f>
        <v/>
      </c>
      <c r="C310" s="21">
        <f>IFERROR(INDEX(Sheet3!D:D,MATCH(A310,Sheet3!A:A,0)),"")</f>
        <v/>
      </c>
      <c r="D310" s="22">
        <f>IFERROR(INDEX(Sheet3!G:G,MATCH(A310,Sheet3!A:A,0)),"")</f>
        <v/>
      </c>
      <c r="E310" s="23">
        <f>IFERROR(INDEX(Sheet3!H:H,MATCH(A310,Sheet3!A:A,0)),"")</f>
        <v/>
      </c>
    </row>
    <row r="311">
      <c r="A311" s="19" t="n">
        <v>720</v>
      </c>
      <c r="B311" s="20">
        <f>IFERROR(INDEX(Sheet1!I:I,MATCH(A311,Sheet1!A:A,0)),"")</f>
        <v/>
      </c>
      <c r="C311" s="21">
        <f>IFERROR(INDEX(Sheet3!D:D,MATCH(A311,Sheet3!A:A,0)),"")</f>
        <v/>
      </c>
      <c r="D311" s="22">
        <f>IFERROR(INDEX(Sheet3!G:G,MATCH(A311,Sheet3!A:A,0)),"")</f>
        <v/>
      </c>
      <c r="E311" s="23">
        <f>IFERROR(INDEX(Sheet3!H:H,MATCH(A311,Sheet3!A:A,0)),"")</f>
        <v/>
      </c>
    </row>
    <row r="312">
      <c r="A312" s="19" t="n">
        <v>721</v>
      </c>
      <c r="B312" s="20">
        <f>IFERROR(INDEX(Sheet1!I:I,MATCH(A312,Sheet1!A:A,0)),"")</f>
        <v/>
      </c>
      <c r="C312" s="21">
        <f>IFERROR(INDEX(Sheet3!D:D,MATCH(A312,Sheet3!A:A,0)),"")</f>
        <v/>
      </c>
      <c r="D312" s="22">
        <f>IFERROR(INDEX(Sheet3!G:G,MATCH(A312,Sheet3!A:A,0)),"")</f>
        <v/>
      </c>
      <c r="E312" s="23">
        <f>IFERROR(INDEX(Sheet3!H:H,MATCH(A312,Sheet3!A:A,0)),"")</f>
        <v/>
      </c>
    </row>
    <row r="313">
      <c r="A313" s="19" t="n">
        <v>722</v>
      </c>
      <c r="B313" s="20">
        <f>IFERROR(INDEX(Sheet1!I:I,MATCH(A313,Sheet1!A:A,0)),"")</f>
        <v/>
      </c>
      <c r="C313" s="21">
        <f>IFERROR(INDEX(Sheet3!D:D,MATCH(A313,Sheet3!A:A,0)),"")</f>
        <v/>
      </c>
      <c r="D313" s="22">
        <f>IFERROR(INDEX(Sheet3!G:G,MATCH(A313,Sheet3!A:A,0)),"")</f>
        <v/>
      </c>
      <c r="E313" s="23">
        <f>IFERROR(INDEX(Sheet3!H:H,MATCH(A313,Sheet3!A:A,0)),"")</f>
        <v/>
      </c>
    </row>
    <row r="314">
      <c r="A314" s="19" t="n">
        <v>723</v>
      </c>
      <c r="B314" s="20">
        <f>IFERROR(INDEX(Sheet1!I:I,MATCH(A314,Sheet1!A:A,0)),"")</f>
        <v/>
      </c>
      <c r="C314" s="21">
        <f>IFERROR(INDEX(Sheet3!D:D,MATCH(A314,Sheet3!A:A,0)),"")</f>
        <v/>
      </c>
      <c r="D314" s="22">
        <f>IFERROR(INDEX(Sheet3!G:G,MATCH(A314,Sheet3!A:A,0)),"")</f>
        <v/>
      </c>
      <c r="E314" s="23">
        <f>IFERROR(INDEX(Sheet3!H:H,MATCH(A314,Sheet3!A:A,0)),"")</f>
        <v/>
      </c>
    </row>
    <row r="315">
      <c r="A315" s="19" t="n">
        <v>726</v>
      </c>
      <c r="B315" s="20">
        <f>IFERROR(INDEX(Sheet1!I:I,MATCH(A315,Sheet1!A:A,0)),"")</f>
        <v/>
      </c>
      <c r="C315" s="21">
        <f>IFERROR(INDEX(Sheet3!D:D,MATCH(A315,Sheet3!A:A,0)),"")</f>
        <v/>
      </c>
      <c r="D315" s="22">
        <f>IFERROR(INDEX(Sheet3!G:G,MATCH(A315,Sheet3!A:A,0)),"")</f>
        <v/>
      </c>
      <c r="E315" s="23">
        <f>IFERROR(INDEX(Sheet3!H:H,MATCH(A315,Sheet3!A:A,0)),"")</f>
        <v/>
      </c>
    </row>
    <row r="316">
      <c r="A316" s="19" t="n">
        <v>727</v>
      </c>
      <c r="B316" s="20">
        <f>IFERROR(INDEX(Sheet1!I:I,MATCH(A316,Sheet1!A:A,0)),"")</f>
        <v/>
      </c>
      <c r="C316" s="21">
        <f>IFERROR(INDEX(Sheet3!D:D,MATCH(A316,Sheet3!A:A,0)),"")</f>
        <v/>
      </c>
      <c r="D316" s="22">
        <f>IFERROR(INDEX(Sheet3!G:G,MATCH(A316,Sheet3!A:A,0)),"")</f>
        <v/>
      </c>
      <c r="E316" s="23">
        <f>IFERROR(INDEX(Sheet3!H:H,MATCH(A316,Sheet3!A:A,0)),"")</f>
        <v/>
      </c>
    </row>
    <row r="317">
      <c r="A317" s="19" t="n">
        <v>729</v>
      </c>
      <c r="B317" s="20">
        <f>IFERROR(INDEX(Sheet1!I:I,MATCH(A317,Sheet1!A:A,0)),"")</f>
        <v/>
      </c>
      <c r="C317" s="21">
        <f>IFERROR(INDEX(Sheet3!D:D,MATCH(A317,Sheet3!A:A,0)),"")</f>
        <v/>
      </c>
      <c r="D317" s="22">
        <f>IFERROR(INDEX(Sheet3!G:G,MATCH(A317,Sheet3!A:A,0)),"")</f>
        <v/>
      </c>
      <c r="E317" s="23">
        <f>IFERROR(INDEX(Sheet3!H:H,MATCH(A317,Sheet3!A:A,0)),"")</f>
        <v/>
      </c>
    </row>
    <row r="318">
      <c r="A318" s="19" t="n">
        <v>733</v>
      </c>
      <c r="B318" s="20">
        <f>IFERROR(INDEX(Sheet1!I:I,MATCH(A318,Sheet1!A:A,0)),"")</f>
        <v/>
      </c>
      <c r="C318" s="21">
        <f>IFERROR(INDEX(Sheet3!D:D,MATCH(A318,Sheet3!A:A,0)),"")</f>
        <v/>
      </c>
      <c r="D318" s="22">
        <f>IFERROR(INDEX(Sheet3!G:G,MATCH(A318,Sheet3!A:A,0)),"")</f>
        <v/>
      </c>
      <c r="E318" s="23">
        <f>IFERROR(INDEX(Sheet3!H:H,MATCH(A318,Sheet3!A:A,0)),"")</f>
        <v/>
      </c>
    </row>
    <row r="319">
      <c r="A319" s="19" t="n">
        <v>736</v>
      </c>
      <c r="B319" s="20">
        <f>IFERROR(INDEX(Sheet1!I:I,MATCH(A319,Sheet1!A:A,0)),"")</f>
        <v/>
      </c>
      <c r="C319" s="21">
        <f>IFERROR(INDEX(Sheet3!D:D,MATCH(A319,Sheet3!A:A,0)),"")</f>
        <v/>
      </c>
      <c r="D319" s="22">
        <f>IFERROR(INDEX(Sheet3!G:G,MATCH(A319,Sheet3!A:A,0)),"")</f>
        <v/>
      </c>
      <c r="E319" s="23">
        <f>IFERROR(INDEX(Sheet3!H:H,MATCH(A319,Sheet3!A:A,0)),"")</f>
        <v/>
      </c>
    </row>
    <row r="320">
      <c r="A320" s="19" t="n">
        <v>745</v>
      </c>
      <c r="B320" s="20">
        <f>IFERROR(INDEX(Sheet1!I:I,MATCH(A320,Sheet1!A:A,0)),"")</f>
        <v/>
      </c>
      <c r="C320" s="21">
        <f>IFERROR(INDEX(Sheet3!D:D,MATCH(A320,Sheet3!A:A,0)),"")</f>
        <v/>
      </c>
      <c r="D320" s="22">
        <f>IFERROR(INDEX(Sheet3!G:G,MATCH(A320,Sheet3!A:A,0)),"")</f>
        <v/>
      </c>
      <c r="E320" s="23">
        <f>IFERROR(INDEX(Sheet3!H:H,MATCH(A320,Sheet3!A:A,0)),"")</f>
        <v/>
      </c>
    </row>
    <row r="321">
      <c r="A321" s="19" t="n">
        <v>746</v>
      </c>
      <c r="B321" s="20">
        <f>IFERROR(INDEX(Sheet1!I:I,MATCH(A321,Sheet1!A:A,0)),"")</f>
        <v/>
      </c>
      <c r="C321" s="21">
        <f>IFERROR(INDEX(Sheet3!D:D,MATCH(A321,Sheet3!A:A,0)),"")</f>
        <v/>
      </c>
      <c r="D321" s="22">
        <f>IFERROR(INDEX(Sheet3!G:G,MATCH(A321,Sheet3!A:A,0)),"")</f>
        <v/>
      </c>
      <c r="E321" s="23">
        <f>IFERROR(INDEX(Sheet3!H:H,MATCH(A321,Sheet3!A:A,0)),"")</f>
        <v/>
      </c>
    </row>
    <row r="322">
      <c r="A322" s="19" t="n">
        <v>747</v>
      </c>
      <c r="B322" s="20">
        <f>IFERROR(INDEX(Sheet1!I:I,MATCH(A322,Sheet1!A:A,0)),"")</f>
        <v/>
      </c>
      <c r="C322" s="21">
        <f>IFERROR(INDEX(Sheet3!D:D,MATCH(A322,Sheet3!A:A,0)),"")</f>
        <v/>
      </c>
      <c r="D322" s="22">
        <f>IFERROR(INDEX(Sheet3!G:G,MATCH(A322,Sheet3!A:A,0)),"")</f>
        <v/>
      </c>
      <c r="E322" s="23">
        <f>IFERROR(INDEX(Sheet3!H:H,MATCH(A322,Sheet3!A:A,0)),"")</f>
        <v/>
      </c>
    </row>
    <row r="323">
      <c r="A323" s="19" t="n">
        <v>748</v>
      </c>
      <c r="B323" s="20">
        <f>IFERROR(INDEX(Sheet1!I:I,MATCH(A323,Sheet1!A:A,0)),"")</f>
        <v/>
      </c>
      <c r="C323" s="21">
        <f>IFERROR(INDEX(Sheet3!D:D,MATCH(A323,Sheet3!A:A,0)),"")</f>
        <v/>
      </c>
      <c r="D323" s="22">
        <f>IFERROR(INDEX(Sheet3!G:G,MATCH(A323,Sheet3!A:A,0)),"")</f>
        <v/>
      </c>
      <c r="E323" s="23">
        <f>IFERROR(INDEX(Sheet3!H:H,MATCH(A323,Sheet3!A:A,0)),"")</f>
        <v/>
      </c>
    </row>
    <row r="324">
      <c r="A324" s="19" t="n">
        <v>749</v>
      </c>
      <c r="B324" s="20">
        <f>IFERROR(INDEX(Sheet1!I:I,MATCH(A324,Sheet1!A:A,0)),"")</f>
        <v/>
      </c>
      <c r="C324" s="21">
        <f>IFERROR(INDEX(Sheet3!D:D,MATCH(A324,Sheet3!A:A,0)),"")</f>
        <v/>
      </c>
      <c r="D324" s="22">
        <f>IFERROR(INDEX(Sheet3!G:G,MATCH(A324,Sheet3!A:A,0)),"")</f>
        <v/>
      </c>
      <c r="E324" s="23">
        <f>IFERROR(INDEX(Sheet3!H:H,MATCH(A324,Sheet3!A:A,0)),"")</f>
        <v/>
      </c>
    </row>
    <row r="325">
      <c r="A325" s="19" t="n">
        <v>751</v>
      </c>
      <c r="B325" s="20">
        <f>IFERROR(INDEX(Sheet1!I:I,MATCH(A325,Sheet1!A:A,0)),"")</f>
        <v/>
      </c>
      <c r="C325" s="21">
        <f>IFERROR(INDEX(Sheet3!D:D,MATCH(A325,Sheet3!A:A,0)),"")</f>
        <v/>
      </c>
      <c r="D325" s="22">
        <f>IFERROR(INDEX(Sheet3!G:G,MATCH(A325,Sheet3!A:A,0)),"")</f>
        <v/>
      </c>
      <c r="E325" s="23">
        <f>IFERROR(INDEX(Sheet3!H:H,MATCH(A325,Sheet3!A:A,0)),"")</f>
        <v/>
      </c>
    </row>
    <row r="326">
      <c r="A326" s="19" t="n">
        <v>753</v>
      </c>
      <c r="B326" s="20">
        <f>IFERROR(INDEX(Sheet1!I:I,MATCH(A326,Sheet1!A:A,0)),"")</f>
        <v/>
      </c>
      <c r="C326" s="21">
        <f>IFERROR(INDEX(Sheet3!D:D,MATCH(A326,Sheet3!A:A,0)),"")</f>
        <v/>
      </c>
      <c r="D326" s="22">
        <f>IFERROR(INDEX(Sheet3!G:G,MATCH(A326,Sheet3!A:A,0)),"")</f>
        <v/>
      </c>
      <c r="E326" s="23">
        <f>IFERROR(INDEX(Sheet3!H:H,MATCH(A326,Sheet3!A:A,0)),"")</f>
        <v/>
      </c>
    </row>
    <row r="327">
      <c r="A327" s="19" t="n">
        <v>754</v>
      </c>
      <c r="B327" s="20">
        <f>IFERROR(INDEX(Sheet1!I:I,MATCH(A327,Sheet1!A:A,0)),"")</f>
        <v/>
      </c>
      <c r="C327" s="21">
        <f>IFERROR(INDEX(Sheet3!D:D,MATCH(A327,Sheet3!A:A,0)),"")</f>
        <v/>
      </c>
      <c r="D327" s="22">
        <f>IFERROR(INDEX(Sheet3!G:G,MATCH(A327,Sheet3!A:A,0)),"")</f>
        <v/>
      </c>
      <c r="E327" s="23">
        <f>IFERROR(INDEX(Sheet3!H:H,MATCH(A327,Sheet3!A:A,0)),"")</f>
        <v/>
      </c>
    </row>
    <row r="328">
      <c r="A328" s="19" t="n">
        <v>755</v>
      </c>
      <c r="B328" s="20">
        <f>IFERROR(INDEX(Sheet1!I:I,MATCH(A328,Sheet1!A:A,0)),"")</f>
        <v/>
      </c>
      <c r="C328" s="21">
        <f>IFERROR(INDEX(Sheet3!D:D,MATCH(A328,Sheet3!A:A,0)),"")</f>
        <v/>
      </c>
      <c r="D328" s="22">
        <f>IFERROR(INDEX(Sheet3!G:G,MATCH(A328,Sheet3!A:A,0)),"")</f>
        <v/>
      </c>
      <c r="E328" s="23">
        <f>IFERROR(INDEX(Sheet3!H:H,MATCH(A328,Sheet3!A:A,0)),"")</f>
        <v/>
      </c>
    </row>
    <row r="329">
      <c r="A329" s="19" t="n">
        <v>756</v>
      </c>
      <c r="B329" s="20">
        <f>IFERROR(INDEX(Sheet1!I:I,MATCH(A329,Sheet1!A:A,0)),"")</f>
        <v/>
      </c>
      <c r="C329" s="21">
        <f>IFERROR(INDEX(Sheet3!D:D,MATCH(A329,Sheet3!A:A,0)),"")</f>
        <v/>
      </c>
      <c r="D329" s="22">
        <f>IFERROR(INDEX(Sheet3!G:G,MATCH(A329,Sheet3!A:A,0)),"")</f>
        <v/>
      </c>
      <c r="E329" s="23">
        <f>IFERROR(INDEX(Sheet3!H:H,MATCH(A329,Sheet3!A:A,0)),"")</f>
        <v/>
      </c>
    </row>
    <row r="330">
      <c r="A330" s="19" t="n">
        <v>757</v>
      </c>
      <c r="B330" s="20">
        <f>IFERROR(INDEX(Sheet1!I:I,MATCH(A330,Sheet1!A:A,0)),"")</f>
        <v/>
      </c>
      <c r="C330" s="21">
        <f>IFERROR(INDEX(Sheet3!D:D,MATCH(A330,Sheet3!A:A,0)),"")</f>
        <v/>
      </c>
      <c r="D330" s="22">
        <f>IFERROR(INDEX(Sheet3!G:G,MATCH(A330,Sheet3!A:A,0)),"")</f>
        <v/>
      </c>
      <c r="E330" s="23">
        <f>IFERROR(INDEX(Sheet3!H:H,MATCH(A330,Sheet3!A:A,0)),"")</f>
        <v/>
      </c>
    </row>
    <row r="331">
      <c r="A331" s="19" t="n">
        <v>759</v>
      </c>
      <c r="B331" s="20">
        <f>IFERROR(INDEX(Sheet1!I:I,MATCH(A331,Sheet1!A:A,0)),"")</f>
        <v/>
      </c>
      <c r="C331" s="21">
        <f>IFERROR(INDEX(Sheet3!D:D,MATCH(A331,Sheet3!A:A,0)),"")</f>
        <v/>
      </c>
      <c r="D331" s="22">
        <f>IFERROR(INDEX(Sheet3!G:G,MATCH(A331,Sheet3!A:A,0)),"")</f>
        <v/>
      </c>
      <c r="E331" s="23">
        <f>IFERROR(INDEX(Sheet3!H:H,MATCH(A331,Sheet3!A:A,0)),"")</f>
        <v/>
      </c>
    </row>
    <row r="332">
      <c r="A332" s="19" t="n">
        <v>761</v>
      </c>
      <c r="B332" s="20">
        <f>IFERROR(INDEX(Sheet1!I:I,MATCH(A332,Sheet1!A:A,0)),"")</f>
        <v/>
      </c>
      <c r="C332" s="21">
        <f>IFERROR(INDEX(Sheet3!D:D,MATCH(A332,Sheet3!A:A,0)),"")</f>
        <v/>
      </c>
      <c r="D332" s="22">
        <f>IFERROR(INDEX(Sheet3!G:G,MATCH(A332,Sheet3!A:A,0)),"")</f>
        <v/>
      </c>
      <c r="E332" s="23">
        <f>IFERROR(INDEX(Sheet3!H:H,MATCH(A332,Sheet3!A:A,0)),"")</f>
        <v/>
      </c>
    </row>
    <row r="333">
      <c r="A333" s="19" t="n">
        <v>762</v>
      </c>
      <c r="B333" s="20">
        <f>IFERROR(INDEX(Sheet1!I:I,MATCH(A333,Sheet1!A:A,0)),"")</f>
        <v/>
      </c>
      <c r="C333" s="21">
        <f>IFERROR(INDEX(Sheet3!D:D,MATCH(A333,Sheet3!A:A,0)),"")</f>
        <v/>
      </c>
      <c r="D333" s="22">
        <f>IFERROR(INDEX(Sheet3!G:G,MATCH(A333,Sheet3!A:A,0)),"")</f>
        <v/>
      </c>
      <c r="E333" s="23">
        <f>IFERROR(INDEX(Sheet3!H:H,MATCH(A333,Sheet3!A:A,0)),"")</f>
        <v/>
      </c>
    </row>
    <row r="334">
      <c r="A334" s="19" t="n">
        <v>763</v>
      </c>
      <c r="B334" s="20">
        <f>IFERROR(INDEX(Sheet1!I:I,MATCH(A334,Sheet1!A:A,0)),"")</f>
        <v/>
      </c>
      <c r="C334" s="21">
        <f>IFERROR(INDEX(Sheet3!D:D,MATCH(A334,Sheet3!A:A,0)),"")</f>
        <v/>
      </c>
      <c r="D334" s="22">
        <f>IFERROR(INDEX(Sheet3!G:G,MATCH(A334,Sheet3!A:A,0)),"")</f>
        <v/>
      </c>
      <c r="E334" s="23">
        <f>IFERROR(INDEX(Sheet3!H:H,MATCH(A334,Sheet3!A:A,0)),"")</f>
        <v/>
      </c>
    </row>
    <row r="335">
      <c r="A335" s="19" t="n">
        <v>764</v>
      </c>
      <c r="B335" s="20">
        <f>IFERROR(INDEX(Sheet1!I:I,MATCH(A335,Sheet1!A:A,0)),"")</f>
        <v/>
      </c>
      <c r="C335" s="21">
        <f>IFERROR(INDEX(Sheet3!D:D,MATCH(A335,Sheet3!A:A,0)),"")</f>
        <v/>
      </c>
      <c r="D335" s="22">
        <f>IFERROR(INDEX(Sheet3!G:G,MATCH(A335,Sheet3!A:A,0)),"")</f>
        <v/>
      </c>
      <c r="E335" s="23">
        <f>IFERROR(INDEX(Sheet3!H:H,MATCH(A335,Sheet3!A:A,0)),"")</f>
        <v/>
      </c>
    </row>
    <row r="336">
      <c r="A336" s="19" t="n">
        <v>767</v>
      </c>
      <c r="B336" s="20">
        <f>IFERROR(INDEX(Sheet1!I:I,MATCH(A336,Sheet1!A:A,0)),"")</f>
        <v/>
      </c>
      <c r="C336" s="21">
        <f>IFERROR(INDEX(Sheet3!D:D,MATCH(A336,Sheet3!A:A,0)),"")</f>
        <v/>
      </c>
      <c r="D336" s="22">
        <f>IFERROR(INDEX(Sheet3!G:G,MATCH(A336,Sheet3!A:A,0)),"")</f>
        <v/>
      </c>
      <c r="E336" s="23">
        <f>IFERROR(INDEX(Sheet3!H:H,MATCH(A336,Sheet3!A:A,0)),"")</f>
        <v/>
      </c>
    </row>
    <row r="337">
      <c r="A337" s="19" t="n">
        <v>772</v>
      </c>
      <c r="B337" s="20">
        <f>IFERROR(INDEX(Sheet1!I:I,MATCH(A337,Sheet1!A:A,0)),"")</f>
        <v/>
      </c>
      <c r="C337" s="21">
        <f>IFERROR(INDEX(Sheet3!D:D,MATCH(A337,Sheet3!A:A,0)),"")</f>
        <v/>
      </c>
      <c r="D337" s="22">
        <f>IFERROR(INDEX(Sheet3!G:G,MATCH(A337,Sheet3!A:A,0)),"")</f>
        <v/>
      </c>
      <c r="E337" s="23">
        <f>IFERROR(INDEX(Sheet3!H:H,MATCH(A337,Sheet3!A:A,0)),"")</f>
        <v/>
      </c>
    </row>
    <row r="338">
      <c r="A338" s="19" t="n">
        <v>773</v>
      </c>
      <c r="B338" s="20">
        <f>IFERROR(INDEX(Sheet1!I:I,MATCH(A338,Sheet1!A:A,0)),"")</f>
        <v/>
      </c>
      <c r="C338" s="21">
        <f>IFERROR(INDEX(Sheet3!D:D,MATCH(A338,Sheet3!A:A,0)),"")</f>
        <v/>
      </c>
      <c r="D338" s="22">
        <f>IFERROR(INDEX(Sheet3!G:G,MATCH(A338,Sheet3!A:A,0)),"")</f>
        <v/>
      </c>
      <c r="E338" s="23">
        <f>IFERROR(INDEX(Sheet3!H:H,MATCH(A338,Sheet3!A:A,0)),"")</f>
        <v/>
      </c>
    </row>
    <row r="339">
      <c r="A339" s="19" t="n">
        <v>774</v>
      </c>
      <c r="B339" s="20">
        <f>IFERROR(INDEX(Sheet1!I:I,MATCH(A339,Sheet1!A:A,0)),"")</f>
        <v/>
      </c>
      <c r="C339" s="21">
        <f>IFERROR(INDEX(Sheet3!D:D,MATCH(A339,Sheet3!A:A,0)),"")</f>
        <v/>
      </c>
      <c r="D339" s="22">
        <f>IFERROR(INDEX(Sheet3!G:G,MATCH(A339,Sheet3!A:A,0)),"")</f>
        <v/>
      </c>
      <c r="E339" s="23">
        <f>IFERROR(INDEX(Sheet3!H:H,MATCH(A339,Sheet3!A:A,0)),"")</f>
        <v/>
      </c>
    </row>
    <row r="340">
      <c r="A340" s="19" t="n">
        <v>776</v>
      </c>
      <c r="B340" s="20">
        <f>IFERROR(INDEX(Sheet1!I:I,MATCH(A340,Sheet1!A:A,0)),"")</f>
        <v/>
      </c>
      <c r="C340" s="21">
        <f>IFERROR(INDEX(Sheet3!D:D,MATCH(A340,Sheet3!A:A,0)),"")</f>
        <v/>
      </c>
      <c r="D340" s="22">
        <f>IFERROR(INDEX(Sheet3!G:G,MATCH(A340,Sheet3!A:A,0)),"")</f>
        <v/>
      </c>
      <c r="E340" s="23">
        <f>IFERROR(INDEX(Sheet3!H:H,MATCH(A340,Sheet3!A:A,0)),"")</f>
        <v/>
      </c>
    </row>
    <row r="341">
      <c r="A341" s="19" t="n">
        <v>777</v>
      </c>
      <c r="B341" s="20">
        <f>IFERROR(INDEX(Sheet1!I:I,MATCH(A341,Sheet1!A:A,0)),"")</f>
        <v/>
      </c>
      <c r="C341" s="21">
        <f>IFERROR(INDEX(Sheet3!D:D,MATCH(A341,Sheet3!A:A,0)),"")</f>
        <v/>
      </c>
      <c r="D341" s="22">
        <f>IFERROR(INDEX(Sheet3!G:G,MATCH(A341,Sheet3!A:A,0)),"")</f>
        <v/>
      </c>
      <c r="E341" s="23">
        <f>IFERROR(INDEX(Sheet3!H:H,MATCH(A341,Sheet3!A:A,0)),"")</f>
        <v/>
      </c>
    </row>
    <row r="342">
      <c r="A342" s="19" t="n">
        <v>780</v>
      </c>
      <c r="B342" s="20">
        <f>IFERROR(INDEX(Sheet1!I:I,MATCH(A342,Sheet1!A:A,0)),"")</f>
        <v/>
      </c>
      <c r="C342" s="21">
        <f>IFERROR(INDEX(Sheet3!D:D,MATCH(A342,Sheet3!A:A,0)),"")</f>
        <v/>
      </c>
      <c r="D342" s="22">
        <f>IFERROR(INDEX(Sheet3!G:G,MATCH(A342,Sheet3!A:A,0)),"")</f>
        <v/>
      </c>
      <c r="E342" s="23">
        <f>IFERROR(INDEX(Sheet3!H:H,MATCH(A342,Sheet3!A:A,0)),"")</f>
        <v/>
      </c>
    </row>
    <row r="343">
      <c r="A343" s="19" t="n">
        <v>781</v>
      </c>
      <c r="B343" s="20">
        <f>IFERROR(INDEX(Sheet1!I:I,MATCH(A343,Sheet1!A:A,0)),"")</f>
        <v/>
      </c>
      <c r="C343" s="21">
        <f>IFERROR(INDEX(Sheet3!D:D,MATCH(A343,Sheet3!A:A,0)),"")</f>
        <v/>
      </c>
      <c r="D343" s="22">
        <f>IFERROR(INDEX(Sheet3!G:G,MATCH(A343,Sheet3!A:A,0)),"")</f>
        <v/>
      </c>
      <c r="E343" s="23">
        <f>IFERROR(INDEX(Sheet3!H:H,MATCH(A343,Sheet3!A:A,0)),"")</f>
        <v/>
      </c>
    </row>
    <row r="344">
      <c r="A344" s="19" t="n">
        <v>786</v>
      </c>
      <c r="B344" s="20">
        <f>IFERROR(INDEX(Sheet1!I:I,MATCH(A344,Sheet1!A:A,0)),"")</f>
        <v/>
      </c>
      <c r="C344" s="21">
        <f>IFERROR(INDEX(Sheet3!D:D,MATCH(A344,Sheet3!A:A,0)),"")</f>
        <v/>
      </c>
      <c r="D344" s="22">
        <f>IFERROR(INDEX(Sheet3!G:G,MATCH(A344,Sheet3!A:A,0)),"")</f>
        <v/>
      </c>
      <c r="E344" s="23">
        <f>IFERROR(INDEX(Sheet3!H:H,MATCH(A344,Sheet3!A:A,0)),"")</f>
        <v/>
      </c>
    </row>
    <row r="345">
      <c r="A345" s="19" t="n">
        <v>787</v>
      </c>
      <c r="B345" s="20">
        <f>IFERROR(INDEX(Sheet1!I:I,MATCH(A345,Sheet1!A:A,0)),"")</f>
        <v/>
      </c>
      <c r="C345" s="21">
        <f>IFERROR(INDEX(Sheet3!D:D,MATCH(A345,Sheet3!A:A,0)),"")</f>
        <v/>
      </c>
      <c r="D345" s="22">
        <f>IFERROR(INDEX(Sheet3!G:G,MATCH(A345,Sheet3!A:A,0)),"")</f>
        <v/>
      </c>
      <c r="E345" s="23">
        <f>IFERROR(INDEX(Sheet3!H:H,MATCH(A345,Sheet3!A:A,0)),"")</f>
        <v/>
      </c>
    </row>
    <row r="346">
      <c r="A346" s="19" t="n">
        <v>788</v>
      </c>
      <c r="B346" s="20">
        <f>IFERROR(INDEX(Sheet1!I:I,MATCH(A346,Sheet1!A:A,0)),"")</f>
        <v/>
      </c>
      <c r="C346" s="21">
        <f>IFERROR(INDEX(Sheet3!D:D,MATCH(A346,Sheet3!A:A,0)),"")</f>
        <v/>
      </c>
      <c r="D346" s="22">
        <f>IFERROR(INDEX(Sheet3!G:G,MATCH(A346,Sheet3!A:A,0)),"")</f>
        <v/>
      </c>
      <c r="E346" s="23">
        <f>IFERROR(INDEX(Sheet3!H:H,MATCH(A346,Sheet3!A:A,0)),"")</f>
        <v/>
      </c>
    </row>
    <row r="347">
      <c r="A347" s="19" t="n">
        <v>791</v>
      </c>
      <c r="B347" s="20">
        <f>IFERROR(INDEX(Sheet1!I:I,MATCH(A347,Sheet1!A:A,0)),"")</f>
        <v/>
      </c>
      <c r="C347" s="21">
        <f>IFERROR(INDEX(Sheet3!D:D,MATCH(A347,Sheet3!A:A,0)),"")</f>
        <v/>
      </c>
      <c r="D347" s="22">
        <f>IFERROR(INDEX(Sheet3!G:G,MATCH(A347,Sheet3!A:A,0)),"")</f>
        <v/>
      </c>
      <c r="E347" s="23">
        <f>IFERROR(INDEX(Sheet3!H:H,MATCH(A347,Sheet3!A:A,0)),"")</f>
        <v/>
      </c>
    </row>
    <row r="348">
      <c r="A348" s="19" t="n">
        <v>793</v>
      </c>
      <c r="B348" s="20">
        <f>IFERROR(INDEX(Sheet1!I:I,MATCH(A348,Sheet1!A:A,0)),"")</f>
        <v/>
      </c>
      <c r="C348" s="21">
        <f>IFERROR(INDEX(Sheet3!D:D,MATCH(A348,Sheet3!A:A,0)),"")</f>
        <v/>
      </c>
      <c r="D348" s="22">
        <f>IFERROR(INDEX(Sheet3!G:G,MATCH(A348,Sheet3!A:A,0)),"")</f>
        <v/>
      </c>
      <c r="E348" s="23">
        <f>IFERROR(INDEX(Sheet3!H:H,MATCH(A348,Sheet3!A:A,0)),"")</f>
        <v/>
      </c>
    </row>
    <row r="349">
      <c r="A349" s="19" t="n">
        <v>801</v>
      </c>
      <c r="B349" s="20">
        <f>IFERROR(INDEX(Sheet1!I:I,MATCH(A349,Sheet1!A:A,0)),"")</f>
        <v/>
      </c>
      <c r="C349" s="21">
        <f>IFERROR(INDEX(Sheet3!D:D,MATCH(A349,Sheet3!A:A,0)),"")</f>
        <v/>
      </c>
      <c r="D349" s="22">
        <f>IFERROR(INDEX(Sheet3!G:G,MATCH(A349,Sheet3!A:A,0)),"")</f>
        <v/>
      </c>
      <c r="E349" s="23">
        <f>IFERROR(INDEX(Sheet3!H:H,MATCH(A349,Sheet3!A:A,0)),"")</f>
        <v/>
      </c>
    </row>
    <row r="350">
      <c r="A350" s="19" t="n">
        <v>802</v>
      </c>
      <c r="B350" s="20">
        <f>IFERROR(INDEX(Sheet1!I:I,MATCH(A350,Sheet1!A:A,0)),"")</f>
        <v/>
      </c>
      <c r="C350" s="21">
        <f>IFERROR(INDEX(Sheet3!D:D,MATCH(A350,Sheet3!A:A,0)),"")</f>
        <v/>
      </c>
      <c r="D350" s="22">
        <f>IFERROR(INDEX(Sheet3!G:G,MATCH(A350,Sheet3!A:A,0)),"")</f>
        <v/>
      </c>
      <c r="E350" s="23">
        <f>IFERROR(INDEX(Sheet3!H:H,MATCH(A350,Sheet3!A:A,0)),"")</f>
        <v/>
      </c>
    </row>
    <row r="351">
      <c r="A351" s="19" t="n">
        <v>803</v>
      </c>
      <c r="B351" s="20">
        <f>IFERROR(INDEX(Sheet1!I:I,MATCH(A351,Sheet1!A:A,0)),"")</f>
        <v/>
      </c>
      <c r="C351" s="21">
        <f>IFERROR(INDEX(Sheet3!D:D,MATCH(A351,Sheet3!A:A,0)),"")</f>
        <v/>
      </c>
      <c r="D351" s="22">
        <f>IFERROR(INDEX(Sheet3!G:G,MATCH(A351,Sheet3!A:A,0)),"")</f>
        <v/>
      </c>
      <c r="E351" s="23">
        <f>IFERROR(INDEX(Sheet3!H:H,MATCH(A351,Sheet3!A:A,0)),"")</f>
        <v/>
      </c>
    </row>
    <row r="352">
      <c r="A352" s="19" t="n">
        <v>804</v>
      </c>
      <c r="B352" s="20">
        <f>IFERROR(INDEX(Sheet1!I:I,MATCH(A352,Sheet1!A:A,0)),"")</f>
        <v/>
      </c>
      <c r="C352" s="21">
        <f>IFERROR(INDEX(Sheet3!D:D,MATCH(A352,Sheet3!A:A,0)),"")</f>
        <v/>
      </c>
      <c r="D352" s="22">
        <f>IFERROR(INDEX(Sheet3!G:G,MATCH(A352,Sheet3!A:A,0)),"")</f>
        <v/>
      </c>
      <c r="E352" s="23">
        <f>IFERROR(INDEX(Sheet3!H:H,MATCH(A352,Sheet3!A:A,0)),"")</f>
        <v/>
      </c>
    </row>
    <row r="353">
      <c r="A353" s="19" t="n">
        <v>805</v>
      </c>
      <c r="B353" s="20">
        <f>IFERROR(INDEX(Sheet1!I:I,MATCH(A353,Sheet1!A:A,0)),"")</f>
        <v/>
      </c>
      <c r="C353" s="21">
        <f>IFERROR(INDEX(Sheet3!D:D,MATCH(A353,Sheet3!A:A,0)),"")</f>
        <v/>
      </c>
      <c r="D353" s="22">
        <f>IFERROR(INDEX(Sheet3!G:G,MATCH(A353,Sheet3!A:A,0)),"")</f>
        <v/>
      </c>
      <c r="E353" s="23">
        <f>IFERROR(INDEX(Sheet3!H:H,MATCH(A353,Sheet3!A:A,0)),"")</f>
        <v/>
      </c>
    </row>
    <row r="354">
      <c r="A354" s="19" t="n">
        <v>806</v>
      </c>
      <c r="B354" s="20">
        <f>IFERROR(INDEX(Sheet1!I:I,MATCH(A354,Sheet1!A:A,0)),"")</f>
        <v/>
      </c>
      <c r="C354" s="21">
        <f>IFERROR(INDEX(Sheet3!D:D,MATCH(A354,Sheet3!A:A,0)),"")</f>
        <v/>
      </c>
      <c r="D354" s="22">
        <f>IFERROR(INDEX(Sheet3!G:G,MATCH(A354,Sheet3!A:A,0)),"")</f>
        <v/>
      </c>
      <c r="E354" s="23">
        <f>IFERROR(INDEX(Sheet3!H:H,MATCH(A354,Sheet3!A:A,0)),"")</f>
        <v/>
      </c>
    </row>
    <row r="355">
      <c r="A355" s="19" t="n">
        <v>807</v>
      </c>
      <c r="B355" s="20">
        <f>IFERROR(INDEX(Sheet1!I:I,MATCH(A355,Sheet1!A:A,0)),"")</f>
        <v/>
      </c>
      <c r="C355" s="21">
        <f>IFERROR(INDEX(Sheet3!D:D,MATCH(A355,Sheet3!A:A,0)),"")</f>
        <v/>
      </c>
      <c r="D355" s="22">
        <f>IFERROR(INDEX(Sheet3!G:G,MATCH(A355,Sheet3!A:A,0)),"")</f>
        <v/>
      </c>
      <c r="E355" s="23">
        <f>IFERROR(INDEX(Sheet3!H:H,MATCH(A355,Sheet3!A:A,0)),"")</f>
        <v/>
      </c>
    </row>
    <row r="356">
      <c r="A356" s="19" t="n">
        <v>808</v>
      </c>
      <c r="B356" s="20">
        <f>IFERROR(INDEX(Sheet1!I:I,MATCH(A356,Sheet1!A:A,0)),"")</f>
        <v/>
      </c>
      <c r="C356" s="21">
        <f>IFERROR(INDEX(Sheet3!D:D,MATCH(A356,Sheet3!A:A,0)),"")</f>
        <v/>
      </c>
      <c r="D356" s="22">
        <f>IFERROR(INDEX(Sheet3!G:G,MATCH(A356,Sheet3!A:A,0)),"")</f>
        <v/>
      </c>
      <c r="E356" s="23">
        <f>IFERROR(INDEX(Sheet3!H:H,MATCH(A356,Sheet3!A:A,0)),"")</f>
        <v/>
      </c>
    </row>
    <row r="357">
      <c r="A357" s="19" t="n">
        <v>809</v>
      </c>
      <c r="B357" s="20">
        <f>IFERROR(INDEX(Sheet1!I:I,MATCH(A357,Sheet1!A:A,0)),"")</f>
        <v/>
      </c>
      <c r="C357" s="21">
        <f>IFERROR(INDEX(Sheet3!D:D,MATCH(A357,Sheet3!A:A,0)),"")</f>
        <v/>
      </c>
      <c r="D357" s="22">
        <f>IFERROR(INDEX(Sheet3!G:G,MATCH(A357,Sheet3!A:A,0)),"")</f>
        <v/>
      </c>
      <c r="E357" s="23">
        <f>IFERROR(INDEX(Sheet3!H:H,MATCH(A357,Sheet3!A:A,0)),"")</f>
        <v/>
      </c>
    </row>
    <row r="358">
      <c r="A358" s="19" t="n">
        <v>810</v>
      </c>
      <c r="B358" s="20">
        <f>IFERROR(INDEX(Sheet1!I:I,MATCH(A358,Sheet1!A:A,0)),"")</f>
        <v/>
      </c>
      <c r="C358" s="21">
        <f>IFERROR(INDEX(Sheet3!D:D,MATCH(A358,Sheet3!A:A,0)),"")</f>
        <v/>
      </c>
      <c r="D358" s="22">
        <f>IFERROR(INDEX(Sheet3!G:G,MATCH(A358,Sheet3!A:A,0)),"")</f>
        <v/>
      </c>
      <c r="E358" s="23">
        <f>IFERROR(INDEX(Sheet3!H:H,MATCH(A358,Sheet3!A:A,0)),"")</f>
        <v/>
      </c>
    </row>
    <row r="359">
      <c r="A359" s="19" t="n">
        <v>811</v>
      </c>
      <c r="B359" s="20">
        <f>IFERROR(INDEX(Sheet1!I:I,MATCH(A359,Sheet1!A:A,0)),"")</f>
        <v/>
      </c>
      <c r="C359" s="21">
        <f>IFERROR(INDEX(Sheet3!D:D,MATCH(A359,Sheet3!A:A,0)),"")</f>
        <v/>
      </c>
      <c r="D359" s="22">
        <f>IFERROR(INDEX(Sheet3!G:G,MATCH(A359,Sheet3!A:A,0)),"")</f>
        <v/>
      </c>
      <c r="E359" s="23">
        <f>IFERROR(INDEX(Sheet3!H:H,MATCH(A359,Sheet3!A:A,0)),"")</f>
        <v/>
      </c>
    </row>
    <row r="360">
      <c r="A360" s="19" t="n">
        <v>812</v>
      </c>
      <c r="B360" s="20">
        <f>IFERROR(INDEX(Sheet1!I:I,MATCH(A360,Sheet1!A:A,0)),"")</f>
        <v/>
      </c>
      <c r="C360" s="21">
        <f>IFERROR(INDEX(Sheet3!D:D,MATCH(A360,Sheet3!A:A,0)),"")</f>
        <v/>
      </c>
      <c r="D360" s="22">
        <f>IFERROR(INDEX(Sheet3!G:G,MATCH(A360,Sheet3!A:A,0)),"")</f>
        <v/>
      </c>
      <c r="E360" s="23">
        <f>IFERROR(INDEX(Sheet3!H:H,MATCH(A360,Sheet3!A:A,0)),"")</f>
        <v/>
      </c>
    </row>
    <row r="361">
      <c r="A361" s="19" t="n">
        <v>813</v>
      </c>
      <c r="B361" s="20">
        <f>IFERROR(INDEX(Sheet1!I:I,MATCH(A361,Sheet1!A:A,0)),"")</f>
        <v/>
      </c>
      <c r="C361" s="21">
        <f>IFERROR(INDEX(Sheet3!D:D,MATCH(A361,Sheet3!A:A,0)),"")</f>
        <v/>
      </c>
      <c r="D361" s="22">
        <f>IFERROR(INDEX(Sheet3!G:G,MATCH(A361,Sheet3!A:A,0)),"")</f>
        <v/>
      </c>
      <c r="E361" s="23">
        <f>IFERROR(INDEX(Sheet3!H:H,MATCH(A361,Sheet3!A:A,0)),"")</f>
        <v/>
      </c>
    </row>
    <row r="362">
      <c r="A362" s="19" t="n">
        <v>814</v>
      </c>
      <c r="B362" s="20">
        <f>IFERROR(INDEX(Sheet1!I:I,MATCH(A362,Sheet1!A:A,0)),"")</f>
        <v/>
      </c>
      <c r="C362" s="21">
        <f>IFERROR(INDEX(Sheet3!D:D,MATCH(A362,Sheet3!A:A,0)),"")</f>
        <v/>
      </c>
      <c r="D362" s="22">
        <f>IFERROR(INDEX(Sheet3!G:G,MATCH(A362,Sheet3!A:A,0)),"")</f>
        <v/>
      </c>
      <c r="E362" s="23">
        <f>IFERROR(INDEX(Sheet3!H:H,MATCH(A362,Sheet3!A:A,0)),"")</f>
        <v/>
      </c>
    </row>
    <row r="363">
      <c r="A363" s="19" t="n">
        <v>816</v>
      </c>
      <c r="B363" s="20">
        <f>IFERROR(INDEX(Sheet1!I:I,MATCH(A363,Sheet1!A:A,0)),"")</f>
        <v/>
      </c>
      <c r="C363" s="21">
        <f>IFERROR(INDEX(Sheet3!D:D,MATCH(A363,Sheet3!A:A,0)),"")</f>
        <v/>
      </c>
      <c r="D363" s="22">
        <f>IFERROR(INDEX(Sheet3!G:G,MATCH(A363,Sheet3!A:A,0)),"")</f>
        <v/>
      </c>
      <c r="E363" s="23">
        <f>IFERROR(INDEX(Sheet3!H:H,MATCH(A363,Sheet3!A:A,0)),"")</f>
        <v/>
      </c>
    </row>
    <row r="364">
      <c r="A364" s="19" t="n">
        <v>817</v>
      </c>
      <c r="B364" s="20">
        <f>IFERROR(INDEX(Sheet1!I:I,MATCH(A364,Sheet1!A:A,0)),"")</f>
        <v/>
      </c>
      <c r="C364" s="21">
        <f>IFERROR(INDEX(Sheet3!D:D,MATCH(A364,Sheet3!A:A,0)),"")</f>
        <v/>
      </c>
      <c r="D364" s="22">
        <f>IFERROR(INDEX(Sheet3!G:G,MATCH(A364,Sheet3!A:A,0)),"")</f>
        <v/>
      </c>
      <c r="E364" s="23">
        <f>IFERROR(INDEX(Sheet3!H:H,MATCH(A364,Sheet3!A:A,0)),"")</f>
        <v/>
      </c>
    </row>
    <row r="365">
      <c r="A365" s="19" t="n">
        <v>837</v>
      </c>
      <c r="B365" s="20">
        <f>IFERROR(INDEX(Sheet1!I:I,MATCH(A365,Sheet1!A:A,0)),"")</f>
        <v/>
      </c>
      <c r="C365" s="21">
        <f>IFERROR(INDEX(Sheet3!D:D,MATCH(A365,Sheet3!A:A,0)),"")</f>
        <v/>
      </c>
      <c r="D365" s="22">
        <f>IFERROR(INDEX(Sheet3!G:G,MATCH(A365,Sheet3!A:A,0)),"")</f>
        <v/>
      </c>
      <c r="E365" s="23">
        <f>IFERROR(INDEX(Sheet3!H:H,MATCH(A365,Sheet3!A:A,0)),"")</f>
        <v/>
      </c>
    </row>
    <row r="366">
      <c r="A366" s="19" t="n">
        <v>839</v>
      </c>
      <c r="B366" s="20">
        <f>IFERROR(INDEX(Sheet1!I:I,MATCH(A366,Sheet1!A:A,0)),"")</f>
        <v/>
      </c>
      <c r="C366" s="21">
        <f>IFERROR(INDEX(Sheet3!D:D,MATCH(A366,Sheet3!A:A,0)),"")</f>
        <v/>
      </c>
      <c r="D366" s="22">
        <f>IFERROR(INDEX(Sheet3!G:G,MATCH(A366,Sheet3!A:A,0)),"")</f>
        <v/>
      </c>
      <c r="E366" s="23">
        <f>IFERROR(INDEX(Sheet3!H:H,MATCH(A366,Sheet3!A:A,0)),"")</f>
        <v/>
      </c>
    </row>
    <row r="367">
      <c r="A367" s="19" t="n">
        <v>840</v>
      </c>
      <c r="B367" s="20">
        <f>IFERROR(INDEX(Sheet1!I:I,MATCH(A367,Sheet1!A:A,0)),"")</f>
        <v/>
      </c>
      <c r="C367" s="21">
        <f>IFERROR(INDEX(Sheet3!D:D,MATCH(A367,Sheet3!A:A,0)),"")</f>
        <v/>
      </c>
      <c r="D367" s="22">
        <f>IFERROR(INDEX(Sheet3!G:G,MATCH(A367,Sheet3!A:A,0)),"")</f>
        <v/>
      </c>
      <c r="E367" s="23">
        <f>IFERROR(INDEX(Sheet3!H:H,MATCH(A367,Sheet3!A:A,0)),"")</f>
        <v/>
      </c>
    </row>
    <row r="368">
      <c r="A368" s="19" t="n">
        <v>841</v>
      </c>
      <c r="B368" s="20">
        <f>IFERROR(INDEX(Sheet1!I:I,MATCH(A368,Sheet1!A:A,0)),"")</f>
        <v/>
      </c>
      <c r="C368" s="21">
        <f>IFERROR(INDEX(Sheet3!D:D,MATCH(A368,Sheet3!A:A,0)),"")</f>
        <v/>
      </c>
      <c r="D368" s="22">
        <f>IFERROR(INDEX(Sheet3!G:G,MATCH(A368,Sheet3!A:A,0)),"")</f>
        <v/>
      </c>
      <c r="E368" s="23">
        <f>IFERROR(INDEX(Sheet3!H:H,MATCH(A368,Sheet3!A:A,0)),"")</f>
        <v/>
      </c>
    </row>
    <row r="369">
      <c r="A369" s="19" t="n">
        <v>844</v>
      </c>
      <c r="B369" s="20">
        <f>IFERROR(INDEX(Sheet1!I:I,MATCH(A369,Sheet1!A:A,0)),"")</f>
        <v/>
      </c>
      <c r="C369" s="21">
        <f>IFERROR(INDEX(Sheet3!D:D,MATCH(A369,Sheet3!A:A,0)),"")</f>
        <v/>
      </c>
      <c r="D369" s="22">
        <f>IFERROR(INDEX(Sheet3!G:G,MATCH(A369,Sheet3!A:A,0)),"")</f>
        <v/>
      </c>
      <c r="E369" s="23">
        <f>IFERROR(INDEX(Sheet3!H:H,MATCH(A369,Sheet3!A:A,0)),"")</f>
        <v/>
      </c>
    </row>
    <row r="370">
      <c r="A370" s="19" t="n">
        <v>845</v>
      </c>
      <c r="B370" s="20">
        <f>IFERROR(INDEX(Sheet1!I:I,MATCH(A370,Sheet1!A:A,0)),"")</f>
        <v/>
      </c>
      <c r="C370" s="21">
        <f>IFERROR(INDEX(Sheet3!D:D,MATCH(A370,Sheet3!A:A,0)),"")</f>
        <v/>
      </c>
      <c r="D370" s="22">
        <f>IFERROR(INDEX(Sheet3!G:G,MATCH(A370,Sheet3!A:A,0)),"")</f>
        <v/>
      </c>
      <c r="E370" s="23">
        <f>IFERROR(INDEX(Sheet3!H:H,MATCH(A370,Sheet3!A:A,0)),"")</f>
        <v/>
      </c>
    </row>
    <row r="371">
      <c r="A371" s="19" t="n">
        <v>847</v>
      </c>
      <c r="B371" s="20">
        <f>IFERROR(INDEX(Sheet1!I:I,MATCH(A371,Sheet1!A:A,0)),"")</f>
        <v/>
      </c>
      <c r="C371" s="21">
        <f>IFERROR(INDEX(Sheet3!D:D,MATCH(A371,Sheet3!A:A,0)),"")</f>
        <v/>
      </c>
      <c r="D371" s="22">
        <f>IFERROR(INDEX(Sheet3!G:G,MATCH(A371,Sheet3!A:A,0)),"")</f>
        <v/>
      </c>
      <c r="E371" s="23">
        <f>IFERROR(INDEX(Sheet3!H:H,MATCH(A371,Sheet3!A:A,0)),"")</f>
        <v/>
      </c>
    </row>
    <row r="372">
      <c r="A372" s="19" t="n">
        <v>848</v>
      </c>
      <c r="B372" s="20">
        <f>IFERROR(INDEX(Sheet1!I:I,MATCH(A372,Sheet1!A:A,0)),"")</f>
        <v/>
      </c>
      <c r="C372" s="21">
        <f>IFERROR(INDEX(Sheet3!D:D,MATCH(A372,Sheet3!A:A,0)),"")</f>
        <v/>
      </c>
      <c r="D372" s="22">
        <f>IFERROR(INDEX(Sheet3!G:G,MATCH(A372,Sheet3!A:A,0)),"")</f>
        <v/>
      </c>
      <c r="E372" s="23">
        <f>IFERROR(INDEX(Sheet3!H:H,MATCH(A372,Sheet3!A:A,0)),"")</f>
        <v/>
      </c>
    </row>
    <row r="373">
      <c r="A373" s="19" t="n">
        <v>849</v>
      </c>
      <c r="B373" s="20">
        <f>IFERROR(INDEX(Sheet1!I:I,MATCH(A373,Sheet1!A:A,0)),"")</f>
        <v/>
      </c>
      <c r="C373" s="21">
        <f>IFERROR(INDEX(Sheet3!D:D,MATCH(A373,Sheet3!A:A,0)),"")</f>
        <v/>
      </c>
      <c r="D373" s="22">
        <f>IFERROR(INDEX(Sheet3!G:G,MATCH(A373,Sheet3!A:A,0)),"")</f>
        <v/>
      </c>
      <c r="E373" s="23">
        <f>IFERROR(INDEX(Sheet3!H:H,MATCH(A373,Sheet3!A:A,0)),"")</f>
        <v/>
      </c>
    </row>
    <row r="374">
      <c r="A374" s="19" t="n">
        <v>851</v>
      </c>
      <c r="B374" s="20">
        <f>IFERROR(INDEX(Sheet1!I:I,MATCH(A374,Sheet1!A:A,0)),"")</f>
        <v/>
      </c>
      <c r="C374" s="21">
        <f>IFERROR(INDEX(Sheet3!D:D,MATCH(A374,Sheet3!A:A,0)),"")</f>
        <v/>
      </c>
      <c r="D374" s="22">
        <f>IFERROR(INDEX(Sheet3!G:G,MATCH(A374,Sheet3!A:A,0)),"")</f>
        <v/>
      </c>
      <c r="E374" s="23">
        <f>IFERROR(INDEX(Sheet3!H:H,MATCH(A374,Sheet3!A:A,0)),"")</f>
        <v/>
      </c>
    </row>
    <row r="375">
      <c r="A375" s="19" t="n">
        <v>853</v>
      </c>
      <c r="B375" s="20">
        <f>IFERROR(INDEX(Sheet1!I:I,MATCH(A375,Sheet1!A:A,0)),"")</f>
        <v/>
      </c>
      <c r="C375" s="21">
        <f>IFERROR(INDEX(Sheet3!D:D,MATCH(A375,Sheet3!A:A,0)),"")</f>
        <v/>
      </c>
      <c r="D375" s="22">
        <f>IFERROR(INDEX(Sheet3!G:G,MATCH(A375,Sheet3!A:A,0)),"")</f>
        <v/>
      </c>
      <c r="E375" s="23">
        <f>IFERROR(INDEX(Sheet3!H:H,MATCH(A375,Sheet3!A:A,0)),"")</f>
        <v/>
      </c>
    </row>
    <row r="376">
      <c r="A376" s="19" t="n">
        <v>854</v>
      </c>
      <c r="B376" s="20">
        <f>IFERROR(INDEX(Sheet1!I:I,MATCH(A376,Sheet1!A:A,0)),"")</f>
        <v/>
      </c>
      <c r="C376" s="21">
        <f>IFERROR(INDEX(Sheet3!D:D,MATCH(A376,Sheet3!A:A,0)),"")</f>
        <v/>
      </c>
      <c r="D376" s="22">
        <f>IFERROR(INDEX(Sheet3!G:G,MATCH(A376,Sheet3!A:A,0)),"")</f>
        <v/>
      </c>
      <c r="E376" s="23">
        <f>IFERROR(INDEX(Sheet3!H:H,MATCH(A376,Sheet3!A:A,0)),"")</f>
        <v/>
      </c>
    </row>
    <row r="377">
      <c r="A377" s="19" t="n">
        <v>856</v>
      </c>
      <c r="B377" s="20">
        <f>IFERROR(INDEX(Sheet1!I:I,MATCH(A377,Sheet1!A:A,0)),"")</f>
        <v/>
      </c>
      <c r="C377" s="21">
        <f>IFERROR(INDEX(Sheet3!D:D,MATCH(A377,Sheet3!A:A,0)),"")</f>
        <v/>
      </c>
      <c r="D377" s="22">
        <f>IFERROR(INDEX(Sheet3!G:G,MATCH(A377,Sheet3!A:A,0)),"")</f>
        <v/>
      </c>
      <c r="E377" s="23">
        <f>IFERROR(INDEX(Sheet3!H:H,MATCH(A377,Sheet3!A:A,0)),"")</f>
        <v/>
      </c>
    </row>
    <row r="378">
      <c r="A378" s="19" t="n">
        <v>859</v>
      </c>
      <c r="B378" s="20">
        <f>IFERROR(INDEX(Sheet1!I:I,MATCH(A378,Sheet1!A:A,0)),"")</f>
        <v/>
      </c>
      <c r="C378" s="21">
        <f>IFERROR(INDEX(Sheet3!D:D,MATCH(A378,Sheet3!A:A,0)),"")</f>
        <v/>
      </c>
      <c r="D378" s="22">
        <f>IFERROR(INDEX(Sheet3!G:G,MATCH(A378,Sheet3!A:A,0)),"")</f>
        <v/>
      </c>
      <c r="E378" s="23">
        <f>IFERROR(INDEX(Sheet3!H:H,MATCH(A378,Sheet3!A:A,0)),"")</f>
        <v/>
      </c>
    </row>
    <row r="379">
      <c r="A379" s="19" t="n">
        <v>860</v>
      </c>
      <c r="B379" s="20">
        <f>IFERROR(INDEX(Sheet1!I:I,MATCH(A379,Sheet1!A:A,0)),"")</f>
        <v/>
      </c>
      <c r="C379" s="21">
        <f>IFERROR(INDEX(Sheet3!D:D,MATCH(A379,Sheet3!A:A,0)),"")</f>
        <v/>
      </c>
      <c r="D379" s="22">
        <f>IFERROR(INDEX(Sheet3!G:G,MATCH(A379,Sheet3!A:A,0)),"")</f>
        <v/>
      </c>
      <c r="E379" s="23">
        <f>IFERROR(INDEX(Sheet3!H:H,MATCH(A379,Sheet3!A:A,0)),"")</f>
        <v/>
      </c>
    </row>
    <row r="380">
      <c r="A380" s="19" t="n">
        <v>861</v>
      </c>
      <c r="B380" s="20">
        <f>IFERROR(INDEX(Sheet1!I:I,MATCH(A380,Sheet1!A:A,0)),"")</f>
        <v/>
      </c>
      <c r="C380" s="21">
        <f>IFERROR(INDEX(Sheet3!D:D,MATCH(A380,Sheet3!A:A,0)),"")</f>
        <v/>
      </c>
      <c r="D380" s="22">
        <f>IFERROR(INDEX(Sheet3!G:G,MATCH(A380,Sheet3!A:A,0)),"")</f>
        <v/>
      </c>
      <c r="E380" s="23">
        <f>IFERROR(INDEX(Sheet3!H:H,MATCH(A380,Sheet3!A:A,0)),"")</f>
        <v/>
      </c>
    </row>
    <row r="381">
      <c r="A381" s="19" t="n">
        <v>863</v>
      </c>
      <c r="B381" s="20">
        <f>IFERROR(INDEX(Sheet1!I:I,MATCH(A381,Sheet1!A:A,0)),"")</f>
        <v/>
      </c>
      <c r="C381" s="21">
        <f>IFERROR(INDEX(Sheet3!D:D,MATCH(A381,Sheet3!A:A,0)),"")</f>
        <v/>
      </c>
      <c r="D381" s="22">
        <f>IFERROR(INDEX(Sheet3!G:G,MATCH(A381,Sheet3!A:A,0)),"")</f>
        <v/>
      </c>
      <c r="E381" s="23">
        <f>IFERROR(INDEX(Sheet3!H:H,MATCH(A381,Sheet3!A:A,0)),"")</f>
        <v/>
      </c>
    </row>
    <row r="382">
      <c r="A382" s="19" t="n">
        <v>864</v>
      </c>
      <c r="B382" s="20">
        <f>IFERROR(INDEX(Sheet1!I:I,MATCH(A382,Sheet1!A:A,0)),"")</f>
        <v/>
      </c>
      <c r="C382" s="21">
        <f>IFERROR(INDEX(Sheet3!D:D,MATCH(A382,Sheet3!A:A,0)),"")</f>
        <v/>
      </c>
      <c r="D382" s="22">
        <f>IFERROR(INDEX(Sheet3!G:G,MATCH(A382,Sheet3!A:A,0)),"")</f>
        <v/>
      </c>
      <c r="E382" s="23">
        <f>IFERROR(INDEX(Sheet3!H:H,MATCH(A382,Sheet3!A:A,0)),"")</f>
        <v/>
      </c>
    </row>
    <row r="383">
      <c r="A383" s="19" t="n">
        <v>867</v>
      </c>
      <c r="B383" s="20">
        <f>IFERROR(INDEX(Sheet1!I:I,MATCH(A383,Sheet1!A:A,0)),"")</f>
        <v/>
      </c>
      <c r="C383" s="21">
        <f>IFERROR(INDEX(Sheet3!D:D,MATCH(A383,Sheet3!A:A,0)),"")</f>
        <v/>
      </c>
      <c r="D383" s="22">
        <f>IFERROR(INDEX(Sheet3!G:G,MATCH(A383,Sheet3!A:A,0)),"")</f>
        <v/>
      </c>
      <c r="E383" s="23">
        <f>IFERROR(INDEX(Sheet3!H:H,MATCH(A383,Sheet3!A:A,0)),"")</f>
        <v/>
      </c>
    </row>
    <row r="384">
      <c r="A384" s="19" t="n">
        <v>870</v>
      </c>
      <c r="B384" s="20">
        <f>IFERROR(INDEX(Sheet1!I:I,MATCH(A384,Sheet1!A:A,0)),"")</f>
        <v/>
      </c>
      <c r="C384" s="21">
        <f>IFERROR(INDEX(Sheet3!D:D,MATCH(A384,Sheet3!A:A,0)),"")</f>
        <v/>
      </c>
      <c r="D384" s="22">
        <f>IFERROR(INDEX(Sheet3!G:G,MATCH(A384,Sheet3!A:A,0)),"")</f>
        <v/>
      </c>
      <c r="E384" s="23">
        <f>IFERROR(INDEX(Sheet3!H:H,MATCH(A384,Sheet3!A:A,0)),"")</f>
        <v/>
      </c>
    </row>
    <row r="385">
      <c r="A385" s="19" t="n">
        <v>875</v>
      </c>
      <c r="B385" s="20">
        <f>IFERROR(INDEX(Sheet1!I:I,MATCH(A385,Sheet1!A:A,0)),"")</f>
        <v/>
      </c>
      <c r="C385" s="21">
        <f>IFERROR(INDEX(Sheet3!D:D,MATCH(A385,Sheet3!A:A,0)),"")</f>
        <v/>
      </c>
      <c r="D385" s="22">
        <f>IFERROR(INDEX(Sheet3!G:G,MATCH(A385,Sheet3!A:A,0)),"")</f>
        <v/>
      </c>
      <c r="E385" s="23">
        <f>IFERROR(INDEX(Sheet3!H:H,MATCH(A385,Sheet3!A:A,0)),"")</f>
        <v/>
      </c>
    </row>
    <row r="386">
      <c r="A386" s="19" t="n">
        <v>876</v>
      </c>
      <c r="B386" s="20">
        <f>IFERROR(INDEX(Sheet1!I:I,MATCH(A386,Sheet1!A:A,0)),"")</f>
        <v/>
      </c>
      <c r="C386" s="21">
        <f>IFERROR(INDEX(Sheet3!D:D,MATCH(A386,Sheet3!A:A,0)),"")</f>
        <v/>
      </c>
      <c r="D386" s="22">
        <f>IFERROR(INDEX(Sheet3!G:G,MATCH(A386,Sheet3!A:A,0)),"")</f>
        <v/>
      </c>
      <c r="E386" s="23">
        <f>IFERROR(INDEX(Sheet3!H:H,MATCH(A386,Sheet3!A:A,0)),"")</f>
        <v/>
      </c>
    </row>
    <row r="387">
      <c r="A387" s="19" t="n">
        <v>877</v>
      </c>
      <c r="B387" s="20">
        <f>IFERROR(INDEX(Sheet1!I:I,MATCH(A387,Sheet1!A:A,0)),"")</f>
        <v/>
      </c>
      <c r="C387" s="21">
        <f>IFERROR(INDEX(Sheet3!D:D,MATCH(A387,Sheet3!A:A,0)),"")</f>
        <v/>
      </c>
      <c r="D387" s="22">
        <f>IFERROR(INDEX(Sheet3!G:G,MATCH(A387,Sheet3!A:A,0)),"")</f>
        <v/>
      </c>
      <c r="E387" s="23">
        <f>IFERROR(INDEX(Sheet3!H:H,MATCH(A387,Sheet3!A:A,0)),"")</f>
        <v/>
      </c>
    </row>
    <row r="388">
      <c r="A388" s="19" t="n">
        <v>893</v>
      </c>
      <c r="B388" s="20">
        <f>IFERROR(INDEX(Sheet1!I:I,MATCH(A388,Sheet1!A:A,0)),"")</f>
        <v/>
      </c>
      <c r="C388" s="21">
        <f>IFERROR(INDEX(Sheet3!D:D,MATCH(A388,Sheet3!A:A,0)),"")</f>
        <v/>
      </c>
      <c r="D388" s="22">
        <f>IFERROR(INDEX(Sheet3!G:G,MATCH(A388,Sheet3!A:A,0)),"")</f>
        <v/>
      </c>
      <c r="E388" s="23">
        <f>IFERROR(INDEX(Sheet3!H:H,MATCH(A388,Sheet3!A:A,0)),"")</f>
        <v/>
      </c>
    </row>
    <row r="389">
      <c r="A389" s="19" t="n">
        <v>896</v>
      </c>
      <c r="B389" s="20">
        <f>IFERROR(INDEX(Sheet1!I:I,MATCH(A389,Sheet1!A:A,0)),"")</f>
        <v/>
      </c>
      <c r="C389" s="21">
        <f>IFERROR(INDEX(Sheet3!D:D,MATCH(A389,Sheet3!A:A,0)),"")</f>
        <v/>
      </c>
      <c r="D389" s="22">
        <f>IFERROR(INDEX(Sheet3!G:G,MATCH(A389,Sheet3!A:A,0)),"")</f>
        <v/>
      </c>
      <c r="E389" s="23">
        <f>IFERROR(INDEX(Sheet3!H:H,MATCH(A389,Sheet3!A:A,0)),"")</f>
        <v/>
      </c>
    </row>
    <row r="390">
      <c r="A390" s="19" t="n">
        <v>897</v>
      </c>
      <c r="B390" s="20">
        <f>IFERROR(INDEX(Sheet1!I:I,MATCH(A390,Sheet1!A:A,0)),"")</f>
        <v/>
      </c>
      <c r="C390" s="21">
        <f>IFERROR(INDEX(Sheet3!D:D,MATCH(A390,Sheet3!A:A,0)),"")</f>
        <v/>
      </c>
      <c r="D390" s="22">
        <f>IFERROR(INDEX(Sheet3!G:G,MATCH(A390,Sheet3!A:A,0)),"")</f>
        <v/>
      </c>
      <c r="E390" s="23">
        <f>IFERROR(INDEX(Sheet3!H:H,MATCH(A390,Sheet3!A:A,0)),"")</f>
        <v/>
      </c>
    </row>
    <row r="391">
      <c r="A391" s="19" t="n">
        <v>902</v>
      </c>
      <c r="B391" s="20">
        <f>IFERROR(INDEX(Sheet1!I:I,MATCH(A391,Sheet1!A:A,0)),"")</f>
        <v/>
      </c>
      <c r="C391" s="21">
        <f>IFERROR(INDEX(Sheet3!D:D,MATCH(A391,Sheet3!A:A,0)),"")</f>
        <v/>
      </c>
      <c r="D391" s="22">
        <f>IFERROR(INDEX(Sheet3!G:G,MATCH(A391,Sheet3!A:A,0)),"")</f>
        <v/>
      </c>
      <c r="E391" s="23">
        <f>IFERROR(INDEX(Sheet3!H:H,MATCH(A391,Sheet3!A:A,0)),"")</f>
        <v/>
      </c>
    </row>
    <row r="392">
      <c r="A392" s="19" t="n">
        <v>906</v>
      </c>
      <c r="B392" s="20">
        <f>IFERROR(INDEX(Sheet1!I:I,MATCH(A392,Sheet1!A:A,0)),"")</f>
        <v/>
      </c>
      <c r="C392" s="21">
        <f>IFERROR(INDEX(Sheet3!D:D,MATCH(A392,Sheet3!A:A,0)),"")</f>
        <v/>
      </c>
      <c r="D392" s="22">
        <f>IFERROR(INDEX(Sheet3!G:G,MATCH(A392,Sheet3!A:A,0)),"")</f>
        <v/>
      </c>
      <c r="E392" s="23">
        <f>IFERROR(INDEX(Sheet3!H:H,MATCH(A392,Sheet3!A:A,0)),"")</f>
        <v/>
      </c>
    </row>
    <row r="393">
      <c r="A393" s="19" t="n">
        <v>910</v>
      </c>
      <c r="B393" s="20">
        <f>IFERROR(INDEX(Sheet1!I:I,MATCH(A393,Sheet1!A:A,0)),"")</f>
        <v/>
      </c>
      <c r="C393" s="21">
        <f>IFERROR(INDEX(Sheet3!D:D,MATCH(A393,Sheet3!A:A,0)),"")</f>
        <v/>
      </c>
      <c r="D393" s="22">
        <f>IFERROR(INDEX(Sheet3!G:G,MATCH(A393,Sheet3!A:A,0)),"")</f>
        <v/>
      </c>
      <c r="E393" s="23">
        <f>IFERROR(INDEX(Sheet3!H:H,MATCH(A393,Sheet3!A:A,0)),"")</f>
        <v/>
      </c>
    </row>
    <row r="394">
      <c r="A394" s="19" t="n">
        <v>912</v>
      </c>
      <c r="B394" s="20">
        <f>IFERROR(INDEX(Sheet1!I:I,MATCH(A394,Sheet1!A:A,0)),"")</f>
        <v/>
      </c>
      <c r="C394" s="21">
        <f>IFERROR(INDEX(Sheet3!D:D,MATCH(A394,Sheet3!A:A,0)),"")</f>
        <v/>
      </c>
      <c r="D394" s="22">
        <f>IFERROR(INDEX(Sheet3!G:G,MATCH(A394,Sheet3!A:A,0)),"")</f>
        <v/>
      </c>
      <c r="E394" s="23">
        <f>IFERROR(INDEX(Sheet3!H:H,MATCH(A394,Sheet3!A:A,0)),"")</f>
        <v/>
      </c>
    </row>
    <row r="395">
      <c r="A395" s="19" t="n">
        <v>913</v>
      </c>
      <c r="B395" s="20">
        <f>IFERROR(INDEX(Sheet1!I:I,MATCH(A395,Sheet1!A:A,0)),"")</f>
        <v/>
      </c>
      <c r="C395" s="21">
        <f>IFERROR(INDEX(Sheet3!D:D,MATCH(A395,Sheet3!A:A,0)),"")</f>
        <v/>
      </c>
      <c r="D395" s="22">
        <f>IFERROR(INDEX(Sheet3!G:G,MATCH(A395,Sheet3!A:A,0)),"")</f>
        <v/>
      </c>
      <c r="E395" s="23">
        <f>IFERROR(INDEX(Sheet3!H:H,MATCH(A395,Sheet3!A:A,0)),"")</f>
        <v/>
      </c>
    </row>
    <row r="396">
      <c r="A396" s="19" t="n">
        <v>915</v>
      </c>
      <c r="B396" s="20">
        <f>IFERROR(INDEX(Sheet1!I:I,MATCH(A396,Sheet1!A:A,0)),"")</f>
        <v/>
      </c>
      <c r="C396" s="21">
        <f>IFERROR(INDEX(Sheet3!D:D,MATCH(A396,Sheet3!A:A,0)),"")</f>
        <v/>
      </c>
      <c r="D396" s="22">
        <f>IFERROR(INDEX(Sheet3!G:G,MATCH(A396,Sheet3!A:A,0)),"")</f>
        <v/>
      </c>
      <c r="E396" s="23">
        <f>IFERROR(INDEX(Sheet3!H:H,MATCH(A396,Sheet3!A:A,0)),"")</f>
        <v/>
      </c>
    </row>
    <row r="397">
      <c r="A397" s="19" t="n">
        <v>916</v>
      </c>
      <c r="B397" s="20">
        <f>IFERROR(INDEX(Sheet1!I:I,MATCH(A397,Sheet1!A:A,0)),"")</f>
        <v/>
      </c>
      <c r="C397" s="21">
        <f>IFERROR(INDEX(Sheet3!D:D,MATCH(A397,Sheet3!A:A,0)),"")</f>
        <v/>
      </c>
      <c r="D397" s="22">
        <f>IFERROR(INDEX(Sheet3!G:G,MATCH(A397,Sheet3!A:A,0)),"")</f>
        <v/>
      </c>
      <c r="E397" s="23">
        <f>IFERROR(INDEX(Sheet3!H:H,MATCH(A397,Sheet3!A:A,0)),"")</f>
        <v/>
      </c>
    </row>
    <row r="398">
      <c r="A398" s="19" t="n">
        <v>918</v>
      </c>
      <c r="B398" s="20">
        <f>IFERROR(INDEX(Sheet1!I:I,MATCH(A398,Sheet1!A:A,0)),"")</f>
        <v/>
      </c>
      <c r="C398" s="21">
        <f>IFERROR(INDEX(Sheet3!D:D,MATCH(A398,Sheet3!A:A,0)),"")</f>
        <v/>
      </c>
      <c r="D398" s="22">
        <f>IFERROR(INDEX(Sheet3!G:G,MATCH(A398,Sheet3!A:A,0)),"")</f>
        <v/>
      </c>
      <c r="E398" s="23">
        <f>IFERROR(INDEX(Sheet3!H:H,MATCH(A398,Sheet3!A:A,0)),"")</f>
        <v/>
      </c>
    </row>
    <row r="399">
      <c r="A399" s="19" t="n">
        <v>919</v>
      </c>
      <c r="B399" s="20">
        <f>IFERROR(INDEX(Sheet1!I:I,MATCH(A399,Sheet1!A:A,0)),"")</f>
        <v/>
      </c>
      <c r="C399" s="21">
        <f>IFERROR(INDEX(Sheet3!D:D,MATCH(A399,Sheet3!A:A,0)),"")</f>
        <v/>
      </c>
      <c r="D399" s="22">
        <f>IFERROR(INDEX(Sheet3!G:G,MATCH(A399,Sheet3!A:A,0)),"")</f>
        <v/>
      </c>
      <c r="E399" s="23">
        <f>IFERROR(INDEX(Sheet3!H:H,MATCH(A399,Sheet3!A:A,0)),"")</f>
        <v/>
      </c>
    </row>
    <row r="400">
      <c r="A400" s="19" t="n">
        <v>920</v>
      </c>
      <c r="B400" s="20">
        <f>IFERROR(INDEX(Sheet1!I:I,MATCH(A400,Sheet1!A:A,0)),"")</f>
        <v/>
      </c>
      <c r="C400" s="21">
        <f>IFERROR(INDEX(Sheet3!D:D,MATCH(A400,Sheet3!A:A,0)),"")</f>
        <v/>
      </c>
      <c r="D400" s="22">
        <f>IFERROR(INDEX(Sheet3!G:G,MATCH(A400,Sheet3!A:A,0)),"")</f>
        <v/>
      </c>
      <c r="E400" s="23">
        <f>IFERROR(INDEX(Sheet3!H:H,MATCH(A400,Sheet3!A:A,0)),"")</f>
        <v/>
      </c>
    </row>
    <row r="401">
      <c r="A401" s="19" t="n">
        <v>921</v>
      </c>
      <c r="B401" s="20">
        <f>IFERROR(INDEX(Sheet1!I:I,MATCH(A401,Sheet1!A:A,0)),"")</f>
        <v/>
      </c>
      <c r="C401" s="21">
        <f>IFERROR(INDEX(Sheet3!D:D,MATCH(A401,Sheet3!A:A,0)),"")</f>
        <v/>
      </c>
      <c r="D401" s="22">
        <f>IFERROR(INDEX(Sheet3!G:G,MATCH(A401,Sheet3!A:A,0)),"")</f>
        <v/>
      </c>
      <c r="E401" s="23">
        <f>IFERROR(INDEX(Sheet3!H:H,MATCH(A401,Sheet3!A:A,0)),"")</f>
        <v/>
      </c>
    </row>
    <row r="402">
      <c r="A402" s="19" t="n">
        <v>923</v>
      </c>
      <c r="B402" s="20">
        <f>IFERROR(INDEX(Sheet1!I:I,MATCH(A402,Sheet1!A:A,0)),"")</f>
        <v/>
      </c>
      <c r="C402" s="21">
        <f>IFERROR(INDEX(Sheet3!D:D,MATCH(A402,Sheet3!A:A,0)),"")</f>
        <v/>
      </c>
      <c r="D402" s="22">
        <f>IFERROR(INDEX(Sheet3!G:G,MATCH(A402,Sheet3!A:A,0)),"")</f>
        <v/>
      </c>
      <c r="E402" s="23">
        <f>IFERROR(INDEX(Sheet3!H:H,MATCH(A402,Sheet3!A:A,0)),"")</f>
        <v/>
      </c>
    </row>
    <row r="403">
      <c r="A403" s="19" t="n">
        <v>924</v>
      </c>
      <c r="B403" s="20">
        <f>IFERROR(INDEX(Sheet1!I:I,MATCH(A403,Sheet1!A:A,0)),"")</f>
        <v/>
      </c>
      <c r="C403" s="21">
        <f>IFERROR(INDEX(Sheet3!D:D,MATCH(A403,Sheet3!A:A,0)),"")</f>
        <v/>
      </c>
      <c r="D403" s="22">
        <f>IFERROR(INDEX(Sheet3!G:G,MATCH(A403,Sheet3!A:A,0)),"")</f>
        <v/>
      </c>
      <c r="E403" s="23">
        <f>IFERROR(INDEX(Sheet3!H:H,MATCH(A403,Sheet3!A:A,0)),"")</f>
        <v/>
      </c>
    </row>
    <row r="404">
      <c r="A404" s="19" t="n">
        <v>925</v>
      </c>
      <c r="B404" s="20">
        <f>IFERROR(INDEX(Sheet1!I:I,MATCH(A404,Sheet1!A:A,0)),"")</f>
        <v/>
      </c>
      <c r="C404" s="21">
        <f>IFERROR(INDEX(Sheet3!D:D,MATCH(A404,Sheet3!A:A,0)),"")</f>
        <v/>
      </c>
      <c r="D404" s="22">
        <f>IFERROR(INDEX(Sheet3!G:G,MATCH(A404,Sheet3!A:A,0)),"")</f>
        <v/>
      </c>
      <c r="E404" s="23">
        <f>IFERROR(INDEX(Sheet3!H:H,MATCH(A404,Sheet3!A:A,0)),"")</f>
        <v/>
      </c>
    </row>
    <row r="405">
      <c r="A405" s="19" t="n">
        <v>929</v>
      </c>
      <c r="B405" s="20">
        <f>IFERROR(INDEX(Sheet1!I:I,MATCH(A405,Sheet1!A:A,0)),"")</f>
        <v/>
      </c>
      <c r="C405" s="21">
        <f>IFERROR(INDEX(Sheet3!D:D,MATCH(A405,Sheet3!A:A,0)),"")</f>
        <v/>
      </c>
      <c r="D405" s="22">
        <f>IFERROR(INDEX(Sheet3!G:G,MATCH(A405,Sheet3!A:A,0)),"")</f>
        <v/>
      </c>
      <c r="E405" s="23">
        <f>IFERROR(INDEX(Sheet3!H:H,MATCH(A405,Sheet3!A:A,0)),"")</f>
        <v/>
      </c>
    </row>
    <row r="406">
      <c r="A406" s="19" t="n">
        <v>930</v>
      </c>
      <c r="B406" s="20">
        <f>IFERROR(INDEX(Sheet1!I:I,MATCH(A406,Sheet1!A:A,0)),"")</f>
        <v/>
      </c>
      <c r="C406" s="21">
        <f>IFERROR(INDEX(Sheet3!D:D,MATCH(A406,Sheet3!A:A,0)),"")</f>
        <v/>
      </c>
      <c r="D406" s="22">
        <f>IFERROR(INDEX(Sheet3!G:G,MATCH(A406,Sheet3!A:A,0)),"")</f>
        <v/>
      </c>
      <c r="E406" s="23">
        <f>IFERROR(INDEX(Sheet3!H:H,MATCH(A406,Sheet3!A:A,0)),"")</f>
        <v/>
      </c>
    </row>
    <row r="407">
      <c r="A407" s="19" t="n">
        <v>931</v>
      </c>
      <c r="B407" s="20">
        <f>IFERROR(INDEX(Sheet1!I:I,MATCH(A407,Sheet1!A:A,0)),"")</f>
        <v/>
      </c>
      <c r="C407" s="21">
        <f>IFERROR(INDEX(Sheet3!D:D,MATCH(A407,Sheet3!A:A,0)),"")</f>
        <v/>
      </c>
      <c r="D407" s="22">
        <f>IFERROR(INDEX(Sheet3!G:G,MATCH(A407,Sheet3!A:A,0)),"")</f>
        <v/>
      </c>
      <c r="E407" s="23">
        <f>IFERROR(INDEX(Sheet3!H:H,MATCH(A407,Sheet3!A:A,0)),"")</f>
        <v/>
      </c>
    </row>
    <row r="408">
      <c r="A408" s="19" t="n">
        <v>933</v>
      </c>
      <c r="B408" s="20">
        <f>IFERROR(INDEX(Sheet1!I:I,MATCH(A408,Sheet1!A:A,0)),"")</f>
        <v/>
      </c>
      <c r="C408" s="21">
        <f>IFERROR(INDEX(Sheet3!D:D,MATCH(A408,Sheet3!A:A,0)),"")</f>
        <v/>
      </c>
      <c r="D408" s="22">
        <f>IFERROR(INDEX(Sheet3!G:G,MATCH(A408,Sheet3!A:A,0)),"")</f>
        <v/>
      </c>
      <c r="E408" s="23">
        <f>IFERROR(INDEX(Sheet3!H:H,MATCH(A408,Sheet3!A:A,0)),"")</f>
        <v/>
      </c>
    </row>
    <row r="409">
      <c r="A409" s="19" t="n">
        <v>935</v>
      </c>
      <c r="B409" s="20">
        <f>IFERROR(INDEX(Sheet1!I:I,MATCH(A409,Sheet1!A:A,0)),"")</f>
        <v/>
      </c>
      <c r="C409" s="21">
        <f>IFERROR(INDEX(Sheet3!D:D,MATCH(A409,Sheet3!A:A,0)),"")</f>
        <v/>
      </c>
      <c r="D409" s="22">
        <f>IFERROR(INDEX(Sheet3!G:G,MATCH(A409,Sheet3!A:A,0)),"")</f>
        <v/>
      </c>
      <c r="E409" s="23">
        <f>IFERROR(INDEX(Sheet3!H:H,MATCH(A409,Sheet3!A:A,0)),"")</f>
        <v/>
      </c>
    </row>
    <row r="410">
      <c r="A410" s="19" t="n">
        <v>938</v>
      </c>
      <c r="B410" s="20">
        <f>IFERROR(INDEX(Sheet1!I:I,MATCH(A410,Sheet1!A:A,0)),"")</f>
        <v/>
      </c>
      <c r="C410" s="21">
        <f>IFERROR(INDEX(Sheet3!D:D,MATCH(A410,Sheet3!A:A,0)),"")</f>
        <v/>
      </c>
      <c r="D410" s="22">
        <f>IFERROR(INDEX(Sheet3!G:G,MATCH(A410,Sheet3!A:A,0)),"")</f>
        <v/>
      </c>
      <c r="E410" s="23">
        <f>IFERROR(INDEX(Sheet3!H:H,MATCH(A410,Sheet3!A:A,0)),"")</f>
        <v/>
      </c>
    </row>
    <row r="411">
      <c r="A411" s="19" t="n">
        <v>939</v>
      </c>
      <c r="B411" s="20">
        <f>IFERROR(INDEX(Sheet1!I:I,MATCH(A411,Sheet1!A:A,0)),"")</f>
        <v/>
      </c>
      <c r="C411" s="21">
        <f>IFERROR(INDEX(Sheet3!D:D,MATCH(A411,Sheet3!A:A,0)),"")</f>
        <v/>
      </c>
      <c r="D411" s="22">
        <f>IFERROR(INDEX(Sheet3!G:G,MATCH(A411,Sheet3!A:A,0)),"")</f>
        <v/>
      </c>
      <c r="E411" s="23">
        <f>IFERROR(INDEX(Sheet3!H:H,MATCH(A411,Sheet3!A:A,0)),"")</f>
        <v/>
      </c>
    </row>
    <row r="412">
      <c r="A412" s="19" t="n">
        <v>940</v>
      </c>
      <c r="B412" s="20">
        <f>IFERROR(INDEX(Sheet1!I:I,MATCH(A412,Sheet1!A:A,0)),"")</f>
        <v/>
      </c>
      <c r="C412" s="21">
        <f>IFERROR(INDEX(Sheet3!D:D,MATCH(A412,Sheet3!A:A,0)),"")</f>
        <v/>
      </c>
      <c r="D412" s="22">
        <f>IFERROR(INDEX(Sheet3!G:G,MATCH(A412,Sheet3!A:A,0)),"")</f>
        <v/>
      </c>
      <c r="E412" s="23">
        <f>IFERROR(INDEX(Sheet3!H:H,MATCH(A412,Sheet3!A:A,0)),"")</f>
        <v/>
      </c>
    </row>
    <row r="413">
      <c r="A413" s="19" t="n">
        <v>941</v>
      </c>
      <c r="B413" s="20">
        <f>IFERROR(INDEX(Sheet1!I:I,MATCH(A413,Sheet1!A:A,0)),"")</f>
        <v/>
      </c>
      <c r="C413" s="21">
        <f>IFERROR(INDEX(Sheet3!D:D,MATCH(A413,Sheet3!A:A,0)),"")</f>
        <v/>
      </c>
      <c r="D413" s="22">
        <f>IFERROR(INDEX(Sheet3!G:G,MATCH(A413,Sheet3!A:A,0)),"")</f>
        <v/>
      </c>
      <c r="E413" s="23">
        <f>IFERROR(INDEX(Sheet3!H:H,MATCH(A413,Sheet3!A:A,0)),"")</f>
        <v/>
      </c>
    </row>
    <row r="414">
      <c r="A414" s="19" t="n">
        <v>942</v>
      </c>
      <c r="B414" s="20">
        <f>IFERROR(INDEX(Sheet1!I:I,MATCH(A414,Sheet1!A:A,0)),"")</f>
        <v/>
      </c>
      <c r="C414" s="21">
        <f>IFERROR(INDEX(Sheet3!D:D,MATCH(A414,Sheet3!A:A,0)),"")</f>
        <v/>
      </c>
      <c r="D414" s="22">
        <f>IFERROR(INDEX(Sheet3!G:G,MATCH(A414,Sheet3!A:A,0)),"")</f>
        <v/>
      </c>
      <c r="E414" s="23">
        <f>IFERROR(INDEX(Sheet3!H:H,MATCH(A414,Sheet3!A:A,0)),"")</f>
        <v/>
      </c>
    </row>
    <row r="415">
      <c r="A415" s="19" t="n">
        <v>946</v>
      </c>
      <c r="B415" s="20">
        <f>IFERROR(INDEX(Sheet1!I:I,MATCH(A415,Sheet1!A:A,0)),"")</f>
        <v/>
      </c>
      <c r="C415" s="21">
        <f>IFERROR(INDEX(Sheet3!D:D,MATCH(A415,Sheet3!A:A,0)),"")</f>
        <v/>
      </c>
      <c r="D415" s="22">
        <f>IFERROR(INDEX(Sheet3!G:G,MATCH(A415,Sheet3!A:A,0)),"")</f>
        <v/>
      </c>
      <c r="E415" s="23">
        <f>IFERROR(INDEX(Sheet3!H:H,MATCH(A415,Sheet3!A:A,0)),"")</f>
        <v/>
      </c>
    </row>
    <row r="416">
      <c r="A416" s="19" t="n">
        <v>947</v>
      </c>
      <c r="B416" s="20">
        <f>IFERROR(INDEX(Sheet1!I:I,MATCH(A416,Sheet1!A:A,0)),"")</f>
        <v/>
      </c>
      <c r="C416" s="21">
        <f>IFERROR(INDEX(Sheet3!D:D,MATCH(A416,Sheet3!A:A,0)),"")</f>
        <v/>
      </c>
      <c r="D416" s="22">
        <f>IFERROR(INDEX(Sheet3!G:G,MATCH(A416,Sheet3!A:A,0)),"")</f>
        <v/>
      </c>
      <c r="E416" s="23">
        <f>IFERROR(INDEX(Sheet3!H:H,MATCH(A416,Sheet3!A:A,0)),"")</f>
        <v/>
      </c>
    </row>
    <row r="417">
      <c r="A417" s="19" t="n">
        <v>949</v>
      </c>
      <c r="B417" s="20">
        <f>IFERROR(INDEX(Sheet1!I:I,MATCH(A417,Sheet1!A:A,0)),"")</f>
        <v/>
      </c>
      <c r="C417" s="21">
        <f>IFERROR(INDEX(Sheet3!D:D,MATCH(A417,Sheet3!A:A,0)),"")</f>
        <v/>
      </c>
      <c r="D417" s="22">
        <f>IFERROR(INDEX(Sheet3!G:G,MATCH(A417,Sheet3!A:A,0)),"")</f>
        <v/>
      </c>
      <c r="E417" s="23">
        <f>IFERROR(INDEX(Sheet3!H:H,MATCH(A417,Sheet3!A:A,0)),"")</f>
        <v/>
      </c>
    </row>
    <row r="418">
      <c r="A418" s="19" t="n">
        <v>952</v>
      </c>
      <c r="B418" s="20">
        <f>IFERROR(INDEX(Sheet1!I:I,MATCH(A418,Sheet1!A:A,0)),"")</f>
        <v/>
      </c>
      <c r="C418" s="21">
        <f>IFERROR(INDEX(Sheet3!D:D,MATCH(A418,Sheet3!A:A,0)),"")</f>
        <v/>
      </c>
      <c r="D418" s="22">
        <f>IFERROR(INDEX(Sheet3!G:G,MATCH(A418,Sheet3!A:A,0)),"")</f>
        <v/>
      </c>
      <c r="E418" s="23">
        <f>IFERROR(INDEX(Sheet3!H:H,MATCH(A418,Sheet3!A:A,0)),"")</f>
        <v/>
      </c>
    </row>
    <row r="419">
      <c r="A419" s="19" t="n">
        <v>953</v>
      </c>
      <c r="B419" s="20">
        <f>IFERROR(INDEX(Sheet1!I:I,MATCH(A419,Sheet1!A:A,0)),"")</f>
        <v/>
      </c>
      <c r="C419" s="21">
        <f>IFERROR(INDEX(Sheet3!D:D,MATCH(A419,Sheet3!A:A,0)),"")</f>
        <v/>
      </c>
      <c r="D419" s="22">
        <f>IFERROR(INDEX(Sheet3!G:G,MATCH(A419,Sheet3!A:A,0)),"")</f>
        <v/>
      </c>
      <c r="E419" s="23">
        <f>IFERROR(INDEX(Sheet3!H:H,MATCH(A419,Sheet3!A:A,0)),"")</f>
        <v/>
      </c>
    </row>
    <row r="420">
      <c r="A420" s="19" t="n">
        <v>964</v>
      </c>
      <c r="B420" s="20">
        <f>IFERROR(INDEX(Sheet1!I:I,MATCH(A420,Sheet1!A:A,0)),"")</f>
        <v/>
      </c>
      <c r="C420" s="21">
        <f>IFERROR(INDEX(Sheet3!D:D,MATCH(A420,Sheet3!A:A,0)),"")</f>
        <v/>
      </c>
      <c r="D420" s="22">
        <f>IFERROR(INDEX(Sheet3!G:G,MATCH(A420,Sheet3!A:A,0)),"")</f>
        <v/>
      </c>
      <c r="E420" s="23">
        <f>IFERROR(INDEX(Sheet3!H:H,MATCH(A420,Sheet3!A:A,0)),"")</f>
        <v/>
      </c>
    </row>
    <row r="421">
      <c r="A421" s="19" t="n">
        <v>965</v>
      </c>
      <c r="B421" s="20">
        <f>IFERROR(INDEX(Sheet1!I:I,MATCH(A421,Sheet1!A:A,0)),"")</f>
        <v/>
      </c>
      <c r="C421" s="21">
        <f>IFERROR(INDEX(Sheet3!D:D,MATCH(A421,Sheet3!A:A,0)),"")</f>
        <v/>
      </c>
      <c r="D421" s="22">
        <f>IFERROR(INDEX(Sheet3!G:G,MATCH(A421,Sheet3!A:A,0)),"")</f>
        <v/>
      </c>
      <c r="E421" s="23">
        <f>IFERROR(INDEX(Sheet3!H:H,MATCH(A421,Sheet3!A:A,0)),"")</f>
        <v/>
      </c>
    </row>
    <row r="422">
      <c r="A422" s="19" t="n">
        <v>966</v>
      </c>
      <c r="B422" s="20">
        <f>IFERROR(INDEX(Sheet1!I:I,MATCH(A422,Sheet1!A:A,0)),"")</f>
        <v/>
      </c>
      <c r="C422" s="21">
        <f>IFERROR(INDEX(Sheet3!D:D,MATCH(A422,Sheet3!A:A,0)),"")</f>
        <v/>
      </c>
      <c r="D422" s="22">
        <f>IFERROR(INDEX(Sheet3!G:G,MATCH(A422,Sheet3!A:A,0)),"")</f>
        <v/>
      </c>
      <c r="E422" s="23">
        <f>IFERROR(INDEX(Sheet3!H:H,MATCH(A422,Sheet3!A:A,0)),"")</f>
        <v/>
      </c>
    </row>
    <row r="423">
      <c r="A423" s="19" t="n">
        <v>968</v>
      </c>
      <c r="B423" s="20">
        <f>IFERROR(INDEX(Sheet1!I:I,MATCH(A423,Sheet1!A:A,0)),"")</f>
        <v/>
      </c>
      <c r="C423" s="21">
        <f>IFERROR(INDEX(Sheet3!D:D,MATCH(A423,Sheet3!A:A,0)),"")</f>
        <v/>
      </c>
      <c r="D423" s="22">
        <f>IFERROR(INDEX(Sheet3!G:G,MATCH(A423,Sheet3!A:A,0)),"")</f>
        <v/>
      </c>
      <c r="E423" s="23">
        <f>IFERROR(INDEX(Sheet3!H:H,MATCH(A423,Sheet3!A:A,0)),"")</f>
        <v/>
      </c>
    </row>
    <row r="424">
      <c r="A424" s="19" t="n">
        <v>972</v>
      </c>
      <c r="B424" s="20">
        <f>IFERROR(INDEX(Sheet1!I:I,MATCH(A424,Sheet1!A:A,0)),"")</f>
        <v/>
      </c>
      <c r="C424" s="21">
        <f>IFERROR(INDEX(Sheet3!D:D,MATCH(A424,Sheet3!A:A,0)),"")</f>
        <v/>
      </c>
      <c r="D424" s="22">
        <f>IFERROR(INDEX(Sheet3!G:G,MATCH(A424,Sheet3!A:A,0)),"")</f>
        <v/>
      </c>
      <c r="E424" s="23">
        <f>IFERROR(INDEX(Sheet3!H:H,MATCH(A424,Sheet3!A:A,0)),"")</f>
        <v/>
      </c>
    </row>
    <row r="425">
      <c r="A425" s="19" t="n">
        <v>973</v>
      </c>
      <c r="B425" s="20">
        <f>IFERROR(INDEX(Sheet1!I:I,MATCH(A425,Sheet1!A:A,0)),"")</f>
        <v/>
      </c>
      <c r="C425" s="21">
        <f>IFERROR(INDEX(Sheet3!D:D,MATCH(A425,Sheet3!A:A,0)),"")</f>
        <v/>
      </c>
      <c r="D425" s="22">
        <f>IFERROR(INDEX(Sheet3!G:G,MATCH(A425,Sheet3!A:A,0)),"")</f>
        <v/>
      </c>
      <c r="E425" s="23">
        <f>IFERROR(INDEX(Sheet3!H:H,MATCH(A425,Sheet3!A:A,0)),"")</f>
        <v/>
      </c>
    </row>
    <row r="426">
      <c r="A426" s="19" t="n">
        <v>977</v>
      </c>
      <c r="B426" s="20">
        <f>IFERROR(INDEX(Sheet1!I:I,MATCH(A426,Sheet1!A:A,0)),"")</f>
        <v/>
      </c>
      <c r="C426" s="21">
        <f>IFERROR(INDEX(Sheet3!D:D,MATCH(A426,Sheet3!A:A,0)),"")</f>
        <v/>
      </c>
      <c r="D426" s="22">
        <f>IFERROR(INDEX(Sheet3!G:G,MATCH(A426,Sheet3!A:A,0)),"")</f>
        <v/>
      </c>
      <c r="E426" s="23">
        <f>IFERROR(INDEX(Sheet3!H:H,MATCH(A426,Sheet3!A:A,0)),"")</f>
        <v/>
      </c>
    </row>
    <row r="427">
      <c r="A427" s="19" t="n">
        <v>978</v>
      </c>
      <c r="B427" s="20">
        <f>IFERROR(INDEX(Sheet1!I:I,MATCH(A427,Sheet1!A:A,0)),"")</f>
        <v/>
      </c>
      <c r="C427" s="21">
        <f>IFERROR(INDEX(Sheet3!D:D,MATCH(A427,Sheet3!A:A,0)),"")</f>
        <v/>
      </c>
      <c r="D427" s="22">
        <f>IFERROR(INDEX(Sheet3!G:G,MATCH(A427,Sheet3!A:A,0)),"")</f>
        <v/>
      </c>
      <c r="E427" s="23">
        <f>IFERROR(INDEX(Sheet3!H:H,MATCH(A427,Sheet3!A:A,0)),"")</f>
        <v/>
      </c>
    </row>
    <row r="428">
      <c r="A428" s="19" t="n">
        <v>979</v>
      </c>
      <c r="B428" s="20">
        <f>IFERROR(INDEX(Sheet1!I:I,MATCH(A428,Sheet1!A:A,0)),"")</f>
        <v/>
      </c>
      <c r="C428" s="21">
        <f>IFERROR(INDEX(Sheet3!D:D,MATCH(A428,Sheet3!A:A,0)),"")</f>
        <v/>
      </c>
      <c r="D428" s="22">
        <f>IFERROR(INDEX(Sheet3!G:G,MATCH(A428,Sheet3!A:A,0)),"")</f>
        <v/>
      </c>
      <c r="E428" s="23">
        <f>IFERROR(INDEX(Sheet3!H:H,MATCH(A428,Sheet3!A:A,0)),"")</f>
        <v/>
      </c>
    </row>
    <row r="429">
      <c r="A429" s="19" t="n">
        <v>982</v>
      </c>
      <c r="B429" s="20">
        <f>IFERROR(INDEX(Sheet1!I:I,MATCH(A429,Sheet1!A:A,0)),"")</f>
        <v/>
      </c>
      <c r="C429" s="21">
        <f>IFERROR(INDEX(Sheet3!D:D,MATCH(A429,Sheet3!A:A,0)),"")</f>
        <v/>
      </c>
      <c r="D429" s="22">
        <f>IFERROR(INDEX(Sheet3!G:G,MATCH(A429,Sheet3!A:A,0)),"")</f>
        <v/>
      </c>
      <c r="E429" s="23">
        <f>IFERROR(INDEX(Sheet3!H:H,MATCH(A429,Sheet3!A:A,0)),"")</f>
        <v/>
      </c>
    </row>
    <row r="430">
      <c r="A430" s="19" t="n">
        <v>983</v>
      </c>
      <c r="B430" s="20">
        <f>IFERROR(INDEX(Sheet1!I:I,MATCH(A430,Sheet1!A:A,0)),"")</f>
        <v/>
      </c>
      <c r="C430" s="21">
        <f>IFERROR(INDEX(Sheet3!D:D,MATCH(A430,Sheet3!A:A,0)),"")</f>
        <v/>
      </c>
      <c r="D430" s="22">
        <f>IFERROR(INDEX(Sheet3!G:G,MATCH(A430,Sheet3!A:A,0)),"")</f>
        <v/>
      </c>
      <c r="E430" s="23">
        <f>IFERROR(INDEX(Sheet3!H:H,MATCH(A430,Sheet3!A:A,0)),"")</f>
        <v/>
      </c>
    </row>
    <row r="431">
      <c r="A431" s="19" t="n">
        <v>984</v>
      </c>
      <c r="B431" s="20">
        <f>IFERROR(INDEX(Sheet1!I:I,MATCH(A431,Sheet1!A:A,0)),"")</f>
        <v/>
      </c>
      <c r="C431" s="21">
        <f>IFERROR(INDEX(Sheet3!D:D,MATCH(A431,Sheet3!A:A,0)),"")</f>
        <v/>
      </c>
      <c r="D431" s="22">
        <f>IFERROR(INDEX(Sheet3!G:G,MATCH(A431,Sheet3!A:A,0)),"")</f>
        <v/>
      </c>
      <c r="E431" s="23">
        <f>IFERROR(INDEX(Sheet3!H:H,MATCH(A431,Sheet3!A:A,0)),"")</f>
        <v/>
      </c>
    </row>
    <row r="432">
      <c r="A432" s="19" t="n">
        <v>985</v>
      </c>
      <c r="B432" s="20">
        <f>IFERROR(INDEX(Sheet1!I:I,MATCH(A432,Sheet1!A:A,0)),"")</f>
        <v/>
      </c>
      <c r="C432" s="21">
        <f>IFERROR(INDEX(Sheet3!D:D,MATCH(A432,Sheet3!A:A,0)),"")</f>
        <v/>
      </c>
      <c r="D432" s="22">
        <f>IFERROR(INDEX(Sheet3!G:G,MATCH(A432,Sheet3!A:A,0)),"")</f>
        <v/>
      </c>
      <c r="E432" s="23">
        <f>IFERROR(INDEX(Sheet3!H:H,MATCH(A432,Sheet3!A:A,0)),"")</f>
        <v/>
      </c>
    </row>
    <row r="433">
      <c r="A433" s="19" t="n">
        <v>986</v>
      </c>
      <c r="B433" s="20">
        <f>IFERROR(INDEX(Sheet1!I:I,MATCH(A433,Sheet1!A:A,0)),"")</f>
        <v/>
      </c>
      <c r="C433" s="21">
        <f>IFERROR(INDEX(Sheet3!D:D,MATCH(A433,Sheet3!A:A,0)),"")</f>
        <v/>
      </c>
      <c r="D433" s="22">
        <f>IFERROR(INDEX(Sheet3!G:G,MATCH(A433,Sheet3!A:A,0)),"")</f>
        <v/>
      </c>
      <c r="E433" s="23">
        <f>IFERROR(INDEX(Sheet3!H:H,MATCH(A433,Sheet3!A:A,0)),"")</f>
        <v/>
      </c>
    </row>
    <row r="434">
      <c r="A434" s="19" t="n">
        <v>987</v>
      </c>
      <c r="B434" s="20">
        <f>IFERROR(INDEX(Sheet1!I:I,MATCH(A434,Sheet1!A:A,0)),"")</f>
        <v/>
      </c>
      <c r="C434" s="21">
        <f>IFERROR(INDEX(Sheet3!D:D,MATCH(A434,Sheet3!A:A,0)),"")</f>
        <v/>
      </c>
      <c r="D434" s="22">
        <f>IFERROR(INDEX(Sheet3!G:G,MATCH(A434,Sheet3!A:A,0)),"")</f>
        <v/>
      </c>
      <c r="E434" s="23">
        <f>IFERROR(INDEX(Sheet3!H:H,MATCH(A434,Sheet3!A:A,0)),"")</f>
        <v/>
      </c>
    </row>
    <row r="435">
      <c r="A435" s="19" t="n">
        <v>988</v>
      </c>
      <c r="B435" s="20">
        <f>IFERROR(INDEX(Sheet1!I:I,MATCH(A435,Sheet1!A:A,0)),"")</f>
        <v/>
      </c>
      <c r="C435" s="21">
        <f>IFERROR(INDEX(Sheet3!D:D,MATCH(A435,Sheet3!A:A,0)),"")</f>
        <v/>
      </c>
      <c r="D435" s="22">
        <f>IFERROR(INDEX(Sheet3!G:G,MATCH(A435,Sheet3!A:A,0)),"")</f>
        <v/>
      </c>
      <c r="E435" s="23">
        <f>IFERROR(INDEX(Sheet3!H:H,MATCH(A435,Sheet3!A:A,0)),"")</f>
        <v/>
      </c>
    </row>
    <row r="436">
      <c r="A436" s="19" t="n">
        <v>990</v>
      </c>
      <c r="B436" s="20">
        <f>IFERROR(INDEX(Sheet1!I:I,MATCH(A436,Sheet1!A:A,0)),"")</f>
        <v/>
      </c>
      <c r="C436" s="21">
        <f>IFERROR(INDEX(Sheet3!D:D,MATCH(A436,Sheet3!A:A,0)),"")</f>
        <v/>
      </c>
      <c r="D436" s="22">
        <f>IFERROR(INDEX(Sheet3!G:G,MATCH(A436,Sheet3!A:A,0)),"")</f>
        <v/>
      </c>
      <c r="E436" s="23">
        <f>IFERROR(INDEX(Sheet3!H:H,MATCH(A436,Sheet3!A:A,0)),"")</f>
        <v/>
      </c>
    </row>
    <row r="437">
      <c r="A437" s="19" t="n">
        <v>991</v>
      </c>
      <c r="B437" s="20">
        <f>IFERROR(INDEX(Sheet1!I:I,MATCH(A437,Sheet1!A:A,0)),"")</f>
        <v/>
      </c>
      <c r="C437" s="21">
        <f>IFERROR(INDEX(Sheet3!D:D,MATCH(A437,Sheet3!A:A,0)),"")</f>
        <v/>
      </c>
      <c r="D437" s="22">
        <f>IFERROR(INDEX(Sheet3!G:G,MATCH(A437,Sheet3!A:A,0)),"")</f>
        <v/>
      </c>
      <c r="E437" s="23">
        <f>IFERROR(INDEX(Sheet3!H:H,MATCH(A437,Sheet3!A:A,0)),"")</f>
        <v/>
      </c>
    </row>
    <row r="438">
      <c r="A438" s="19" t="n">
        <v>993</v>
      </c>
      <c r="B438" s="20">
        <f>IFERROR(INDEX(Sheet1!I:I,MATCH(A438,Sheet1!A:A,0)),"")</f>
        <v/>
      </c>
      <c r="C438" s="21">
        <f>IFERROR(INDEX(Sheet3!D:D,MATCH(A438,Sheet3!A:A,0)),"")</f>
        <v/>
      </c>
      <c r="D438" s="22">
        <f>IFERROR(INDEX(Sheet3!G:G,MATCH(A438,Sheet3!A:A,0)),"")</f>
        <v/>
      </c>
      <c r="E438" s="23">
        <f>IFERROR(INDEX(Sheet3!H:H,MATCH(A438,Sheet3!A:A,0)),"")</f>
        <v/>
      </c>
    </row>
    <row r="439">
      <c r="A439" s="19" t="n">
        <v>994</v>
      </c>
      <c r="B439" s="20">
        <f>IFERROR(INDEX(Sheet1!I:I,MATCH(A439,Sheet1!A:A,0)),"")</f>
        <v/>
      </c>
      <c r="C439" s="21">
        <f>IFERROR(INDEX(Sheet3!D:D,MATCH(A439,Sheet3!A:A,0)),"")</f>
        <v/>
      </c>
      <c r="D439" s="22">
        <f>IFERROR(INDEX(Sheet3!G:G,MATCH(A439,Sheet3!A:A,0)),"")</f>
        <v/>
      </c>
      <c r="E439" s="23">
        <f>IFERROR(INDEX(Sheet3!H:H,MATCH(A439,Sheet3!A:A,0)),"")</f>
        <v/>
      </c>
    </row>
    <row r="440">
      <c r="A440" s="19" t="n">
        <v>996</v>
      </c>
      <c r="B440" s="20">
        <f>IFERROR(INDEX(Sheet1!I:I,MATCH(A440,Sheet1!A:A,0)),"")</f>
        <v/>
      </c>
      <c r="C440" s="21">
        <f>IFERROR(INDEX(Sheet3!D:D,MATCH(A440,Sheet3!A:A,0)),"")</f>
        <v/>
      </c>
      <c r="D440" s="22">
        <f>IFERROR(INDEX(Sheet3!G:G,MATCH(A440,Sheet3!A:A,0)),"")</f>
        <v/>
      </c>
      <c r="E440" s="23">
        <f>IFERROR(INDEX(Sheet3!H:H,MATCH(A440,Sheet3!A:A,0)),"")</f>
        <v/>
      </c>
    </row>
    <row r="441">
      <c r="A441" s="19" t="n">
        <v>997</v>
      </c>
      <c r="B441" s="20">
        <f>IFERROR(INDEX(Sheet1!I:I,MATCH(A441,Sheet1!A:A,0)),"")</f>
        <v/>
      </c>
      <c r="C441" s="21">
        <f>IFERROR(INDEX(Sheet3!D:D,MATCH(A441,Sheet3!A:A,0)),"")</f>
        <v/>
      </c>
      <c r="D441" s="22">
        <f>IFERROR(INDEX(Sheet3!G:G,MATCH(A441,Sheet3!A:A,0)),"")</f>
        <v/>
      </c>
      <c r="E441" s="23">
        <f>IFERROR(INDEX(Sheet3!H:H,MATCH(A441,Sheet3!A:A,0)),"")</f>
        <v/>
      </c>
    </row>
    <row r="442">
      <c r="A442" s="19" t="n">
        <v>998</v>
      </c>
      <c r="B442" s="20">
        <f>IFERROR(INDEX(Sheet1!I:I,MATCH(A442,Sheet1!A:A,0)),"")</f>
        <v/>
      </c>
      <c r="C442" s="21">
        <f>IFERROR(INDEX(Sheet3!D:D,MATCH(A442,Sheet3!A:A,0)),"")</f>
        <v/>
      </c>
      <c r="D442" s="22">
        <f>IFERROR(INDEX(Sheet3!G:G,MATCH(A442,Sheet3!A:A,0)),"")</f>
        <v/>
      </c>
      <c r="E442" s="23">
        <f>IFERROR(INDEX(Sheet3!H:H,MATCH(A442,Sheet3!A:A,0)),"")</f>
        <v/>
      </c>
    </row>
    <row r="443">
      <c r="A443" s="19" t="n">
        <v>999</v>
      </c>
      <c r="B443" s="20">
        <f>IFERROR(INDEX(Sheet1!I:I,MATCH(A443,Sheet1!A:A,0)),"")</f>
        <v/>
      </c>
      <c r="C443" s="21">
        <f>IFERROR(INDEX(Sheet3!D:D,MATCH(A443,Sheet3!A:A,0)),"")</f>
        <v/>
      </c>
      <c r="D443" s="22">
        <f>IFERROR(INDEX(Sheet3!G:G,MATCH(A443,Sheet3!A:A,0)),"")</f>
        <v/>
      </c>
      <c r="E443" s="23">
        <f>IFERROR(INDEX(Sheet3!H:H,MATCH(A443,Sheet3!A:A,0)),"")</f>
        <v/>
      </c>
    </row>
    <row r="444">
      <c r="A444" s="19" t="n">
        <v>1000</v>
      </c>
      <c r="B444" s="20">
        <f>IFERROR(INDEX(Sheet1!I:I,MATCH(A444,Sheet1!A:A,0)),"")</f>
        <v/>
      </c>
      <c r="C444" s="21">
        <f>IFERROR(INDEX(Sheet3!D:D,MATCH(A444,Sheet3!A:A,0)),"")</f>
        <v/>
      </c>
      <c r="D444" s="22">
        <f>IFERROR(INDEX(Sheet3!G:G,MATCH(A444,Sheet3!A:A,0)),"")</f>
        <v/>
      </c>
      <c r="E444" s="23">
        <f>IFERROR(INDEX(Sheet3!H:H,MATCH(A444,Sheet3!A:A,0)),"")</f>
        <v/>
      </c>
    </row>
    <row r="445">
      <c r="A445" s="19" t="n">
        <v>1006</v>
      </c>
      <c r="B445" s="20">
        <f>IFERROR(INDEX(Sheet1!I:I,MATCH(A445,Sheet1!A:A,0)),"")</f>
        <v/>
      </c>
      <c r="C445" s="21">
        <f>IFERROR(INDEX(Sheet3!D:D,MATCH(A445,Sheet3!A:A,0)),"")</f>
        <v/>
      </c>
      <c r="D445" s="22">
        <f>IFERROR(INDEX(Sheet3!G:G,MATCH(A445,Sheet3!A:A,0)),"")</f>
        <v/>
      </c>
      <c r="E445" s="23">
        <f>IFERROR(INDEX(Sheet3!H:H,MATCH(A445,Sheet3!A:A,0)),"")</f>
        <v/>
      </c>
    </row>
    <row r="446">
      <c r="A446" s="19" t="n">
        <v>1007</v>
      </c>
      <c r="B446" s="20">
        <f>IFERROR(INDEX(Sheet1!I:I,MATCH(A446,Sheet1!A:A,0)),"")</f>
        <v/>
      </c>
      <c r="C446" s="21">
        <f>IFERROR(INDEX(Sheet3!D:D,MATCH(A446,Sheet3!A:A,0)),"")</f>
        <v/>
      </c>
      <c r="D446" s="22">
        <f>IFERROR(INDEX(Sheet3!G:G,MATCH(A446,Sheet3!A:A,0)),"")</f>
        <v/>
      </c>
      <c r="E446" s="23">
        <f>IFERROR(INDEX(Sheet3!H:H,MATCH(A446,Sheet3!A:A,0)),"")</f>
        <v/>
      </c>
    </row>
    <row r="447">
      <c r="A447" s="19" t="n">
        <v>1008</v>
      </c>
      <c r="B447" s="20">
        <f>IFERROR(INDEX(Sheet1!I:I,MATCH(A447,Sheet1!A:A,0)),"")</f>
        <v/>
      </c>
      <c r="C447" s="21">
        <f>IFERROR(INDEX(Sheet3!D:D,MATCH(A447,Sheet3!A:A,0)),"")</f>
        <v/>
      </c>
      <c r="D447" s="22">
        <f>IFERROR(INDEX(Sheet3!G:G,MATCH(A447,Sheet3!A:A,0)),"")</f>
        <v/>
      </c>
      <c r="E447" s="23">
        <f>IFERROR(INDEX(Sheet3!H:H,MATCH(A447,Sheet3!A:A,0)),"")</f>
        <v/>
      </c>
    </row>
    <row r="448">
      <c r="A448" s="19" t="n">
        <v>1011</v>
      </c>
      <c r="B448" s="20">
        <f>IFERROR(INDEX(Sheet1!I:I,MATCH(A448,Sheet1!A:A,0)),"")</f>
        <v/>
      </c>
      <c r="C448" s="21">
        <f>IFERROR(INDEX(Sheet3!D:D,MATCH(A448,Sheet3!A:A,0)),"")</f>
        <v/>
      </c>
      <c r="D448" s="22">
        <f>IFERROR(INDEX(Sheet3!G:G,MATCH(A448,Sheet3!A:A,0)),"")</f>
        <v/>
      </c>
      <c r="E448" s="23">
        <f>IFERROR(INDEX(Sheet3!H:H,MATCH(A448,Sheet3!A:A,0)),"")</f>
        <v/>
      </c>
    </row>
    <row r="449">
      <c r="A449" s="19" t="n">
        <v>1012</v>
      </c>
      <c r="B449" s="20">
        <f>IFERROR(INDEX(Sheet1!I:I,MATCH(A449,Sheet1!A:A,0)),"")</f>
        <v/>
      </c>
      <c r="C449" s="21">
        <f>IFERROR(INDEX(Sheet3!D:D,MATCH(A449,Sheet3!A:A,0)),"")</f>
        <v/>
      </c>
      <c r="D449" s="22">
        <f>IFERROR(INDEX(Sheet3!G:G,MATCH(A449,Sheet3!A:A,0)),"")</f>
        <v/>
      </c>
      <c r="E449" s="23">
        <f>IFERROR(INDEX(Sheet3!H:H,MATCH(A449,Sheet3!A:A,0)),"")</f>
        <v/>
      </c>
    </row>
    <row r="450">
      <c r="A450" s="19" t="n">
        <v>1013</v>
      </c>
      <c r="B450" s="20">
        <f>IFERROR(INDEX(Sheet1!I:I,MATCH(A450,Sheet1!A:A,0)),"")</f>
        <v/>
      </c>
      <c r="C450" s="21">
        <f>IFERROR(INDEX(Sheet3!D:D,MATCH(A450,Sheet3!A:A,0)),"")</f>
        <v/>
      </c>
      <c r="D450" s="22">
        <f>IFERROR(INDEX(Sheet3!G:G,MATCH(A450,Sheet3!A:A,0)),"")</f>
        <v/>
      </c>
      <c r="E450" s="23">
        <f>IFERROR(INDEX(Sheet3!H:H,MATCH(A450,Sheet3!A:A,0)),"")</f>
        <v/>
      </c>
    </row>
    <row r="451">
      <c r="A451" s="19" t="n">
        <v>1019</v>
      </c>
      <c r="B451" s="20">
        <f>IFERROR(INDEX(Sheet1!I:I,MATCH(A451,Sheet1!A:A,0)),"")</f>
        <v/>
      </c>
      <c r="C451" s="21">
        <f>IFERROR(INDEX(Sheet3!D:D,MATCH(A451,Sheet3!A:A,0)),"")</f>
        <v/>
      </c>
      <c r="D451" s="22">
        <f>IFERROR(INDEX(Sheet3!G:G,MATCH(A451,Sheet3!A:A,0)),"")</f>
        <v/>
      </c>
      <c r="E451" s="23">
        <f>IFERROR(INDEX(Sheet3!H:H,MATCH(A451,Sheet3!A:A,0)),"")</f>
        <v/>
      </c>
    </row>
    <row r="452">
      <c r="A452" s="19" t="n">
        <v>1022</v>
      </c>
      <c r="B452" s="20">
        <f>IFERROR(INDEX(Sheet1!I:I,MATCH(A452,Sheet1!A:A,0)),"")</f>
        <v/>
      </c>
      <c r="C452" s="21">
        <f>IFERROR(INDEX(Sheet3!D:D,MATCH(A452,Sheet3!A:A,0)),"")</f>
        <v/>
      </c>
      <c r="D452" s="22">
        <f>IFERROR(INDEX(Sheet3!G:G,MATCH(A452,Sheet3!A:A,0)),"")</f>
        <v/>
      </c>
      <c r="E452" s="23">
        <f>IFERROR(INDEX(Sheet3!H:H,MATCH(A452,Sheet3!A:A,0)),"")</f>
        <v/>
      </c>
    </row>
    <row r="453">
      <c r="A453" s="19" t="n">
        <v>1029</v>
      </c>
      <c r="B453" s="20">
        <f>IFERROR(INDEX(Sheet1!I:I,MATCH(A453,Sheet1!A:A,0)),"")</f>
        <v/>
      </c>
      <c r="C453" s="21">
        <f>IFERROR(INDEX(Sheet3!D:D,MATCH(A453,Sheet3!A:A,0)),"")</f>
        <v/>
      </c>
      <c r="D453" s="22">
        <f>IFERROR(INDEX(Sheet3!G:G,MATCH(A453,Sheet3!A:A,0)),"")</f>
        <v/>
      </c>
      <c r="E453" s="23">
        <f>IFERROR(INDEX(Sheet3!H:H,MATCH(A453,Sheet3!A:A,0)),"")</f>
        <v/>
      </c>
    </row>
    <row r="454">
      <c r="A454" s="19" t="n">
        <v>1034</v>
      </c>
      <c r="B454" s="20">
        <f>IFERROR(INDEX(Sheet1!I:I,MATCH(A454,Sheet1!A:A,0)),"")</f>
        <v/>
      </c>
      <c r="C454" s="21">
        <f>IFERROR(INDEX(Sheet3!D:D,MATCH(A454,Sheet3!A:A,0)),"")</f>
        <v/>
      </c>
      <c r="D454" s="22">
        <f>IFERROR(INDEX(Sheet3!G:G,MATCH(A454,Sheet3!A:A,0)),"")</f>
        <v/>
      </c>
      <c r="E454" s="23">
        <f>IFERROR(INDEX(Sheet3!H:H,MATCH(A454,Sheet3!A:A,0)),"")</f>
        <v/>
      </c>
    </row>
    <row r="455">
      <c r="A455" s="19" t="n">
        <v>1035</v>
      </c>
      <c r="B455" s="20">
        <f>IFERROR(INDEX(Sheet1!I:I,MATCH(A455,Sheet1!A:A,0)),"")</f>
        <v/>
      </c>
      <c r="C455" s="21">
        <f>IFERROR(INDEX(Sheet3!D:D,MATCH(A455,Sheet3!A:A,0)),"")</f>
        <v/>
      </c>
      <c r="D455" s="22">
        <f>IFERROR(INDEX(Sheet3!G:G,MATCH(A455,Sheet3!A:A,0)),"")</f>
        <v/>
      </c>
      <c r="E455" s="23">
        <f>IFERROR(INDEX(Sheet3!H:H,MATCH(A455,Sheet3!A:A,0)),"")</f>
        <v/>
      </c>
    </row>
    <row r="456">
      <c r="A456" s="19" t="n">
        <v>1040</v>
      </c>
      <c r="B456" s="20">
        <f>IFERROR(INDEX(Sheet1!I:I,MATCH(A456,Sheet1!A:A,0)),"")</f>
        <v/>
      </c>
      <c r="C456" s="21">
        <f>IFERROR(INDEX(Sheet3!D:D,MATCH(A456,Sheet3!A:A,0)),"")</f>
        <v/>
      </c>
      <c r="D456" s="22">
        <f>IFERROR(INDEX(Sheet3!G:G,MATCH(A456,Sheet3!A:A,0)),"")</f>
        <v/>
      </c>
      <c r="E456" s="23">
        <f>IFERROR(INDEX(Sheet3!H:H,MATCH(A456,Sheet3!A:A,0)),"")</f>
        <v/>
      </c>
    </row>
    <row r="457">
      <c r="A457" s="19" t="n">
        <v>1043</v>
      </c>
      <c r="B457" s="20">
        <f>IFERROR(INDEX(Sheet1!I:I,MATCH(A457,Sheet1!A:A,0)),"")</f>
        <v/>
      </c>
      <c r="C457" s="21">
        <f>IFERROR(INDEX(Sheet3!D:D,MATCH(A457,Sheet3!A:A,0)),"")</f>
        <v/>
      </c>
      <c r="D457" s="22">
        <f>IFERROR(INDEX(Sheet3!G:G,MATCH(A457,Sheet3!A:A,0)),"")</f>
        <v/>
      </c>
      <c r="E457" s="23">
        <f>IFERROR(INDEX(Sheet3!H:H,MATCH(A457,Sheet3!A:A,0)),"")</f>
        <v/>
      </c>
    </row>
    <row r="458">
      <c r="A458" s="19" t="n">
        <v>1044</v>
      </c>
      <c r="B458" s="20">
        <f>IFERROR(INDEX(Sheet1!I:I,MATCH(A458,Sheet1!A:A,0)),"")</f>
        <v/>
      </c>
      <c r="C458" s="21">
        <f>IFERROR(INDEX(Sheet3!D:D,MATCH(A458,Sheet3!A:A,0)),"")</f>
        <v/>
      </c>
      <c r="D458" s="22">
        <f>IFERROR(INDEX(Sheet3!G:G,MATCH(A458,Sheet3!A:A,0)),"")</f>
        <v/>
      </c>
      <c r="E458" s="23">
        <f>IFERROR(INDEX(Sheet3!H:H,MATCH(A458,Sheet3!A:A,0)),"")</f>
        <v/>
      </c>
    </row>
    <row r="459">
      <c r="A459" s="19" t="n">
        <v>1046</v>
      </c>
      <c r="B459" s="20">
        <f>IFERROR(INDEX(Sheet1!I:I,MATCH(A459,Sheet1!A:A,0)),"")</f>
        <v/>
      </c>
      <c r="C459" s="21">
        <f>IFERROR(INDEX(Sheet3!D:D,MATCH(A459,Sheet3!A:A,0)),"")</f>
        <v/>
      </c>
      <c r="D459" s="22">
        <f>IFERROR(INDEX(Sheet3!G:G,MATCH(A459,Sheet3!A:A,0)),"")</f>
        <v/>
      </c>
      <c r="E459" s="23">
        <f>IFERROR(INDEX(Sheet3!H:H,MATCH(A459,Sheet3!A:A,0)),"")</f>
        <v/>
      </c>
    </row>
    <row r="460">
      <c r="A460" s="19" t="n">
        <v>1052</v>
      </c>
      <c r="B460" s="20">
        <f>IFERROR(INDEX(Sheet1!I:I,MATCH(A460,Sheet1!A:A,0)),"")</f>
        <v/>
      </c>
      <c r="C460" s="21">
        <f>IFERROR(INDEX(Sheet3!D:D,MATCH(A460,Sheet3!A:A,0)),"")</f>
        <v/>
      </c>
      <c r="D460" s="22">
        <f>IFERROR(INDEX(Sheet3!G:G,MATCH(A460,Sheet3!A:A,0)),"")</f>
        <v/>
      </c>
      <c r="E460" s="23">
        <f>IFERROR(INDEX(Sheet3!H:H,MATCH(A460,Sheet3!A:A,0)),"")</f>
        <v/>
      </c>
    </row>
    <row r="461">
      <c r="A461" s="19" t="n">
        <v>1056</v>
      </c>
      <c r="B461" s="20">
        <f>IFERROR(INDEX(Sheet1!I:I,MATCH(A461,Sheet1!A:A,0)),"")</f>
        <v/>
      </c>
      <c r="C461" s="21">
        <f>IFERROR(INDEX(Sheet3!D:D,MATCH(A461,Sheet3!A:A,0)),"")</f>
        <v/>
      </c>
      <c r="D461" s="22">
        <f>IFERROR(INDEX(Sheet3!G:G,MATCH(A461,Sheet3!A:A,0)),"")</f>
        <v/>
      </c>
      <c r="E461" s="23">
        <f>IFERROR(INDEX(Sheet3!H:H,MATCH(A461,Sheet3!A:A,0)),"")</f>
        <v/>
      </c>
    </row>
    <row r="462">
      <c r="A462" s="19" t="n">
        <v>1063</v>
      </c>
      <c r="B462" s="20">
        <f>IFERROR(INDEX(Sheet1!I:I,MATCH(A462,Sheet1!A:A,0)),"")</f>
        <v/>
      </c>
      <c r="C462" s="21">
        <f>IFERROR(INDEX(Sheet3!D:D,MATCH(A462,Sheet3!A:A,0)),"")</f>
        <v/>
      </c>
      <c r="D462" s="22">
        <f>IFERROR(INDEX(Sheet3!G:G,MATCH(A462,Sheet3!A:A,0)),"")</f>
        <v/>
      </c>
      <c r="E462" s="23">
        <f>IFERROR(INDEX(Sheet3!H:H,MATCH(A462,Sheet3!A:A,0)),"")</f>
        <v/>
      </c>
    </row>
    <row r="463">
      <c r="A463" s="19" t="n">
        <v>1064</v>
      </c>
      <c r="B463" s="20">
        <f>IFERROR(INDEX(Sheet1!I:I,MATCH(A463,Sheet1!A:A,0)),"")</f>
        <v/>
      </c>
      <c r="C463" s="21">
        <f>IFERROR(INDEX(Sheet3!D:D,MATCH(A463,Sheet3!A:A,0)),"")</f>
        <v/>
      </c>
      <c r="D463" s="22">
        <f>IFERROR(INDEX(Sheet3!G:G,MATCH(A463,Sheet3!A:A,0)),"")</f>
        <v/>
      </c>
      <c r="E463" s="23">
        <f>IFERROR(INDEX(Sheet3!H:H,MATCH(A463,Sheet3!A:A,0)),"")</f>
        <v/>
      </c>
    </row>
    <row r="464">
      <c r="A464" s="19" t="n">
        <v>1069</v>
      </c>
      <c r="B464" s="20">
        <f>IFERROR(INDEX(Sheet1!I:I,MATCH(A464,Sheet1!A:A,0)),"")</f>
        <v/>
      </c>
      <c r="C464" s="21">
        <f>IFERROR(INDEX(Sheet3!D:D,MATCH(A464,Sheet3!A:A,0)),"")</f>
        <v/>
      </c>
      <c r="D464" s="22">
        <f>IFERROR(INDEX(Sheet3!G:G,MATCH(A464,Sheet3!A:A,0)),"")</f>
        <v/>
      </c>
      <c r="E464" s="23">
        <f>IFERROR(INDEX(Sheet3!H:H,MATCH(A464,Sheet3!A:A,0)),"")</f>
        <v/>
      </c>
    </row>
    <row r="465">
      <c r="A465" s="19" t="n">
        <v>1073</v>
      </c>
      <c r="B465" s="20">
        <f>IFERROR(INDEX(Sheet1!I:I,MATCH(A465,Sheet1!A:A,0)),"")</f>
        <v/>
      </c>
      <c r="C465" s="21">
        <f>IFERROR(INDEX(Sheet3!D:D,MATCH(A465,Sheet3!A:A,0)),"")</f>
        <v/>
      </c>
      <c r="D465" s="22">
        <f>IFERROR(INDEX(Sheet3!G:G,MATCH(A465,Sheet3!A:A,0)),"")</f>
        <v/>
      </c>
      <c r="E465" s="23">
        <f>IFERROR(INDEX(Sheet3!H:H,MATCH(A465,Sheet3!A:A,0)),"")</f>
        <v/>
      </c>
    </row>
    <row r="466">
      <c r="A466" s="19" t="n">
        <v>1074</v>
      </c>
      <c r="B466" s="20">
        <f>IFERROR(INDEX(Sheet1!I:I,MATCH(A466,Sheet1!A:A,0)),"")</f>
        <v/>
      </c>
      <c r="C466" s="21">
        <f>IFERROR(INDEX(Sheet3!D:D,MATCH(A466,Sheet3!A:A,0)),"")</f>
        <v/>
      </c>
      <c r="D466" s="22">
        <f>IFERROR(INDEX(Sheet3!G:G,MATCH(A466,Sheet3!A:A,0)),"")</f>
        <v/>
      </c>
      <c r="E466" s="23">
        <f>IFERROR(INDEX(Sheet3!H:H,MATCH(A466,Sheet3!A:A,0)),"")</f>
        <v/>
      </c>
    </row>
    <row r="467">
      <c r="A467" s="19" t="n">
        <v>1075</v>
      </c>
      <c r="B467" s="20">
        <f>IFERROR(INDEX(Sheet1!I:I,MATCH(A467,Sheet1!A:A,0)),"")</f>
        <v/>
      </c>
      <c r="C467" s="21">
        <f>IFERROR(INDEX(Sheet3!D:D,MATCH(A467,Sheet3!A:A,0)),"")</f>
        <v/>
      </c>
      <c r="D467" s="22">
        <f>IFERROR(INDEX(Sheet3!G:G,MATCH(A467,Sheet3!A:A,0)),"")</f>
        <v/>
      </c>
      <c r="E467" s="23">
        <f>IFERROR(INDEX(Sheet3!H:H,MATCH(A467,Sheet3!A:A,0)),"")</f>
        <v/>
      </c>
    </row>
    <row r="468">
      <c r="A468" s="19" t="n">
        <v>1089</v>
      </c>
      <c r="B468" s="20">
        <f>IFERROR(INDEX(Sheet1!I:I,MATCH(A468,Sheet1!A:A,0)),"")</f>
        <v/>
      </c>
      <c r="C468" s="21">
        <f>IFERROR(INDEX(Sheet3!D:D,MATCH(A468,Sheet3!A:A,0)),"")</f>
        <v/>
      </c>
      <c r="D468" s="22">
        <f>IFERROR(INDEX(Sheet3!G:G,MATCH(A468,Sheet3!A:A,0)),"")</f>
        <v/>
      </c>
      <c r="E468" s="23">
        <f>IFERROR(INDEX(Sheet3!H:H,MATCH(A468,Sheet3!A:A,0)),"")</f>
        <v/>
      </c>
    </row>
    <row r="469">
      <c r="A469" s="19" t="n">
        <v>1091</v>
      </c>
      <c r="B469" s="20">
        <f>IFERROR(INDEX(Sheet1!I:I,MATCH(A469,Sheet1!A:A,0)),"")</f>
        <v/>
      </c>
      <c r="C469" s="21">
        <f>IFERROR(INDEX(Sheet3!D:D,MATCH(A469,Sheet3!A:A,0)),"")</f>
        <v/>
      </c>
      <c r="D469" s="22">
        <f>IFERROR(INDEX(Sheet3!G:G,MATCH(A469,Sheet3!A:A,0)),"")</f>
        <v/>
      </c>
      <c r="E469" s="23">
        <f>IFERROR(INDEX(Sheet3!H:H,MATCH(A469,Sheet3!A:A,0)),"")</f>
        <v/>
      </c>
    </row>
    <row r="470">
      <c r="A470" s="19" t="n">
        <v>1092</v>
      </c>
      <c r="B470" s="20">
        <f>IFERROR(INDEX(Sheet1!I:I,MATCH(A470,Sheet1!A:A,0)),"")</f>
        <v/>
      </c>
      <c r="C470" s="21">
        <f>IFERROR(INDEX(Sheet3!D:D,MATCH(A470,Sheet3!A:A,0)),"")</f>
        <v/>
      </c>
      <c r="D470" s="22">
        <f>IFERROR(INDEX(Sheet3!G:G,MATCH(A470,Sheet3!A:A,0)),"")</f>
        <v/>
      </c>
      <c r="E470" s="23">
        <f>IFERROR(INDEX(Sheet3!H:H,MATCH(A470,Sheet3!A:A,0)),"")</f>
        <v/>
      </c>
    </row>
    <row r="471">
      <c r="A471" s="19" t="n">
        <v>1093</v>
      </c>
      <c r="B471" s="20">
        <f>IFERROR(INDEX(Sheet1!I:I,MATCH(A471,Sheet1!A:A,0)),"")</f>
        <v/>
      </c>
      <c r="C471" s="21">
        <f>IFERROR(INDEX(Sheet3!D:D,MATCH(A471,Sheet3!A:A,0)),"")</f>
        <v/>
      </c>
      <c r="D471" s="22">
        <f>IFERROR(INDEX(Sheet3!G:G,MATCH(A471,Sheet3!A:A,0)),"")</f>
        <v/>
      </c>
      <c r="E471" s="23">
        <f>IFERROR(INDEX(Sheet3!H:H,MATCH(A471,Sheet3!A:A,0)),"")</f>
        <v/>
      </c>
    </row>
    <row r="472">
      <c r="A472" s="19" t="n">
        <v>1095</v>
      </c>
      <c r="B472" s="20">
        <f>IFERROR(INDEX(Sheet1!I:I,MATCH(A472,Sheet1!A:A,0)),"")</f>
        <v/>
      </c>
      <c r="C472" s="21">
        <f>IFERROR(INDEX(Sheet3!D:D,MATCH(A472,Sheet3!A:A,0)),"")</f>
        <v/>
      </c>
      <c r="D472" s="22">
        <f>IFERROR(INDEX(Sheet3!G:G,MATCH(A472,Sheet3!A:A,0)),"")</f>
        <v/>
      </c>
      <c r="E472" s="23">
        <f>IFERROR(INDEX(Sheet3!H:H,MATCH(A472,Sheet3!A:A,0)),"")</f>
        <v/>
      </c>
    </row>
    <row r="473">
      <c r="A473" s="19" t="n">
        <v>1097</v>
      </c>
      <c r="B473" s="20">
        <f>IFERROR(INDEX(Sheet1!I:I,MATCH(A473,Sheet1!A:A,0)),"")</f>
        <v/>
      </c>
      <c r="C473" s="21">
        <f>IFERROR(INDEX(Sheet3!D:D,MATCH(A473,Sheet3!A:A,0)),"")</f>
        <v/>
      </c>
      <c r="D473" s="22">
        <f>IFERROR(INDEX(Sheet3!G:G,MATCH(A473,Sheet3!A:A,0)),"")</f>
        <v/>
      </c>
      <c r="E473" s="23">
        <f>IFERROR(INDEX(Sheet3!H:H,MATCH(A473,Sheet3!A:A,0)),"")</f>
        <v/>
      </c>
    </row>
    <row r="474">
      <c r="A474" s="19" t="n">
        <v>1099</v>
      </c>
      <c r="B474" s="20">
        <f>IFERROR(INDEX(Sheet1!I:I,MATCH(A474,Sheet1!A:A,0)),"")</f>
        <v/>
      </c>
      <c r="C474" s="21">
        <f>IFERROR(INDEX(Sheet3!D:D,MATCH(A474,Sheet3!A:A,0)),"")</f>
        <v/>
      </c>
      <c r="D474" s="22">
        <f>IFERROR(INDEX(Sheet3!G:G,MATCH(A474,Sheet3!A:A,0)),"")</f>
        <v/>
      </c>
      <c r="E474" s="23">
        <f>IFERROR(INDEX(Sheet3!H:H,MATCH(A474,Sheet3!A:A,0)),"")</f>
        <v/>
      </c>
    </row>
    <row r="475">
      <c r="A475" s="19" t="n">
        <v>1100</v>
      </c>
      <c r="B475" s="20">
        <f>IFERROR(INDEX(Sheet1!I:I,MATCH(A475,Sheet1!A:A,0)),"")</f>
        <v/>
      </c>
      <c r="C475" s="21">
        <f>IFERROR(INDEX(Sheet3!D:D,MATCH(A475,Sheet3!A:A,0)),"")</f>
        <v/>
      </c>
      <c r="D475" s="22">
        <f>IFERROR(INDEX(Sheet3!G:G,MATCH(A475,Sheet3!A:A,0)),"")</f>
        <v/>
      </c>
      <c r="E475" s="23">
        <f>IFERROR(INDEX(Sheet3!H:H,MATCH(A475,Sheet3!A:A,0)),"")</f>
        <v/>
      </c>
    </row>
    <row r="476">
      <c r="A476" s="19" t="n">
        <v>1102</v>
      </c>
      <c r="B476" s="20">
        <f>IFERROR(INDEX(Sheet1!I:I,MATCH(A476,Sheet1!A:A,0)),"")</f>
        <v/>
      </c>
      <c r="C476" s="21">
        <f>IFERROR(INDEX(Sheet3!D:D,MATCH(A476,Sheet3!A:A,0)),"")</f>
        <v/>
      </c>
      <c r="D476" s="22">
        <f>IFERROR(INDEX(Sheet3!G:G,MATCH(A476,Sheet3!A:A,0)),"")</f>
        <v/>
      </c>
      <c r="E476" s="23">
        <f>IFERROR(INDEX(Sheet3!H:H,MATCH(A476,Sheet3!A:A,0)),"")</f>
        <v/>
      </c>
    </row>
    <row r="477">
      <c r="A477" s="19" t="n">
        <v>1103</v>
      </c>
      <c r="B477" s="20">
        <f>IFERROR(INDEX(Sheet1!I:I,MATCH(A477,Sheet1!A:A,0)),"")</f>
        <v/>
      </c>
      <c r="C477" s="21">
        <f>IFERROR(INDEX(Sheet3!D:D,MATCH(A477,Sheet3!A:A,0)),"")</f>
        <v/>
      </c>
      <c r="D477" s="22">
        <f>IFERROR(INDEX(Sheet3!G:G,MATCH(A477,Sheet3!A:A,0)),"")</f>
        <v/>
      </c>
      <c r="E477" s="23">
        <f>IFERROR(INDEX(Sheet3!H:H,MATCH(A477,Sheet3!A:A,0)),"")</f>
        <v/>
      </c>
    </row>
    <row r="478">
      <c r="A478" s="19" t="n">
        <v>1105</v>
      </c>
      <c r="B478" s="20">
        <f>IFERROR(INDEX(Sheet1!I:I,MATCH(A478,Sheet1!A:A,0)),"")</f>
        <v/>
      </c>
      <c r="C478" s="21">
        <f>IFERROR(INDEX(Sheet3!D:D,MATCH(A478,Sheet3!A:A,0)),"")</f>
        <v/>
      </c>
      <c r="D478" s="22">
        <f>IFERROR(INDEX(Sheet3!G:G,MATCH(A478,Sheet3!A:A,0)),"")</f>
        <v/>
      </c>
      <c r="E478" s="23">
        <f>IFERROR(INDEX(Sheet3!H:H,MATCH(A478,Sheet3!A:A,0)),"")</f>
        <v/>
      </c>
    </row>
    <row r="479">
      <c r="A479" s="19" t="n">
        <v>1109</v>
      </c>
      <c r="B479" s="20">
        <f>IFERROR(INDEX(Sheet1!I:I,MATCH(A479,Sheet1!A:A,0)),"")</f>
        <v/>
      </c>
      <c r="C479" s="21">
        <f>IFERROR(INDEX(Sheet3!D:D,MATCH(A479,Sheet3!A:A,0)),"")</f>
        <v/>
      </c>
      <c r="D479" s="22">
        <f>IFERROR(INDEX(Sheet3!G:G,MATCH(A479,Sheet3!A:A,0)),"")</f>
        <v/>
      </c>
      <c r="E479" s="23">
        <f>IFERROR(INDEX(Sheet3!H:H,MATCH(A479,Sheet3!A:A,0)),"")</f>
        <v/>
      </c>
    </row>
    <row r="480">
      <c r="A480" s="19" t="n">
        <v>1112</v>
      </c>
      <c r="B480" s="20">
        <f>IFERROR(INDEX(Sheet1!I:I,MATCH(A480,Sheet1!A:A,0)),"")</f>
        <v/>
      </c>
      <c r="C480" s="21">
        <f>IFERROR(INDEX(Sheet3!D:D,MATCH(A480,Sheet3!A:A,0)),"")</f>
        <v/>
      </c>
      <c r="D480" s="22">
        <f>IFERROR(INDEX(Sheet3!G:G,MATCH(A480,Sheet3!A:A,0)),"")</f>
        <v/>
      </c>
      <c r="E480" s="23">
        <f>IFERROR(INDEX(Sheet3!H:H,MATCH(A480,Sheet3!A:A,0)),"")</f>
        <v/>
      </c>
    </row>
    <row r="481">
      <c r="A481" s="19" t="n">
        <v>1114</v>
      </c>
      <c r="B481" s="20">
        <f>IFERROR(INDEX(Sheet1!I:I,MATCH(A481,Sheet1!A:A,0)),"")</f>
        <v/>
      </c>
      <c r="C481" s="21">
        <f>IFERROR(INDEX(Sheet3!D:D,MATCH(A481,Sheet3!A:A,0)),"")</f>
        <v/>
      </c>
      <c r="D481" s="22">
        <f>IFERROR(INDEX(Sheet3!G:G,MATCH(A481,Sheet3!A:A,0)),"")</f>
        <v/>
      </c>
      <c r="E481" s="23">
        <f>IFERROR(INDEX(Sheet3!H:H,MATCH(A481,Sheet3!A:A,0)),"")</f>
        <v/>
      </c>
    </row>
    <row r="482">
      <c r="A482" s="19" t="n">
        <v>1115</v>
      </c>
      <c r="B482" s="20">
        <f>IFERROR(INDEX(Sheet1!I:I,MATCH(A482,Sheet1!A:A,0)),"")</f>
        <v/>
      </c>
      <c r="C482" s="21">
        <f>IFERROR(INDEX(Sheet3!D:D,MATCH(A482,Sheet3!A:A,0)),"")</f>
        <v/>
      </c>
      <c r="D482" s="22">
        <f>IFERROR(INDEX(Sheet3!G:G,MATCH(A482,Sheet3!A:A,0)),"")</f>
        <v/>
      </c>
      <c r="E482" s="23">
        <f>IFERROR(INDEX(Sheet3!H:H,MATCH(A482,Sheet3!A:A,0)),"")</f>
        <v/>
      </c>
    </row>
    <row r="483">
      <c r="A483" s="19" t="n">
        <v>1116</v>
      </c>
      <c r="B483" s="20">
        <f>IFERROR(INDEX(Sheet1!I:I,MATCH(A483,Sheet1!A:A,0)),"")</f>
        <v/>
      </c>
      <c r="C483" s="21">
        <f>IFERROR(INDEX(Sheet3!D:D,MATCH(A483,Sheet3!A:A,0)),"")</f>
        <v/>
      </c>
      <c r="D483" s="22">
        <f>IFERROR(INDEX(Sheet3!G:G,MATCH(A483,Sheet3!A:A,0)),"")</f>
        <v/>
      </c>
      <c r="E483" s="23">
        <f>IFERROR(INDEX(Sheet3!H:H,MATCH(A483,Sheet3!A:A,0)),"")</f>
        <v/>
      </c>
    </row>
    <row r="484">
      <c r="A484" s="19" t="n">
        <v>1117</v>
      </c>
      <c r="B484" s="20">
        <f>IFERROR(INDEX(Sheet1!I:I,MATCH(A484,Sheet1!A:A,0)),"")</f>
        <v/>
      </c>
      <c r="C484" s="21">
        <f>IFERROR(INDEX(Sheet3!D:D,MATCH(A484,Sheet3!A:A,0)),"")</f>
        <v/>
      </c>
      <c r="D484" s="22">
        <f>IFERROR(INDEX(Sheet3!G:G,MATCH(A484,Sheet3!A:A,0)),"")</f>
        <v/>
      </c>
      <c r="E484" s="23">
        <f>IFERROR(INDEX(Sheet3!H:H,MATCH(A484,Sheet3!A:A,0)),"")</f>
        <v/>
      </c>
    </row>
    <row r="485">
      <c r="A485" s="19" t="n">
        <v>1118</v>
      </c>
      <c r="B485" s="20">
        <f>IFERROR(INDEX(Sheet1!I:I,MATCH(A485,Sheet1!A:A,0)),"")</f>
        <v/>
      </c>
      <c r="C485" s="21">
        <f>IFERROR(INDEX(Sheet3!D:D,MATCH(A485,Sheet3!A:A,0)),"")</f>
        <v/>
      </c>
      <c r="D485" s="22">
        <f>IFERROR(INDEX(Sheet3!G:G,MATCH(A485,Sheet3!A:A,0)),"")</f>
        <v/>
      </c>
      <c r="E485" s="23">
        <f>IFERROR(INDEX(Sheet3!H:H,MATCH(A485,Sheet3!A:A,0)),"")</f>
        <v/>
      </c>
    </row>
    <row r="486">
      <c r="A486" s="19" t="n">
        <v>1119</v>
      </c>
      <c r="B486" s="20">
        <f>IFERROR(INDEX(Sheet1!I:I,MATCH(A486,Sheet1!A:A,0)),"")</f>
        <v/>
      </c>
      <c r="C486" s="21">
        <f>IFERROR(INDEX(Sheet3!D:D,MATCH(A486,Sheet3!A:A,0)),"")</f>
        <v/>
      </c>
      <c r="D486" s="22">
        <f>IFERROR(INDEX(Sheet3!G:G,MATCH(A486,Sheet3!A:A,0)),"")</f>
        <v/>
      </c>
      <c r="E486" s="23">
        <f>IFERROR(INDEX(Sheet3!H:H,MATCH(A486,Sheet3!A:A,0)),"")</f>
        <v/>
      </c>
    </row>
    <row r="487">
      <c r="A487" s="19" t="n">
        <v>1126</v>
      </c>
      <c r="B487" s="20">
        <f>IFERROR(INDEX(Sheet1!I:I,MATCH(A487,Sheet1!A:A,0)),"")</f>
        <v/>
      </c>
      <c r="C487" s="21">
        <f>IFERROR(INDEX(Sheet3!D:D,MATCH(A487,Sheet3!A:A,0)),"")</f>
        <v/>
      </c>
      <c r="D487" s="22">
        <f>IFERROR(INDEX(Sheet3!G:G,MATCH(A487,Sheet3!A:A,0)),"")</f>
        <v/>
      </c>
      <c r="E487" s="23">
        <f>IFERROR(INDEX(Sheet3!H:H,MATCH(A487,Sheet3!A:A,0)),"")</f>
        <v/>
      </c>
    </row>
    <row r="488">
      <c r="A488" s="19" t="n">
        <v>1127</v>
      </c>
      <c r="B488" s="20">
        <f>IFERROR(INDEX(Sheet1!I:I,MATCH(A488,Sheet1!A:A,0)),"")</f>
        <v/>
      </c>
      <c r="C488" s="21">
        <f>IFERROR(INDEX(Sheet3!D:D,MATCH(A488,Sheet3!A:A,0)),"")</f>
        <v/>
      </c>
      <c r="D488" s="22">
        <f>IFERROR(INDEX(Sheet3!G:G,MATCH(A488,Sheet3!A:A,0)),"")</f>
        <v/>
      </c>
      <c r="E488" s="23">
        <f>IFERROR(INDEX(Sheet3!H:H,MATCH(A488,Sheet3!A:A,0)),"")</f>
        <v/>
      </c>
    </row>
    <row r="489">
      <c r="A489" s="19" t="n">
        <v>1128</v>
      </c>
      <c r="B489" s="20">
        <f>IFERROR(INDEX(Sheet1!I:I,MATCH(A489,Sheet1!A:A,0)),"")</f>
        <v/>
      </c>
      <c r="C489" s="21">
        <f>IFERROR(INDEX(Sheet3!D:D,MATCH(A489,Sheet3!A:A,0)),"")</f>
        <v/>
      </c>
      <c r="D489" s="22">
        <f>IFERROR(INDEX(Sheet3!G:G,MATCH(A489,Sheet3!A:A,0)),"")</f>
        <v/>
      </c>
      <c r="E489" s="23">
        <f>IFERROR(INDEX(Sheet3!H:H,MATCH(A489,Sheet3!A:A,0)),"")</f>
        <v/>
      </c>
    </row>
    <row r="490">
      <c r="A490" s="19" t="n">
        <v>1131</v>
      </c>
      <c r="B490" s="20">
        <f>IFERROR(INDEX(Sheet1!I:I,MATCH(A490,Sheet1!A:A,0)),"")</f>
        <v/>
      </c>
      <c r="C490" s="21">
        <f>IFERROR(INDEX(Sheet3!D:D,MATCH(A490,Sheet3!A:A,0)),"")</f>
        <v/>
      </c>
      <c r="D490" s="22">
        <f>IFERROR(INDEX(Sheet3!G:G,MATCH(A490,Sheet3!A:A,0)),"")</f>
        <v/>
      </c>
      <c r="E490" s="23">
        <f>IFERROR(INDEX(Sheet3!H:H,MATCH(A490,Sheet3!A:A,0)),"")</f>
        <v/>
      </c>
    </row>
    <row r="491">
      <c r="A491" s="19" t="n">
        <v>1136</v>
      </c>
      <c r="B491" s="20">
        <f>IFERROR(INDEX(Sheet1!I:I,MATCH(A491,Sheet1!A:A,0)),"")</f>
        <v/>
      </c>
      <c r="C491" s="21">
        <f>IFERROR(INDEX(Sheet3!D:D,MATCH(A491,Sheet3!A:A,0)),"")</f>
        <v/>
      </c>
      <c r="D491" s="22">
        <f>IFERROR(INDEX(Sheet3!G:G,MATCH(A491,Sheet3!A:A,0)),"")</f>
        <v/>
      </c>
      <c r="E491" s="23">
        <f>IFERROR(INDEX(Sheet3!H:H,MATCH(A491,Sheet3!A:A,0)),"")</f>
        <v/>
      </c>
    </row>
    <row r="492">
      <c r="A492" s="19" t="n">
        <v>1140</v>
      </c>
      <c r="B492" s="20">
        <f>IFERROR(INDEX(Sheet1!I:I,MATCH(A492,Sheet1!A:A,0)),"")</f>
        <v/>
      </c>
      <c r="C492" s="21">
        <f>IFERROR(INDEX(Sheet3!D:D,MATCH(A492,Sheet3!A:A,0)),"")</f>
        <v/>
      </c>
      <c r="D492" s="22">
        <f>IFERROR(INDEX(Sheet3!G:G,MATCH(A492,Sheet3!A:A,0)),"")</f>
        <v/>
      </c>
      <c r="E492" s="23">
        <f>IFERROR(INDEX(Sheet3!H:H,MATCH(A492,Sheet3!A:A,0)),"")</f>
        <v/>
      </c>
    </row>
    <row r="493">
      <c r="A493" s="19" t="n">
        <v>1142</v>
      </c>
      <c r="B493" s="20">
        <f>IFERROR(INDEX(Sheet1!I:I,MATCH(A493,Sheet1!A:A,0)),"")</f>
        <v/>
      </c>
      <c r="C493" s="21">
        <f>IFERROR(INDEX(Sheet3!D:D,MATCH(A493,Sheet3!A:A,0)),"")</f>
        <v/>
      </c>
      <c r="D493" s="22">
        <f>IFERROR(INDEX(Sheet3!G:G,MATCH(A493,Sheet3!A:A,0)),"")</f>
        <v/>
      </c>
      <c r="E493" s="23">
        <f>IFERROR(INDEX(Sheet3!H:H,MATCH(A493,Sheet3!A:A,0)),"")</f>
        <v/>
      </c>
    </row>
    <row r="494">
      <c r="A494" s="19" t="n">
        <v>1143</v>
      </c>
      <c r="B494" s="20">
        <f>IFERROR(INDEX(Sheet1!I:I,MATCH(A494,Sheet1!A:A,0)),"")</f>
        <v/>
      </c>
      <c r="C494" s="21">
        <f>IFERROR(INDEX(Sheet3!D:D,MATCH(A494,Sheet3!A:A,0)),"")</f>
        <v/>
      </c>
      <c r="D494" s="22">
        <f>IFERROR(INDEX(Sheet3!G:G,MATCH(A494,Sheet3!A:A,0)),"")</f>
        <v/>
      </c>
      <c r="E494" s="23">
        <f>IFERROR(INDEX(Sheet3!H:H,MATCH(A494,Sheet3!A:A,0)),"")</f>
        <v/>
      </c>
    </row>
    <row r="495">
      <c r="A495" s="19" t="n">
        <v>1144</v>
      </c>
      <c r="B495" s="20">
        <f>IFERROR(INDEX(Sheet1!I:I,MATCH(A495,Sheet1!A:A,0)),"")</f>
        <v/>
      </c>
      <c r="C495" s="21">
        <f>IFERROR(INDEX(Sheet3!D:D,MATCH(A495,Sheet3!A:A,0)),"")</f>
        <v/>
      </c>
      <c r="D495" s="22">
        <f>IFERROR(INDEX(Sheet3!G:G,MATCH(A495,Sheet3!A:A,0)),"")</f>
        <v/>
      </c>
      <c r="E495" s="23">
        <f>IFERROR(INDEX(Sheet3!H:H,MATCH(A495,Sheet3!A:A,0)),"")</f>
        <v/>
      </c>
    </row>
    <row r="496">
      <c r="A496" s="19" t="n">
        <v>1146</v>
      </c>
      <c r="B496" s="20">
        <f>IFERROR(INDEX(Sheet1!I:I,MATCH(A496,Sheet1!A:A,0)),"")</f>
        <v/>
      </c>
      <c r="C496" s="21">
        <f>IFERROR(INDEX(Sheet3!D:D,MATCH(A496,Sheet3!A:A,0)),"")</f>
        <v/>
      </c>
      <c r="D496" s="22">
        <f>IFERROR(INDEX(Sheet3!G:G,MATCH(A496,Sheet3!A:A,0)),"")</f>
        <v/>
      </c>
      <c r="E496" s="23">
        <f>IFERROR(INDEX(Sheet3!H:H,MATCH(A496,Sheet3!A:A,0)),"")</f>
        <v/>
      </c>
    </row>
    <row r="497">
      <c r="A497" s="19" t="n">
        <v>1147</v>
      </c>
      <c r="B497" s="20">
        <f>IFERROR(INDEX(Sheet1!I:I,MATCH(A497,Sheet1!A:A,0)),"")</f>
        <v/>
      </c>
      <c r="C497" s="21">
        <f>IFERROR(INDEX(Sheet3!D:D,MATCH(A497,Sheet3!A:A,0)),"")</f>
        <v/>
      </c>
      <c r="D497" s="22">
        <f>IFERROR(INDEX(Sheet3!G:G,MATCH(A497,Sheet3!A:A,0)),"")</f>
        <v/>
      </c>
      <c r="E497" s="23">
        <f>IFERROR(INDEX(Sheet3!H:H,MATCH(A497,Sheet3!A:A,0)),"")</f>
        <v/>
      </c>
    </row>
    <row r="498">
      <c r="A498" s="19" t="n">
        <v>1148</v>
      </c>
      <c r="B498" s="20">
        <f>IFERROR(INDEX(Sheet1!I:I,MATCH(A498,Sheet1!A:A,0)),"")</f>
        <v/>
      </c>
      <c r="C498" s="21">
        <f>IFERROR(INDEX(Sheet3!D:D,MATCH(A498,Sheet3!A:A,0)),"")</f>
        <v/>
      </c>
      <c r="D498" s="22">
        <f>IFERROR(INDEX(Sheet3!G:G,MATCH(A498,Sheet3!A:A,0)),"")</f>
        <v/>
      </c>
      <c r="E498" s="23">
        <f>IFERROR(INDEX(Sheet3!H:H,MATCH(A498,Sheet3!A:A,0)),"")</f>
        <v/>
      </c>
    </row>
    <row r="499">
      <c r="A499" s="19" t="n">
        <v>1149</v>
      </c>
      <c r="B499" s="20">
        <f>IFERROR(INDEX(Sheet1!I:I,MATCH(A499,Sheet1!A:A,0)),"")</f>
        <v/>
      </c>
      <c r="C499" s="21">
        <f>IFERROR(INDEX(Sheet3!D:D,MATCH(A499,Sheet3!A:A,0)),"")</f>
        <v/>
      </c>
      <c r="D499" s="22">
        <f>IFERROR(INDEX(Sheet3!G:G,MATCH(A499,Sheet3!A:A,0)),"")</f>
        <v/>
      </c>
      <c r="E499" s="23">
        <f>IFERROR(INDEX(Sheet3!H:H,MATCH(A499,Sheet3!A:A,0)),"")</f>
        <v/>
      </c>
    </row>
    <row r="500">
      <c r="A500" s="19" t="n">
        <v>1150</v>
      </c>
      <c r="B500" s="20">
        <f>IFERROR(INDEX(Sheet1!I:I,MATCH(A500,Sheet1!A:A,0)),"")</f>
        <v/>
      </c>
      <c r="C500" s="21">
        <f>IFERROR(INDEX(Sheet3!D:D,MATCH(A500,Sheet3!A:A,0)),"")</f>
        <v/>
      </c>
      <c r="D500" s="22">
        <f>IFERROR(INDEX(Sheet3!G:G,MATCH(A500,Sheet3!A:A,0)),"")</f>
        <v/>
      </c>
      <c r="E500" s="23">
        <f>IFERROR(INDEX(Sheet3!H:H,MATCH(A500,Sheet3!A:A,0)),"")</f>
        <v/>
      </c>
    </row>
    <row r="501">
      <c r="A501" s="19" t="n">
        <v>1152</v>
      </c>
      <c r="B501" s="20">
        <f>IFERROR(INDEX(Sheet1!I:I,MATCH(A501,Sheet1!A:A,0)),"")</f>
        <v/>
      </c>
      <c r="C501" s="21">
        <f>IFERROR(INDEX(Sheet3!D:D,MATCH(A501,Sheet3!A:A,0)),"")</f>
        <v/>
      </c>
      <c r="D501" s="22">
        <f>IFERROR(INDEX(Sheet3!G:G,MATCH(A501,Sheet3!A:A,0)),"")</f>
        <v/>
      </c>
      <c r="E501" s="23">
        <f>IFERROR(INDEX(Sheet3!H:H,MATCH(A501,Sheet3!A:A,0)),"")</f>
        <v/>
      </c>
    </row>
    <row r="502">
      <c r="A502" s="19" t="n">
        <v>1153</v>
      </c>
      <c r="B502" s="20">
        <f>IFERROR(INDEX(Sheet1!I:I,MATCH(A502,Sheet1!A:A,0)),"")</f>
        <v/>
      </c>
      <c r="C502" s="21">
        <f>IFERROR(INDEX(Sheet3!D:D,MATCH(A502,Sheet3!A:A,0)),"")</f>
        <v/>
      </c>
      <c r="D502" s="22">
        <f>IFERROR(INDEX(Sheet3!G:G,MATCH(A502,Sheet3!A:A,0)),"")</f>
        <v/>
      </c>
      <c r="E502" s="23">
        <f>IFERROR(INDEX(Sheet3!H:H,MATCH(A502,Sheet3!A:A,0)),"")</f>
        <v/>
      </c>
    </row>
    <row r="503">
      <c r="A503" s="19" t="n">
        <v>1154</v>
      </c>
      <c r="B503" s="20">
        <f>IFERROR(INDEX(Sheet1!I:I,MATCH(A503,Sheet1!A:A,0)),"")</f>
        <v/>
      </c>
      <c r="C503" s="21">
        <f>IFERROR(INDEX(Sheet3!D:D,MATCH(A503,Sheet3!A:A,0)),"")</f>
        <v/>
      </c>
      <c r="D503" s="22">
        <f>IFERROR(INDEX(Sheet3!G:G,MATCH(A503,Sheet3!A:A,0)),"")</f>
        <v/>
      </c>
      <c r="E503" s="23">
        <f>IFERROR(INDEX(Sheet3!H:H,MATCH(A503,Sheet3!A:A,0)),"")</f>
        <v/>
      </c>
    </row>
    <row r="504">
      <c r="A504" s="19" t="n">
        <v>1181</v>
      </c>
      <c r="B504" s="20">
        <f>IFERROR(INDEX(Sheet1!I:I,MATCH(A504,Sheet1!A:A,0)),"")</f>
        <v/>
      </c>
      <c r="C504" s="21">
        <f>IFERROR(INDEX(Sheet3!D:D,MATCH(A504,Sheet3!A:A,0)),"")</f>
        <v/>
      </c>
      <c r="D504" s="22">
        <f>IFERROR(INDEX(Sheet3!G:G,MATCH(A504,Sheet3!A:A,0)),"")</f>
        <v/>
      </c>
      <c r="E504" s="23">
        <f>IFERROR(INDEX(Sheet3!H:H,MATCH(A504,Sheet3!A:A,0)),"")</f>
        <v/>
      </c>
    </row>
    <row r="505">
      <c r="A505" s="19" t="n">
        <v>1184</v>
      </c>
      <c r="B505" s="20">
        <f>IFERROR(INDEX(Sheet1!I:I,MATCH(A505,Sheet1!A:A,0)),"")</f>
        <v/>
      </c>
      <c r="C505" s="21">
        <f>IFERROR(INDEX(Sheet3!D:D,MATCH(A505,Sheet3!A:A,0)),"")</f>
        <v/>
      </c>
      <c r="D505" s="22">
        <f>IFERROR(INDEX(Sheet3!G:G,MATCH(A505,Sheet3!A:A,0)),"")</f>
        <v/>
      </c>
      <c r="E505" s="23">
        <f>IFERROR(INDEX(Sheet3!H:H,MATCH(A505,Sheet3!A:A,0)),"")</f>
        <v/>
      </c>
    </row>
    <row r="506">
      <c r="A506" s="19" t="n">
        <v>1186</v>
      </c>
      <c r="B506" s="20">
        <f>IFERROR(INDEX(Sheet1!I:I,MATCH(A506,Sheet1!A:A,0)),"")</f>
        <v/>
      </c>
      <c r="C506" s="21">
        <f>IFERROR(INDEX(Sheet3!D:D,MATCH(A506,Sheet3!A:A,0)),"")</f>
        <v/>
      </c>
      <c r="D506" s="22">
        <f>IFERROR(INDEX(Sheet3!G:G,MATCH(A506,Sheet3!A:A,0)),"")</f>
        <v/>
      </c>
      <c r="E506" s="23">
        <f>IFERROR(INDEX(Sheet3!H:H,MATCH(A506,Sheet3!A:A,0)),"")</f>
        <v/>
      </c>
    </row>
    <row r="507">
      <c r="A507" s="19" t="n">
        <v>1187</v>
      </c>
      <c r="B507" s="20">
        <f>IFERROR(INDEX(Sheet1!I:I,MATCH(A507,Sheet1!A:A,0)),"")</f>
        <v/>
      </c>
      <c r="C507" s="21">
        <f>IFERROR(INDEX(Sheet3!D:D,MATCH(A507,Sheet3!A:A,0)),"")</f>
        <v/>
      </c>
      <c r="D507" s="22">
        <f>IFERROR(INDEX(Sheet3!G:G,MATCH(A507,Sheet3!A:A,0)),"")</f>
        <v/>
      </c>
      <c r="E507" s="23">
        <f>IFERROR(INDEX(Sheet3!H:H,MATCH(A507,Sheet3!A:A,0)),"")</f>
        <v/>
      </c>
    </row>
    <row r="508">
      <c r="A508" s="19" t="n">
        <v>1196</v>
      </c>
      <c r="B508" s="20">
        <f>IFERROR(INDEX(Sheet1!I:I,MATCH(A508,Sheet1!A:A,0)),"")</f>
        <v/>
      </c>
      <c r="C508" s="21">
        <f>IFERROR(INDEX(Sheet3!D:D,MATCH(A508,Sheet3!A:A,0)),"")</f>
        <v/>
      </c>
      <c r="D508" s="22">
        <f>IFERROR(INDEX(Sheet3!G:G,MATCH(A508,Sheet3!A:A,0)),"")</f>
        <v/>
      </c>
      <c r="E508" s="23">
        <f>IFERROR(INDEX(Sheet3!H:H,MATCH(A508,Sheet3!A:A,0)),"")</f>
        <v/>
      </c>
    </row>
    <row r="509">
      <c r="A509" s="19" t="n">
        <v>1203</v>
      </c>
      <c r="B509" s="20">
        <f>IFERROR(INDEX(Sheet1!I:I,MATCH(A509,Sheet1!A:A,0)),"")</f>
        <v/>
      </c>
      <c r="C509" s="21">
        <f>IFERROR(INDEX(Sheet3!D:D,MATCH(A509,Sheet3!A:A,0)),"")</f>
        <v/>
      </c>
      <c r="D509" s="22">
        <f>IFERROR(INDEX(Sheet3!G:G,MATCH(A509,Sheet3!A:A,0)),"")</f>
        <v/>
      </c>
      <c r="E509" s="23">
        <f>IFERROR(INDEX(Sheet3!H:H,MATCH(A509,Sheet3!A:A,0)),"")</f>
        <v/>
      </c>
    </row>
    <row r="510">
      <c r="A510" s="19" t="n">
        <v>1206</v>
      </c>
      <c r="B510" s="20">
        <f>IFERROR(INDEX(Sheet1!I:I,MATCH(A510,Sheet1!A:A,0)),"")</f>
        <v/>
      </c>
      <c r="C510" s="21">
        <f>IFERROR(INDEX(Sheet3!D:D,MATCH(A510,Sheet3!A:A,0)),"")</f>
        <v/>
      </c>
      <c r="D510" s="22">
        <f>IFERROR(INDEX(Sheet3!G:G,MATCH(A510,Sheet3!A:A,0)),"")</f>
        <v/>
      </c>
      <c r="E510" s="23">
        <f>IFERROR(INDEX(Sheet3!H:H,MATCH(A510,Sheet3!A:A,0)),"")</f>
        <v/>
      </c>
    </row>
    <row r="511">
      <c r="A511" s="19" t="n">
        <v>1213</v>
      </c>
      <c r="B511" s="20">
        <f>IFERROR(INDEX(Sheet1!I:I,MATCH(A511,Sheet1!A:A,0)),"")</f>
        <v/>
      </c>
      <c r="C511" s="21">
        <f>IFERROR(INDEX(Sheet3!D:D,MATCH(A511,Sheet3!A:A,0)),"")</f>
        <v/>
      </c>
      <c r="D511" s="22">
        <f>IFERROR(INDEX(Sheet3!G:G,MATCH(A511,Sheet3!A:A,0)),"")</f>
        <v/>
      </c>
      <c r="E511" s="23">
        <f>IFERROR(INDEX(Sheet3!H:H,MATCH(A511,Sheet3!A:A,0)),"")</f>
        <v/>
      </c>
    </row>
    <row r="512">
      <c r="A512" s="19" t="n">
        <v>1215</v>
      </c>
      <c r="B512" s="20">
        <f>IFERROR(INDEX(Sheet1!I:I,MATCH(A512,Sheet1!A:A,0)),"")</f>
        <v/>
      </c>
      <c r="C512" s="21">
        <f>IFERROR(INDEX(Sheet3!D:D,MATCH(A512,Sheet3!A:A,0)),"")</f>
        <v/>
      </c>
      <c r="D512" s="22">
        <f>IFERROR(INDEX(Sheet3!G:G,MATCH(A512,Sheet3!A:A,0)),"")</f>
        <v/>
      </c>
      <c r="E512" s="23">
        <f>IFERROR(INDEX(Sheet3!H:H,MATCH(A512,Sheet3!A:A,0)),"")</f>
        <v/>
      </c>
    </row>
    <row r="513">
      <c r="A513" s="19" t="n">
        <v>1220</v>
      </c>
      <c r="B513" s="20">
        <f>IFERROR(INDEX(Sheet1!I:I,MATCH(A513,Sheet1!A:A,0)),"")</f>
        <v/>
      </c>
      <c r="C513" s="21">
        <f>IFERROR(INDEX(Sheet3!D:D,MATCH(A513,Sheet3!A:A,0)),"")</f>
        <v/>
      </c>
      <c r="D513" s="22">
        <f>IFERROR(INDEX(Sheet3!G:G,MATCH(A513,Sheet3!A:A,0)),"")</f>
        <v/>
      </c>
      <c r="E513" s="23">
        <f>IFERROR(INDEX(Sheet3!H:H,MATCH(A513,Sheet3!A:A,0)),"")</f>
        <v/>
      </c>
    </row>
    <row r="514">
      <c r="A514" s="19" t="n">
        <v>1225</v>
      </c>
      <c r="B514" s="20">
        <f>IFERROR(INDEX(Sheet1!I:I,MATCH(A514,Sheet1!A:A,0)),"")</f>
        <v/>
      </c>
      <c r="C514" s="21">
        <f>IFERROR(INDEX(Sheet3!D:D,MATCH(A514,Sheet3!A:A,0)),"")</f>
        <v/>
      </c>
      <c r="D514" s="22">
        <f>IFERROR(INDEX(Sheet3!G:G,MATCH(A514,Sheet3!A:A,0)),"")</f>
        <v/>
      </c>
      <c r="E514" s="23">
        <f>IFERROR(INDEX(Sheet3!H:H,MATCH(A514,Sheet3!A:A,0)),"")</f>
        <v/>
      </c>
    </row>
    <row r="515">
      <c r="A515" s="19" t="n">
        <v>1229</v>
      </c>
      <c r="B515" s="20">
        <f>IFERROR(INDEX(Sheet1!I:I,MATCH(A515,Sheet1!A:A,0)),"")</f>
        <v/>
      </c>
      <c r="C515" s="21">
        <f>IFERROR(INDEX(Sheet3!D:D,MATCH(A515,Sheet3!A:A,0)),"")</f>
        <v/>
      </c>
      <c r="D515" s="22">
        <f>IFERROR(INDEX(Sheet3!G:G,MATCH(A515,Sheet3!A:A,0)),"")</f>
        <v/>
      </c>
      <c r="E515" s="23">
        <f>IFERROR(INDEX(Sheet3!H:H,MATCH(A515,Sheet3!A:A,0)),"")</f>
        <v/>
      </c>
    </row>
    <row r="516">
      <c r="A516" s="19" t="n">
        <v>1230</v>
      </c>
      <c r="B516" s="20">
        <f>IFERROR(INDEX(Sheet1!I:I,MATCH(A516,Sheet1!A:A,0)),"")</f>
        <v/>
      </c>
      <c r="C516" s="21">
        <f>IFERROR(INDEX(Sheet3!D:D,MATCH(A516,Sheet3!A:A,0)),"")</f>
        <v/>
      </c>
      <c r="D516" s="22">
        <f>IFERROR(INDEX(Sheet3!G:G,MATCH(A516,Sheet3!A:A,0)),"")</f>
        <v/>
      </c>
      <c r="E516" s="23">
        <f>IFERROR(INDEX(Sheet3!H:H,MATCH(A516,Sheet3!A:A,0)),"")</f>
        <v/>
      </c>
    </row>
    <row r="517">
      <c r="A517" s="19" t="n">
        <v>1231</v>
      </c>
      <c r="B517" s="20">
        <f>IFERROR(INDEX(Sheet1!I:I,MATCH(A517,Sheet1!A:A,0)),"")</f>
        <v/>
      </c>
      <c r="C517" s="21">
        <f>IFERROR(INDEX(Sheet3!D:D,MATCH(A517,Sheet3!A:A,0)),"")</f>
        <v/>
      </c>
      <c r="D517" s="22">
        <f>IFERROR(INDEX(Sheet3!G:G,MATCH(A517,Sheet3!A:A,0)),"")</f>
        <v/>
      </c>
      <c r="E517" s="23">
        <f>IFERROR(INDEX(Sheet3!H:H,MATCH(A517,Sheet3!A:A,0)),"")</f>
        <v/>
      </c>
    </row>
    <row r="518">
      <c r="A518" s="19" t="n">
        <v>1232</v>
      </c>
      <c r="B518" s="20">
        <f>IFERROR(INDEX(Sheet1!I:I,MATCH(A518,Sheet1!A:A,0)),"")</f>
        <v/>
      </c>
      <c r="C518" s="21">
        <f>IFERROR(INDEX(Sheet3!D:D,MATCH(A518,Sheet3!A:A,0)),"")</f>
        <v/>
      </c>
      <c r="D518" s="22">
        <f>IFERROR(INDEX(Sheet3!G:G,MATCH(A518,Sheet3!A:A,0)),"")</f>
        <v/>
      </c>
      <c r="E518" s="23">
        <f>IFERROR(INDEX(Sheet3!H:H,MATCH(A518,Sheet3!A:A,0)),"")</f>
        <v/>
      </c>
    </row>
    <row r="519">
      <c r="A519" s="19" t="n">
        <v>1234</v>
      </c>
      <c r="B519" s="20">
        <f>IFERROR(INDEX(Sheet1!I:I,MATCH(A519,Sheet1!A:A,0)),"")</f>
        <v/>
      </c>
      <c r="C519" s="21">
        <f>IFERROR(INDEX(Sheet3!D:D,MATCH(A519,Sheet3!A:A,0)),"")</f>
        <v/>
      </c>
      <c r="D519" s="22">
        <f>IFERROR(INDEX(Sheet3!G:G,MATCH(A519,Sheet3!A:A,0)),"")</f>
        <v/>
      </c>
      <c r="E519" s="23">
        <f>IFERROR(INDEX(Sheet3!H:H,MATCH(A519,Sheet3!A:A,0)),"")</f>
        <v/>
      </c>
    </row>
    <row r="520">
      <c r="A520" s="19" t="n">
        <v>1235</v>
      </c>
      <c r="B520" s="20">
        <f>IFERROR(INDEX(Sheet1!I:I,MATCH(A520,Sheet1!A:A,0)),"")</f>
        <v/>
      </c>
      <c r="C520" s="21">
        <f>IFERROR(INDEX(Sheet3!D:D,MATCH(A520,Sheet3!A:A,0)),"")</f>
        <v/>
      </c>
      <c r="D520" s="22">
        <f>IFERROR(INDEX(Sheet3!G:G,MATCH(A520,Sheet3!A:A,0)),"")</f>
        <v/>
      </c>
      <c r="E520" s="23">
        <f>IFERROR(INDEX(Sheet3!H:H,MATCH(A520,Sheet3!A:A,0)),"")</f>
        <v/>
      </c>
    </row>
    <row r="521">
      <c r="A521" s="19" t="n">
        <v>1236</v>
      </c>
      <c r="B521" s="20">
        <f>IFERROR(INDEX(Sheet1!I:I,MATCH(A521,Sheet1!A:A,0)),"")</f>
        <v/>
      </c>
      <c r="C521" s="21">
        <f>IFERROR(INDEX(Sheet3!D:D,MATCH(A521,Sheet3!A:A,0)),"")</f>
        <v/>
      </c>
      <c r="D521" s="22">
        <f>IFERROR(INDEX(Sheet3!G:G,MATCH(A521,Sheet3!A:A,0)),"")</f>
        <v/>
      </c>
      <c r="E521" s="23">
        <f>IFERROR(INDEX(Sheet3!H:H,MATCH(A521,Sheet3!A:A,0)),"")</f>
        <v/>
      </c>
    </row>
    <row r="522">
      <c r="A522" s="19" t="n">
        <v>1246</v>
      </c>
      <c r="B522" s="20">
        <f>IFERROR(INDEX(Sheet1!I:I,MATCH(A522,Sheet1!A:A,0)),"")</f>
        <v/>
      </c>
      <c r="C522" s="21">
        <f>IFERROR(INDEX(Sheet3!D:D,MATCH(A522,Sheet3!A:A,0)),"")</f>
        <v/>
      </c>
      <c r="D522" s="22">
        <f>IFERROR(INDEX(Sheet3!G:G,MATCH(A522,Sheet3!A:A,0)),"")</f>
        <v/>
      </c>
      <c r="E522" s="23">
        <f>IFERROR(INDEX(Sheet3!H:H,MATCH(A522,Sheet3!A:A,0)),"")</f>
        <v/>
      </c>
    </row>
    <row r="523">
      <c r="A523" s="19" t="n">
        <v>1257</v>
      </c>
      <c r="B523" s="20">
        <f>IFERROR(INDEX(Sheet1!I:I,MATCH(A523,Sheet1!A:A,0)),"")</f>
        <v/>
      </c>
      <c r="C523" s="21">
        <f>IFERROR(INDEX(Sheet3!D:D,MATCH(A523,Sheet3!A:A,0)),"")</f>
        <v/>
      </c>
      <c r="D523" s="22">
        <f>IFERROR(INDEX(Sheet3!G:G,MATCH(A523,Sheet3!A:A,0)),"")</f>
        <v/>
      </c>
      <c r="E523" s="23">
        <f>IFERROR(INDEX(Sheet3!H:H,MATCH(A523,Sheet3!A:A,0)),"")</f>
        <v/>
      </c>
    </row>
    <row r="524">
      <c r="A524" s="19" t="n">
        <v>1260</v>
      </c>
      <c r="B524" s="20">
        <f>IFERROR(INDEX(Sheet1!I:I,MATCH(A524,Sheet1!A:A,0)),"")</f>
        <v/>
      </c>
      <c r="C524" s="21">
        <f>IFERROR(INDEX(Sheet3!D:D,MATCH(A524,Sheet3!A:A,0)),"")</f>
        <v/>
      </c>
      <c r="D524" s="22">
        <f>IFERROR(INDEX(Sheet3!G:G,MATCH(A524,Sheet3!A:A,0)),"")</f>
        <v/>
      </c>
      <c r="E524" s="23">
        <f>IFERROR(INDEX(Sheet3!H:H,MATCH(A524,Sheet3!A:A,0)),"")</f>
        <v/>
      </c>
    </row>
    <row r="525">
      <c r="A525" s="19" t="n">
        <v>1263</v>
      </c>
      <c r="B525" s="20">
        <f>IFERROR(INDEX(Sheet1!I:I,MATCH(A525,Sheet1!A:A,0)),"")</f>
        <v/>
      </c>
      <c r="C525" s="21">
        <f>IFERROR(INDEX(Sheet3!D:D,MATCH(A525,Sheet3!A:A,0)),"")</f>
        <v/>
      </c>
      <c r="D525" s="22">
        <f>IFERROR(INDEX(Sheet3!G:G,MATCH(A525,Sheet3!A:A,0)),"")</f>
        <v/>
      </c>
      <c r="E525" s="23">
        <f>IFERROR(INDEX(Sheet3!H:H,MATCH(A525,Sheet3!A:A,0)),"")</f>
        <v/>
      </c>
    </row>
    <row r="526">
      <c r="A526" s="19" t="n">
        <v>1264</v>
      </c>
      <c r="B526" s="20">
        <f>IFERROR(INDEX(Sheet1!I:I,MATCH(A526,Sheet1!A:A,0)),"")</f>
        <v/>
      </c>
      <c r="C526" s="21">
        <f>IFERROR(INDEX(Sheet3!D:D,MATCH(A526,Sheet3!A:A,0)),"")</f>
        <v/>
      </c>
      <c r="D526" s="22">
        <f>IFERROR(INDEX(Sheet3!G:G,MATCH(A526,Sheet3!A:A,0)),"")</f>
        <v/>
      </c>
      <c r="E526" s="23">
        <f>IFERROR(INDEX(Sheet3!H:H,MATCH(A526,Sheet3!A:A,0)),"")</f>
        <v/>
      </c>
    </row>
    <row r="527">
      <c r="A527" s="19" t="n">
        <v>1269</v>
      </c>
      <c r="B527" s="20">
        <f>IFERROR(INDEX(Sheet1!I:I,MATCH(A527,Sheet1!A:A,0)),"")</f>
        <v/>
      </c>
      <c r="C527" s="21">
        <f>IFERROR(INDEX(Sheet3!D:D,MATCH(A527,Sheet3!A:A,0)),"")</f>
        <v/>
      </c>
      <c r="D527" s="22">
        <f>IFERROR(INDEX(Sheet3!G:G,MATCH(A527,Sheet3!A:A,0)),"")</f>
        <v/>
      </c>
      <c r="E527" s="23">
        <f>IFERROR(INDEX(Sheet3!H:H,MATCH(A527,Sheet3!A:A,0)),"")</f>
        <v/>
      </c>
    </row>
    <row r="528">
      <c r="A528" s="19" t="n">
        <v>1271</v>
      </c>
      <c r="B528" s="20">
        <f>IFERROR(INDEX(Sheet1!I:I,MATCH(A528,Sheet1!A:A,0)),"")</f>
        <v/>
      </c>
      <c r="C528" s="21">
        <f>IFERROR(INDEX(Sheet3!D:D,MATCH(A528,Sheet3!A:A,0)),"")</f>
        <v/>
      </c>
      <c r="D528" s="22">
        <f>IFERROR(INDEX(Sheet3!G:G,MATCH(A528,Sheet3!A:A,0)),"")</f>
        <v/>
      </c>
      <c r="E528" s="23">
        <f>IFERROR(INDEX(Sheet3!H:H,MATCH(A528,Sheet3!A:A,0)),"")</f>
        <v/>
      </c>
    </row>
    <row r="529">
      <c r="A529" s="19" t="n">
        <v>1272</v>
      </c>
      <c r="B529" s="20">
        <f>IFERROR(INDEX(Sheet1!I:I,MATCH(A529,Sheet1!A:A,0)),"")</f>
        <v/>
      </c>
      <c r="C529" s="21">
        <f>IFERROR(INDEX(Sheet3!D:D,MATCH(A529,Sheet3!A:A,0)),"")</f>
        <v/>
      </c>
      <c r="D529" s="22">
        <f>IFERROR(INDEX(Sheet3!G:G,MATCH(A529,Sheet3!A:A,0)),"")</f>
        <v/>
      </c>
      <c r="E529" s="23">
        <f>IFERROR(INDEX(Sheet3!H:H,MATCH(A529,Sheet3!A:A,0)),"")</f>
        <v/>
      </c>
    </row>
    <row r="530">
      <c r="A530" s="19" t="n">
        <v>1274</v>
      </c>
      <c r="B530" s="20">
        <f>IFERROR(INDEX(Sheet1!I:I,MATCH(A530,Sheet1!A:A,0)),"")</f>
        <v/>
      </c>
      <c r="C530" s="21">
        <f>IFERROR(INDEX(Sheet3!D:D,MATCH(A530,Sheet3!A:A,0)),"")</f>
        <v/>
      </c>
      <c r="D530" s="22">
        <f>IFERROR(INDEX(Sheet3!G:G,MATCH(A530,Sheet3!A:A,0)),"")</f>
        <v/>
      </c>
      <c r="E530" s="23">
        <f>IFERROR(INDEX(Sheet3!H:H,MATCH(A530,Sheet3!A:A,0)),"")</f>
        <v/>
      </c>
    </row>
    <row r="531">
      <c r="A531" s="19" t="n">
        <v>1279</v>
      </c>
      <c r="B531" s="20">
        <f>IFERROR(INDEX(Sheet1!I:I,MATCH(A531,Sheet1!A:A,0)),"")</f>
        <v/>
      </c>
      <c r="C531" s="21">
        <f>IFERROR(INDEX(Sheet3!D:D,MATCH(A531,Sheet3!A:A,0)),"")</f>
        <v/>
      </c>
      <c r="D531" s="22">
        <f>IFERROR(INDEX(Sheet3!G:G,MATCH(A531,Sheet3!A:A,0)),"")</f>
        <v/>
      </c>
      <c r="E531" s="23">
        <f>IFERROR(INDEX(Sheet3!H:H,MATCH(A531,Sheet3!A:A,0)),"")</f>
        <v/>
      </c>
    </row>
    <row r="532">
      <c r="A532" s="19" t="n">
        <v>1282</v>
      </c>
      <c r="B532" s="20">
        <f>IFERROR(INDEX(Sheet1!I:I,MATCH(A532,Sheet1!A:A,0)),"")</f>
        <v/>
      </c>
      <c r="C532" s="21">
        <f>IFERROR(INDEX(Sheet3!D:D,MATCH(A532,Sheet3!A:A,0)),"")</f>
        <v/>
      </c>
      <c r="D532" s="22">
        <f>IFERROR(INDEX(Sheet3!G:G,MATCH(A532,Sheet3!A:A,0)),"")</f>
        <v/>
      </c>
      <c r="E532" s="23">
        <f>IFERROR(INDEX(Sheet3!H:H,MATCH(A532,Sheet3!A:A,0)),"")</f>
        <v/>
      </c>
    </row>
    <row r="533">
      <c r="A533" s="19" t="n">
        <v>1284</v>
      </c>
      <c r="B533" s="20">
        <f>IFERROR(INDEX(Sheet1!I:I,MATCH(A533,Sheet1!A:A,0)),"")</f>
        <v/>
      </c>
      <c r="C533" s="21">
        <f>IFERROR(INDEX(Sheet3!D:D,MATCH(A533,Sheet3!A:A,0)),"")</f>
        <v/>
      </c>
      <c r="D533" s="22">
        <f>IFERROR(INDEX(Sheet3!G:G,MATCH(A533,Sheet3!A:A,0)),"")</f>
        <v/>
      </c>
      <c r="E533" s="23">
        <f>IFERROR(INDEX(Sheet3!H:H,MATCH(A533,Sheet3!A:A,0)),"")</f>
        <v/>
      </c>
    </row>
    <row r="534">
      <c r="A534" s="19" t="n">
        <v>1286</v>
      </c>
      <c r="B534" s="20">
        <f>IFERROR(INDEX(Sheet1!I:I,MATCH(A534,Sheet1!A:A,0)),"")</f>
        <v/>
      </c>
      <c r="C534" s="21">
        <f>IFERROR(INDEX(Sheet3!D:D,MATCH(A534,Sheet3!A:A,0)),"")</f>
        <v/>
      </c>
      <c r="D534" s="22">
        <f>IFERROR(INDEX(Sheet3!G:G,MATCH(A534,Sheet3!A:A,0)),"")</f>
        <v/>
      </c>
      <c r="E534" s="23">
        <f>IFERROR(INDEX(Sheet3!H:H,MATCH(A534,Sheet3!A:A,0)),"")</f>
        <v/>
      </c>
    </row>
    <row r="535">
      <c r="A535" s="19" t="n">
        <v>1290</v>
      </c>
      <c r="B535" s="20">
        <f>IFERROR(INDEX(Sheet1!I:I,MATCH(A535,Sheet1!A:A,0)),"")</f>
        <v/>
      </c>
      <c r="C535" s="21">
        <f>IFERROR(INDEX(Sheet3!D:D,MATCH(A535,Sheet3!A:A,0)),"")</f>
        <v/>
      </c>
      <c r="D535" s="22">
        <f>IFERROR(INDEX(Sheet3!G:G,MATCH(A535,Sheet3!A:A,0)),"")</f>
        <v/>
      </c>
      <c r="E535" s="23">
        <f>IFERROR(INDEX(Sheet3!H:H,MATCH(A535,Sheet3!A:A,0)),"")</f>
        <v/>
      </c>
    </row>
    <row r="536">
      <c r="A536" s="19" t="n">
        <v>1296</v>
      </c>
      <c r="B536" s="20">
        <f>IFERROR(INDEX(Sheet1!I:I,MATCH(A536,Sheet1!A:A,0)),"")</f>
        <v/>
      </c>
      <c r="C536" s="21">
        <f>IFERROR(INDEX(Sheet3!D:D,MATCH(A536,Sheet3!A:A,0)),"")</f>
        <v/>
      </c>
      <c r="D536" s="22">
        <f>IFERROR(INDEX(Sheet3!G:G,MATCH(A536,Sheet3!A:A,0)),"")</f>
        <v/>
      </c>
      <c r="E536" s="23">
        <f>IFERROR(INDEX(Sheet3!H:H,MATCH(A536,Sheet3!A:A,0)),"")</f>
        <v/>
      </c>
    </row>
    <row r="537">
      <c r="A537" s="19" t="n">
        <v>1301</v>
      </c>
      <c r="B537" s="20">
        <f>IFERROR(INDEX(Sheet1!I:I,MATCH(A537,Sheet1!A:A,0)),"")</f>
        <v/>
      </c>
      <c r="C537" s="21">
        <f>IFERROR(INDEX(Sheet3!D:D,MATCH(A537,Sheet3!A:A,0)),"")</f>
        <v/>
      </c>
      <c r="D537" s="22">
        <f>IFERROR(INDEX(Sheet3!G:G,MATCH(A537,Sheet3!A:A,0)),"")</f>
        <v/>
      </c>
      <c r="E537" s="23">
        <f>IFERROR(INDEX(Sheet3!H:H,MATCH(A537,Sheet3!A:A,0)),"")</f>
        <v/>
      </c>
    </row>
    <row r="538">
      <c r="A538" s="19" t="n">
        <v>1302</v>
      </c>
      <c r="B538" s="20">
        <f>IFERROR(INDEX(Sheet1!I:I,MATCH(A538,Sheet1!A:A,0)),"")</f>
        <v/>
      </c>
      <c r="C538" s="21">
        <f>IFERROR(INDEX(Sheet3!D:D,MATCH(A538,Sheet3!A:A,0)),"")</f>
        <v/>
      </c>
      <c r="D538" s="22">
        <f>IFERROR(INDEX(Sheet3!G:G,MATCH(A538,Sheet3!A:A,0)),"")</f>
        <v/>
      </c>
      <c r="E538" s="23">
        <f>IFERROR(INDEX(Sheet3!H:H,MATCH(A538,Sheet3!A:A,0)),"")</f>
        <v/>
      </c>
    </row>
    <row r="539">
      <c r="A539" s="19" t="n">
        <v>1304</v>
      </c>
      <c r="B539" s="20">
        <f>IFERROR(INDEX(Sheet1!I:I,MATCH(A539,Sheet1!A:A,0)),"")</f>
        <v/>
      </c>
      <c r="C539" s="21">
        <f>IFERROR(INDEX(Sheet3!D:D,MATCH(A539,Sheet3!A:A,0)),"")</f>
        <v/>
      </c>
      <c r="D539" s="22">
        <f>IFERROR(INDEX(Sheet3!G:G,MATCH(A539,Sheet3!A:A,0)),"")</f>
        <v/>
      </c>
      <c r="E539" s="23">
        <f>IFERROR(INDEX(Sheet3!H:H,MATCH(A539,Sheet3!A:A,0)),"")</f>
        <v/>
      </c>
    </row>
    <row r="540">
      <c r="A540" s="19" t="n">
        <v>1305</v>
      </c>
      <c r="B540" s="20">
        <f>IFERROR(INDEX(Sheet1!I:I,MATCH(A540,Sheet1!A:A,0)),"")</f>
        <v/>
      </c>
      <c r="C540" s="21">
        <f>IFERROR(INDEX(Sheet3!D:D,MATCH(A540,Sheet3!A:A,0)),"")</f>
        <v/>
      </c>
      <c r="D540" s="22">
        <f>IFERROR(INDEX(Sheet3!G:G,MATCH(A540,Sheet3!A:A,0)),"")</f>
        <v/>
      </c>
      <c r="E540" s="23">
        <f>IFERROR(INDEX(Sheet3!H:H,MATCH(A540,Sheet3!A:A,0)),"")</f>
        <v/>
      </c>
    </row>
    <row r="541">
      <c r="A541" s="19" t="n">
        <v>1310</v>
      </c>
      <c r="B541" s="20">
        <f>IFERROR(INDEX(Sheet1!I:I,MATCH(A541,Sheet1!A:A,0)),"")</f>
        <v/>
      </c>
      <c r="C541" s="21">
        <f>IFERROR(INDEX(Sheet3!D:D,MATCH(A541,Sheet3!A:A,0)),"")</f>
        <v/>
      </c>
      <c r="D541" s="22">
        <f>IFERROR(INDEX(Sheet3!G:G,MATCH(A541,Sheet3!A:A,0)),"")</f>
        <v/>
      </c>
      <c r="E541" s="23">
        <f>IFERROR(INDEX(Sheet3!H:H,MATCH(A541,Sheet3!A:A,0)),"")</f>
        <v/>
      </c>
    </row>
    <row r="542">
      <c r="A542" s="19" t="n">
        <v>1320</v>
      </c>
      <c r="B542" s="20">
        <f>IFERROR(INDEX(Sheet1!I:I,MATCH(A542,Sheet1!A:A,0)),"")</f>
        <v/>
      </c>
      <c r="C542" s="21">
        <f>IFERROR(INDEX(Sheet3!D:D,MATCH(A542,Sheet3!A:A,0)),"")</f>
        <v/>
      </c>
      <c r="D542" s="22">
        <f>IFERROR(INDEX(Sheet3!G:G,MATCH(A542,Sheet3!A:A,0)),"")</f>
        <v/>
      </c>
      <c r="E542" s="23">
        <f>IFERROR(INDEX(Sheet3!H:H,MATCH(A542,Sheet3!A:A,0)),"")</f>
        <v/>
      </c>
    </row>
    <row r="543">
      <c r="A543" s="19" t="n">
        <v>1327</v>
      </c>
      <c r="B543" s="20">
        <f>IFERROR(INDEX(Sheet1!I:I,MATCH(A543,Sheet1!A:A,0)),"")</f>
        <v/>
      </c>
      <c r="C543" s="21">
        <f>IFERROR(INDEX(Sheet3!D:D,MATCH(A543,Sheet3!A:A,0)),"")</f>
        <v/>
      </c>
      <c r="D543" s="22">
        <f>IFERROR(INDEX(Sheet3!G:G,MATCH(A543,Sheet3!A:A,0)),"")</f>
        <v/>
      </c>
      <c r="E543" s="23">
        <f>IFERROR(INDEX(Sheet3!H:H,MATCH(A543,Sheet3!A:A,0)),"")</f>
        <v/>
      </c>
    </row>
    <row r="544">
      <c r="A544" s="19" t="n">
        <v>1329</v>
      </c>
      <c r="B544" s="20">
        <f>IFERROR(INDEX(Sheet1!I:I,MATCH(A544,Sheet1!A:A,0)),"")</f>
        <v/>
      </c>
      <c r="C544" s="21">
        <f>IFERROR(INDEX(Sheet3!D:D,MATCH(A544,Sheet3!A:A,0)),"")</f>
        <v/>
      </c>
      <c r="D544" s="22">
        <f>IFERROR(INDEX(Sheet3!G:G,MATCH(A544,Sheet3!A:A,0)),"")</f>
        <v/>
      </c>
      <c r="E544" s="23">
        <f>IFERROR(INDEX(Sheet3!H:H,MATCH(A544,Sheet3!A:A,0)),"")</f>
        <v/>
      </c>
    </row>
    <row r="545">
      <c r="A545" s="19" t="n">
        <v>1330</v>
      </c>
      <c r="B545" s="20">
        <f>IFERROR(INDEX(Sheet1!I:I,MATCH(A545,Sheet1!A:A,0)),"")</f>
        <v/>
      </c>
      <c r="C545" s="21">
        <f>IFERROR(INDEX(Sheet3!D:D,MATCH(A545,Sheet3!A:A,0)),"")</f>
        <v/>
      </c>
      <c r="D545" s="22">
        <f>IFERROR(INDEX(Sheet3!G:G,MATCH(A545,Sheet3!A:A,0)),"")</f>
        <v/>
      </c>
      <c r="E545" s="23">
        <f>IFERROR(INDEX(Sheet3!H:H,MATCH(A545,Sheet3!A:A,0)),"")</f>
        <v/>
      </c>
    </row>
    <row r="546">
      <c r="A546" s="19" t="n">
        <v>1331</v>
      </c>
      <c r="B546" s="20">
        <f>IFERROR(INDEX(Sheet1!I:I,MATCH(A546,Sheet1!A:A,0)),"")</f>
        <v/>
      </c>
      <c r="C546" s="21">
        <f>IFERROR(INDEX(Sheet3!D:D,MATCH(A546,Sheet3!A:A,0)),"")</f>
        <v/>
      </c>
      <c r="D546" s="22">
        <f>IFERROR(INDEX(Sheet3!G:G,MATCH(A546,Sheet3!A:A,0)),"")</f>
        <v/>
      </c>
      <c r="E546" s="23">
        <f>IFERROR(INDEX(Sheet3!H:H,MATCH(A546,Sheet3!A:A,0)),"")</f>
        <v/>
      </c>
    </row>
    <row r="547">
      <c r="A547" s="19" t="n">
        <v>1332</v>
      </c>
      <c r="B547" s="20">
        <f>IFERROR(INDEX(Sheet1!I:I,MATCH(A547,Sheet1!A:A,0)),"")</f>
        <v/>
      </c>
      <c r="C547" s="21">
        <f>IFERROR(INDEX(Sheet3!D:D,MATCH(A547,Sheet3!A:A,0)),"")</f>
        <v/>
      </c>
      <c r="D547" s="22">
        <f>IFERROR(INDEX(Sheet3!G:G,MATCH(A547,Sheet3!A:A,0)),"")</f>
        <v/>
      </c>
      <c r="E547" s="23">
        <f>IFERROR(INDEX(Sheet3!H:H,MATCH(A547,Sheet3!A:A,0)),"")</f>
        <v/>
      </c>
    </row>
    <row r="548">
      <c r="A548" s="19" t="n">
        <v>1336</v>
      </c>
      <c r="B548" s="20">
        <f>IFERROR(INDEX(Sheet1!I:I,MATCH(A548,Sheet1!A:A,0)),"")</f>
        <v/>
      </c>
      <c r="C548" s="21">
        <f>IFERROR(INDEX(Sheet3!D:D,MATCH(A548,Sheet3!A:A,0)),"")</f>
        <v/>
      </c>
      <c r="D548" s="22">
        <f>IFERROR(INDEX(Sheet3!G:G,MATCH(A548,Sheet3!A:A,0)),"")</f>
        <v/>
      </c>
      <c r="E548" s="23">
        <f>IFERROR(INDEX(Sheet3!H:H,MATCH(A548,Sheet3!A:A,0)),"")</f>
        <v/>
      </c>
    </row>
    <row r="549">
      <c r="A549" s="19" t="n">
        <v>1337</v>
      </c>
      <c r="B549" s="20">
        <f>IFERROR(INDEX(Sheet1!I:I,MATCH(A549,Sheet1!A:A,0)),"")</f>
        <v/>
      </c>
      <c r="C549" s="21">
        <f>IFERROR(INDEX(Sheet3!D:D,MATCH(A549,Sheet3!A:A,0)),"")</f>
        <v/>
      </c>
      <c r="D549" s="22">
        <f>IFERROR(INDEX(Sheet3!G:G,MATCH(A549,Sheet3!A:A,0)),"")</f>
        <v/>
      </c>
      <c r="E549" s="23">
        <f>IFERROR(INDEX(Sheet3!H:H,MATCH(A549,Sheet3!A:A,0)),"")</f>
        <v/>
      </c>
    </row>
    <row r="550">
      <c r="A550" s="19" t="n">
        <v>1339</v>
      </c>
      <c r="B550" s="20">
        <f>IFERROR(INDEX(Sheet1!I:I,MATCH(A550,Sheet1!A:A,0)),"")</f>
        <v/>
      </c>
      <c r="C550" s="21">
        <f>IFERROR(INDEX(Sheet3!D:D,MATCH(A550,Sheet3!A:A,0)),"")</f>
        <v/>
      </c>
      <c r="D550" s="22">
        <f>IFERROR(INDEX(Sheet3!G:G,MATCH(A550,Sheet3!A:A,0)),"")</f>
        <v/>
      </c>
      <c r="E550" s="23">
        <f>IFERROR(INDEX(Sheet3!H:H,MATCH(A550,Sheet3!A:A,0)),"")</f>
        <v/>
      </c>
    </row>
    <row r="551">
      <c r="A551" s="19" t="n">
        <v>1340</v>
      </c>
      <c r="B551" s="20">
        <f>IFERROR(INDEX(Sheet1!I:I,MATCH(A551,Sheet1!A:A,0)),"")</f>
        <v/>
      </c>
      <c r="C551" s="21">
        <f>IFERROR(INDEX(Sheet3!D:D,MATCH(A551,Sheet3!A:A,0)),"")</f>
        <v/>
      </c>
      <c r="D551" s="22">
        <f>IFERROR(INDEX(Sheet3!G:G,MATCH(A551,Sheet3!A:A,0)),"")</f>
        <v/>
      </c>
      <c r="E551" s="23">
        <f>IFERROR(INDEX(Sheet3!H:H,MATCH(A551,Sheet3!A:A,0)),"")</f>
        <v/>
      </c>
    </row>
    <row r="552">
      <c r="A552" s="19" t="n">
        <v>1341</v>
      </c>
      <c r="B552" s="20">
        <f>IFERROR(INDEX(Sheet1!I:I,MATCH(A552,Sheet1!A:A,0)),"")</f>
        <v/>
      </c>
      <c r="C552" s="21">
        <f>IFERROR(INDEX(Sheet3!D:D,MATCH(A552,Sheet3!A:A,0)),"")</f>
        <v/>
      </c>
      <c r="D552" s="22">
        <f>IFERROR(INDEX(Sheet3!G:G,MATCH(A552,Sheet3!A:A,0)),"")</f>
        <v/>
      </c>
      <c r="E552" s="23">
        <f>IFERROR(INDEX(Sheet3!H:H,MATCH(A552,Sheet3!A:A,0)),"")</f>
        <v/>
      </c>
    </row>
    <row r="553">
      <c r="A553" s="19" t="n">
        <v>1349</v>
      </c>
      <c r="B553" s="20">
        <f>IFERROR(INDEX(Sheet1!I:I,MATCH(A553,Sheet1!A:A,0)),"")</f>
        <v/>
      </c>
      <c r="C553" s="21">
        <f>IFERROR(INDEX(Sheet3!D:D,MATCH(A553,Sheet3!A:A,0)),"")</f>
        <v/>
      </c>
      <c r="D553" s="22">
        <f>IFERROR(INDEX(Sheet3!G:G,MATCH(A553,Sheet3!A:A,0)),"")</f>
        <v/>
      </c>
      <c r="E553" s="23">
        <f>IFERROR(INDEX(Sheet3!H:H,MATCH(A553,Sheet3!A:A,0)),"")</f>
        <v/>
      </c>
    </row>
    <row r="554">
      <c r="A554" s="19" t="n">
        <v>1350</v>
      </c>
      <c r="B554" s="20">
        <f>IFERROR(INDEX(Sheet1!I:I,MATCH(A554,Sheet1!A:A,0)),"")</f>
        <v/>
      </c>
      <c r="C554" s="21">
        <f>IFERROR(INDEX(Sheet3!D:D,MATCH(A554,Sheet3!A:A,0)),"")</f>
        <v/>
      </c>
      <c r="D554" s="22">
        <f>IFERROR(INDEX(Sheet3!G:G,MATCH(A554,Sheet3!A:A,0)),"")</f>
        <v/>
      </c>
      <c r="E554" s="23">
        <f>IFERROR(INDEX(Sheet3!H:H,MATCH(A554,Sheet3!A:A,0)),"")</f>
        <v/>
      </c>
    </row>
    <row r="555">
      <c r="A555" s="19" t="n">
        <v>1353</v>
      </c>
      <c r="B555" s="20">
        <f>IFERROR(INDEX(Sheet1!I:I,MATCH(A555,Sheet1!A:A,0)),"")</f>
        <v/>
      </c>
      <c r="C555" s="21">
        <f>IFERROR(INDEX(Sheet3!D:D,MATCH(A555,Sheet3!A:A,0)),"")</f>
        <v/>
      </c>
      <c r="D555" s="22">
        <f>IFERROR(INDEX(Sheet3!G:G,MATCH(A555,Sheet3!A:A,0)),"")</f>
        <v/>
      </c>
      <c r="E555" s="23">
        <f>IFERROR(INDEX(Sheet3!H:H,MATCH(A555,Sheet3!A:A,0)),"")</f>
        <v/>
      </c>
    </row>
    <row r="556">
      <c r="A556" s="19" t="n">
        <v>1355</v>
      </c>
      <c r="B556" s="20">
        <f>IFERROR(INDEX(Sheet1!I:I,MATCH(A556,Sheet1!A:A,0)),"")</f>
        <v/>
      </c>
      <c r="C556" s="21">
        <f>IFERROR(INDEX(Sheet3!D:D,MATCH(A556,Sheet3!A:A,0)),"")</f>
        <v/>
      </c>
      <c r="D556" s="22">
        <f>IFERROR(INDEX(Sheet3!G:G,MATCH(A556,Sheet3!A:A,0)),"")</f>
        <v/>
      </c>
      <c r="E556" s="23">
        <f>IFERROR(INDEX(Sheet3!H:H,MATCH(A556,Sheet3!A:A,0)),"")</f>
        <v/>
      </c>
    </row>
    <row r="557">
      <c r="A557" s="19" t="n">
        <v>1356</v>
      </c>
      <c r="B557" s="20">
        <f>IFERROR(INDEX(Sheet1!I:I,MATCH(A557,Sheet1!A:A,0)),"")</f>
        <v/>
      </c>
      <c r="C557" s="21">
        <f>IFERROR(INDEX(Sheet3!D:D,MATCH(A557,Sheet3!A:A,0)),"")</f>
        <v/>
      </c>
      <c r="D557" s="22">
        <f>IFERROR(INDEX(Sheet3!G:G,MATCH(A557,Sheet3!A:A,0)),"")</f>
        <v/>
      </c>
      <c r="E557" s="23">
        <f>IFERROR(INDEX(Sheet3!H:H,MATCH(A557,Sheet3!A:A,0)),"")</f>
        <v/>
      </c>
    </row>
    <row r="558">
      <c r="A558" s="19" t="n">
        <v>1358</v>
      </c>
      <c r="B558" s="20">
        <f>IFERROR(INDEX(Sheet1!I:I,MATCH(A558,Sheet1!A:A,0)),"")</f>
        <v/>
      </c>
      <c r="C558" s="21">
        <f>IFERROR(INDEX(Sheet3!D:D,MATCH(A558,Sheet3!A:A,0)),"")</f>
        <v/>
      </c>
      <c r="D558" s="22">
        <f>IFERROR(INDEX(Sheet3!G:G,MATCH(A558,Sheet3!A:A,0)),"")</f>
        <v/>
      </c>
      <c r="E558" s="23">
        <f>IFERROR(INDEX(Sheet3!H:H,MATCH(A558,Sheet3!A:A,0)),"")</f>
        <v/>
      </c>
    </row>
    <row r="559">
      <c r="A559" s="19" t="n">
        <v>1361</v>
      </c>
      <c r="B559" s="20">
        <f>IFERROR(INDEX(Sheet1!I:I,MATCH(A559,Sheet1!A:A,0)),"")</f>
        <v/>
      </c>
      <c r="C559" s="21">
        <f>IFERROR(INDEX(Sheet3!D:D,MATCH(A559,Sheet3!A:A,0)),"")</f>
        <v/>
      </c>
      <c r="D559" s="22">
        <f>IFERROR(INDEX(Sheet3!G:G,MATCH(A559,Sheet3!A:A,0)),"")</f>
        <v/>
      </c>
      <c r="E559" s="23">
        <f>IFERROR(INDEX(Sheet3!H:H,MATCH(A559,Sheet3!A:A,0)),"")</f>
        <v/>
      </c>
    </row>
    <row r="560">
      <c r="A560" s="19" t="n">
        <v>1363</v>
      </c>
      <c r="B560" s="20">
        <f>IFERROR(INDEX(Sheet1!I:I,MATCH(A560,Sheet1!A:A,0)),"")</f>
        <v/>
      </c>
      <c r="C560" s="21">
        <f>IFERROR(INDEX(Sheet3!D:D,MATCH(A560,Sheet3!A:A,0)),"")</f>
        <v/>
      </c>
      <c r="D560" s="22">
        <f>IFERROR(INDEX(Sheet3!G:G,MATCH(A560,Sheet3!A:A,0)),"")</f>
        <v/>
      </c>
      <c r="E560" s="23">
        <f>IFERROR(INDEX(Sheet3!H:H,MATCH(A560,Sheet3!A:A,0)),"")</f>
        <v/>
      </c>
    </row>
    <row r="561">
      <c r="A561" s="19" t="n">
        <v>1364</v>
      </c>
      <c r="B561" s="20">
        <f>IFERROR(INDEX(Sheet1!I:I,MATCH(A561,Sheet1!A:A,0)),"")</f>
        <v/>
      </c>
      <c r="C561" s="21">
        <f>IFERROR(INDEX(Sheet3!D:D,MATCH(A561,Sheet3!A:A,0)),"")</f>
        <v/>
      </c>
      <c r="D561" s="22">
        <f>IFERROR(INDEX(Sheet3!G:G,MATCH(A561,Sheet3!A:A,0)),"")</f>
        <v/>
      </c>
      <c r="E561" s="23">
        <f>IFERROR(INDEX(Sheet3!H:H,MATCH(A561,Sheet3!A:A,0)),"")</f>
        <v/>
      </c>
    </row>
    <row r="562">
      <c r="A562" s="19" t="n">
        <v>1367</v>
      </c>
      <c r="B562" s="20">
        <f>IFERROR(INDEX(Sheet1!I:I,MATCH(A562,Sheet1!A:A,0)),"")</f>
        <v/>
      </c>
      <c r="C562" s="21">
        <f>IFERROR(INDEX(Sheet3!D:D,MATCH(A562,Sheet3!A:A,0)),"")</f>
        <v/>
      </c>
      <c r="D562" s="22">
        <f>IFERROR(INDEX(Sheet3!G:G,MATCH(A562,Sheet3!A:A,0)),"")</f>
        <v/>
      </c>
      <c r="E562" s="23">
        <f>IFERROR(INDEX(Sheet3!H:H,MATCH(A562,Sheet3!A:A,0)),"")</f>
        <v/>
      </c>
    </row>
    <row r="563">
      <c r="A563" s="19" t="n">
        <v>1369</v>
      </c>
      <c r="B563" s="20">
        <f>IFERROR(INDEX(Sheet1!I:I,MATCH(A563,Sheet1!A:A,0)),"")</f>
        <v/>
      </c>
      <c r="C563" s="21">
        <f>IFERROR(INDEX(Sheet3!D:D,MATCH(A563,Sheet3!A:A,0)),"")</f>
        <v/>
      </c>
      <c r="D563" s="22">
        <f>IFERROR(INDEX(Sheet3!G:G,MATCH(A563,Sheet3!A:A,0)),"")</f>
        <v/>
      </c>
      <c r="E563" s="23">
        <f>IFERROR(INDEX(Sheet3!H:H,MATCH(A563,Sheet3!A:A,0)),"")</f>
        <v/>
      </c>
    </row>
    <row r="564">
      <c r="A564" s="19" t="n">
        <v>1371</v>
      </c>
      <c r="B564" s="20">
        <f>IFERROR(INDEX(Sheet1!I:I,MATCH(A564,Sheet1!A:A,0)),"")</f>
        <v/>
      </c>
      <c r="C564" s="21">
        <f>IFERROR(INDEX(Sheet3!D:D,MATCH(A564,Sheet3!A:A,0)),"")</f>
        <v/>
      </c>
      <c r="D564" s="22">
        <f>IFERROR(INDEX(Sheet3!G:G,MATCH(A564,Sheet3!A:A,0)),"")</f>
        <v/>
      </c>
      <c r="E564" s="23">
        <f>IFERROR(INDEX(Sheet3!H:H,MATCH(A564,Sheet3!A:A,0)),"")</f>
        <v/>
      </c>
    </row>
    <row r="565">
      <c r="A565" s="19" t="n">
        <v>1372</v>
      </c>
      <c r="B565" s="20">
        <f>IFERROR(INDEX(Sheet1!I:I,MATCH(A565,Sheet1!A:A,0)),"")</f>
        <v/>
      </c>
      <c r="C565" s="21">
        <f>IFERROR(INDEX(Sheet3!D:D,MATCH(A565,Sheet3!A:A,0)),"")</f>
        <v/>
      </c>
      <c r="D565" s="22">
        <f>IFERROR(INDEX(Sheet3!G:G,MATCH(A565,Sheet3!A:A,0)),"")</f>
        <v/>
      </c>
      <c r="E565" s="23">
        <f>IFERROR(INDEX(Sheet3!H:H,MATCH(A565,Sheet3!A:A,0)),"")</f>
        <v/>
      </c>
    </row>
    <row r="566">
      <c r="A566" s="19" t="n">
        <v>1374</v>
      </c>
      <c r="B566" s="20">
        <f>IFERROR(INDEX(Sheet1!I:I,MATCH(A566,Sheet1!A:A,0)),"")</f>
        <v/>
      </c>
      <c r="C566" s="21">
        <f>IFERROR(INDEX(Sheet3!D:D,MATCH(A566,Sheet3!A:A,0)),"")</f>
        <v/>
      </c>
      <c r="D566" s="22">
        <f>IFERROR(INDEX(Sheet3!G:G,MATCH(A566,Sheet3!A:A,0)),"")</f>
        <v/>
      </c>
      <c r="E566" s="23">
        <f>IFERROR(INDEX(Sheet3!H:H,MATCH(A566,Sheet3!A:A,0)),"")</f>
        <v/>
      </c>
    </row>
    <row r="567">
      <c r="A567" s="19" t="n">
        <v>1375</v>
      </c>
      <c r="B567" s="20">
        <f>IFERROR(INDEX(Sheet1!I:I,MATCH(A567,Sheet1!A:A,0)),"")</f>
        <v/>
      </c>
      <c r="C567" s="21">
        <f>IFERROR(INDEX(Sheet3!D:D,MATCH(A567,Sheet3!A:A,0)),"")</f>
        <v/>
      </c>
      <c r="D567" s="22">
        <f>IFERROR(INDEX(Sheet3!G:G,MATCH(A567,Sheet3!A:A,0)),"")</f>
        <v/>
      </c>
      <c r="E567" s="23">
        <f>IFERROR(INDEX(Sheet3!H:H,MATCH(A567,Sheet3!A:A,0)),"")</f>
        <v/>
      </c>
    </row>
    <row r="568">
      <c r="A568" s="19" t="n">
        <v>1380</v>
      </c>
      <c r="B568" s="20">
        <f>IFERROR(INDEX(Sheet1!I:I,MATCH(A568,Sheet1!A:A,0)),"")</f>
        <v/>
      </c>
      <c r="C568" s="21">
        <f>IFERROR(INDEX(Sheet3!D:D,MATCH(A568,Sheet3!A:A,0)),"")</f>
        <v/>
      </c>
      <c r="D568" s="22">
        <f>IFERROR(INDEX(Sheet3!G:G,MATCH(A568,Sheet3!A:A,0)),"")</f>
        <v/>
      </c>
      <c r="E568" s="23">
        <f>IFERROR(INDEX(Sheet3!H:H,MATCH(A568,Sheet3!A:A,0)),"")</f>
        <v/>
      </c>
    </row>
    <row r="569">
      <c r="A569" s="19" t="n">
        <v>1381</v>
      </c>
      <c r="B569" s="20">
        <f>IFERROR(INDEX(Sheet1!I:I,MATCH(A569,Sheet1!A:A,0)),"")</f>
        <v/>
      </c>
      <c r="C569" s="21">
        <f>IFERROR(INDEX(Sheet3!D:D,MATCH(A569,Sheet3!A:A,0)),"")</f>
        <v/>
      </c>
      <c r="D569" s="22">
        <f>IFERROR(INDEX(Sheet3!G:G,MATCH(A569,Sheet3!A:A,0)),"")</f>
        <v/>
      </c>
      <c r="E569" s="23">
        <f>IFERROR(INDEX(Sheet3!H:H,MATCH(A569,Sheet3!A:A,0)),"")</f>
        <v/>
      </c>
    </row>
    <row r="570">
      <c r="A570" s="19" t="n">
        <v>1384</v>
      </c>
      <c r="B570" s="20">
        <f>IFERROR(INDEX(Sheet1!I:I,MATCH(A570,Sheet1!A:A,0)),"")</f>
        <v/>
      </c>
      <c r="C570" s="21">
        <f>IFERROR(INDEX(Sheet3!D:D,MATCH(A570,Sheet3!A:A,0)),"")</f>
        <v/>
      </c>
      <c r="D570" s="22">
        <f>IFERROR(INDEX(Sheet3!G:G,MATCH(A570,Sheet3!A:A,0)),"")</f>
        <v/>
      </c>
      <c r="E570" s="23">
        <f>IFERROR(INDEX(Sheet3!H:H,MATCH(A570,Sheet3!A:A,0)),"")</f>
        <v/>
      </c>
    </row>
    <row r="571">
      <c r="A571" s="19" t="n">
        <v>1385</v>
      </c>
      <c r="B571" s="20">
        <f>IFERROR(INDEX(Sheet1!I:I,MATCH(A571,Sheet1!A:A,0)),"")</f>
        <v/>
      </c>
      <c r="C571" s="21">
        <f>IFERROR(INDEX(Sheet3!D:D,MATCH(A571,Sheet3!A:A,0)),"")</f>
        <v/>
      </c>
      <c r="D571" s="22">
        <f>IFERROR(INDEX(Sheet3!G:G,MATCH(A571,Sheet3!A:A,0)),"")</f>
        <v/>
      </c>
      <c r="E571" s="23">
        <f>IFERROR(INDEX(Sheet3!H:H,MATCH(A571,Sheet3!A:A,0)),"")</f>
        <v/>
      </c>
    </row>
    <row r="572">
      <c r="A572" s="19" t="n">
        <v>1387</v>
      </c>
      <c r="B572" s="20">
        <f>IFERROR(INDEX(Sheet1!I:I,MATCH(A572,Sheet1!A:A,0)),"")</f>
        <v/>
      </c>
      <c r="C572" s="21">
        <f>IFERROR(INDEX(Sheet3!D:D,MATCH(A572,Sheet3!A:A,0)),"")</f>
        <v/>
      </c>
      <c r="D572" s="22">
        <f>IFERROR(INDEX(Sheet3!G:G,MATCH(A572,Sheet3!A:A,0)),"")</f>
        <v/>
      </c>
      <c r="E572" s="23">
        <f>IFERROR(INDEX(Sheet3!H:H,MATCH(A572,Sheet3!A:A,0)),"")</f>
        <v/>
      </c>
    </row>
    <row r="573">
      <c r="A573" s="19" t="n">
        <v>1389</v>
      </c>
      <c r="B573" s="20">
        <f>IFERROR(INDEX(Sheet1!I:I,MATCH(A573,Sheet1!A:A,0)),"")</f>
        <v/>
      </c>
      <c r="C573" s="21">
        <f>IFERROR(INDEX(Sheet3!D:D,MATCH(A573,Sheet3!A:A,0)),"")</f>
        <v/>
      </c>
      <c r="D573" s="22">
        <f>IFERROR(INDEX(Sheet3!G:G,MATCH(A573,Sheet3!A:A,0)),"")</f>
        <v/>
      </c>
      <c r="E573" s="23">
        <f>IFERROR(INDEX(Sheet3!H:H,MATCH(A573,Sheet3!A:A,0)),"")</f>
        <v/>
      </c>
    </row>
    <row r="574">
      <c r="A574" s="19" t="n">
        <v>1390</v>
      </c>
      <c r="B574" s="20">
        <f>IFERROR(INDEX(Sheet1!I:I,MATCH(A574,Sheet1!A:A,0)),"")</f>
        <v/>
      </c>
      <c r="C574" s="21">
        <f>IFERROR(INDEX(Sheet3!D:D,MATCH(A574,Sheet3!A:A,0)),"")</f>
        <v/>
      </c>
      <c r="D574" s="22">
        <f>IFERROR(INDEX(Sheet3!G:G,MATCH(A574,Sheet3!A:A,0)),"")</f>
        <v/>
      </c>
      <c r="E574" s="23">
        <f>IFERROR(INDEX(Sheet3!H:H,MATCH(A574,Sheet3!A:A,0)),"")</f>
        <v/>
      </c>
    </row>
    <row r="575">
      <c r="A575" s="19" t="n">
        <v>1391</v>
      </c>
      <c r="B575" s="20">
        <f>IFERROR(INDEX(Sheet1!I:I,MATCH(A575,Sheet1!A:A,0)),"")</f>
        <v/>
      </c>
      <c r="C575" s="21">
        <f>IFERROR(INDEX(Sheet3!D:D,MATCH(A575,Sheet3!A:A,0)),"")</f>
        <v/>
      </c>
      <c r="D575" s="22">
        <f>IFERROR(INDEX(Sheet3!G:G,MATCH(A575,Sheet3!A:A,0)),"")</f>
        <v/>
      </c>
      <c r="E575" s="23">
        <f>IFERROR(INDEX(Sheet3!H:H,MATCH(A575,Sheet3!A:A,0)),"")</f>
        <v/>
      </c>
    </row>
    <row r="576">
      <c r="A576" s="19" t="n">
        <v>1392</v>
      </c>
      <c r="B576" s="20">
        <f>IFERROR(INDEX(Sheet1!I:I,MATCH(A576,Sheet1!A:A,0)),"")</f>
        <v/>
      </c>
      <c r="C576" s="21">
        <f>IFERROR(INDEX(Sheet3!D:D,MATCH(A576,Sheet3!A:A,0)),"")</f>
        <v/>
      </c>
      <c r="D576" s="22">
        <f>IFERROR(INDEX(Sheet3!G:G,MATCH(A576,Sheet3!A:A,0)),"")</f>
        <v/>
      </c>
      <c r="E576" s="23">
        <f>IFERROR(INDEX(Sheet3!H:H,MATCH(A576,Sheet3!A:A,0)),"")</f>
        <v/>
      </c>
    </row>
    <row r="577">
      <c r="A577" s="19" t="n">
        <v>1393</v>
      </c>
      <c r="B577" s="20">
        <f>IFERROR(INDEX(Sheet1!I:I,MATCH(A577,Sheet1!A:A,0)),"")</f>
        <v/>
      </c>
      <c r="C577" s="21">
        <f>IFERROR(INDEX(Sheet3!D:D,MATCH(A577,Sheet3!A:A,0)),"")</f>
        <v/>
      </c>
      <c r="D577" s="22">
        <f>IFERROR(INDEX(Sheet3!G:G,MATCH(A577,Sheet3!A:A,0)),"")</f>
        <v/>
      </c>
      <c r="E577" s="23">
        <f>IFERROR(INDEX(Sheet3!H:H,MATCH(A577,Sheet3!A:A,0)),"")</f>
        <v/>
      </c>
    </row>
    <row r="578">
      <c r="A578" s="19" t="n">
        <v>1394</v>
      </c>
      <c r="B578" s="20">
        <f>IFERROR(INDEX(Sheet1!I:I,MATCH(A578,Sheet1!A:A,0)),"")</f>
        <v/>
      </c>
      <c r="C578" s="21">
        <f>IFERROR(INDEX(Sheet3!D:D,MATCH(A578,Sheet3!A:A,0)),"")</f>
        <v/>
      </c>
      <c r="D578" s="22">
        <f>IFERROR(INDEX(Sheet3!G:G,MATCH(A578,Sheet3!A:A,0)),"")</f>
        <v/>
      </c>
      <c r="E578" s="23">
        <f>IFERROR(INDEX(Sheet3!H:H,MATCH(A578,Sheet3!A:A,0)),"")</f>
        <v/>
      </c>
    </row>
    <row r="579">
      <c r="A579" s="19" t="n">
        <v>1395</v>
      </c>
      <c r="B579" s="20">
        <f>IFERROR(INDEX(Sheet1!I:I,MATCH(A579,Sheet1!A:A,0)),"")</f>
        <v/>
      </c>
      <c r="C579" s="21">
        <f>IFERROR(INDEX(Sheet3!D:D,MATCH(A579,Sheet3!A:A,0)),"")</f>
        <v/>
      </c>
      <c r="D579" s="22">
        <f>IFERROR(INDEX(Sheet3!G:G,MATCH(A579,Sheet3!A:A,0)),"")</f>
        <v/>
      </c>
      <c r="E579" s="23">
        <f>IFERROR(INDEX(Sheet3!H:H,MATCH(A579,Sheet3!A:A,0)),"")</f>
        <v/>
      </c>
    </row>
    <row r="580">
      <c r="A580" s="19" t="n">
        <v>1396</v>
      </c>
      <c r="B580" s="20">
        <f>IFERROR(INDEX(Sheet1!I:I,MATCH(A580,Sheet1!A:A,0)),"")</f>
        <v/>
      </c>
      <c r="C580" s="21">
        <f>IFERROR(INDEX(Sheet3!D:D,MATCH(A580,Sheet3!A:A,0)),"")</f>
        <v/>
      </c>
      <c r="D580" s="22">
        <f>IFERROR(INDEX(Sheet3!G:G,MATCH(A580,Sheet3!A:A,0)),"")</f>
        <v/>
      </c>
      <c r="E580" s="23">
        <f>IFERROR(INDEX(Sheet3!H:H,MATCH(A580,Sheet3!A:A,0)),"")</f>
        <v/>
      </c>
    </row>
    <row r="581">
      <c r="A581" s="19" t="n">
        <v>1399</v>
      </c>
      <c r="B581" s="20">
        <f>IFERROR(INDEX(Sheet1!I:I,MATCH(A581,Sheet1!A:A,0)),"")</f>
        <v/>
      </c>
      <c r="C581" s="21">
        <f>IFERROR(INDEX(Sheet3!D:D,MATCH(A581,Sheet3!A:A,0)),"")</f>
        <v/>
      </c>
      <c r="D581" s="22">
        <f>IFERROR(INDEX(Sheet3!G:G,MATCH(A581,Sheet3!A:A,0)),"")</f>
        <v/>
      </c>
      <c r="E581" s="23">
        <f>IFERROR(INDEX(Sheet3!H:H,MATCH(A581,Sheet3!A:A,0)),"")</f>
        <v/>
      </c>
    </row>
    <row r="582">
      <c r="A582" s="19" t="n">
        <v>1400</v>
      </c>
      <c r="B582" s="20">
        <f>IFERROR(INDEX(Sheet1!I:I,MATCH(A582,Sheet1!A:A,0)),"")</f>
        <v/>
      </c>
      <c r="C582" s="21">
        <f>IFERROR(INDEX(Sheet3!D:D,MATCH(A582,Sheet3!A:A,0)),"")</f>
        <v/>
      </c>
      <c r="D582" s="22">
        <f>IFERROR(INDEX(Sheet3!G:G,MATCH(A582,Sheet3!A:A,0)),"")</f>
        <v/>
      </c>
      <c r="E582" s="23">
        <f>IFERROR(INDEX(Sheet3!H:H,MATCH(A582,Sheet3!A:A,0)),"")</f>
        <v/>
      </c>
    </row>
    <row r="583">
      <c r="A583" s="19" t="n">
        <v>1401</v>
      </c>
      <c r="B583" s="20">
        <f>IFERROR(INDEX(Sheet1!I:I,MATCH(A583,Sheet1!A:A,0)),"")</f>
        <v/>
      </c>
      <c r="C583" s="21">
        <f>IFERROR(INDEX(Sheet3!D:D,MATCH(A583,Sheet3!A:A,0)),"")</f>
        <v/>
      </c>
      <c r="D583" s="22">
        <f>IFERROR(INDEX(Sheet3!G:G,MATCH(A583,Sheet3!A:A,0)),"")</f>
        <v/>
      </c>
      <c r="E583" s="23">
        <f>IFERROR(INDEX(Sheet3!H:H,MATCH(A583,Sheet3!A:A,0)),"")</f>
        <v/>
      </c>
    </row>
    <row r="584">
      <c r="A584" s="19" t="n">
        <v>1403</v>
      </c>
      <c r="B584" s="20">
        <f>IFERROR(INDEX(Sheet1!I:I,MATCH(A584,Sheet1!A:A,0)),"")</f>
        <v/>
      </c>
      <c r="C584" s="21">
        <f>IFERROR(INDEX(Sheet3!D:D,MATCH(A584,Sheet3!A:A,0)),"")</f>
        <v/>
      </c>
      <c r="D584" s="22">
        <f>IFERROR(INDEX(Sheet3!G:G,MATCH(A584,Sheet3!A:A,0)),"")</f>
        <v/>
      </c>
      <c r="E584" s="23">
        <f>IFERROR(INDEX(Sheet3!H:H,MATCH(A584,Sheet3!A:A,0)),"")</f>
        <v/>
      </c>
    </row>
    <row r="585">
      <c r="A585" s="19" t="n">
        <v>1415</v>
      </c>
      <c r="B585" s="20">
        <f>IFERROR(INDEX(Sheet1!I:I,MATCH(A585,Sheet1!A:A,0)),"")</f>
        <v/>
      </c>
      <c r="C585" s="21">
        <f>IFERROR(INDEX(Sheet3!D:D,MATCH(A585,Sheet3!A:A,0)),"")</f>
        <v/>
      </c>
      <c r="D585" s="22">
        <f>IFERROR(INDEX(Sheet3!G:G,MATCH(A585,Sheet3!A:A,0)),"")</f>
        <v/>
      </c>
      <c r="E585" s="23">
        <f>IFERROR(INDEX(Sheet3!H:H,MATCH(A585,Sheet3!A:A,0)),"")</f>
        <v/>
      </c>
    </row>
    <row r="586">
      <c r="A586" s="19" t="n">
        <v>1422</v>
      </c>
      <c r="B586" s="20">
        <f>IFERROR(INDEX(Sheet1!I:I,MATCH(A586,Sheet1!A:A,0)),"")</f>
        <v/>
      </c>
      <c r="C586" s="21">
        <f>IFERROR(INDEX(Sheet3!D:D,MATCH(A586,Sheet3!A:A,0)),"")</f>
        <v/>
      </c>
      <c r="D586" s="22">
        <f>IFERROR(INDEX(Sheet3!G:G,MATCH(A586,Sheet3!A:A,0)),"")</f>
        <v/>
      </c>
      <c r="E586" s="23">
        <f>IFERROR(INDEX(Sheet3!H:H,MATCH(A586,Sheet3!A:A,0)),"")</f>
        <v/>
      </c>
    </row>
    <row r="587">
      <c r="A587" s="19" t="n">
        <v>1424</v>
      </c>
      <c r="B587" s="20">
        <f>IFERROR(INDEX(Sheet1!I:I,MATCH(A587,Sheet1!A:A,0)),"")</f>
        <v/>
      </c>
      <c r="C587" s="21">
        <f>IFERROR(INDEX(Sheet3!D:D,MATCH(A587,Sheet3!A:A,0)),"")</f>
        <v/>
      </c>
      <c r="D587" s="22">
        <f>IFERROR(INDEX(Sheet3!G:G,MATCH(A587,Sheet3!A:A,0)),"")</f>
        <v/>
      </c>
      <c r="E587" s="23">
        <f>IFERROR(INDEX(Sheet3!H:H,MATCH(A587,Sheet3!A:A,0)),"")</f>
        <v/>
      </c>
    </row>
    <row r="588">
      <c r="A588" s="19" t="n">
        <v>1425</v>
      </c>
      <c r="B588" s="20">
        <f>IFERROR(INDEX(Sheet1!I:I,MATCH(A588,Sheet1!A:A,0)),"")</f>
        <v/>
      </c>
      <c r="C588" s="21">
        <f>IFERROR(INDEX(Sheet3!D:D,MATCH(A588,Sheet3!A:A,0)),"")</f>
        <v/>
      </c>
      <c r="D588" s="22">
        <f>IFERROR(INDEX(Sheet3!G:G,MATCH(A588,Sheet3!A:A,0)),"")</f>
        <v/>
      </c>
      <c r="E588" s="23">
        <f>IFERROR(INDEX(Sheet3!H:H,MATCH(A588,Sheet3!A:A,0)),"")</f>
        <v/>
      </c>
    </row>
    <row r="589">
      <c r="A589" s="19" t="n">
        <v>1426</v>
      </c>
      <c r="B589" s="20">
        <f>IFERROR(INDEX(Sheet1!I:I,MATCH(A589,Sheet1!A:A,0)),"")</f>
        <v/>
      </c>
      <c r="C589" s="21">
        <f>IFERROR(INDEX(Sheet3!D:D,MATCH(A589,Sheet3!A:A,0)),"")</f>
        <v/>
      </c>
      <c r="D589" s="22">
        <f>IFERROR(INDEX(Sheet3!G:G,MATCH(A589,Sheet3!A:A,0)),"")</f>
        <v/>
      </c>
      <c r="E589" s="23">
        <f>IFERROR(INDEX(Sheet3!H:H,MATCH(A589,Sheet3!A:A,0)),"")</f>
        <v/>
      </c>
    </row>
    <row r="590">
      <c r="A590" s="19" t="n">
        <v>1427</v>
      </c>
      <c r="B590" s="20">
        <f>IFERROR(INDEX(Sheet1!I:I,MATCH(A590,Sheet1!A:A,0)),"")</f>
        <v/>
      </c>
      <c r="C590" s="21">
        <f>IFERROR(INDEX(Sheet3!D:D,MATCH(A590,Sheet3!A:A,0)),"")</f>
        <v/>
      </c>
      <c r="D590" s="22">
        <f>IFERROR(INDEX(Sheet3!G:G,MATCH(A590,Sheet3!A:A,0)),"")</f>
        <v/>
      </c>
      <c r="E590" s="23">
        <f>IFERROR(INDEX(Sheet3!H:H,MATCH(A590,Sheet3!A:A,0)),"")</f>
        <v/>
      </c>
    </row>
    <row r="591">
      <c r="A591" s="19" t="n">
        <v>1429</v>
      </c>
      <c r="B591" s="20">
        <f>IFERROR(INDEX(Sheet1!I:I,MATCH(A591,Sheet1!A:A,0)),"")</f>
        <v/>
      </c>
      <c r="C591" s="21">
        <f>IFERROR(INDEX(Sheet3!D:D,MATCH(A591,Sheet3!A:A,0)),"")</f>
        <v/>
      </c>
      <c r="D591" s="22">
        <f>IFERROR(INDEX(Sheet3!G:G,MATCH(A591,Sheet3!A:A,0)),"")</f>
        <v/>
      </c>
      <c r="E591" s="23">
        <f>IFERROR(INDEX(Sheet3!H:H,MATCH(A591,Sheet3!A:A,0)),"")</f>
        <v/>
      </c>
    </row>
    <row r="592">
      <c r="A592" s="19" t="n">
        <v>1430</v>
      </c>
      <c r="B592" s="20">
        <f>IFERROR(INDEX(Sheet1!I:I,MATCH(A592,Sheet1!A:A,0)),"")</f>
        <v/>
      </c>
      <c r="C592" s="21">
        <f>IFERROR(INDEX(Sheet3!D:D,MATCH(A592,Sheet3!A:A,0)),"")</f>
        <v/>
      </c>
      <c r="D592" s="22">
        <f>IFERROR(INDEX(Sheet3!G:G,MATCH(A592,Sheet3!A:A,0)),"")</f>
        <v/>
      </c>
      <c r="E592" s="23">
        <f>IFERROR(INDEX(Sheet3!H:H,MATCH(A592,Sheet3!A:A,0)),"")</f>
        <v/>
      </c>
    </row>
    <row r="593">
      <c r="A593" s="19" t="n">
        <v>1431</v>
      </c>
      <c r="B593" s="20">
        <f>IFERROR(INDEX(Sheet1!I:I,MATCH(A593,Sheet1!A:A,0)),"")</f>
        <v/>
      </c>
      <c r="C593" s="21">
        <f>IFERROR(INDEX(Sheet3!D:D,MATCH(A593,Sheet3!A:A,0)),"")</f>
        <v/>
      </c>
      <c r="D593" s="22">
        <f>IFERROR(INDEX(Sheet3!G:G,MATCH(A593,Sheet3!A:A,0)),"")</f>
        <v/>
      </c>
      <c r="E593" s="23">
        <f>IFERROR(INDEX(Sheet3!H:H,MATCH(A593,Sheet3!A:A,0)),"")</f>
        <v/>
      </c>
    </row>
    <row r="594">
      <c r="A594" s="19" t="n">
        <v>1433</v>
      </c>
      <c r="B594" s="20">
        <f>IFERROR(INDEX(Sheet1!I:I,MATCH(A594,Sheet1!A:A,0)),"")</f>
        <v/>
      </c>
      <c r="C594" s="21">
        <f>IFERROR(INDEX(Sheet3!D:D,MATCH(A594,Sheet3!A:A,0)),"")</f>
        <v/>
      </c>
      <c r="D594" s="22">
        <f>IFERROR(INDEX(Sheet3!G:G,MATCH(A594,Sheet3!A:A,0)),"")</f>
        <v/>
      </c>
      <c r="E594" s="23">
        <f>IFERROR(INDEX(Sheet3!H:H,MATCH(A594,Sheet3!A:A,0)),"")</f>
        <v/>
      </c>
    </row>
    <row r="595">
      <c r="A595" s="19" t="n">
        <v>1434</v>
      </c>
      <c r="B595" s="20">
        <f>IFERROR(INDEX(Sheet1!I:I,MATCH(A595,Sheet1!A:A,0)),"")</f>
        <v/>
      </c>
      <c r="C595" s="21">
        <f>IFERROR(INDEX(Sheet3!D:D,MATCH(A595,Sheet3!A:A,0)),"")</f>
        <v/>
      </c>
      <c r="D595" s="22">
        <f>IFERROR(INDEX(Sheet3!G:G,MATCH(A595,Sheet3!A:A,0)),"")</f>
        <v/>
      </c>
      <c r="E595" s="23">
        <f>IFERROR(INDEX(Sheet3!H:H,MATCH(A595,Sheet3!A:A,0)),"")</f>
        <v/>
      </c>
    </row>
    <row r="596">
      <c r="A596" s="19" t="n">
        <v>1435</v>
      </c>
      <c r="B596" s="20">
        <f>IFERROR(INDEX(Sheet1!I:I,MATCH(A596,Sheet1!A:A,0)),"")</f>
        <v/>
      </c>
      <c r="C596" s="21">
        <f>IFERROR(INDEX(Sheet3!D:D,MATCH(A596,Sheet3!A:A,0)),"")</f>
        <v/>
      </c>
      <c r="D596" s="22">
        <f>IFERROR(INDEX(Sheet3!G:G,MATCH(A596,Sheet3!A:A,0)),"")</f>
        <v/>
      </c>
      <c r="E596" s="23">
        <f>IFERROR(INDEX(Sheet3!H:H,MATCH(A596,Sheet3!A:A,0)),"")</f>
        <v/>
      </c>
    </row>
    <row r="597">
      <c r="A597" s="19" t="n">
        <v>1436</v>
      </c>
      <c r="B597" s="20">
        <f>IFERROR(INDEX(Sheet1!I:I,MATCH(A597,Sheet1!A:A,0)),"")</f>
        <v/>
      </c>
      <c r="C597" s="21">
        <f>IFERROR(INDEX(Sheet3!D:D,MATCH(A597,Sheet3!A:A,0)),"")</f>
        <v/>
      </c>
      <c r="D597" s="22">
        <f>IFERROR(INDEX(Sheet3!G:G,MATCH(A597,Sheet3!A:A,0)),"")</f>
        <v/>
      </c>
      <c r="E597" s="23">
        <f>IFERROR(INDEX(Sheet3!H:H,MATCH(A597,Sheet3!A:A,0)),"")</f>
        <v/>
      </c>
    </row>
    <row r="598">
      <c r="A598" s="19" t="n">
        <v>1439</v>
      </c>
      <c r="B598" s="20">
        <f>IFERROR(INDEX(Sheet1!I:I,MATCH(A598,Sheet1!A:A,0)),"")</f>
        <v/>
      </c>
      <c r="C598" s="21">
        <f>IFERROR(INDEX(Sheet3!D:D,MATCH(A598,Sheet3!A:A,0)),"")</f>
        <v/>
      </c>
      <c r="D598" s="22">
        <f>IFERROR(INDEX(Sheet3!G:G,MATCH(A598,Sheet3!A:A,0)),"")</f>
        <v/>
      </c>
      <c r="E598" s="23">
        <f>IFERROR(INDEX(Sheet3!H:H,MATCH(A598,Sheet3!A:A,0)),"")</f>
        <v/>
      </c>
    </row>
    <row r="599">
      <c r="A599" s="19" t="n">
        <v>1442</v>
      </c>
      <c r="B599" s="20">
        <f>IFERROR(INDEX(Sheet1!I:I,MATCH(A599,Sheet1!A:A,0)),"")</f>
        <v/>
      </c>
      <c r="C599" s="21">
        <f>IFERROR(INDEX(Sheet3!D:D,MATCH(A599,Sheet3!A:A,0)),"")</f>
        <v/>
      </c>
      <c r="D599" s="22">
        <f>IFERROR(INDEX(Sheet3!G:G,MATCH(A599,Sheet3!A:A,0)),"")</f>
        <v/>
      </c>
      <c r="E599" s="23">
        <f>IFERROR(INDEX(Sheet3!H:H,MATCH(A599,Sheet3!A:A,0)),"")</f>
        <v/>
      </c>
    </row>
    <row r="600">
      <c r="A600" s="19" t="n">
        <v>1443</v>
      </c>
      <c r="B600" s="20">
        <f>IFERROR(INDEX(Sheet1!I:I,MATCH(A600,Sheet1!A:A,0)),"")</f>
        <v/>
      </c>
      <c r="C600" s="21">
        <f>IFERROR(INDEX(Sheet3!D:D,MATCH(A600,Sheet3!A:A,0)),"")</f>
        <v/>
      </c>
      <c r="D600" s="22">
        <f>IFERROR(INDEX(Sheet3!G:G,MATCH(A600,Sheet3!A:A,0)),"")</f>
        <v/>
      </c>
      <c r="E600" s="23">
        <f>IFERROR(INDEX(Sheet3!H:H,MATCH(A600,Sheet3!A:A,0)),"")</f>
        <v/>
      </c>
    </row>
    <row r="601">
      <c r="A601" s="19" t="n">
        <v>1445</v>
      </c>
      <c r="B601" s="20">
        <f>IFERROR(INDEX(Sheet1!I:I,MATCH(A601,Sheet1!A:A,0)),"")</f>
        <v/>
      </c>
      <c r="C601" s="21">
        <f>IFERROR(INDEX(Sheet3!D:D,MATCH(A601,Sheet3!A:A,0)),"")</f>
        <v/>
      </c>
      <c r="D601" s="22">
        <f>IFERROR(INDEX(Sheet3!G:G,MATCH(A601,Sheet3!A:A,0)),"")</f>
        <v/>
      </c>
      <c r="E601" s="23">
        <f>IFERROR(INDEX(Sheet3!H:H,MATCH(A601,Sheet3!A:A,0)),"")</f>
        <v/>
      </c>
    </row>
    <row r="602">
      <c r="A602" s="19" t="n">
        <v>1446</v>
      </c>
      <c r="B602" s="20">
        <f>IFERROR(INDEX(Sheet1!I:I,MATCH(A602,Sheet1!A:A,0)),"")</f>
        <v/>
      </c>
      <c r="C602" s="21">
        <f>IFERROR(INDEX(Sheet3!D:D,MATCH(A602,Sheet3!A:A,0)),"")</f>
        <v/>
      </c>
      <c r="D602" s="22">
        <f>IFERROR(INDEX(Sheet3!G:G,MATCH(A602,Sheet3!A:A,0)),"")</f>
        <v/>
      </c>
      <c r="E602" s="23">
        <f>IFERROR(INDEX(Sheet3!H:H,MATCH(A602,Sheet3!A:A,0)),"")</f>
        <v/>
      </c>
    </row>
    <row r="603">
      <c r="A603" s="19" t="n">
        <v>1451</v>
      </c>
      <c r="B603" s="20">
        <f>IFERROR(INDEX(Sheet1!I:I,MATCH(A603,Sheet1!A:A,0)),"")</f>
        <v/>
      </c>
      <c r="C603" s="21">
        <f>IFERROR(INDEX(Sheet3!D:D,MATCH(A603,Sheet3!A:A,0)),"")</f>
        <v/>
      </c>
      <c r="D603" s="22">
        <f>IFERROR(INDEX(Sheet3!G:G,MATCH(A603,Sheet3!A:A,0)),"")</f>
        <v/>
      </c>
      <c r="E603" s="23">
        <f>IFERROR(INDEX(Sheet3!H:H,MATCH(A603,Sheet3!A:A,0)),"")</f>
        <v/>
      </c>
    </row>
    <row r="604">
      <c r="A604" s="19" t="n">
        <v>1452</v>
      </c>
      <c r="B604" s="20">
        <f>IFERROR(INDEX(Sheet1!I:I,MATCH(A604,Sheet1!A:A,0)),"")</f>
        <v/>
      </c>
      <c r="C604" s="21">
        <f>IFERROR(INDEX(Sheet3!D:D,MATCH(A604,Sheet3!A:A,0)),"")</f>
        <v/>
      </c>
      <c r="D604" s="22">
        <f>IFERROR(INDEX(Sheet3!G:G,MATCH(A604,Sheet3!A:A,0)),"")</f>
        <v/>
      </c>
      <c r="E604" s="23">
        <f>IFERROR(INDEX(Sheet3!H:H,MATCH(A604,Sheet3!A:A,0)),"")</f>
        <v/>
      </c>
    </row>
    <row r="605">
      <c r="A605" s="19" t="n">
        <v>1453</v>
      </c>
      <c r="B605" s="20">
        <f>IFERROR(INDEX(Sheet1!I:I,MATCH(A605,Sheet1!A:A,0)),"")</f>
        <v/>
      </c>
      <c r="C605" s="21">
        <f>IFERROR(INDEX(Sheet3!D:D,MATCH(A605,Sheet3!A:A,0)),"")</f>
        <v/>
      </c>
      <c r="D605" s="22">
        <f>IFERROR(INDEX(Sheet3!G:G,MATCH(A605,Sheet3!A:A,0)),"")</f>
        <v/>
      </c>
      <c r="E605" s="23">
        <f>IFERROR(INDEX(Sheet3!H:H,MATCH(A605,Sheet3!A:A,0)),"")</f>
        <v/>
      </c>
    </row>
    <row r="606">
      <c r="A606" s="19" t="n">
        <v>1455</v>
      </c>
      <c r="B606" s="20">
        <f>IFERROR(INDEX(Sheet1!I:I,MATCH(A606,Sheet1!A:A,0)),"")</f>
        <v/>
      </c>
      <c r="C606" s="21">
        <f>IFERROR(INDEX(Sheet3!D:D,MATCH(A606,Sheet3!A:A,0)),"")</f>
        <v/>
      </c>
      <c r="D606" s="22">
        <f>IFERROR(INDEX(Sheet3!G:G,MATCH(A606,Sheet3!A:A,0)),"")</f>
        <v/>
      </c>
      <c r="E606" s="23">
        <f>IFERROR(INDEX(Sheet3!H:H,MATCH(A606,Sheet3!A:A,0)),"")</f>
        <v/>
      </c>
    </row>
    <row r="607">
      <c r="A607" s="19" t="n">
        <v>1458</v>
      </c>
      <c r="B607" s="20">
        <f>IFERROR(INDEX(Sheet1!I:I,MATCH(A607,Sheet1!A:A,0)),"")</f>
        <v/>
      </c>
      <c r="C607" s="21">
        <f>IFERROR(INDEX(Sheet3!D:D,MATCH(A607,Sheet3!A:A,0)),"")</f>
        <v/>
      </c>
      <c r="D607" s="22">
        <f>IFERROR(INDEX(Sheet3!G:G,MATCH(A607,Sheet3!A:A,0)),"")</f>
        <v/>
      </c>
      <c r="E607" s="23">
        <f>IFERROR(INDEX(Sheet3!H:H,MATCH(A607,Sheet3!A:A,0)),"")</f>
        <v/>
      </c>
    </row>
    <row r="608">
      <c r="A608" s="19" t="n">
        <v>1459</v>
      </c>
      <c r="B608" s="20">
        <f>IFERROR(INDEX(Sheet1!I:I,MATCH(A608,Sheet1!A:A,0)),"")</f>
        <v/>
      </c>
      <c r="C608" s="21">
        <f>IFERROR(INDEX(Sheet3!D:D,MATCH(A608,Sheet3!A:A,0)),"")</f>
        <v/>
      </c>
      <c r="D608" s="22">
        <f>IFERROR(INDEX(Sheet3!G:G,MATCH(A608,Sheet3!A:A,0)),"")</f>
        <v/>
      </c>
      <c r="E608" s="23">
        <f>IFERROR(INDEX(Sheet3!H:H,MATCH(A608,Sheet3!A:A,0)),"")</f>
        <v/>
      </c>
    </row>
    <row r="609">
      <c r="A609" s="19" t="n">
        <v>1464</v>
      </c>
      <c r="B609" s="20">
        <f>IFERROR(INDEX(Sheet1!I:I,MATCH(A609,Sheet1!A:A,0)),"")</f>
        <v/>
      </c>
      <c r="C609" s="21">
        <f>IFERROR(INDEX(Sheet3!D:D,MATCH(A609,Sheet3!A:A,0)),"")</f>
        <v/>
      </c>
      <c r="D609" s="22">
        <f>IFERROR(INDEX(Sheet3!G:G,MATCH(A609,Sheet3!A:A,0)),"")</f>
        <v/>
      </c>
      <c r="E609" s="23">
        <f>IFERROR(INDEX(Sheet3!H:H,MATCH(A609,Sheet3!A:A,0)),"")</f>
        <v/>
      </c>
    </row>
    <row r="610">
      <c r="A610" s="19" t="n">
        <v>1465</v>
      </c>
      <c r="B610" s="20">
        <f>IFERROR(INDEX(Sheet1!I:I,MATCH(A610,Sheet1!A:A,0)),"")</f>
        <v/>
      </c>
      <c r="C610" s="21">
        <f>IFERROR(INDEX(Sheet3!D:D,MATCH(A610,Sheet3!A:A,0)),"")</f>
        <v/>
      </c>
      <c r="D610" s="22">
        <f>IFERROR(INDEX(Sheet3!G:G,MATCH(A610,Sheet3!A:A,0)),"")</f>
        <v/>
      </c>
      <c r="E610" s="23">
        <f>IFERROR(INDEX(Sheet3!H:H,MATCH(A610,Sheet3!A:A,0)),"")</f>
        <v/>
      </c>
    </row>
    <row r="611">
      <c r="A611" s="19" t="n">
        <v>1473</v>
      </c>
      <c r="B611" s="20">
        <f>IFERROR(INDEX(Sheet1!I:I,MATCH(A611,Sheet1!A:A,0)),"")</f>
        <v/>
      </c>
      <c r="C611" s="21">
        <f>IFERROR(INDEX(Sheet3!D:D,MATCH(A611,Sheet3!A:A,0)),"")</f>
        <v/>
      </c>
      <c r="D611" s="22">
        <f>IFERROR(INDEX(Sheet3!G:G,MATCH(A611,Sheet3!A:A,0)),"")</f>
        <v/>
      </c>
      <c r="E611" s="23">
        <f>IFERROR(INDEX(Sheet3!H:H,MATCH(A611,Sheet3!A:A,0)),"")</f>
        <v/>
      </c>
    </row>
    <row r="612">
      <c r="A612" s="19" t="n">
        <v>1477</v>
      </c>
      <c r="B612" s="20">
        <f>IFERROR(INDEX(Sheet1!I:I,MATCH(A612,Sheet1!A:A,0)),"")</f>
        <v/>
      </c>
      <c r="C612" s="21">
        <f>IFERROR(INDEX(Sheet3!D:D,MATCH(A612,Sheet3!A:A,0)),"")</f>
        <v/>
      </c>
      <c r="D612" s="22">
        <f>IFERROR(INDEX(Sheet3!G:G,MATCH(A612,Sheet3!A:A,0)),"")</f>
        <v/>
      </c>
      <c r="E612" s="23">
        <f>IFERROR(INDEX(Sheet3!H:H,MATCH(A612,Sheet3!A:A,0)),"")</f>
        <v/>
      </c>
    </row>
    <row r="613">
      <c r="A613" s="19" t="n">
        <v>1485</v>
      </c>
      <c r="B613" s="20">
        <f>IFERROR(INDEX(Sheet1!I:I,MATCH(A613,Sheet1!A:A,0)),"")</f>
        <v/>
      </c>
      <c r="C613" s="21">
        <f>IFERROR(INDEX(Sheet3!D:D,MATCH(A613,Sheet3!A:A,0)),"")</f>
        <v/>
      </c>
      <c r="D613" s="22">
        <f>IFERROR(INDEX(Sheet3!G:G,MATCH(A613,Sheet3!A:A,0)),"")</f>
        <v/>
      </c>
      <c r="E613" s="23">
        <f>IFERROR(INDEX(Sheet3!H:H,MATCH(A613,Sheet3!A:A,0)),"")</f>
        <v/>
      </c>
    </row>
    <row r="614">
      <c r="A614" s="19" t="n">
        <v>1486</v>
      </c>
      <c r="B614" s="20">
        <f>IFERROR(INDEX(Sheet1!I:I,MATCH(A614,Sheet1!A:A,0)),"")</f>
        <v/>
      </c>
      <c r="C614" s="21">
        <f>IFERROR(INDEX(Sheet3!D:D,MATCH(A614,Sheet3!A:A,0)),"")</f>
        <v/>
      </c>
      <c r="D614" s="22">
        <f>IFERROR(INDEX(Sheet3!G:G,MATCH(A614,Sheet3!A:A,0)),"")</f>
        <v/>
      </c>
      <c r="E614" s="23">
        <f>IFERROR(INDEX(Sheet3!H:H,MATCH(A614,Sheet3!A:A,0)),"")</f>
        <v/>
      </c>
    </row>
    <row r="615">
      <c r="A615" s="19" t="n">
        <v>1487</v>
      </c>
      <c r="B615" s="20">
        <f>IFERROR(INDEX(Sheet1!I:I,MATCH(A615,Sheet1!A:A,0)),"")</f>
        <v/>
      </c>
      <c r="C615" s="21">
        <f>IFERROR(INDEX(Sheet3!D:D,MATCH(A615,Sheet3!A:A,0)),"")</f>
        <v/>
      </c>
      <c r="D615" s="22">
        <f>IFERROR(INDEX(Sheet3!G:G,MATCH(A615,Sheet3!A:A,0)),"")</f>
        <v/>
      </c>
      <c r="E615" s="23">
        <f>IFERROR(INDEX(Sheet3!H:H,MATCH(A615,Sheet3!A:A,0)),"")</f>
        <v/>
      </c>
    </row>
    <row r="616">
      <c r="A616" s="19" t="n">
        <v>1488</v>
      </c>
      <c r="B616" s="20">
        <f>IFERROR(INDEX(Sheet1!I:I,MATCH(A616,Sheet1!A:A,0)),"")</f>
        <v/>
      </c>
      <c r="C616" s="21">
        <f>IFERROR(INDEX(Sheet3!D:D,MATCH(A616,Sheet3!A:A,0)),"")</f>
        <v/>
      </c>
      <c r="D616" s="22">
        <f>IFERROR(INDEX(Sheet3!G:G,MATCH(A616,Sheet3!A:A,0)),"")</f>
        <v/>
      </c>
      <c r="E616" s="23">
        <f>IFERROR(INDEX(Sheet3!H:H,MATCH(A616,Sheet3!A:A,0)),"")</f>
        <v/>
      </c>
    </row>
    <row r="617">
      <c r="A617" s="19" t="n">
        <v>1489</v>
      </c>
      <c r="B617" s="20">
        <f>IFERROR(INDEX(Sheet1!I:I,MATCH(A617,Sheet1!A:A,0)),"")</f>
        <v/>
      </c>
      <c r="C617" s="21">
        <f>IFERROR(INDEX(Sheet3!D:D,MATCH(A617,Sheet3!A:A,0)),"")</f>
        <v/>
      </c>
      <c r="D617" s="22">
        <f>IFERROR(INDEX(Sheet3!G:G,MATCH(A617,Sheet3!A:A,0)),"")</f>
        <v/>
      </c>
      <c r="E617" s="23">
        <f>IFERROR(INDEX(Sheet3!H:H,MATCH(A617,Sheet3!A:A,0)),"")</f>
        <v/>
      </c>
    </row>
    <row r="618">
      <c r="A618" s="19" t="n">
        <v>1492</v>
      </c>
      <c r="B618" s="20">
        <f>IFERROR(INDEX(Sheet1!I:I,MATCH(A618,Sheet1!A:A,0)),"")</f>
        <v/>
      </c>
      <c r="C618" s="21">
        <f>IFERROR(INDEX(Sheet3!D:D,MATCH(A618,Sheet3!A:A,0)),"")</f>
        <v/>
      </c>
      <c r="D618" s="22">
        <f>IFERROR(INDEX(Sheet3!G:G,MATCH(A618,Sheet3!A:A,0)),"")</f>
        <v/>
      </c>
      <c r="E618" s="23">
        <f>IFERROR(INDEX(Sheet3!H:H,MATCH(A618,Sheet3!A:A,0)),"")</f>
        <v/>
      </c>
    </row>
    <row r="619">
      <c r="A619" s="19" t="n">
        <v>1493</v>
      </c>
      <c r="B619" s="20">
        <f>IFERROR(INDEX(Sheet1!I:I,MATCH(A619,Sheet1!A:A,0)),"")</f>
        <v/>
      </c>
      <c r="C619" s="21">
        <f>IFERROR(INDEX(Sheet3!D:D,MATCH(A619,Sheet3!A:A,0)),"")</f>
        <v/>
      </c>
      <c r="D619" s="22">
        <f>IFERROR(INDEX(Sheet3!G:G,MATCH(A619,Sheet3!A:A,0)),"")</f>
        <v/>
      </c>
      <c r="E619" s="23">
        <f>IFERROR(INDEX(Sheet3!H:H,MATCH(A619,Sheet3!A:A,0)),"")</f>
        <v/>
      </c>
    </row>
    <row r="620">
      <c r="A620" s="19" t="n">
        <v>1498</v>
      </c>
      <c r="B620" s="20">
        <f>IFERROR(INDEX(Sheet1!I:I,MATCH(A620,Sheet1!A:A,0)),"")</f>
        <v/>
      </c>
      <c r="C620" s="21">
        <f>IFERROR(INDEX(Sheet3!D:D,MATCH(A620,Sheet3!A:A,0)),"")</f>
        <v/>
      </c>
      <c r="D620" s="22">
        <f>IFERROR(INDEX(Sheet3!G:G,MATCH(A620,Sheet3!A:A,0)),"")</f>
        <v/>
      </c>
      <c r="E620" s="23">
        <f>IFERROR(INDEX(Sheet3!H:H,MATCH(A620,Sheet3!A:A,0)),"")</f>
        <v/>
      </c>
    </row>
    <row r="621">
      <c r="A621" s="19" t="n">
        <v>1499</v>
      </c>
      <c r="B621" s="20">
        <f>IFERROR(INDEX(Sheet1!I:I,MATCH(A621,Sheet1!A:A,0)),"")</f>
        <v/>
      </c>
      <c r="C621" s="21">
        <f>IFERROR(INDEX(Sheet3!D:D,MATCH(A621,Sheet3!A:A,0)),"")</f>
        <v/>
      </c>
      <c r="D621" s="22">
        <f>IFERROR(INDEX(Sheet3!G:G,MATCH(A621,Sheet3!A:A,0)),"")</f>
        <v/>
      </c>
      <c r="E621" s="23">
        <f>IFERROR(INDEX(Sheet3!H:H,MATCH(A621,Sheet3!A:A,0)),"")</f>
        <v/>
      </c>
    </row>
    <row r="622">
      <c r="A622" s="19" t="n">
        <v>1500</v>
      </c>
      <c r="B622" s="20">
        <f>IFERROR(INDEX(Sheet1!I:I,MATCH(A622,Sheet1!A:A,0)),"")</f>
        <v/>
      </c>
      <c r="C622" s="21">
        <f>IFERROR(INDEX(Sheet3!D:D,MATCH(A622,Sheet3!A:A,0)),"")</f>
        <v/>
      </c>
      <c r="D622" s="22">
        <f>IFERROR(INDEX(Sheet3!G:G,MATCH(A622,Sheet3!A:A,0)),"")</f>
        <v/>
      </c>
      <c r="E622" s="23">
        <f>IFERROR(INDEX(Sheet3!H:H,MATCH(A622,Sheet3!A:A,0)),"")</f>
        <v/>
      </c>
    </row>
    <row r="623">
      <c r="A623" s="19" t="n">
        <v>1503</v>
      </c>
      <c r="B623" s="20">
        <f>IFERROR(INDEX(Sheet1!I:I,MATCH(A623,Sheet1!A:A,0)),"")</f>
        <v/>
      </c>
      <c r="C623" s="21">
        <f>IFERROR(INDEX(Sheet3!D:D,MATCH(A623,Sheet3!A:A,0)),"")</f>
        <v/>
      </c>
      <c r="D623" s="22">
        <f>IFERROR(INDEX(Sheet3!G:G,MATCH(A623,Sheet3!A:A,0)),"")</f>
        <v/>
      </c>
      <c r="E623" s="23">
        <f>IFERROR(INDEX(Sheet3!H:H,MATCH(A623,Sheet3!A:A,0)),"")</f>
        <v/>
      </c>
    </row>
    <row r="624">
      <c r="A624" s="19" t="n">
        <v>1504</v>
      </c>
      <c r="B624" s="20">
        <f>IFERROR(INDEX(Sheet1!I:I,MATCH(A624,Sheet1!A:A,0)),"")</f>
        <v/>
      </c>
      <c r="C624" s="21">
        <f>IFERROR(INDEX(Sheet3!D:D,MATCH(A624,Sheet3!A:A,0)),"")</f>
        <v/>
      </c>
      <c r="D624" s="22">
        <f>IFERROR(INDEX(Sheet3!G:G,MATCH(A624,Sheet3!A:A,0)),"")</f>
        <v/>
      </c>
      <c r="E624" s="23">
        <f>IFERROR(INDEX(Sheet3!H:H,MATCH(A624,Sheet3!A:A,0)),"")</f>
        <v/>
      </c>
    </row>
    <row r="625">
      <c r="A625" s="19" t="n">
        <v>1505</v>
      </c>
      <c r="B625" s="20">
        <f>IFERROR(INDEX(Sheet1!I:I,MATCH(A625,Sheet1!A:A,0)),"")</f>
        <v/>
      </c>
      <c r="C625" s="21">
        <f>IFERROR(INDEX(Sheet3!D:D,MATCH(A625,Sheet3!A:A,0)),"")</f>
        <v/>
      </c>
      <c r="D625" s="22">
        <f>IFERROR(INDEX(Sheet3!G:G,MATCH(A625,Sheet3!A:A,0)),"")</f>
        <v/>
      </c>
      <c r="E625" s="23">
        <f>IFERROR(INDEX(Sheet3!H:H,MATCH(A625,Sheet3!A:A,0)),"")</f>
        <v/>
      </c>
    </row>
    <row r="626">
      <c r="A626" s="19" t="n">
        <v>1508</v>
      </c>
      <c r="B626" s="20">
        <f>IFERROR(INDEX(Sheet1!I:I,MATCH(A626,Sheet1!A:A,0)),"")</f>
        <v/>
      </c>
      <c r="C626" s="21">
        <f>IFERROR(INDEX(Sheet3!D:D,MATCH(A626,Sheet3!A:A,0)),"")</f>
        <v/>
      </c>
      <c r="D626" s="22">
        <f>IFERROR(INDEX(Sheet3!G:G,MATCH(A626,Sheet3!A:A,0)),"")</f>
        <v/>
      </c>
      <c r="E626" s="23">
        <f>IFERROR(INDEX(Sheet3!H:H,MATCH(A626,Sheet3!A:A,0)),"")</f>
        <v/>
      </c>
    </row>
    <row r="627">
      <c r="A627" s="19" t="n">
        <v>1509</v>
      </c>
      <c r="B627" s="20">
        <f>IFERROR(INDEX(Sheet1!I:I,MATCH(A627,Sheet1!A:A,0)),"")</f>
        <v/>
      </c>
      <c r="C627" s="21">
        <f>IFERROR(INDEX(Sheet3!D:D,MATCH(A627,Sheet3!A:A,0)),"")</f>
        <v/>
      </c>
      <c r="D627" s="22">
        <f>IFERROR(INDEX(Sheet3!G:G,MATCH(A627,Sheet3!A:A,0)),"")</f>
        <v/>
      </c>
      <c r="E627" s="23">
        <f>IFERROR(INDEX(Sheet3!H:H,MATCH(A627,Sheet3!A:A,0)),"")</f>
        <v/>
      </c>
    </row>
    <row r="628">
      <c r="A628" s="19" t="n">
        <v>1510</v>
      </c>
      <c r="B628" s="20">
        <f>IFERROR(INDEX(Sheet1!I:I,MATCH(A628,Sheet1!A:A,0)),"")</f>
        <v/>
      </c>
      <c r="C628" s="21">
        <f>IFERROR(INDEX(Sheet3!D:D,MATCH(A628,Sheet3!A:A,0)),"")</f>
        <v/>
      </c>
      <c r="D628" s="22">
        <f>IFERROR(INDEX(Sheet3!G:G,MATCH(A628,Sheet3!A:A,0)),"")</f>
        <v/>
      </c>
      <c r="E628" s="23">
        <f>IFERROR(INDEX(Sheet3!H:H,MATCH(A628,Sheet3!A:A,0)),"")</f>
        <v/>
      </c>
    </row>
    <row r="629">
      <c r="A629" s="19" t="n">
        <v>1511</v>
      </c>
      <c r="B629" s="20">
        <f>IFERROR(INDEX(Sheet1!I:I,MATCH(A629,Sheet1!A:A,0)),"")</f>
        <v/>
      </c>
      <c r="C629" s="21">
        <f>IFERROR(INDEX(Sheet3!D:D,MATCH(A629,Sheet3!A:A,0)),"")</f>
        <v/>
      </c>
      <c r="D629" s="22">
        <f>IFERROR(INDEX(Sheet3!G:G,MATCH(A629,Sheet3!A:A,0)),"")</f>
        <v/>
      </c>
      <c r="E629" s="23">
        <f>IFERROR(INDEX(Sheet3!H:H,MATCH(A629,Sheet3!A:A,0)),"")</f>
        <v/>
      </c>
    </row>
    <row r="630">
      <c r="A630" s="19" t="n">
        <v>1512</v>
      </c>
      <c r="B630" s="20">
        <f>IFERROR(INDEX(Sheet1!I:I,MATCH(A630,Sheet1!A:A,0)),"")</f>
        <v/>
      </c>
      <c r="C630" s="21">
        <f>IFERROR(INDEX(Sheet3!D:D,MATCH(A630,Sheet3!A:A,0)),"")</f>
        <v/>
      </c>
      <c r="D630" s="22">
        <f>IFERROR(INDEX(Sheet3!G:G,MATCH(A630,Sheet3!A:A,0)),"")</f>
        <v/>
      </c>
      <c r="E630" s="23">
        <f>IFERROR(INDEX(Sheet3!H:H,MATCH(A630,Sheet3!A:A,0)),"")</f>
        <v/>
      </c>
    </row>
    <row r="631">
      <c r="A631" s="19" t="n">
        <v>1513</v>
      </c>
      <c r="B631" s="20">
        <f>IFERROR(INDEX(Sheet1!I:I,MATCH(A631,Sheet1!A:A,0)),"")</f>
        <v/>
      </c>
      <c r="C631" s="21">
        <f>IFERROR(INDEX(Sheet3!D:D,MATCH(A631,Sheet3!A:A,0)),"")</f>
        <v/>
      </c>
      <c r="D631" s="22">
        <f>IFERROR(INDEX(Sheet3!G:G,MATCH(A631,Sheet3!A:A,0)),"")</f>
        <v/>
      </c>
      <c r="E631" s="23">
        <f>IFERROR(INDEX(Sheet3!H:H,MATCH(A631,Sheet3!A:A,0)),"")</f>
        <v/>
      </c>
    </row>
    <row r="632">
      <c r="A632" s="19" t="n">
        <v>1514</v>
      </c>
      <c r="B632" s="20">
        <f>IFERROR(INDEX(Sheet1!I:I,MATCH(A632,Sheet1!A:A,0)),"")</f>
        <v/>
      </c>
      <c r="C632" s="21">
        <f>IFERROR(INDEX(Sheet3!D:D,MATCH(A632,Sheet3!A:A,0)),"")</f>
        <v/>
      </c>
      <c r="D632" s="22">
        <f>IFERROR(INDEX(Sheet3!G:G,MATCH(A632,Sheet3!A:A,0)),"")</f>
        <v/>
      </c>
      <c r="E632" s="23">
        <f>IFERROR(INDEX(Sheet3!H:H,MATCH(A632,Sheet3!A:A,0)),"")</f>
        <v/>
      </c>
    </row>
    <row r="633">
      <c r="A633" s="19" t="n">
        <v>1515</v>
      </c>
      <c r="B633" s="20">
        <f>IFERROR(INDEX(Sheet1!I:I,MATCH(A633,Sheet1!A:A,0)),"")</f>
        <v/>
      </c>
      <c r="C633" s="21">
        <f>IFERROR(INDEX(Sheet3!D:D,MATCH(A633,Sheet3!A:A,0)),"")</f>
        <v/>
      </c>
      <c r="D633" s="22">
        <f>IFERROR(INDEX(Sheet3!G:G,MATCH(A633,Sheet3!A:A,0)),"")</f>
        <v/>
      </c>
      <c r="E633" s="23">
        <f>IFERROR(INDEX(Sheet3!H:H,MATCH(A633,Sheet3!A:A,0)),"")</f>
        <v/>
      </c>
    </row>
    <row r="634">
      <c r="A634" s="19" t="n">
        <v>1516</v>
      </c>
      <c r="B634" s="20">
        <f>IFERROR(INDEX(Sheet1!I:I,MATCH(A634,Sheet1!A:A,0)),"")</f>
        <v/>
      </c>
      <c r="C634" s="21">
        <f>IFERROR(INDEX(Sheet3!D:D,MATCH(A634,Sheet3!A:A,0)),"")</f>
        <v/>
      </c>
      <c r="D634" s="22">
        <f>IFERROR(INDEX(Sheet3!G:G,MATCH(A634,Sheet3!A:A,0)),"")</f>
        <v/>
      </c>
      <c r="E634" s="23">
        <f>IFERROR(INDEX(Sheet3!H:H,MATCH(A634,Sheet3!A:A,0)),"")</f>
        <v/>
      </c>
    </row>
    <row r="635">
      <c r="A635" s="19" t="n">
        <v>1523</v>
      </c>
      <c r="B635" s="20">
        <f>IFERROR(INDEX(Sheet1!I:I,MATCH(A635,Sheet1!A:A,0)),"")</f>
        <v/>
      </c>
      <c r="C635" s="21">
        <f>IFERROR(INDEX(Sheet3!D:D,MATCH(A635,Sheet3!A:A,0)),"")</f>
        <v/>
      </c>
      <c r="D635" s="22">
        <f>IFERROR(INDEX(Sheet3!G:G,MATCH(A635,Sheet3!A:A,0)),"")</f>
        <v/>
      </c>
      <c r="E635" s="23">
        <f>IFERROR(INDEX(Sheet3!H:H,MATCH(A635,Sheet3!A:A,0)),"")</f>
        <v/>
      </c>
    </row>
    <row r="636">
      <c r="A636" s="19" t="n">
        <v>1528</v>
      </c>
      <c r="B636" s="20">
        <f>IFERROR(INDEX(Sheet1!I:I,MATCH(A636,Sheet1!A:A,0)),"")</f>
        <v/>
      </c>
      <c r="C636" s="21">
        <f>IFERROR(INDEX(Sheet3!D:D,MATCH(A636,Sheet3!A:A,0)),"")</f>
        <v/>
      </c>
      <c r="D636" s="22">
        <f>IFERROR(INDEX(Sheet3!G:G,MATCH(A636,Sheet3!A:A,0)),"")</f>
        <v/>
      </c>
      <c r="E636" s="23">
        <f>IFERROR(INDEX(Sheet3!H:H,MATCH(A636,Sheet3!A:A,0)),"")</f>
        <v/>
      </c>
    </row>
    <row r="637">
      <c r="A637" s="19" t="n">
        <v>1529</v>
      </c>
      <c r="B637" s="20">
        <f>IFERROR(INDEX(Sheet1!I:I,MATCH(A637,Sheet1!A:A,0)),"")</f>
        <v/>
      </c>
      <c r="C637" s="21">
        <f>IFERROR(INDEX(Sheet3!D:D,MATCH(A637,Sheet3!A:A,0)),"")</f>
        <v/>
      </c>
      <c r="D637" s="22">
        <f>IFERROR(INDEX(Sheet3!G:G,MATCH(A637,Sheet3!A:A,0)),"")</f>
        <v/>
      </c>
      <c r="E637" s="23">
        <f>IFERROR(INDEX(Sheet3!H:H,MATCH(A637,Sheet3!A:A,0)),"")</f>
        <v/>
      </c>
    </row>
    <row r="638">
      <c r="A638" s="19" t="n">
        <v>1543</v>
      </c>
      <c r="B638" s="20">
        <f>IFERROR(INDEX(Sheet1!I:I,MATCH(A638,Sheet1!A:A,0)),"")</f>
        <v/>
      </c>
      <c r="C638" s="21">
        <f>IFERROR(INDEX(Sheet3!D:D,MATCH(A638,Sheet3!A:A,0)),"")</f>
        <v/>
      </c>
      <c r="D638" s="22">
        <f>IFERROR(INDEX(Sheet3!G:G,MATCH(A638,Sheet3!A:A,0)),"")</f>
        <v/>
      </c>
      <c r="E638" s="23">
        <f>IFERROR(INDEX(Sheet3!H:H,MATCH(A638,Sheet3!A:A,0)),"")</f>
        <v/>
      </c>
    </row>
    <row r="639">
      <c r="A639" s="19" t="n">
        <v>1544</v>
      </c>
      <c r="B639" s="20">
        <f>IFERROR(INDEX(Sheet1!I:I,MATCH(A639,Sheet1!A:A,0)),"")</f>
        <v/>
      </c>
      <c r="C639" s="21">
        <f>IFERROR(INDEX(Sheet3!D:D,MATCH(A639,Sheet3!A:A,0)),"")</f>
        <v/>
      </c>
      <c r="D639" s="22">
        <f>IFERROR(INDEX(Sheet3!G:G,MATCH(A639,Sheet3!A:A,0)),"")</f>
        <v/>
      </c>
      <c r="E639" s="23">
        <f>IFERROR(INDEX(Sheet3!H:H,MATCH(A639,Sheet3!A:A,0)),"")</f>
        <v/>
      </c>
    </row>
    <row r="640">
      <c r="A640" s="19" t="n">
        <v>1548</v>
      </c>
      <c r="B640" s="20">
        <f>IFERROR(INDEX(Sheet1!I:I,MATCH(A640,Sheet1!A:A,0)),"")</f>
        <v/>
      </c>
      <c r="C640" s="21">
        <f>IFERROR(INDEX(Sheet3!D:D,MATCH(A640,Sheet3!A:A,0)),"")</f>
        <v/>
      </c>
      <c r="D640" s="22">
        <f>IFERROR(INDEX(Sheet3!G:G,MATCH(A640,Sheet3!A:A,0)),"")</f>
        <v/>
      </c>
      <c r="E640" s="23">
        <f>IFERROR(INDEX(Sheet3!H:H,MATCH(A640,Sheet3!A:A,0)),"")</f>
        <v/>
      </c>
    </row>
    <row r="641">
      <c r="A641" s="19" t="n">
        <v>1553</v>
      </c>
      <c r="B641" s="20">
        <f>IFERROR(INDEX(Sheet1!I:I,MATCH(A641,Sheet1!A:A,0)),"")</f>
        <v/>
      </c>
      <c r="C641" s="21">
        <f>IFERROR(INDEX(Sheet3!D:D,MATCH(A641,Sheet3!A:A,0)),"")</f>
        <v/>
      </c>
      <c r="D641" s="22">
        <f>IFERROR(INDEX(Sheet3!G:G,MATCH(A641,Sheet3!A:A,0)),"")</f>
        <v/>
      </c>
      <c r="E641" s="23">
        <f>IFERROR(INDEX(Sheet3!H:H,MATCH(A641,Sheet3!A:A,0)),"")</f>
        <v/>
      </c>
    </row>
    <row r="642">
      <c r="A642" s="19" t="n">
        <v>1554</v>
      </c>
      <c r="B642" s="20">
        <f>IFERROR(INDEX(Sheet1!I:I,MATCH(A642,Sheet1!A:A,0)),"")</f>
        <v/>
      </c>
      <c r="C642" s="21">
        <f>IFERROR(INDEX(Sheet3!D:D,MATCH(A642,Sheet3!A:A,0)),"")</f>
        <v/>
      </c>
      <c r="D642" s="22">
        <f>IFERROR(INDEX(Sheet3!G:G,MATCH(A642,Sheet3!A:A,0)),"")</f>
        <v/>
      </c>
      <c r="E642" s="23">
        <f>IFERROR(INDEX(Sheet3!H:H,MATCH(A642,Sheet3!A:A,0)),"")</f>
        <v/>
      </c>
    </row>
    <row r="643">
      <c r="A643" s="19" t="n">
        <v>1555</v>
      </c>
      <c r="B643" s="20">
        <f>IFERROR(INDEX(Sheet1!I:I,MATCH(A643,Sheet1!A:A,0)),"")</f>
        <v/>
      </c>
      <c r="C643" s="21">
        <f>IFERROR(INDEX(Sheet3!D:D,MATCH(A643,Sheet3!A:A,0)),"")</f>
        <v/>
      </c>
      <c r="D643" s="22">
        <f>IFERROR(INDEX(Sheet3!G:G,MATCH(A643,Sheet3!A:A,0)),"")</f>
        <v/>
      </c>
      <c r="E643" s="23">
        <f>IFERROR(INDEX(Sheet3!H:H,MATCH(A643,Sheet3!A:A,0)),"")</f>
        <v/>
      </c>
    </row>
    <row r="644">
      <c r="A644" s="19" t="n">
        <v>1556</v>
      </c>
      <c r="B644" s="20">
        <f>IFERROR(INDEX(Sheet1!I:I,MATCH(A644,Sheet1!A:A,0)),"")</f>
        <v/>
      </c>
      <c r="C644" s="21">
        <f>IFERROR(INDEX(Sheet3!D:D,MATCH(A644,Sheet3!A:A,0)),"")</f>
        <v/>
      </c>
      <c r="D644" s="22">
        <f>IFERROR(INDEX(Sheet3!G:G,MATCH(A644,Sheet3!A:A,0)),"")</f>
        <v/>
      </c>
      <c r="E644" s="23">
        <f>IFERROR(INDEX(Sheet3!H:H,MATCH(A644,Sheet3!A:A,0)),"")</f>
        <v/>
      </c>
    </row>
    <row r="645">
      <c r="A645" s="19" t="n">
        <v>1565</v>
      </c>
      <c r="B645" s="20">
        <f>IFERROR(INDEX(Sheet1!I:I,MATCH(A645,Sheet1!A:A,0)),"")</f>
        <v/>
      </c>
      <c r="C645" s="21">
        <f>IFERROR(INDEX(Sheet3!D:D,MATCH(A645,Sheet3!A:A,0)),"")</f>
        <v/>
      </c>
      <c r="D645" s="22">
        <f>IFERROR(INDEX(Sheet3!G:G,MATCH(A645,Sheet3!A:A,0)),"")</f>
        <v/>
      </c>
      <c r="E645" s="23">
        <f>IFERROR(INDEX(Sheet3!H:H,MATCH(A645,Sheet3!A:A,0)),"")</f>
        <v/>
      </c>
    </row>
    <row r="646">
      <c r="A646" s="19" t="n">
        <v>1566</v>
      </c>
      <c r="B646" s="20">
        <f>IFERROR(INDEX(Sheet1!I:I,MATCH(A646,Sheet1!A:A,0)),"")</f>
        <v/>
      </c>
      <c r="C646" s="21">
        <f>IFERROR(INDEX(Sheet3!D:D,MATCH(A646,Sheet3!A:A,0)),"")</f>
        <v/>
      </c>
      <c r="D646" s="22">
        <f>IFERROR(INDEX(Sheet3!G:G,MATCH(A646,Sheet3!A:A,0)),"")</f>
        <v/>
      </c>
      <c r="E646" s="23">
        <f>IFERROR(INDEX(Sheet3!H:H,MATCH(A646,Sheet3!A:A,0)),"")</f>
        <v/>
      </c>
    </row>
    <row r="647">
      <c r="A647" s="19" t="n">
        <v>1567</v>
      </c>
      <c r="B647" s="20">
        <f>IFERROR(INDEX(Sheet1!I:I,MATCH(A647,Sheet1!A:A,0)),"")</f>
        <v/>
      </c>
      <c r="C647" s="21">
        <f>IFERROR(INDEX(Sheet3!D:D,MATCH(A647,Sheet3!A:A,0)),"")</f>
        <v/>
      </c>
      <c r="D647" s="22">
        <f>IFERROR(INDEX(Sheet3!G:G,MATCH(A647,Sheet3!A:A,0)),"")</f>
        <v/>
      </c>
      <c r="E647" s="23">
        <f>IFERROR(INDEX(Sheet3!H:H,MATCH(A647,Sheet3!A:A,0)),"")</f>
        <v/>
      </c>
    </row>
    <row r="648">
      <c r="A648" s="19" t="n">
        <v>1568</v>
      </c>
      <c r="B648" s="20">
        <f>IFERROR(INDEX(Sheet1!I:I,MATCH(A648,Sheet1!A:A,0)),"")</f>
        <v/>
      </c>
      <c r="C648" s="21">
        <f>IFERROR(INDEX(Sheet3!D:D,MATCH(A648,Sheet3!A:A,0)),"")</f>
        <v/>
      </c>
      <c r="D648" s="22">
        <f>IFERROR(INDEX(Sheet3!G:G,MATCH(A648,Sheet3!A:A,0)),"")</f>
        <v/>
      </c>
      <c r="E648" s="23">
        <f>IFERROR(INDEX(Sheet3!H:H,MATCH(A648,Sheet3!A:A,0)),"")</f>
        <v/>
      </c>
    </row>
    <row r="649">
      <c r="A649" s="19" t="n">
        <v>1569</v>
      </c>
      <c r="B649" s="20">
        <f>IFERROR(INDEX(Sheet1!I:I,MATCH(A649,Sheet1!A:A,0)),"")</f>
        <v/>
      </c>
      <c r="C649" s="21">
        <f>IFERROR(INDEX(Sheet3!D:D,MATCH(A649,Sheet3!A:A,0)),"")</f>
        <v/>
      </c>
      <c r="D649" s="22">
        <f>IFERROR(INDEX(Sheet3!G:G,MATCH(A649,Sheet3!A:A,0)),"")</f>
        <v/>
      </c>
      <c r="E649" s="23">
        <f>IFERROR(INDEX(Sheet3!H:H,MATCH(A649,Sheet3!A:A,0)),"")</f>
        <v/>
      </c>
    </row>
    <row r="650">
      <c r="A650" s="19" t="n">
        <v>1570</v>
      </c>
      <c r="B650" s="20">
        <f>IFERROR(INDEX(Sheet1!I:I,MATCH(A650,Sheet1!A:A,0)),"")</f>
        <v/>
      </c>
      <c r="C650" s="21">
        <f>IFERROR(INDEX(Sheet3!D:D,MATCH(A650,Sheet3!A:A,0)),"")</f>
        <v/>
      </c>
      <c r="D650" s="22">
        <f>IFERROR(INDEX(Sheet3!G:G,MATCH(A650,Sheet3!A:A,0)),"")</f>
        <v/>
      </c>
      <c r="E650" s="23">
        <f>IFERROR(INDEX(Sheet3!H:H,MATCH(A650,Sheet3!A:A,0)),"")</f>
        <v/>
      </c>
    </row>
    <row r="651">
      <c r="A651" s="19" t="n">
        <v>1571</v>
      </c>
      <c r="B651" s="20">
        <f>IFERROR(INDEX(Sheet1!I:I,MATCH(A651,Sheet1!A:A,0)),"")</f>
        <v/>
      </c>
      <c r="C651" s="21">
        <f>IFERROR(INDEX(Sheet3!D:D,MATCH(A651,Sheet3!A:A,0)),"")</f>
        <v/>
      </c>
      <c r="D651" s="22">
        <f>IFERROR(INDEX(Sheet3!G:G,MATCH(A651,Sheet3!A:A,0)),"")</f>
        <v/>
      </c>
      <c r="E651" s="23">
        <f>IFERROR(INDEX(Sheet3!H:H,MATCH(A651,Sheet3!A:A,0)),"")</f>
        <v/>
      </c>
    </row>
    <row r="652">
      <c r="A652" s="19" t="n">
        <v>1572</v>
      </c>
      <c r="B652" s="20">
        <f>IFERROR(INDEX(Sheet1!I:I,MATCH(A652,Sheet1!A:A,0)),"")</f>
        <v/>
      </c>
      <c r="C652" s="21">
        <f>IFERROR(INDEX(Sheet3!D:D,MATCH(A652,Sheet3!A:A,0)),"")</f>
        <v/>
      </c>
      <c r="D652" s="22">
        <f>IFERROR(INDEX(Sheet3!G:G,MATCH(A652,Sheet3!A:A,0)),"")</f>
        <v/>
      </c>
      <c r="E652" s="23">
        <f>IFERROR(INDEX(Sheet3!H:H,MATCH(A652,Sheet3!A:A,0)),"")</f>
        <v/>
      </c>
    </row>
    <row r="653">
      <c r="A653" s="19" t="n">
        <v>1573</v>
      </c>
      <c r="B653" s="20">
        <f>IFERROR(INDEX(Sheet1!I:I,MATCH(A653,Sheet1!A:A,0)),"")</f>
        <v/>
      </c>
      <c r="C653" s="21">
        <f>IFERROR(INDEX(Sheet3!D:D,MATCH(A653,Sheet3!A:A,0)),"")</f>
        <v/>
      </c>
      <c r="D653" s="22">
        <f>IFERROR(INDEX(Sheet3!G:G,MATCH(A653,Sheet3!A:A,0)),"")</f>
        <v/>
      </c>
      <c r="E653" s="23">
        <f>IFERROR(INDEX(Sheet3!H:H,MATCH(A653,Sheet3!A:A,0)),"")</f>
        <v/>
      </c>
    </row>
    <row r="654">
      <c r="A654" s="19" t="n">
        <v>1574</v>
      </c>
      <c r="B654" s="20">
        <f>IFERROR(INDEX(Sheet1!I:I,MATCH(A654,Sheet1!A:A,0)),"")</f>
        <v/>
      </c>
      <c r="C654" s="21">
        <f>IFERROR(INDEX(Sheet3!D:D,MATCH(A654,Sheet3!A:A,0)),"")</f>
        <v/>
      </c>
      <c r="D654" s="22">
        <f>IFERROR(INDEX(Sheet3!G:G,MATCH(A654,Sheet3!A:A,0)),"")</f>
        <v/>
      </c>
      <c r="E654" s="23">
        <f>IFERROR(INDEX(Sheet3!H:H,MATCH(A654,Sheet3!A:A,0)),"")</f>
        <v/>
      </c>
    </row>
    <row r="655">
      <c r="A655" s="19" t="n">
        <v>1578</v>
      </c>
      <c r="B655" s="20">
        <f>IFERROR(INDEX(Sheet1!I:I,MATCH(A655,Sheet1!A:A,0)),"")</f>
        <v/>
      </c>
      <c r="C655" s="21">
        <f>IFERROR(INDEX(Sheet3!D:D,MATCH(A655,Sheet3!A:A,0)),"")</f>
        <v/>
      </c>
      <c r="D655" s="22">
        <f>IFERROR(INDEX(Sheet3!G:G,MATCH(A655,Sheet3!A:A,0)),"")</f>
        <v/>
      </c>
      <c r="E655" s="23">
        <f>IFERROR(INDEX(Sheet3!H:H,MATCH(A655,Sheet3!A:A,0)),"")</f>
        <v/>
      </c>
    </row>
    <row r="656">
      <c r="A656" s="19" t="n">
        <v>1588</v>
      </c>
      <c r="B656" s="20">
        <f>IFERROR(INDEX(Sheet1!I:I,MATCH(A656,Sheet1!A:A,0)),"")</f>
        <v/>
      </c>
      <c r="C656" s="21">
        <f>IFERROR(INDEX(Sheet3!D:D,MATCH(A656,Sheet3!A:A,0)),"")</f>
        <v/>
      </c>
      <c r="D656" s="22">
        <f>IFERROR(INDEX(Sheet3!G:G,MATCH(A656,Sheet3!A:A,0)),"")</f>
        <v/>
      </c>
      <c r="E656" s="23">
        <f>IFERROR(INDEX(Sheet3!H:H,MATCH(A656,Sheet3!A:A,0)),"")</f>
        <v/>
      </c>
    </row>
    <row r="657">
      <c r="A657" s="19" t="n">
        <v>1591</v>
      </c>
      <c r="B657" s="20">
        <f>IFERROR(INDEX(Sheet1!I:I,MATCH(A657,Sheet1!A:A,0)),"")</f>
        <v/>
      </c>
      <c r="C657" s="21">
        <f>IFERROR(INDEX(Sheet3!D:D,MATCH(A657,Sheet3!A:A,0)),"")</f>
        <v/>
      </c>
      <c r="D657" s="22">
        <f>IFERROR(INDEX(Sheet3!G:G,MATCH(A657,Sheet3!A:A,0)),"")</f>
        <v/>
      </c>
      <c r="E657" s="23">
        <f>IFERROR(INDEX(Sheet3!H:H,MATCH(A657,Sheet3!A:A,0)),"")</f>
        <v/>
      </c>
    </row>
    <row r="658">
      <c r="A658" s="19" t="n">
        <v>1592</v>
      </c>
      <c r="B658" s="20">
        <f>IFERROR(INDEX(Sheet1!I:I,MATCH(A658,Sheet1!A:A,0)),"")</f>
        <v/>
      </c>
      <c r="C658" s="21">
        <f>IFERROR(INDEX(Sheet3!D:D,MATCH(A658,Sheet3!A:A,0)),"")</f>
        <v/>
      </c>
      <c r="D658" s="22">
        <f>IFERROR(INDEX(Sheet3!G:G,MATCH(A658,Sheet3!A:A,0)),"")</f>
        <v/>
      </c>
      <c r="E658" s="23">
        <f>IFERROR(INDEX(Sheet3!H:H,MATCH(A658,Sheet3!A:A,0)),"")</f>
        <v/>
      </c>
    </row>
    <row r="659">
      <c r="A659" s="19" t="n">
        <v>1597</v>
      </c>
      <c r="B659" s="20">
        <f>IFERROR(INDEX(Sheet1!I:I,MATCH(A659,Sheet1!A:A,0)),"")</f>
        <v/>
      </c>
      <c r="C659" s="21">
        <f>IFERROR(INDEX(Sheet3!D:D,MATCH(A659,Sheet3!A:A,0)),"")</f>
        <v/>
      </c>
      <c r="D659" s="22">
        <f>IFERROR(INDEX(Sheet3!G:G,MATCH(A659,Sheet3!A:A,0)),"")</f>
        <v/>
      </c>
      <c r="E659" s="23">
        <f>IFERROR(INDEX(Sheet3!H:H,MATCH(A659,Sheet3!A:A,0)),"")</f>
        <v/>
      </c>
    </row>
    <row r="660">
      <c r="A660" s="19" t="n">
        <v>1600</v>
      </c>
      <c r="B660" s="20">
        <f>IFERROR(INDEX(Sheet1!I:I,MATCH(A660,Sheet1!A:A,0)),"")</f>
        <v/>
      </c>
      <c r="C660" s="21">
        <f>IFERROR(INDEX(Sheet3!D:D,MATCH(A660,Sheet3!A:A,0)),"")</f>
        <v/>
      </c>
      <c r="D660" s="22">
        <f>IFERROR(INDEX(Sheet3!G:G,MATCH(A660,Sheet3!A:A,0)),"")</f>
        <v/>
      </c>
      <c r="E660" s="23">
        <f>IFERROR(INDEX(Sheet3!H:H,MATCH(A660,Sheet3!A:A,0)),"")</f>
        <v/>
      </c>
    </row>
    <row r="661">
      <c r="A661" s="19" t="n">
        <v>1601</v>
      </c>
      <c r="B661" s="20">
        <f>IFERROR(INDEX(Sheet1!I:I,MATCH(A661,Sheet1!A:A,0)),"")</f>
        <v/>
      </c>
      <c r="C661" s="21">
        <f>IFERROR(INDEX(Sheet3!D:D,MATCH(A661,Sheet3!A:A,0)),"")</f>
        <v/>
      </c>
      <c r="D661" s="22">
        <f>IFERROR(INDEX(Sheet3!G:G,MATCH(A661,Sheet3!A:A,0)),"")</f>
        <v/>
      </c>
      <c r="E661" s="23">
        <f>IFERROR(INDEX(Sheet3!H:H,MATCH(A661,Sheet3!A:A,0)),"")</f>
        <v/>
      </c>
    </row>
    <row r="662">
      <c r="A662" s="19" t="n">
        <v>1602</v>
      </c>
      <c r="B662" s="20">
        <f>IFERROR(INDEX(Sheet1!I:I,MATCH(A662,Sheet1!A:A,0)),"")</f>
        <v/>
      </c>
      <c r="C662" s="21">
        <f>IFERROR(INDEX(Sheet3!D:D,MATCH(A662,Sheet3!A:A,0)),"")</f>
        <v/>
      </c>
      <c r="D662" s="22">
        <f>IFERROR(INDEX(Sheet3!G:G,MATCH(A662,Sheet3!A:A,0)),"")</f>
        <v/>
      </c>
      <c r="E662" s="23">
        <f>IFERROR(INDEX(Sheet3!H:H,MATCH(A662,Sheet3!A:A,0)),"")</f>
        <v/>
      </c>
    </row>
    <row r="663">
      <c r="A663" s="19" t="n">
        <v>1603</v>
      </c>
      <c r="B663" s="20">
        <f>IFERROR(INDEX(Sheet1!I:I,MATCH(A663,Sheet1!A:A,0)),"")</f>
        <v/>
      </c>
      <c r="C663" s="21">
        <f>IFERROR(INDEX(Sheet3!D:D,MATCH(A663,Sheet3!A:A,0)),"")</f>
        <v/>
      </c>
      <c r="D663" s="22">
        <f>IFERROR(INDEX(Sheet3!G:G,MATCH(A663,Sheet3!A:A,0)),"")</f>
        <v/>
      </c>
      <c r="E663" s="23">
        <f>IFERROR(INDEX(Sheet3!H:H,MATCH(A663,Sheet3!A:A,0)),"")</f>
        <v/>
      </c>
    </row>
    <row r="664">
      <c r="A664" s="19" t="n">
        <v>1605</v>
      </c>
      <c r="B664" s="20">
        <f>IFERROR(INDEX(Sheet1!I:I,MATCH(A664,Sheet1!A:A,0)),"")</f>
        <v/>
      </c>
      <c r="C664" s="21">
        <f>IFERROR(INDEX(Sheet3!D:D,MATCH(A664,Sheet3!A:A,0)),"")</f>
        <v/>
      </c>
      <c r="D664" s="22">
        <f>IFERROR(INDEX(Sheet3!G:G,MATCH(A664,Sheet3!A:A,0)),"")</f>
        <v/>
      </c>
      <c r="E664" s="23">
        <f>IFERROR(INDEX(Sheet3!H:H,MATCH(A664,Sheet3!A:A,0)),"")</f>
        <v/>
      </c>
    </row>
    <row r="665">
      <c r="A665" s="19" t="n">
        <v>1606</v>
      </c>
      <c r="B665" s="20">
        <f>IFERROR(INDEX(Sheet1!I:I,MATCH(A665,Sheet1!A:A,0)),"")</f>
        <v/>
      </c>
      <c r="C665" s="21">
        <f>IFERROR(INDEX(Sheet3!D:D,MATCH(A665,Sheet3!A:A,0)),"")</f>
        <v/>
      </c>
      <c r="D665" s="22">
        <f>IFERROR(INDEX(Sheet3!G:G,MATCH(A665,Sheet3!A:A,0)),"")</f>
        <v/>
      </c>
      <c r="E665" s="23">
        <f>IFERROR(INDEX(Sheet3!H:H,MATCH(A665,Sheet3!A:A,0)),"")</f>
        <v/>
      </c>
    </row>
    <row r="666">
      <c r="A666" s="19" t="n">
        <v>1607</v>
      </c>
      <c r="B666" s="20">
        <f>IFERROR(INDEX(Sheet1!I:I,MATCH(A666,Sheet1!A:A,0)),"")</f>
        <v/>
      </c>
      <c r="C666" s="21">
        <f>IFERROR(INDEX(Sheet3!D:D,MATCH(A666,Sheet3!A:A,0)),"")</f>
        <v/>
      </c>
      <c r="D666" s="22">
        <f>IFERROR(INDEX(Sheet3!G:G,MATCH(A666,Sheet3!A:A,0)),"")</f>
        <v/>
      </c>
      <c r="E666" s="23">
        <f>IFERROR(INDEX(Sheet3!H:H,MATCH(A666,Sheet3!A:A,0)),"")</f>
        <v/>
      </c>
    </row>
    <row r="667">
      <c r="A667" s="19" t="n">
        <v>1609</v>
      </c>
      <c r="B667" s="20">
        <f>IFERROR(INDEX(Sheet1!I:I,MATCH(A667,Sheet1!A:A,0)),"")</f>
        <v/>
      </c>
      <c r="C667" s="21">
        <f>IFERROR(INDEX(Sheet3!D:D,MATCH(A667,Sheet3!A:A,0)),"")</f>
        <v/>
      </c>
      <c r="D667" s="22">
        <f>IFERROR(INDEX(Sheet3!G:G,MATCH(A667,Sheet3!A:A,0)),"")</f>
        <v/>
      </c>
      <c r="E667" s="23">
        <f>IFERROR(INDEX(Sheet3!H:H,MATCH(A667,Sheet3!A:A,0)),"")</f>
        <v/>
      </c>
    </row>
    <row r="668">
      <c r="A668" s="19" t="n">
        <v>1610</v>
      </c>
      <c r="B668" s="20">
        <f>IFERROR(INDEX(Sheet1!I:I,MATCH(A668,Sheet1!A:A,0)),"")</f>
        <v/>
      </c>
      <c r="C668" s="21">
        <f>IFERROR(INDEX(Sheet3!D:D,MATCH(A668,Sheet3!A:A,0)),"")</f>
        <v/>
      </c>
      <c r="D668" s="22">
        <f>IFERROR(INDEX(Sheet3!G:G,MATCH(A668,Sheet3!A:A,0)),"")</f>
        <v/>
      </c>
      <c r="E668" s="23">
        <f>IFERROR(INDEX(Sheet3!H:H,MATCH(A668,Sheet3!A:A,0)),"")</f>
        <v/>
      </c>
    </row>
    <row r="669">
      <c r="A669" s="19" t="n">
        <v>1613</v>
      </c>
      <c r="B669" s="20">
        <f>IFERROR(INDEX(Sheet1!I:I,MATCH(A669,Sheet1!A:A,0)),"")</f>
        <v/>
      </c>
      <c r="C669" s="21">
        <f>IFERROR(INDEX(Sheet3!D:D,MATCH(A669,Sheet3!A:A,0)),"")</f>
        <v/>
      </c>
      <c r="D669" s="22">
        <f>IFERROR(INDEX(Sheet3!G:G,MATCH(A669,Sheet3!A:A,0)),"")</f>
        <v/>
      </c>
      <c r="E669" s="23">
        <f>IFERROR(INDEX(Sheet3!H:H,MATCH(A669,Sheet3!A:A,0)),"")</f>
        <v/>
      </c>
    </row>
    <row r="670">
      <c r="A670" s="19" t="n">
        <v>1614</v>
      </c>
      <c r="B670" s="20">
        <f>IFERROR(INDEX(Sheet1!I:I,MATCH(A670,Sheet1!A:A,0)),"")</f>
        <v/>
      </c>
      <c r="C670" s="21">
        <f>IFERROR(INDEX(Sheet3!D:D,MATCH(A670,Sheet3!A:A,0)),"")</f>
        <v/>
      </c>
      <c r="D670" s="22">
        <f>IFERROR(INDEX(Sheet3!G:G,MATCH(A670,Sheet3!A:A,0)),"")</f>
        <v/>
      </c>
      <c r="E670" s="23">
        <f>IFERROR(INDEX(Sheet3!H:H,MATCH(A670,Sheet3!A:A,0)),"")</f>
        <v/>
      </c>
    </row>
    <row r="671">
      <c r="A671" s="19" t="n">
        <v>1615</v>
      </c>
      <c r="B671" s="20">
        <f>IFERROR(INDEX(Sheet1!I:I,MATCH(A671,Sheet1!A:A,0)),"")</f>
        <v/>
      </c>
      <c r="C671" s="21">
        <f>IFERROR(INDEX(Sheet3!D:D,MATCH(A671,Sheet3!A:A,0)),"")</f>
        <v/>
      </c>
      <c r="D671" s="22">
        <f>IFERROR(INDEX(Sheet3!G:G,MATCH(A671,Sheet3!A:A,0)),"")</f>
        <v/>
      </c>
      <c r="E671" s="23">
        <f>IFERROR(INDEX(Sheet3!H:H,MATCH(A671,Sheet3!A:A,0)),"")</f>
        <v/>
      </c>
    </row>
    <row r="672">
      <c r="A672" s="19" t="n">
        <v>1616</v>
      </c>
      <c r="B672" s="20">
        <f>IFERROR(INDEX(Sheet1!I:I,MATCH(A672,Sheet1!A:A,0)),"")</f>
        <v/>
      </c>
      <c r="C672" s="21">
        <f>IFERROR(INDEX(Sheet3!D:D,MATCH(A672,Sheet3!A:A,0)),"")</f>
        <v/>
      </c>
      <c r="D672" s="22">
        <f>IFERROR(INDEX(Sheet3!G:G,MATCH(A672,Sheet3!A:A,0)),"")</f>
        <v/>
      </c>
      <c r="E672" s="23">
        <f>IFERROR(INDEX(Sheet3!H:H,MATCH(A672,Sheet3!A:A,0)),"")</f>
        <v/>
      </c>
    </row>
    <row r="673">
      <c r="A673" s="19" t="n">
        <v>1618</v>
      </c>
      <c r="B673" s="20">
        <f>IFERROR(INDEX(Sheet1!I:I,MATCH(A673,Sheet1!A:A,0)),"")</f>
        <v/>
      </c>
      <c r="C673" s="21">
        <f>IFERROR(INDEX(Sheet3!D:D,MATCH(A673,Sheet3!A:A,0)),"")</f>
        <v/>
      </c>
      <c r="D673" s="22">
        <f>IFERROR(INDEX(Sheet3!G:G,MATCH(A673,Sheet3!A:A,0)),"")</f>
        <v/>
      </c>
      <c r="E673" s="23">
        <f>IFERROR(INDEX(Sheet3!H:H,MATCH(A673,Sheet3!A:A,0)),"")</f>
        <v/>
      </c>
    </row>
    <row r="674">
      <c r="A674" s="19" t="n">
        <v>1622</v>
      </c>
      <c r="B674" s="20">
        <f>IFERROR(INDEX(Sheet1!I:I,MATCH(A674,Sheet1!A:A,0)),"")</f>
        <v/>
      </c>
      <c r="C674" s="21">
        <f>IFERROR(INDEX(Sheet3!D:D,MATCH(A674,Sheet3!A:A,0)),"")</f>
        <v/>
      </c>
      <c r="D674" s="22">
        <f>IFERROR(INDEX(Sheet3!G:G,MATCH(A674,Sheet3!A:A,0)),"")</f>
        <v/>
      </c>
      <c r="E674" s="23">
        <f>IFERROR(INDEX(Sheet3!H:H,MATCH(A674,Sheet3!A:A,0)),"")</f>
        <v/>
      </c>
    </row>
    <row r="675">
      <c r="A675" s="19" t="n">
        <v>1628</v>
      </c>
      <c r="B675" s="20">
        <f>IFERROR(INDEX(Sheet1!I:I,MATCH(A675,Sheet1!A:A,0)),"")</f>
        <v/>
      </c>
      <c r="C675" s="21">
        <f>IFERROR(INDEX(Sheet3!D:D,MATCH(A675,Sheet3!A:A,0)),"")</f>
        <v/>
      </c>
      <c r="D675" s="22">
        <f>IFERROR(INDEX(Sheet3!G:G,MATCH(A675,Sheet3!A:A,0)),"")</f>
        <v/>
      </c>
      <c r="E675" s="23">
        <f>IFERROR(INDEX(Sheet3!H:H,MATCH(A675,Sheet3!A:A,0)),"")</f>
        <v/>
      </c>
    </row>
    <row r="676">
      <c r="A676" s="19" t="n">
        <v>1630</v>
      </c>
      <c r="B676" s="20">
        <f>IFERROR(INDEX(Sheet1!I:I,MATCH(A676,Sheet1!A:A,0)),"")</f>
        <v/>
      </c>
      <c r="C676" s="21">
        <f>IFERROR(INDEX(Sheet3!D:D,MATCH(A676,Sheet3!A:A,0)),"")</f>
        <v/>
      </c>
      <c r="D676" s="22">
        <f>IFERROR(INDEX(Sheet3!G:G,MATCH(A676,Sheet3!A:A,0)),"")</f>
        <v/>
      </c>
      <c r="E676" s="23">
        <f>IFERROR(INDEX(Sheet3!H:H,MATCH(A676,Sheet3!A:A,0)),"")</f>
        <v/>
      </c>
    </row>
    <row r="677">
      <c r="A677" s="19" t="n">
        <v>1631</v>
      </c>
      <c r="B677" s="20">
        <f>IFERROR(INDEX(Sheet1!I:I,MATCH(A677,Sheet1!A:A,0)),"")</f>
        <v/>
      </c>
      <c r="C677" s="21">
        <f>IFERROR(INDEX(Sheet3!D:D,MATCH(A677,Sheet3!A:A,0)),"")</f>
        <v/>
      </c>
      <c r="D677" s="22">
        <f>IFERROR(INDEX(Sheet3!G:G,MATCH(A677,Sheet3!A:A,0)),"")</f>
        <v/>
      </c>
      <c r="E677" s="23">
        <f>IFERROR(INDEX(Sheet3!H:H,MATCH(A677,Sheet3!A:A,0)),"")</f>
        <v/>
      </c>
    </row>
    <row r="678">
      <c r="A678" s="19" t="n">
        <v>1633</v>
      </c>
      <c r="B678" s="20">
        <f>IFERROR(INDEX(Sheet1!I:I,MATCH(A678,Sheet1!A:A,0)),"")</f>
        <v/>
      </c>
      <c r="C678" s="21">
        <f>IFERROR(INDEX(Sheet3!D:D,MATCH(A678,Sheet3!A:A,0)),"")</f>
        <v/>
      </c>
      <c r="D678" s="22">
        <f>IFERROR(INDEX(Sheet3!G:G,MATCH(A678,Sheet3!A:A,0)),"")</f>
        <v/>
      </c>
      <c r="E678" s="23">
        <f>IFERROR(INDEX(Sheet3!H:H,MATCH(A678,Sheet3!A:A,0)),"")</f>
        <v/>
      </c>
    </row>
    <row r="679">
      <c r="A679" s="19" t="n">
        <v>1634</v>
      </c>
      <c r="B679" s="20">
        <f>IFERROR(INDEX(Sheet1!I:I,MATCH(A679,Sheet1!A:A,0)),"")</f>
        <v/>
      </c>
      <c r="C679" s="21">
        <f>IFERROR(INDEX(Sheet3!D:D,MATCH(A679,Sheet3!A:A,0)),"")</f>
        <v/>
      </c>
      <c r="D679" s="22">
        <f>IFERROR(INDEX(Sheet3!G:G,MATCH(A679,Sheet3!A:A,0)),"")</f>
        <v/>
      </c>
      <c r="E679" s="23">
        <f>IFERROR(INDEX(Sheet3!H:H,MATCH(A679,Sheet3!A:A,0)),"")</f>
        <v/>
      </c>
    </row>
    <row r="680">
      <c r="A680" s="19" t="n">
        <v>1641</v>
      </c>
      <c r="B680" s="20">
        <f>IFERROR(INDEX(Sheet1!I:I,MATCH(A680,Sheet1!A:A,0)),"")</f>
        <v/>
      </c>
      <c r="C680" s="21">
        <f>IFERROR(INDEX(Sheet3!D:D,MATCH(A680,Sheet3!A:A,0)),"")</f>
        <v/>
      </c>
      <c r="D680" s="22">
        <f>IFERROR(INDEX(Sheet3!G:G,MATCH(A680,Sheet3!A:A,0)),"")</f>
        <v/>
      </c>
      <c r="E680" s="23">
        <f>IFERROR(INDEX(Sheet3!H:H,MATCH(A680,Sheet3!A:A,0)),"")</f>
        <v/>
      </c>
    </row>
    <row r="681">
      <c r="A681" s="19" t="n">
        <v>1643</v>
      </c>
      <c r="B681" s="20">
        <f>IFERROR(INDEX(Sheet1!I:I,MATCH(A681,Sheet1!A:A,0)),"")</f>
        <v/>
      </c>
      <c r="C681" s="21">
        <f>IFERROR(INDEX(Sheet3!D:D,MATCH(A681,Sheet3!A:A,0)),"")</f>
        <v/>
      </c>
      <c r="D681" s="22">
        <f>IFERROR(INDEX(Sheet3!G:G,MATCH(A681,Sheet3!A:A,0)),"")</f>
        <v/>
      </c>
      <c r="E681" s="23">
        <f>IFERROR(INDEX(Sheet3!H:H,MATCH(A681,Sheet3!A:A,0)),"")</f>
        <v/>
      </c>
    </row>
    <row r="682">
      <c r="A682" s="19" t="n">
        <v>1644</v>
      </c>
      <c r="B682" s="20">
        <f>IFERROR(INDEX(Sheet1!I:I,MATCH(A682,Sheet1!A:A,0)),"")</f>
        <v/>
      </c>
      <c r="C682" s="21">
        <f>IFERROR(INDEX(Sheet3!D:D,MATCH(A682,Sheet3!A:A,0)),"")</f>
        <v/>
      </c>
      <c r="D682" s="22">
        <f>IFERROR(INDEX(Sheet3!G:G,MATCH(A682,Sheet3!A:A,0)),"")</f>
        <v/>
      </c>
      <c r="E682" s="23">
        <f>IFERROR(INDEX(Sheet3!H:H,MATCH(A682,Sheet3!A:A,0)),"")</f>
        <v/>
      </c>
    </row>
    <row r="683">
      <c r="A683" s="19" t="n">
        <v>1647</v>
      </c>
      <c r="B683" s="20">
        <f>IFERROR(INDEX(Sheet1!I:I,MATCH(A683,Sheet1!A:A,0)),"")</f>
        <v/>
      </c>
      <c r="C683" s="21">
        <f>IFERROR(INDEX(Sheet3!D:D,MATCH(A683,Sheet3!A:A,0)),"")</f>
        <v/>
      </c>
      <c r="D683" s="22">
        <f>IFERROR(INDEX(Sheet3!G:G,MATCH(A683,Sheet3!A:A,0)),"")</f>
        <v/>
      </c>
      <c r="E683" s="23">
        <f>IFERROR(INDEX(Sheet3!H:H,MATCH(A683,Sheet3!A:A,0)),"")</f>
        <v/>
      </c>
    </row>
    <row r="684">
      <c r="A684" s="19" t="n">
        <v>1651</v>
      </c>
      <c r="B684" s="20">
        <f>IFERROR(INDEX(Sheet1!I:I,MATCH(A684,Sheet1!A:A,0)),"")</f>
        <v/>
      </c>
      <c r="C684" s="21">
        <f>IFERROR(INDEX(Sheet3!D:D,MATCH(A684,Sheet3!A:A,0)),"")</f>
        <v/>
      </c>
      <c r="D684" s="22">
        <f>IFERROR(INDEX(Sheet3!G:G,MATCH(A684,Sheet3!A:A,0)),"")</f>
        <v/>
      </c>
      <c r="E684" s="23">
        <f>IFERROR(INDEX(Sheet3!H:H,MATCH(A684,Sheet3!A:A,0)),"")</f>
        <v/>
      </c>
    </row>
    <row r="685">
      <c r="A685" s="19" t="n">
        <v>1652</v>
      </c>
      <c r="B685" s="20">
        <f>IFERROR(INDEX(Sheet1!I:I,MATCH(A685,Sheet1!A:A,0)),"")</f>
        <v/>
      </c>
      <c r="C685" s="21">
        <f>IFERROR(INDEX(Sheet3!D:D,MATCH(A685,Sheet3!A:A,0)),"")</f>
        <v/>
      </c>
      <c r="D685" s="22">
        <f>IFERROR(INDEX(Sheet3!G:G,MATCH(A685,Sheet3!A:A,0)),"")</f>
        <v/>
      </c>
      <c r="E685" s="23">
        <f>IFERROR(INDEX(Sheet3!H:H,MATCH(A685,Sheet3!A:A,0)),"")</f>
        <v/>
      </c>
    </row>
    <row r="686">
      <c r="A686" s="19" t="n">
        <v>1664</v>
      </c>
      <c r="B686" s="20">
        <f>IFERROR(INDEX(Sheet1!I:I,MATCH(A686,Sheet1!A:A,0)),"")</f>
        <v/>
      </c>
      <c r="C686" s="21">
        <f>IFERROR(INDEX(Sheet3!D:D,MATCH(A686,Sheet3!A:A,0)),"")</f>
        <v/>
      </c>
      <c r="D686" s="22">
        <f>IFERROR(INDEX(Sheet3!G:G,MATCH(A686,Sheet3!A:A,0)),"")</f>
        <v/>
      </c>
      <c r="E686" s="23">
        <f>IFERROR(INDEX(Sheet3!H:H,MATCH(A686,Sheet3!A:A,0)),"")</f>
        <v/>
      </c>
    </row>
    <row r="687">
      <c r="A687" s="19" t="n">
        <v>1668</v>
      </c>
      <c r="B687" s="20">
        <f>IFERROR(INDEX(Sheet1!I:I,MATCH(A687,Sheet1!A:A,0)),"")</f>
        <v/>
      </c>
      <c r="C687" s="21">
        <f>IFERROR(INDEX(Sheet3!D:D,MATCH(A687,Sheet3!A:A,0)),"")</f>
        <v/>
      </c>
      <c r="D687" s="22">
        <f>IFERROR(INDEX(Sheet3!G:G,MATCH(A687,Sheet3!A:A,0)),"")</f>
        <v/>
      </c>
      <c r="E687" s="23">
        <f>IFERROR(INDEX(Sheet3!H:H,MATCH(A687,Sheet3!A:A,0)),"")</f>
        <v/>
      </c>
    </row>
    <row r="688">
      <c r="A688" s="19" t="n">
        <v>1671</v>
      </c>
      <c r="B688" s="20">
        <f>IFERROR(INDEX(Sheet1!I:I,MATCH(A688,Sheet1!A:A,0)),"")</f>
        <v/>
      </c>
      <c r="C688" s="21">
        <f>IFERROR(INDEX(Sheet3!D:D,MATCH(A688,Sheet3!A:A,0)),"")</f>
        <v/>
      </c>
      <c r="D688" s="22">
        <f>IFERROR(INDEX(Sheet3!G:G,MATCH(A688,Sheet3!A:A,0)),"")</f>
        <v/>
      </c>
      <c r="E688" s="23">
        <f>IFERROR(INDEX(Sheet3!H:H,MATCH(A688,Sheet3!A:A,0)),"")</f>
        <v/>
      </c>
    </row>
    <row r="689">
      <c r="A689" s="19" t="n">
        <v>1676</v>
      </c>
      <c r="B689" s="20">
        <f>IFERROR(INDEX(Sheet1!I:I,MATCH(A689,Sheet1!A:A,0)),"")</f>
        <v/>
      </c>
      <c r="C689" s="21">
        <f>IFERROR(INDEX(Sheet3!D:D,MATCH(A689,Sheet3!A:A,0)),"")</f>
        <v/>
      </c>
      <c r="D689" s="22">
        <f>IFERROR(INDEX(Sheet3!G:G,MATCH(A689,Sheet3!A:A,0)),"")</f>
        <v/>
      </c>
      <c r="E689" s="23">
        <f>IFERROR(INDEX(Sheet3!H:H,MATCH(A689,Sheet3!A:A,0)),"")</f>
        <v/>
      </c>
    </row>
    <row r="690">
      <c r="A690" s="19" t="n">
        <v>1677</v>
      </c>
      <c r="B690" s="20">
        <f>IFERROR(INDEX(Sheet1!I:I,MATCH(A690,Sheet1!A:A,0)),"")</f>
        <v/>
      </c>
      <c r="C690" s="21">
        <f>IFERROR(INDEX(Sheet3!D:D,MATCH(A690,Sheet3!A:A,0)),"")</f>
        <v/>
      </c>
      <c r="D690" s="22">
        <f>IFERROR(INDEX(Sheet3!G:G,MATCH(A690,Sheet3!A:A,0)),"")</f>
        <v/>
      </c>
      <c r="E690" s="23">
        <f>IFERROR(INDEX(Sheet3!H:H,MATCH(A690,Sheet3!A:A,0)),"")</f>
        <v/>
      </c>
    </row>
    <row r="691">
      <c r="A691" s="19" t="n">
        <v>1684</v>
      </c>
      <c r="B691" s="20">
        <f>IFERROR(INDEX(Sheet1!I:I,MATCH(A691,Sheet1!A:A,0)),"")</f>
        <v/>
      </c>
      <c r="C691" s="21">
        <f>IFERROR(INDEX(Sheet3!D:D,MATCH(A691,Sheet3!A:A,0)),"")</f>
        <v/>
      </c>
      <c r="D691" s="22">
        <f>IFERROR(INDEX(Sheet3!G:G,MATCH(A691,Sheet3!A:A,0)),"")</f>
        <v/>
      </c>
      <c r="E691" s="23">
        <f>IFERROR(INDEX(Sheet3!H:H,MATCH(A691,Sheet3!A:A,0)),"")</f>
        <v/>
      </c>
    </row>
    <row r="692">
      <c r="A692" s="19" t="n">
        <v>1686</v>
      </c>
      <c r="B692" s="20">
        <f>IFERROR(INDEX(Sheet1!I:I,MATCH(A692,Sheet1!A:A,0)),"")</f>
        <v/>
      </c>
      <c r="C692" s="21">
        <f>IFERROR(INDEX(Sheet3!D:D,MATCH(A692,Sheet3!A:A,0)),"")</f>
        <v/>
      </c>
      <c r="D692" s="22">
        <f>IFERROR(INDEX(Sheet3!G:G,MATCH(A692,Sheet3!A:A,0)),"")</f>
        <v/>
      </c>
      <c r="E692" s="23">
        <f>IFERROR(INDEX(Sheet3!H:H,MATCH(A692,Sheet3!A:A,0)),"")</f>
        <v/>
      </c>
    </row>
    <row r="693">
      <c r="A693" s="19" t="n">
        <v>1687</v>
      </c>
      <c r="B693" s="20">
        <f>IFERROR(INDEX(Sheet1!I:I,MATCH(A693,Sheet1!A:A,0)),"")</f>
        <v/>
      </c>
      <c r="C693" s="21">
        <f>IFERROR(INDEX(Sheet3!D:D,MATCH(A693,Sheet3!A:A,0)),"")</f>
        <v/>
      </c>
      <c r="D693" s="22">
        <f>IFERROR(INDEX(Sheet3!G:G,MATCH(A693,Sheet3!A:A,0)),"")</f>
        <v/>
      </c>
      <c r="E693" s="23">
        <f>IFERROR(INDEX(Sheet3!H:H,MATCH(A693,Sheet3!A:A,0)),"")</f>
        <v/>
      </c>
    </row>
    <row r="694">
      <c r="A694" s="19" t="n">
        <v>1689</v>
      </c>
      <c r="B694" s="20">
        <f>IFERROR(INDEX(Sheet1!I:I,MATCH(A694,Sheet1!A:A,0)),"")</f>
        <v/>
      </c>
      <c r="C694" s="21">
        <f>IFERROR(INDEX(Sheet3!D:D,MATCH(A694,Sheet3!A:A,0)),"")</f>
        <v/>
      </c>
      <c r="D694" s="22">
        <f>IFERROR(INDEX(Sheet3!G:G,MATCH(A694,Sheet3!A:A,0)),"")</f>
        <v/>
      </c>
      <c r="E694" s="23">
        <f>IFERROR(INDEX(Sheet3!H:H,MATCH(A694,Sheet3!A:A,0)),"")</f>
        <v/>
      </c>
    </row>
    <row r="695">
      <c r="A695" s="19" t="n">
        <v>1692</v>
      </c>
      <c r="B695" s="20">
        <f>IFERROR(INDEX(Sheet1!I:I,MATCH(A695,Sheet1!A:A,0)),"")</f>
        <v/>
      </c>
      <c r="C695" s="21">
        <f>IFERROR(INDEX(Sheet3!D:D,MATCH(A695,Sheet3!A:A,0)),"")</f>
        <v/>
      </c>
      <c r="D695" s="22">
        <f>IFERROR(INDEX(Sheet3!G:G,MATCH(A695,Sheet3!A:A,0)),"")</f>
        <v/>
      </c>
      <c r="E695" s="23">
        <f>IFERROR(INDEX(Sheet3!H:H,MATCH(A695,Sheet3!A:A,0)),"")</f>
        <v/>
      </c>
    </row>
    <row r="696">
      <c r="A696" s="19" t="n">
        <v>1695</v>
      </c>
      <c r="B696" s="20">
        <f>IFERROR(INDEX(Sheet1!I:I,MATCH(A696,Sheet1!A:A,0)),"")</f>
        <v/>
      </c>
      <c r="C696" s="21">
        <f>IFERROR(INDEX(Sheet3!D:D,MATCH(A696,Sheet3!A:A,0)),"")</f>
        <v/>
      </c>
      <c r="D696" s="22">
        <f>IFERROR(INDEX(Sheet3!G:G,MATCH(A696,Sheet3!A:A,0)),"")</f>
        <v/>
      </c>
      <c r="E696" s="23">
        <f>IFERROR(INDEX(Sheet3!H:H,MATCH(A696,Sheet3!A:A,0)),"")</f>
        <v/>
      </c>
    </row>
    <row r="697">
      <c r="A697" s="19" t="n">
        <v>1699</v>
      </c>
      <c r="B697" s="20">
        <f>IFERROR(INDEX(Sheet1!I:I,MATCH(A697,Sheet1!A:A,0)),"")</f>
        <v/>
      </c>
      <c r="C697" s="21">
        <f>IFERROR(INDEX(Sheet3!D:D,MATCH(A697,Sheet3!A:A,0)),"")</f>
        <v/>
      </c>
      <c r="D697" s="22">
        <f>IFERROR(INDEX(Sheet3!G:G,MATCH(A697,Sheet3!A:A,0)),"")</f>
        <v/>
      </c>
      <c r="E697" s="23">
        <f>IFERROR(INDEX(Sheet3!H:H,MATCH(A697,Sheet3!A:A,0)),"")</f>
        <v/>
      </c>
    </row>
    <row r="698">
      <c r="A698" s="19" t="n">
        <v>1702</v>
      </c>
      <c r="B698" s="20">
        <f>IFERROR(INDEX(Sheet1!I:I,MATCH(A698,Sheet1!A:A,0)),"")</f>
        <v/>
      </c>
      <c r="C698" s="21">
        <f>IFERROR(INDEX(Sheet3!D:D,MATCH(A698,Sheet3!A:A,0)),"")</f>
        <v/>
      </c>
      <c r="D698" s="22">
        <f>IFERROR(INDEX(Sheet3!G:G,MATCH(A698,Sheet3!A:A,0)),"")</f>
        <v/>
      </c>
      <c r="E698" s="23">
        <f>IFERROR(INDEX(Sheet3!H:H,MATCH(A698,Sheet3!A:A,0)),"")</f>
        <v/>
      </c>
    </row>
    <row r="699">
      <c r="A699" s="19" t="n">
        <v>1703</v>
      </c>
      <c r="B699" s="20">
        <f>IFERROR(INDEX(Sheet1!I:I,MATCH(A699,Sheet1!A:A,0)),"")</f>
        <v/>
      </c>
      <c r="C699" s="21">
        <f>IFERROR(INDEX(Sheet3!D:D,MATCH(A699,Sheet3!A:A,0)),"")</f>
        <v/>
      </c>
      <c r="D699" s="22">
        <f>IFERROR(INDEX(Sheet3!G:G,MATCH(A699,Sheet3!A:A,0)),"")</f>
        <v/>
      </c>
      <c r="E699" s="23">
        <f>IFERROR(INDEX(Sheet3!H:H,MATCH(A699,Sheet3!A:A,0)),"")</f>
        <v/>
      </c>
    </row>
    <row r="700">
      <c r="A700" s="19" t="n">
        <v>1705</v>
      </c>
      <c r="B700" s="20">
        <f>IFERROR(INDEX(Sheet1!I:I,MATCH(A700,Sheet1!A:A,0)),"")</f>
        <v/>
      </c>
      <c r="C700" s="21">
        <f>IFERROR(INDEX(Sheet3!D:D,MATCH(A700,Sheet3!A:A,0)),"")</f>
        <v/>
      </c>
      <c r="D700" s="22">
        <f>IFERROR(INDEX(Sheet3!G:G,MATCH(A700,Sheet3!A:A,0)),"")</f>
        <v/>
      </c>
      <c r="E700" s="23">
        <f>IFERROR(INDEX(Sheet3!H:H,MATCH(A700,Sheet3!A:A,0)),"")</f>
        <v/>
      </c>
    </row>
    <row r="701">
      <c r="A701" s="19" t="n">
        <v>1706</v>
      </c>
      <c r="B701" s="20">
        <f>IFERROR(INDEX(Sheet1!I:I,MATCH(A701,Sheet1!A:A,0)),"")</f>
        <v/>
      </c>
      <c r="C701" s="21">
        <f>IFERROR(INDEX(Sheet3!D:D,MATCH(A701,Sheet3!A:A,0)),"")</f>
        <v/>
      </c>
      <c r="D701" s="22">
        <f>IFERROR(INDEX(Sheet3!G:G,MATCH(A701,Sheet3!A:A,0)),"")</f>
        <v/>
      </c>
      <c r="E701" s="23">
        <f>IFERROR(INDEX(Sheet3!H:H,MATCH(A701,Sheet3!A:A,0)),"")</f>
        <v/>
      </c>
    </row>
    <row r="702">
      <c r="A702" s="19" t="n">
        <v>1708</v>
      </c>
      <c r="B702" s="20">
        <f>IFERROR(INDEX(Sheet1!I:I,MATCH(A702,Sheet1!A:A,0)),"")</f>
        <v/>
      </c>
      <c r="C702" s="21">
        <f>IFERROR(INDEX(Sheet3!D:D,MATCH(A702,Sheet3!A:A,0)),"")</f>
        <v/>
      </c>
      <c r="D702" s="22">
        <f>IFERROR(INDEX(Sheet3!G:G,MATCH(A702,Sheet3!A:A,0)),"")</f>
        <v/>
      </c>
      <c r="E702" s="23">
        <f>IFERROR(INDEX(Sheet3!H:H,MATCH(A702,Sheet3!A:A,0)),"")</f>
        <v/>
      </c>
    </row>
    <row r="703">
      <c r="A703" s="19" t="n">
        <v>1710</v>
      </c>
      <c r="B703" s="20">
        <f>IFERROR(INDEX(Sheet1!I:I,MATCH(A703,Sheet1!A:A,0)),"")</f>
        <v/>
      </c>
      <c r="C703" s="21">
        <f>IFERROR(INDEX(Sheet3!D:D,MATCH(A703,Sheet3!A:A,0)),"")</f>
        <v/>
      </c>
      <c r="D703" s="22">
        <f>IFERROR(INDEX(Sheet3!G:G,MATCH(A703,Sheet3!A:A,0)),"")</f>
        <v/>
      </c>
      <c r="E703" s="23">
        <f>IFERROR(INDEX(Sheet3!H:H,MATCH(A703,Sheet3!A:A,0)),"")</f>
        <v/>
      </c>
    </row>
    <row r="704">
      <c r="A704" s="19" t="n">
        <v>1714</v>
      </c>
      <c r="B704" s="20">
        <f>IFERROR(INDEX(Sheet1!I:I,MATCH(A704,Sheet1!A:A,0)),"")</f>
        <v/>
      </c>
      <c r="C704" s="21">
        <f>IFERROR(INDEX(Sheet3!D:D,MATCH(A704,Sheet3!A:A,0)),"")</f>
        <v/>
      </c>
      <c r="D704" s="22">
        <f>IFERROR(INDEX(Sheet3!G:G,MATCH(A704,Sheet3!A:A,0)),"")</f>
        <v/>
      </c>
      <c r="E704" s="23">
        <f>IFERROR(INDEX(Sheet3!H:H,MATCH(A704,Sheet3!A:A,0)),"")</f>
        <v/>
      </c>
    </row>
    <row r="705">
      <c r="A705" s="19" t="n">
        <v>1715</v>
      </c>
      <c r="B705" s="20">
        <f>IFERROR(INDEX(Sheet1!I:I,MATCH(A705,Sheet1!A:A,0)),"")</f>
        <v/>
      </c>
      <c r="C705" s="21">
        <f>IFERROR(INDEX(Sheet3!D:D,MATCH(A705,Sheet3!A:A,0)),"")</f>
        <v/>
      </c>
      <c r="D705" s="22">
        <f>IFERROR(INDEX(Sheet3!G:G,MATCH(A705,Sheet3!A:A,0)),"")</f>
        <v/>
      </c>
      <c r="E705" s="23">
        <f>IFERROR(INDEX(Sheet3!H:H,MATCH(A705,Sheet3!A:A,0)),"")</f>
        <v/>
      </c>
    </row>
    <row r="706">
      <c r="A706" s="19" t="n">
        <v>1718</v>
      </c>
      <c r="B706" s="20">
        <f>IFERROR(INDEX(Sheet1!I:I,MATCH(A706,Sheet1!A:A,0)),"")</f>
        <v/>
      </c>
      <c r="C706" s="21">
        <f>IFERROR(INDEX(Sheet3!D:D,MATCH(A706,Sheet3!A:A,0)),"")</f>
        <v/>
      </c>
      <c r="D706" s="22">
        <f>IFERROR(INDEX(Sheet3!G:G,MATCH(A706,Sheet3!A:A,0)),"")</f>
        <v/>
      </c>
      <c r="E706" s="23">
        <f>IFERROR(INDEX(Sheet3!H:H,MATCH(A706,Sheet3!A:A,0)),"")</f>
        <v/>
      </c>
    </row>
    <row r="707">
      <c r="A707" s="19" t="n">
        <v>1720</v>
      </c>
      <c r="B707" s="20">
        <f>IFERROR(INDEX(Sheet1!I:I,MATCH(A707,Sheet1!A:A,0)),"")</f>
        <v/>
      </c>
      <c r="C707" s="21">
        <f>IFERROR(INDEX(Sheet3!D:D,MATCH(A707,Sheet3!A:A,0)),"")</f>
        <v/>
      </c>
      <c r="D707" s="22">
        <f>IFERROR(INDEX(Sheet3!G:G,MATCH(A707,Sheet3!A:A,0)),"")</f>
        <v/>
      </c>
      <c r="E707" s="23">
        <f>IFERROR(INDEX(Sheet3!H:H,MATCH(A707,Sheet3!A:A,0)),"")</f>
        <v/>
      </c>
    </row>
    <row r="708">
      <c r="A708" s="19" t="n">
        <v>1727</v>
      </c>
      <c r="B708" s="20">
        <f>IFERROR(INDEX(Sheet1!I:I,MATCH(A708,Sheet1!A:A,0)),"")</f>
        <v/>
      </c>
      <c r="C708" s="21">
        <f>IFERROR(INDEX(Sheet3!D:D,MATCH(A708,Sheet3!A:A,0)),"")</f>
        <v/>
      </c>
      <c r="D708" s="22">
        <f>IFERROR(INDEX(Sheet3!G:G,MATCH(A708,Sheet3!A:A,0)),"")</f>
        <v/>
      </c>
      <c r="E708" s="23">
        <f>IFERROR(INDEX(Sheet3!H:H,MATCH(A708,Sheet3!A:A,0)),"")</f>
        <v/>
      </c>
    </row>
    <row r="709">
      <c r="A709" s="19" t="n">
        <v>1729</v>
      </c>
      <c r="B709" s="20">
        <f>IFERROR(INDEX(Sheet1!I:I,MATCH(A709,Sheet1!A:A,0)),"")</f>
        <v/>
      </c>
      <c r="C709" s="21">
        <f>IFERROR(INDEX(Sheet3!D:D,MATCH(A709,Sheet3!A:A,0)),"")</f>
        <v/>
      </c>
      <c r="D709" s="22">
        <f>IFERROR(INDEX(Sheet3!G:G,MATCH(A709,Sheet3!A:A,0)),"")</f>
        <v/>
      </c>
      <c r="E709" s="23">
        <f>IFERROR(INDEX(Sheet3!H:H,MATCH(A709,Sheet3!A:A,0)),"")</f>
        <v/>
      </c>
    </row>
    <row r="710">
      <c r="A710" s="19" t="n">
        <v>1730</v>
      </c>
      <c r="B710" s="20">
        <f>IFERROR(INDEX(Sheet1!I:I,MATCH(A710,Sheet1!A:A,0)),"")</f>
        <v/>
      </c>
      <c r="C710" s="21">
        <f>IFERROR(INDEX(Sheet3!D:D,MATCH(A710,Sheet3!A:A,0)),"")</f>
        <v/>
      </c>
      <c r="D710" s="22">
        <f>IFERROR(INDEX(Sheet3!G:G,MATCH(A710,Sheet3!A:A,0)),"")</f>
        <v/>
      </c>
      <c r="E710" s="23">
        <f>IFERROR(INDEX(Sheet3!H:H,MATCH(A710,Sheet3!A:A,0)),"")</f>
        <v/>
      </c>
    </row>
    <row r="711">
      <c r="A711" s="19" t="n">
        <v>1733</v>
      </c>
      <c r="B711" s="20">
        <f>IFERROR(INDEX(Sheet1!I:I,MATCH(A711,Sheet1!A:A,0)),"")</f>
        <v/>
      </c>
      <c r="C711" s="21">
        <f>IFERROR(INDEX(Sheet3!D:D,MATCH(A711,Sheet3!A:A,0)),"")</f>
        <v/>
      </c>
      <c r="D711" s="22">
        <f>IFERROR(INDEX(Sheet3!G:G,MATCH(A711,Sheet3!A:A,0)),"")</f>
        <v/>
      </c>
      <c r="E711" s="23">
        <f>IFERROR(INDEX(Sheet3!H:H,MATCH(A711,Sheet3!A:A,0)),"")</f>
        <v/>
      </c>
    </row>
    <row r="712">
      <c r="A712" s="19" t="n">
        <v>1737</v>
      </c>
      <c r="B712" s="20">
        <f>IFERROR(INDEX(Sheet1!I:I,MATCH(A712,Sheet1!A:A,0)),"")</f>
        <v/>
      </c>
      <c r="C712" s="21">
        <f>IFERROR(INDEX(Sheet3!D:D,MATCH(A712,Sheet3!A:A,0)),"")</f>
        <v/>
      </c>
      <c r="D712" s="22">
        <f>IFERROR(INDEX(Sheet3!G:G,MATCH(A712,Sheet3!A:A,0)),"")</f>
        <v/>
      </c>
      <c r="E712" s="23">
        <f>IFERROR(INDEX(Sheet3!H:H,MATCH(A712,Sheet3!A:A,0)),"")</f>
        <v/>
      </c>
    </row>
    <row r="713">
      <c r="A713" s="19" t="n">
        <v>1738</v>
      </c>
      <c r="B713" s="20">
        <f>IFERROR(INDEX(Sheet1!I:I,MATCH(A713,Sheet1!A:A,0)),"")</f>
        <v/>
      </c>
      <c r="C713" s="21">
        <f>IFERROR(INDEX(Sheet3!D:D,MATCH(A713,Sheet3!A:A,0)),"")</f>
        <v/>
      </c>
      <c r="D713" s="22">
        <f>IFERROR(INDEX(Sheet3!G:G,MATCH(A713,Sheet3!A:A,0)),"")</f>
        <v/>
      </c>
      <c r="E713" s="23">
        <f>IFERROR(INDEX(Sheet3!H:H,MATCH(A713,Sheet3!A:A,0)),"")</f>
        <v/>
      </c>
    </row>
    <row r="714">
      <c r="A714" s="19" t="n">
        <v>1739</v>
      </c>
      <c r="B714" s="20">
        <f>IFERROR(INDEX(Sheet1!I:I,MATCH(A714,Sheet1!A:A,0)),"")</f>
        <v/>
      </c>
      <c r="C714" s="21">
        <f>IFERROR(INDEX(Sheet3!D:D,MATCH(A714,Sheet3!A:A,0)),"")</f>
        <v/>
      </c>
      <c r="D714" s="22">
        <f>IFERROR(INDEX(Sheet3!G:G,MATCH(A714,Sheet3!A:A,0)),"")</f>
        <v/>
      </c>
      <c r="E714" s="23">
        <f>IFERROR(INDEX(Sheet3!H:H,MATCH(A714,Sheet3!A:A,0)),"")</f>
        <v/>
      </c>
    </row>
    <row r="715">
      <c r="A715" s="19" t="n">
        <v>1740</v>
      </c>
      <c r="B715" s="20">
        <f>IFERROR(INDEX(Sheet1!I:I,MATCH(A715,Sheet1!A:A,0)),"")</f>
        <v/>
      </c>
      <c r="C715" s="21">
        <f>IFERROR(INDEX(Sheet3!D:D,MATCH(A715,Sheet3!A:A,0)),"")</f>
        <v/>
      </c>
      <c r="D715" s="22">
        <f>IFERROR(INDEX(Sheet3!G:G,MATCH(A715,Sheet3!A:A,0)),"")</f>
        <v/>
      </c>
      <c r="E715" s="23">
        <f>IFERROR(INDEX(Sheet3!H:H,MATCH(A715,Sheet3!A:A,0)),"")</f>
        <v/>
      </c>
    </row>
    <row r="716">
      <c r="A716" s="19" t="n">
        <v>1743</v>
      </c>
      <c r="B716" s="20">
        <f>IFERROR(INDEX(Sheet1!I:I,MATCH(A716,Sheet1!A:A,0)),"")</f>
        <v/>
      </c>
      <c r="C716" s="21">
        <f>IFERROR(INDEX(Sheet3!D:D,MATCH(A716,Sheet3!A:A,0)),"")</f>
        <v/>
      </c>
      <c r="D716" s="22">
        <f>IFERROR(INDEX(Sheet3!G:G,MATCH(A716,Sheet3!A:A,0)),"")</f>
        <v/>
      </c>
      <c r="E716" s="23">
        <f>IFERROR(INDEX(Sheet3!H:H,MATCH(A716,Sheet3!A:A,0)),"")</f>
        <v/>
      </c>
    </row>
    <row r="717">
      <c r="A717" s="19" t="n">
        <v>1751</v>
      </c>
      <c r="B717" s="20">
        <f>IFERROR(INDEX(Sheet1!I:I,MATCH(A717,Sheet1!A:A,0)),"")</f>
        <v/>
      </c>
      <c r="C717" s="21">
        <f>IFERROR(INDEX(Sheet3!D:D,MATCH(A717,Sheet3!A:A,0)),"")</f>
        <v/>
      </c>
      <c r="D717" s="22">
        <f>IFERROR(INDEX(Sheet3!G:G,MATCH(A717,Sheet3!A:A,0)),"")</f>
        <v/>
      </c>
      <c r="E717" s="23">
        <f>IFERROR(INDEX(Sheet3!H:H,MATCH(A717,Sheet3!A:A,0)),"")</f>
        <v/>
      </c>
    </row>
    <row r="718">
      <c r="A718" s="19" t="n">
        <v>1754</v>
      </c>
      <c r="B718" s="20">
        <f>IFERROR(INDEX(Sheet1!I:I,MATCH(A718,Sheet1!A:A,0)),"")</f>
        <v/>
      </c>
      <c r="C718" s="21">
        <f>IFERROR(INDEX(Sheet3!D:D,MATCH(A718,Sheet3!A:A,0)),"")</f>
        <v/>
      </c>
      <c r="D718" s="22">
        <f>IFERROR(INDEX(Sheet3!G:G,MATCH(A718,Sheet3!A:A,0)),"")</f>
        <v/>
      </c>
      <c r="E718" s="23">
        <f>IFERROR(INDEX(Sheet3!H:H,MATCH(A718,Sheet3!A:A,0)),"")</f>
        <v/>
      </c>
    </row>
    <row r="719">
      <c r="A719" s="19" t="n">
        <v>1763</v>
      </c>
      <c r="B719" s="20">
        <f>IFERROR(INDEX(Sheet1!I:I,MATCH(A719,Sheet1!A:A,0)),"")</f>
        <v/>
      </c>
      <c r="C719" s="21">
        <f>IFERROR(INDEX(Sheet3!D:D,MATCH(A719,Sheet3!A:A,0)),"")</f>
        <v/>
      </c>
      <c r="D719" s="22">
        <f>IFERROR(INDEX(Sheet3!G:G,MATCH(A719,Sheet3!A:A,0)),"")</f>
        <v/>
      </c>
      <c r="E719" s="23">
        <f>IFERROR(INDEX(Sheet3!H:H,MATCH(A719,Sheet3!A:A,0)),"")</f>
        <v/>
      </c>
    </row>
    <row r="720">
      <c r="A720" s="19" t="n">
        <v>1764</v>
      </c>
      <c r="B720" s="20">
        <f>IFERROR(INDEX(Sheet1!I:I,MATCH(A720,Sheet1!A:A,0)),"")</f>
        <v/>
      </c>
      <c r="C720" s="21">
        <f>IFERROR(INDEX(Sheet3!D:D,MATCH(A720,Sheet3!A:A,0)),"")</f>
        <v/>
      </c>
      <c r="D720" s="22">
        <f>IFERROR(INDEX(Sheet3!G:G,MATCH(A720,Sheet3!A:A,0)),"")</f>
        <v/>
      </c>
      <c r="E720" s="23">
        <f>IFERROR(INDEX(Sheet3!H:H,MATCH(A720,Sheet3!A:A,0)),"")</f>
        <v/>
      </c>
    </row>
    <row r="721">
      <c r="A721" s="19" t="n">
        <v>1766</v>
      </c>
      <c r="B721" s="20">
        <f>IFERROR(INDEX(Sheet1!I:I,MATCH(A721,Sheet1!A:A,0)),"")</f>
        <v/>
      </c>
      <c r="C721" s="21">
        <f>IFERROR(INDEX(Sheet3!D:D,MATCH(A721,Sheet3!A:A,0)),"")</f>
        <v/>
      </c>
      <c r="D721" s="22">
        <f>IFERROR(INDEX(Sheet3!G:G,MATCH(A721,Sheet3!A:A,0)),"")</f>
        <v/>
      </c>
      <c r="E721" s="23">
        <f>IFERROR(INDEX(Sheet3!H:H,MATCH(A721,Sheet3!A:A,0)),"")</f>
        <v/>
      </c>
    </row>
    <row r="722">
      <c r="A722" s="19" t="n">
        <v>1768</v>
      </c>
      <c r="B722" s="20">
        <f>IFERROR(INDEX(Sheet1!I:I,MATCH(A722,Sheet1!A:A,0)),"")</f>
        <v/>
      </c>
      <c r="C722" s="21">
        <f>IFERROR(INDEX(Sheet3!D:D,MATCH(A722,Sheet3!A:A,0)),"")</f>
        <v/>
      </c>
      <c r="D722" s="22">
        <f>IFERROR(INDEX(Sheet3!G:G,MATCH(A722,Sheet3!A:A,0)),"")</f>
        <v/>
      </c>
      <c r="E722" s="23">
        <f>IFERROR(INDEX(Sheet3!H:H,MATCH(A722,Sheet3!A:A,0)),"")</f>
        <v/>
      </c>
    </row>
    <row r="723">
      <c r="A723" s="19" t="n">
        <v>1773</v>
      </c>
      <c r="B723" s="20">
        <f>IFERROR(INDEX(Sheet1!I:I,MATCH(A723,Sheet1!A:A,0)),"")</f>
        <v/>
      </c>
      <c r="C723" s="21">
        <f>IFERROR(INDEX(Sheet3!D:D,MATCH(A723,Sheet3!A:A,0)),"")</f>
        <v/>
      </c>
      <c r="D723" s="22">
        <f>IFERROR(INDEX(Sheet3!G:G,MATCH(A723,Sheet3!A:A,0)),"")</f>
        <v/>
      </c>
      <c r="E723" s="23">
        <f>IFERROR(INDEX(Sheet3!H:H,MATCH(A723,Sheet3!A:A,0)),"")</f>
        <v/>
      </c>
    </row>
    <row r="724">
      <c r="A724" s="19" t="n">
        <v>1774</v>
      </c>
      <c r="B724" s="20">
        <f>IFERROR(INDEX(Sheet1!I:I,MATCH(A724,Sheet1!A:A,0)),"")</f>
        <v/>
      </c>
      <c r="C724" s="21">
        <f>IFERROR(INDEX(Sheet3!D:D,MATCH(A724,Sheet3!A:A,0)),"")</f>
        <v/>
      </c>
      <c r="D724" s="22">
        <f>IFERROR(INDEX(Sheet3!G:G,MATCH(A724,Sheet3!A:A,0)),"")</f>
        <v/>
      </c>
      <c r="E724" s="23">
        <f>IFERROR(INDEX(Sheet3!H:H,MATCH(A724,Sheet3!A:A,0)),"")</f>
        <v/>
      </c>
    </row>
    <row r="725">
      <c r="A725" s="19" t="n">
        <v>1775</v>
      </c>
      <c r="B725" s="20">
        <f>IFERROR(INDEX(Sheet1!I:I,MATCH(A725,Sheet1!A:A,0)),"")</f>
        <v/>
      </c>
      <c r="C725" s="21">
        <f>IFERROR(INDEX(Sheet3!D:D,MATCH(A725,Sheet3!A:A,0)),"")</f>
        <v/>
      </c>
      <c r="D725" s="22">
        <f>IFERROR(INDEX(Sheet3!G:G,MATCH(A725,Sheet3!A:A,0)),"")</f>
        <v/>
      </c>
      <c r="E725" s="23">
        <f>IFERROR(INDEX(Sheet3!H:H,MATCH(A725,Sheet3!A:A,0)),"")</f>
        <v/>
      </c>
    </row>
    <row r="726">
      <c r="A726" s="19" t="n">
        <v>1776</v>
      </c>
      <c r="B726" s="20">
        <f>IFERROR(INDEX(Sheet1!I:I,MATCH(A726,Sheet1!A:A,0)),"")</f>
        <v/>
      </c>
      <c r="C726" s="21">
        <f>IFERROR(INDEX(Sheet3!D:D,MATCH(A726,Sheet3!A:A,0)),"")</f>
        <v/>
      </c>
      <c r="D726" s="22">
        <f>IFERROR(INDEX(Sheet3!G:G,MATCH(A726,Sheet3!A:A,0)),"")</f>
        <v/>
      </c>
      <c r="E726" s="23">
        <f>IFERROR(INDEX(Sheet3!H:H,MATCH(A726,Sheet3!A:A,0)),"")</f>
        <v/>
      </c>
    </row>
    <row r="727">
      <c r="A727" s="19" t="n">
        <v>1778</v>
      </c>
      <c r="B727" s="20">
        <f>IFERROR(INDEX(Sheet1!I:I,MATCH(A727,Sheet1!A:A,0)),"")</f>
        <v/>
      </c>
      <c r="C727" s="21">
        <f>IFERROR(INDEX(Sheet3!D:D,MATCH(A727,Sheet3!A:A,0)),"")</f>
        <v/>
      </c>
      <c r="D727" s="22">
        <f>IFERROR(INDEX(Sheet3!G:G,MATCH(A727,Sheet3!A:A,0)),"")</f>
        <v/>
      </c>
      <c r="E727" s="23">
        <f>IFERROR(INDEX(Sheet3!H:H,MATCH(A727,Sheet3!A:A,0)),"")</f>
        <v/>
      </c>
    </row>
    <row r="728">
      <c r="A728" s="19" t="n">
        <v>1781</v>
      </c>
      <c r="B728" s="20">
        <f>IFERROR(INDEX(Sheet1!I:I,MATCH(A728,Sheet1!A:A,0)),"")</f>
        <v/>
      </c>
      <c r="C728" s="21">
        <f>IFERROR(INDEX(Sheet3!D:D,MATCH(A728,Sheet3!A:A,0)),"")</f>
        <v/>
      </c>
      <c r="D728" s="22">
        <f>IFERROR(INDEX(Sheet3!G:G,MATCH(A728,Sheet3!A:A,0)),"")</f>
        <v/>
      </c>
      <c r="E728" s="23">
        <f>IFERROR(INDEX(Sheet3!H:H,MATCH(A728,Sheet3!A:A,0)),"")</f>
        <v/>
      </c>
    </row>
    <row r="729">
      <c r="A729" s="19" t="n">
        <v>1782</v>
      </c>
      <c r="B729" s="20">
        <f>IFERROR(INDEX(Sheet1!I:I,MATCH(A729,Sheet1!A:A,0)),"")</f>
        <v/>
      </c>
      <c r="C729" s="21">
        <f>IFERROR(INDEX(Sheet3!D:D,MATCH(A729,Sheet3!A:A,0)),"")</f>
        <v/>
      </c>
      <c r="D729" s="22">
        <f>IFERROR(INDEX(Sheet3!G:G,MATCH(A729,Sheet3!A:A,0)),"")</f>
        <v/>
      </c>
      <c r="E729" s="23">
        <f>IFERROR(INDEX(Sheet3!H:H,MATCH(A729,Sheet3!A:A,0)),"")</f>
        <v/>
      </c>
    </row>
    <row r="730">
      <c r="A730" s="19" t="n">
        <v>1784</v>
      </c>
      <c r="B730" s="20">
        <f>IFERROR(INDEX(Sheet1!I:I,MATCH(A730,Sheet1!A:A,0)),"")</f>
        <v/>
      </c>
      <c r="C730" s="21">
        <f>IFERROR(INDEX(Sheet3!D:D,MATCH(A730,Sheet3!A:A,0)),"")</f>
        <v/>
      </c>
      <c r="D730" s="22">
        <f>IFERROR(INDEX(Sheet3!G:G,MATCH(A730,Sheet3!A:A,0)),"")</f>
        <v/>
      </c>
      <c r="E730" s="23">
        <f>IFERROR(INDEX(Sheet3!H:H,MATCH(A730,Sheet3!A:A,0)),"")</f>
        <v/>
      </c>
    </row>
    <row r="731">
      <c r="A731" s="19" t="n">
        <v>1785</v>
      </c>
      <c r="B731" s="20">
        <f>IFERROR(INDEX(Sheet1!I:I,MATCH(A731,Sheet1!A:A,0)),"")</f>
        <v/>
      </c>
      <c r="C731" s="21">
        <f>IFERROR(INDEX(Sheet3!D:D,MATCH(A731,Sheet3!A:A,0)),"")</f>
        <v/>
      </c>
      <c r="D731" s="22">
        <f>IFERROR(INDEX(Sheet3!G:G,MATCH(A731,Sheet3!A:A,0)),"")</f>
        <v/>
      </c>
      <c r="E731" s="23">
        <f>IFERROR(INDEX(Sheet3!H:H,MATCH(A731,Sheet3!A:A,0)),"")</f>
        <v/>
      </c>
    </row>
    <row r="732">
      <c r="A732" s="19" t="n">
        <v>1794</v>
      </c>
      <c r="B732" s="20">
        <f>IFERROR(INDEX(Sheet1!I:I,MATCH(A732,Sheet1!A:A,0)),"")</f>
        <v/>
      </c>
      <c r="C732" s="21">
        <f>IFERROR(INDEX(Sheet3!D:D,MATCH(A732,Sheet3!A:A,0)),"")</f>
        <v/>
      </c>
      <c r="D732" s="22">
        <f>IFERROR(INDEX(Sheet3!G:G,MATCH(A732,Sheet3!A:A,0)),"")</f>
        <v/>
      </c>
      <c r="E732" s="23">
        <f>IFERROR(INDEX(Sheet3!H:H,MATCH(A732,Sheet3!A:A,0)),"")</f>
        <v/>
      </c>
    </row>
    <row r="733">
      <c r="A733" s="19" t="n">
        <v>1804</v>
      </c>
      <c r="B733" s="20">
        <f>IFERROR(INDEX(Sheet1!I:I,MATCH(A733,Sheet1!A:A,0)),"")</f>
        <v/>
      </c>
      <c r="C733" s="21">
        <f>IFERROR(INDEX(Sheet3!D:D,MATCH(A733,Sheet3!A:A,0)),"")</f>
        <v/>
      </c>
      <c r="D733" s="22">
        <f>IFERROR(INDEX(Sheet3!G:G,MATCH(A733,Sheet3!A:A,0)),"")</f>
        <v/>
      </c>
      <c r="E733" s="23">
        <f>IFERROR(INDEX(Sheet3!H:H,MATCH(A733,Sheet3!A:A,0)),"")</f>
        <v/>
      </c>
    </row>
    <row r="734">
      <c r="A734" s="19" t="n">
        <v>1805</v>
      </c>
      <c r="B734" s="20">
        <f>IFERROR(INDEX(Sheet1!I:I,MATCH(A734,Sheet1!A:A,0)),"")</f>
        <v/>
      </c>
      <c r="C734" s="21">
        <f>IFERROR(INDEX(Sheet3!D:D,MATCH(A734,Sheet3!A:A,0)),"")</f>
        <v/>
      </c>
      <c r="D734" s="22">
        <f>IFERROR(INDEX(Sheet3!G:G,MATCH(A734,Sheet3!A:A,0)),"")</f>
        <v/>
      </c>
      <c r="E734" s="23">
        <f>IFERROR(INDEX(Sheet3!H:H,MATCH(A734,Sheet3!A:A,0)),"")</f>
        <v/>
      </c>
    </row>
    <row r="735">
      <c r="A735" s="19" t="n">
        <v>1813</v>
      </c>
      <c r="B735" s="20">
        <f>IFERROR(INDEX(Sheet1!I:I,MATCH(A735,Sheet1!A:A,0)),"")</f>
        <v/>
      </c>
      <c r="C735" s="21">
        <f>IFERROR(INDEX(Sheet3!D:D,MATCH(A735,Sheet3!A:A,0)),"")</f>
        <v/>
      </c>
      <c r="D735" s="22">
        <f>IFERROR(INDEX(Sheet3!G:G,MATCH(A735,Sheet3!A:A,0)),"")</f>
        <v/>
      </c>
      <c r="E735" s="23">
        <f>IFERROR(INDEX(Sheet3!H:H,MATCH(A735,Sheet3!A:A,0)),"")</f>
        <v/>
      </c>
    </row>
    <row r="736">
      <c r="A736" s="19" t="n">
        <v>1816</v>
      </c>
      <c r="B736" s="20">
        <f>IFERROR(INDEX(Sheet1!I:I,MATCH(A736,Sheet1!A:A,0)),"")</f>
        <v/>
      </c>
      <c r="C736" s="21">
        <f>IFERROR(INDEX(Sheet3!D:D,MATCH(A736,Sheet3!A:A,0)),"")</f>
        <v/>
      </c>
      <c r="D736" s="22">
        <f>IFERROR(INDEX(Sheet3!G:G,MATCH(A736,Sheet3!A:A,0)),"")</f>
        <v/>
      </c>
      <c r="E736" s="23">
        <f>IFERROR(INDEX(Sheet3!H:H,MATCH(A736,Sheet3!A:A,0)),"")</f>
        <v/>
      </c>
    </row>
    <row r="737">
      <c r="A737" s="19" t="n">
        <v>1817</v>
      </c>
      <c r="B737" s="20">
        <f>IFERROR(INDEX(Sheet1!I:I,MATCH(A737,Sheet1!A:A,0)),"")</f>
        <v/>
      </c>
      <c r="C737" s="21">
        <f>IFERROR(INDEX(Sheet3!D:D,MATCH(A737,Sheet3!A:A,0)),"")</f>
        <v/>
      </c>
      <c r="D737" s="22">
        <f>IFERROR(INDEX(Sheet3!G:G,MATCH(A737,Sheet3!A:A,0)),"")</f>
        <v/>
      </c>
      <c r="E737" s="23">
        <f>IFERROR(INDEX(Sheet3!H:H,MATCH(A737,Sheet3!A:A,0)),"")</f>
        <v/>
      </c>
    </row>
    <row r="738">
      <c r="A738" s="19" t="n">
        <v>1821</v>
      </c>
      <c r="B738" s="20">
        <f>IFERROR(INDEX(Sheet1!I:I,MATCH(A738,Sheet1!A:A,0)),"")</f>
        <v/>
      </c>
      <c r="C738" s="21">
        <f>IFERROR(INDEX(Sheet3!D:D,MATCH(A738,Sheet3!A:A,0)),"")</f>
        <v/>
      </c>
      <c r="D738" s="22">
        <f>IFERROR(INDEX(Sheet3!G:G,MATCH(A738,Sheet3!A:A,0)),"")</f>
        <v/>
      </c>
      <c r="E738" s="23">
        <f>IFERROR(INDEX(Sheet3!H:H,MATCH(A738,Sheet3!A:A,0)),"")</f>
        <v/>
      </c>
    </row>
    <row r="739">
      <c r="A739" s="19" t="n">
        <v>1822</v>
      </c>
      <c r="B739" s="20">
        <f>IFERROR(INDEX(Sheet1!I:I,MATCH(A739,Sheet1!A:A,0)),"")</f>
        <v/>
      </c>
      <c r="C739" s="21">
        <f>IFERROR(INDEX(Sheet3!D:D,MATCH(A739,Sheet3!A:A,0)),"")</f>
        <v/>
      </c>
      <c r="D739" s="22">
        <f>IFERROR(INDEX(Sheet3!G:G,MATCH(A739,Sheet3!A:A,0)),"")</f>
        <v/>
      </c>
      <c r="E739" s="23">
        <f>IFERROR(INDEX(Sheet3!H:H,MATCH(A739,Sheet3!A:A,0)),"")</f>
        <v/>
      </c>
    </row>
    <row r="740">
      <c r="A740" s="19" t="n">
        <v>1829</v>
      </c>
      <c r="B740" s="20">
        <f>IFERROR(INDEX(Sheet1!I:I,MATCH(A740,Sheet1!A:A,0)),"")</f>
        <v/>
      </c>
      <c r="C740" s="21">
        <f>IFERROR(INDEX(Sheet3!D:D,MATCH(A740,Sheet3!A:A,0)),"")</f>
        <v/>
      </c>
      <c r="D740" s="22">
        <f>IFERROR(INDEX(Sheet3!G:G,MATCH(A740,Sheet3!A:A,0)),"")</f>
        <v/>
      </c>
      <c r="E740" s="23">
        <f>IFERROR(INDEX(Sheet3!H:H,MATCH(A740,Sheet3!A:A,0)),"")</f>
        <v/>
      </c>
    </row>
    <row r="741">
      <c r="A741" s="19" t="n">
        <v>1830</v>
      </c>
      <c r="B741" s="20">
        <f>IFERROR(INDEX(Sheet1!I:I,MATCH(A741,Sheet1!A:A,0)),"")</f>
        <v/>
      </c>
      <c r="C741" s="21">
        <f>IFERROR(INDEX(Sheet3!D:D,MATCH(A741,Sheet3!A:A,0)),"")</f>
        <v/>
      </c>
      <c r="D741" s="22">
        <f>IFERROR(INDEX(Sheet3!G:G,MATCH(A741,Sheet3!A:A,0)),"")</f>
        <v/>
      </c>
      <c r="E741" s="23">
        <f>IFERROR(INDEX(Sheet3!H:H,MATCH(A741,Sheet3!A:A,0)),"")</f>
        <v/>
      </c>
    </row>
    <row r="742">
      <c r="A742" s="19" t="n">
        <v>1832</v>
      </c>
      <c r="B742" s="20">
        <f>IFERROR(INDEX(Sheet1!I:I,MATCH(A742,Sheet1!A:A,0)),"")</f>
        <v/>
      </c>
      <c r="C742" s="21">
        <f>IFERROR(INDEX(Sheet3!D:D,MATCH(A742,Sheet3!A:A,0)),"")</f>
        <v/>
      </c>
      <c r="D742" s="22">
        <f>IFERROR(INDEX(Sheet3!G:G,MATCH(A742,Sheet3!A:A,0)),"")</f>
        <v/>
      </c>
      <c r="E742" s="23">
        <f>IFERROR(INDEX(Sheet3!H:H,MATCH(A742,Sheet3!A:A,0)),"")</f>
        <v/>
      </c>
    </row>
    <row r="743">
      <c r="A743" s="19" t="n">
        <v>1833</v>
      </c>
      <c r="B743" s="20">
        <f>IFERROR(INDEX(Sheet1!I:I,MATCH(A743,Sheet1!A:A,0)),"")</f>
        <v/>
      </c>
      <c r="C743" s="21">
        <f>IFERROR(INDEX(Sheet3!D:D,MATCH(A743,Sheet3!A:A,0)),"")</f>
        <v/>
      </c>
      <c r="D743" s="22">
        <f>IFERROR(INDEX(Sheet3!G:G,MATCH(A743,Sheet3!A:A,0)),"")</f>
        <v/>
      </c>
      <c r="E743" s="23">
        <f>IFERROR(INDEX(Sheet3!H:H,MATCH(A743,Sheet3!A:A,0)),"")</f>
        <v/>
      </c>
    </row>
    <row r="744">
      <c r="A744" s="19" t="n">
        <v>1834</v>
      </c>
      <c r="B744" s="20">
        <f>IFERROR(INDEX(Sheet1!I:I,MATCH(A744,Sheet1!A:A,0)),"")</f>
        <v/>
      </c>
      <c r="C744" s="21">
        <f>IFERROR(INDEX(Sheet3!D:D,MATCH(A744,Sheet3!A:A,0)),"")</f>
        <v/>
      </c>
      <c r="D744" s="22">
        <f>IFERROR(INDEX(Sheet3!G:G,MATCH(A744,Sheet3!A:A,0)),"")</f>
        <v/>
      </c>
      <c r="E744" s="23">
        <f>IFERROR(INDEX(Sheet3!H:H,MATCH(A744,Sheet3!A:A,0)),"")</f>
        <v/>
      </c>
    </row>
    <row r="745">
      <c r="A745" s="19" t="n">
        <v>1836</v>
      </c>
      <c r="B745" s="20">
        <f>IFERROR(INDEX(Sheet1!I:I,MATCH(A745,Sheet1!A:A,0)),"")</f>
        <v/>
      </c>
      <c r="C745" s="21">
        <f>IFERROR(INDEX(Sheet3!D:D,MATCH(A745,Sheet3!A:A,0)),"")</f>
        <v/>
      </c>
      <c r="D745" s="22">
        <f>IFERROR(INDEX(Sheet3!G:G,MATCH(A745,Sheet3!A:A,0)),"")</f>
        <v/>
      </c>
      <c r="E745" s="23">
        <f>IFERROR(INDEX(Sheet3!H:H,MATCH(A745,Sheet3!A:A,0)),"")</f>
        <v/>
      </c>
    </row>
    <row r="746">
      <c r="A746" s="19" t="n">
        <v>1837</v>
      </c>
      <c r="B746" s="20">
        <f>IFERROR(INDEX(Sheet1!I:I,MATCH(A746,Sheet1!A:A,0)),"")</f>
        <v/>
      </c>
      <c r="C746" s="21">
        <f>IFERROR(INDEX(Sheet3!D:D,MATCH(A746,Sheet3!A:A,0)),"")</f>
        <v/>
      </c>
      <c r="D746" s="22">
        <f>IFERROR(INDEX(Sheet3!G:G,MATCH(A746,Sheet3!A:A,0)),"")</f>
        <v/>
      </c>
      <c r="E746" s="23">
        <f>IFERROR(INDEX(Sheet3!H:H,MATCH(A746,Sheet3!A:A,0)),"")</f>
        <v/>
      </c>
    </row>
    <row r="747">
      <c r="A747" s="19" t="n">
        <v>1839</v>
      </c>
      <c r="B747" s="20">
        <f>IFERROR(INDEX(Sheet1!I:I,MATCH(A747,Sheet1!A:A,0)),"")</f>
        <v/>
      </c>
      <c r="C747" s="21">
        <f>IFERROR(INDEX(Sheet3!D:D,MATCH(A747,Sheet3!A:A,0)),"")</f>
        <v/>
      </c>
      <c r="D747" s="22">
        <f>IFERROR(INDEX(Sheet3!G:G,MATCH(A747,Sheet3!A:A,0)),"")</f>
        <v/>
      </c>
      <c r="E747" s="23">
        <f>IFERROR(INDEX(Sheet3!H:H,MATCH(A747,Sheet3!A:A,0)),"")</f>
        <v/>
      </c>
    </row>
    <row r="748">
      <c r="A748" s="19" t="n">
        <v>1840</v>
      </c>
      <c r="B748" s="20">
        <f>IFERROR(INDEX(Sheet1!I:I,MATCH(A748,Sheet1!A:A,0)),"")</f>
        <v/>
      </c>
      <c r="C748" s="21">
        <f>IFERROR(INDEX(Sheet3!D:D,MATCH(A748,Sheet3!A:A,0)),"")</f>
        <v/>
      </c>
      <c r="D748" s="22">
        <f>IFERROR(INDEX(Sheet3!G:G,MATCH(A748,Sheet3!A:A,0)),"")</f>
        <v/>
      </c>
      <c r="E748" s="23">
        <f>IFERROR(INDEX(Sheet3!H:H,MATCH(A748,Sheet3!A:A,0)),"")</f>
        <v/>
      </c>
    </row>
    <row r="749">
      <c r="A749" s="19" t="n">
        <v>1842</v>
      </c>
      <c r="B749" s="20">
        <f>IFERROR(INDEX(Sheet1!I:I,MATCH(A749,Sheet1!A:A,0)),"")</f>
        <v/>
      </c>
      <c r="C749" s="21">
        <f>IFERROR(INDEX(Sheet3!D:D,MATCH(A749,Sheet3!A:A,0)),"")</f>
        <v/>
      </c>
      <c r="D749" s="22">
        <f>IFERROR(INDEX(Sheet3!G:G,MATCH(A749,Sheet3!A:A,0)),"")</f>
        <v/>
      </c>
      <c r="E749" s="23">
        <f>IFERROR(INDEX(Sheet3!H:H,MATCH(A749,Sheet3!A:A,0)),"")</f>
        <v/>
      </c>
    </row>
    <row r="750">
      <c r="A750" s="19" t="n">
        <v>1843</v>
      </c>
      <c r="B750" s="20">
        <f>IFERROR(INDEX(Sheet1!I:I,MATCH(A750,Sheet1!A:A,0)),"")</f>
        <v/>
      </c>
      <c r="C750" s="21">
        <f>IFERROR(INDEX(Sheet3!D:D,MATCH(A750,Sheet3!A:A,0)),"")</f>
        <v/>
      </c>
      <c r="D750" s="22">
        <f>IFERROR(INDEX(Sheet3!G:G,MATCH(A750,Sheet3!A:A,0)),"")</f>
        <v/>
      </c>
      <c r="E750" s="23">
        <f>IFERROR(INDEX(Sheet3!H:H,MATCH(A750,Sheet3!A:A,0)),"")</f>
        <v/>
      </c>
    </row>
    <row r="751">
      <c r="A751" s="19" t="n">
        <v>1844</v>
      </c>
      <c r="B751" s="20">
        <f>IFERROR(INDEX(Sheet1!I:I,MATCH(A751,Sheet1!A:A,0)),"")</f>
        <v/>
      </c>
      <c r="C751" s="21">
        <f>IFERROR(INDEX(Sheet3!D:D,MATCH(A751,Sheet3!A:A,0)),"")</f>
        <v/>
      </c>
      <c r="D751" s="22">
        <f>IFERROR(INDEX(Sheet3!G:G,MATCH(A751,Sheet3!A:A,0)),"")</f>
        <v/>
      </c>
      <c r="E751" s="23">
        <f>IFERROR(INDEX(Sheet3!H:H,MATCH(A751,Sheet3!A:A,0)),"")</f>
        <v/>
      </c>
    </row>
    <row r="752">
      <c r="A752" s="19" t="n">
        <v>1847</v>
      </c>
      <c r="B752" s="20">
        <f>IFERROR(INDEX(Sheet1!I:I,MATCH(A752,Sheet1!A:A,0)),"")</f>
        <v/>
      </c>
      <c r="C752" s="21">
        <f>IFERROR(INDEX(Sheet3!D:D,MATCH(A752,Sheet3!A:A,0)),"")</f>
        <v/>
      </c>
      <c r="D752" s="22">
        <f>IFERROR(INDEX(Sheet3!G:G,MATCH(A752,Sheet3!A:A,0)),"")</f>
        <v/>
      </c>
      <c r="E752" s="23">
        <f>IFERROR(INDEX(Sheet3!H:H,MATCH(A752,Sheet3!A:A,0)),"")</f>
        <v/>
      </c>
    </row>
    <row r="753">
      <c r="A753" s="19" t="n">
        <v>1848</v>
      </c>
      <c r="B753" s="20">
        <f>IFERROR(INDEX(Sheet1!I:I,MATCH(A753,Sheet1!A:A,0)),"")</f>
        <v/>
      </c>
      <c r="C753" s="21">
        <f>IFERROR(INDEX(Sheet3!D:D,MATCH(A753,Sheet3!A:A,0)),"")</f>
        <v/>
      </c>
      <c r="D753" s="22">
        <f>IFERROR(INDEX(Sheet3!G:G,MATCH(A753,Sheet3!A:A,0)),"")</f>
        <v/>
      </c>
      <c r="E753" s="23">
        <f>IFERROR(INDEX(Sheet3!H:H,MATCH(A753,Sheet3!A:A,0)),"")</f>
        <v/>
      </c>
    </row>
    <row r="754">
      <c r="A754" s="19" t="n">
        <v>1850</v>
      </c>
      <c r="B754" s="20">
        <f>IFERROR(INDEX(Sheet1!I:I,MATCH(A754,Sheet1!A:A,0)),"")</f>
        <v/>
      </c>
      <c r="C754" s="21">
        <f>IFERROR(INDEX(Sheet3!D:D,MATCH(A754,Sheet3!A:A,0)),"")</f>
        <v/>
      </c>
      <c r="D754" s="22">
        <f>IFERROR(INDEX(Sheet3!G:G,MATCH(A754,Sheet3!A:A,0)),"")</f>
        <v/>
      </c>
      <c r="E754" s="23">
        <f>IFERROR(INDEX(Sheet3!H:H,MATCH(A754,Sheet3!A:A,0)),"")</f>
        <v/>
      </c>
    </row>
    <row r="755">
      <c r="A755" s="19" t="n">
        <v>1853</v>
      </c>
      <c r="B755" s="20">
        <f>IFERROR(INDEX(Sheet1!I:I,MATCH(A755,Sheet1!A:A,0)),"")</f>
        <v/>
      </c>
      <c r="C755" s="21">
        <f>IFERROR(INDEX(Sheet3!D:D,MATCH(A755,Sheet3!A:A,0)),"")</f>
        <v/>
      </c>
      <c r="D755" s="22">
        <f>IFERROR(INDEX(Sheet3!G:G,MATCH(A755,Sheet3!A:A,0)),"")</f>
        <v/>
      </c>
      <c r="E755" s="23">
        <f>IFERROR(INDEX(Sheet3!H:H,MATCH(A755,Sheet3!A:A,0)),"")</f>
        <v/>
      </c>
    </row>
    <row r="756">
      <c r="A756" s="19" t="n">
        <v>1854</v>
      </c>
      <c r="B756" s="20">
        <f>IFERROR(INDEX(Sheet1!I:I,MATCH(A756,Sheet1!A:A,0)),"")</f>
        <v/>
      </c>
      <c r="C756" s="21">
        <f>IFERROR(INDEX(Sheet3!D:D,MATCH(A756,Sheet3!A:A,0)),"")</f>
        <v/>
      </c>
      <c r="D756" s="22">
        <f>IFERROR(INDEX(Sheet3!G:G,MATCH(A756,Sheet3!A:A,0)),"")</f>
        <v/>
      </c>
      <c r="E756" s="23">
        <f>IFERROR(INDEX(Sheet3!H:H,MATCH(A756,Sheet3!A:A,0)),"")</f>
        <v/>
      </c>
    </row>
    <row r="757">
      <c r="A757" s="19" t="n">
        <v>1855</v>
      </c>
      <c r="B757" s="20">
        <f>IFERROR(INDEX(Sheet1!I:I,MATCH(A757,Sheet1!A:A,0)),"")</f>
        <v/>
      </c>
      <c r="C757" s="21">
        <f>IFERROR(INDEX(Sheet3!D:D,MATCH(A757,Sheet3!A:A,0)),"")</f>
        <v/>
      </c>
      <c r="D757" s="22">
        <f>IFERROR(INDEX(Sheet3!G:G,MATCH(A757,Sheet3!A:A,0)),"")</f>
        <v/>
      </c>
      <c r="E757" s="23">
        <f>IFERROR(INDEX(Sheet3!H:H,MATCH(A757,Sheet3!A:A,0)),"")</f>
        <v/>
      </c>
    </row>
    <row r="758">
      <c r="A758" s="19" t="n">
        <v>1859</v>
      </c>
      <c r="B758" s="20">
        <f>IFERROR(INDEX(Sheet1!I:I,MATCH(A758,Sheet1!A:A,0)),"")</f>
        <v/>
      </c>
      <c r="C758" s="21">
        <f>IFERROR(INDEX(Sheet3!D:D,MATCH(A758,Sheet3!A:A,0)),"")</f>
        <v/>
      </c>
      <c r="D758" s="22">
        <f>IFERROR(INDEX(Sheet3!G:G,MATCH(A758,Sheet3!A:A,0)),"")</f>
        <v/>
      </c>
      <c r="E758" s="23">
        <f>IFERROR(INDEX(Sheet3!H:H,MATCH(A758,Sheet3!A:A,0)),"")</f>
        <v/>
      </c>
    </row>
    <row r="759">
      <c r="A759" s="19" t="n">
        <v>1864</v>
      </c>
      <c r="B759" s="20">
        <f>IFERROR(INDEX(Sheet1!I:I,MATCH(A759,Sheet1!A:A,0)),"")</f>
        <v/>
      </c>
      <c r="C759" s="21">
        <f>IFERROR(INDEX(Sheet3!D:D,MATCH(A759,Sheet3!A:A,0)),"")</f>
        <v/>
      </c>
      <c r="D759" s="22">
        <f>IFERROR(INDEX(Sheet3!G:G,MATCH(A759,Sheet3!A:A,0)),"")</f>
        <v/>
      </c>
      <c r="E759" s="23">
        <f>IFERROR(INDEX(Sheet3!H:H,MATCH(A759,Sheet3!A:A,0)),"")</f>
        <v/>
      </c>
    </row>
    <row r="760">
      <c r="A760" s="19" t="n">
        <v>1867</v>
      </c>
      <c r="B760" s="20">
        <f>IFERROR(INDEX(Sheet1!I:I,MATCH(A760,Sheet1!A:A,0)),"")</f>
        <v/>
      </c>
      <c r="C760" s="21">
        <f>IFERROR(INDEX(Sheet3!D:D,MATCH(A760,Sheet3!A:A,0)),"")</f>
        <v/>
      </c>
      <c r="D760" s="22">
        <f>IFERROR(INDEX(Sheet3!G:G,MATCH(A760,Sheet3!A:A,0)),"")</f>
        <v/>
      </c>
      <c r="E760" s="23">
        <f>IFERROR(INDEX(Sheet3!H:H,MATCH(A760,Sheet3!A:A,0)),"")</f>
        <v/>
      </c>
    </row>
    <row r="761">
      <c r="A761" s="19" t="n">
        <v>1870</v>
      </c>
      <c r="B761" s="20">
        <f>IFERROR(INDEX(Sheet1!I:I,MATCH(A761,Sheet1!A:A,0)),"")</f>
        <v/>
      </c>
      <c r="C761" s="21">
        <f>IFERROR(INDEX(Sheet3!D:D,MATCH(A761,Sheet3!A:A,0)),"")</f>
        <v/>
      </c>
      <c r="D761" s="22">
        <f>IFERROR(INDEX(Sheet3!G:G,MATCH(A761,Sheet3!A:A,0)),"")</f>
        <v/>
      </c>
      <c r="E761" s="23">
        <f>IFERROR(INDEX(Sheet3!H:H,MATCH(A761,Sheet3!A:A,0)),"")</f>
        <v/>
      </c>
    </row>
    <row r="762">
      <c r="A762" s="19" t="n">
        <v>1871</v>
      </c>
      <c r="B762" s="20">
        <f>IFERROR(INDEX(Sheet1!I:I,MATCH(A762,Sheet1!A:A,0)),"")</f>
        <v/>
      </c>
      <c r="C762" s="21">
        <f>IFERROR(INDEX(Sheet3!D:D,MATCH(A762,Sheet3!A:A,0)),"")</f>
        <v/>
      </c>
      <c r="D762" s="22">
        <f>IFERROR(INDEX(Sheet3!G:G,MATCH(A762,Sheet3!A:A,0)),"")</f>
        <v/>
      </c>
      <c r="E762" s="23">
        <f>IFERROR(INDEX(Sheet3!H:H,MATCH(A762,Sheet3!A:A,0)),"")</f>
        <v/>
      </c>
    </row>
    <row r="763">
      <c r="A763" s="19" t="n">
        <v>1872</v>
      </c>
      <c r="B763" s="20">
        <f>IFERROR(INDEX(Sheet1!I:I,MATCH(A763,Sheet1!A:A,0)),"")</f>
        <v/>
      </c>
      <c r="C763" s="21">
        <f>IFERROR(INDEX(Sheet3!D:D,MATCH(A763,Sheet3!A:A,0)),"")</f>
        <v/>
      </c>
      <c r="D763" s="22">
        <f>IFERROR(INDEX(Sheet3!G:G,MATCH(A763,Sheet3!A:A,0)),"")</f>
        <v/>
      </c>
      <c r="E763" s="23">
        <f>IFERROR(INDEX(Sheet3!H:H,MATCH(A763,Sheet3!A:A,0)),"")</f>
        <v/>
      </c>
    </row>
    <row r="764">
      <c r="A764" s="19" t="n">
        <v>1877</v>
      </c>
      <c r="B764" s="20">
        <f>IFERROR(INDEX(Sheet1!I:I,MATCH(A764,Sheet1!A:A,0)),"")</f>
        <v/>
      </c>
      <c r="C764" s="21">
        <f>IFERROR(INDEX(Sheet3!D:D,MATCH(A764,Sheet3!A:A,0)),"")</f>
        <v/>
      </c>
      <c r="D764" s="22">
        <f>IFERROR(INDEX(Sheet3!G:G,MATCH(A764,Sheet3!A:A,0)),"")</f>
        <v/>
      </c>
      <c r="E764" s="23">
        <f>IFERROR(INDEX(Sheet3!H:H,MATCH(A764,Sheet3!A:A,0)),"")</f>
        <v/>
      </c>
    </row>
    <row r="765">
      <c r="A765" s="19" t="n">
        <v>1878</v>
      </c>
      <c r="B765" s="20">
        <f>IFERROR(INDEX(Sheet1!I:I,MATCH(A765,Sheet1!A:A,0)),"")</f>
        <v/>
      </c>
      <c r="C765" s="21">
        <f>IFERROR(INDEX(Sheet3!D:D,MATCH(A765,Sheet3!A:A,0)),"")</f>
        <v/>
      </c>
      <c r="D765" s="22">
        <f>IFERROR(INDEX(Sheet3!G:G,MATCH(A765,Sheet3!A:A,0)),"")</f>
        <v/>
      </c>
      <c r="E765" s="23">
        <f>IFERROR(INDEX(Sheet3!H:H,MATCH(A765,Sheet3!A:A,0)),"")</f>
        <v/>
      </c>
    </row>
    <row r="766">
      <c r="A766" s="19" t="n">
        <v>1883</v>
      </c>
      <c r="B766" s="20">
        <f>IFERROR(INDEX(Sheet1!I:I,MATCH(A766,Sheet1!A:A,0)),"")</f>
        <v/>
      </c>
      <c r="C766" s="21">
        <f>IFERROR(INDEX(Sheet3!D:D,MATCH(A766,Sheet3!A:A,0)),"")</f>
        <v/>
      </c>
      <c r="D766" s="22">
        <f>IFERROR(INDEX(Sheet3!G:G,MATCH(A766,Sheet3!A:A,0)),"")</f>
        <v/>
      </c>
      <c r="E766" s="23">
        <f>IFERROR(INDEX(Sheet3!H:H,MATCH(A766,Sheet3!A:A,0)),"")</f>
        <v/>
      </c>
    </row>
    <row r="767">
      <c r="A767" s="19" t="n">
        <v>1885</v>
      </c>
      <c r="B767" s="20">
        <f>IFERROR(INDEX(Sheet1!I:I,MATCH(A767,Sheet1!A:A,0)),"")</f>
        <v/>
      </c>
      <c r="C767" s="21">
        <f>IFERROR(INDEX(Sheet3!D:D,MATCH(A767,Sheet3!A:A,0)),"")</f>
        <v/>
      </c>
      <c r="D767" s="22">
        <f>IFERROR(INDEX(Sheet3!G:G,MATCH(A767,Sheet3!A:A,0)),"")</f>
        <v/>
      </c>
      <c r="E767" s="23">
        <f>IFERROR(INDEX(Sheet3!H:H,MATCH(A767,Sheet3!A:A,0)),"")</f>
        <v/>
      </c>
    </row>
    <row r="768">
      <c r="A768" s="19" t="n">
        <v>1886</v>
      </c>
      <c r="B768" s="20">
        <f>IFERROR(INDEX(Sheet1!I:I,MATCH(A768,Sheet1!A:A,0)),"")</f>
        <v/>
      </c>
      <c r="C768" s="21">
        <f>IFERROR(INDEX(Sheet3!D:D,MATCH(A768,Sheet3!A:A,0)),"")</f>
        <v/>
      </c>
      <c r="D768" s="22">
        <f>IFERROR(INDEX(Sheet3!G:G,MATCH(A768,Sheet3!A:A,0)),"")</f>
        <v/>
      </c>
      <c r="E768" s="23">
        <f>IFERROR(INDEX(Sheet3!H:H,MATCH(A768,Sheet3!A:A,0)),"")</f>
        <v/>
      </c>
    </row>
    <row r="769">
      <c r="A769" s="19" t="n">
        <v>1887</v>
      </c>
      <c r="B769" s="20">
        <f>IFERROR(INDEX(Sheet1!I:I,MATCH(A769,Sheet1!A:A,0)),"")</f>
        <v/>
      </c>
      <c r="C769" s="21">
        <f>IFERROR(INDEX(Sheet3!D:D,MATCH(A769,Sheet3!A:A,0)),"")</f>
        <v/>
      </c>
      <c r="D769" s="22">
        <f>IFERROR(INDEX(Sheet3!G:G,MATCH(A769,Sheet3!A:A,0)),"")</f>
        <v/>
      </c>
      <c r="E769" s="23">
        <f>IFERROR(INDEX(Sheet3!H:H,MATCH(A769,Sheet3!A:A,0)),"")</f>
        <v/>
      </c>
    </row>
    <row r="770">
      <c r="A770" s="19" t="n">
        <v>1888</v>
      </c>
      <c r="B770" s="20">
        <f>IFERROR(INDEX(Sheet1!I:I,MATCH(A770,Sheet1!A:A,0)),"")</f>
        <v/>
      </c>
      <c r="C770" s="21">
        <f>IFERROR(INDEX(Sheet3!D:D,MATCH(A770,Sheet3!A:A,0)),"")</f>
        <v/>
      </c>
      <c r="D770" s="22">
        <f>IFERROR(INDEX(Sheet3!G:G,MATCH(A770,Sheet3!A:A,0)),"")</f>
        <v/>
      </c>
      <c r="E770" s="23">
        <f>IFERROR(INDEX(Sheet3!H:H,MATCH(A770,Sheet3!A:A,0)),"")</f>
        <v/>
      </c>
    </row>
    <row r="771">
      <c r="A771" s="19" t="n">
        <v>1889</v>
      </c>
      <c r="B771" s="20">
        <f>IFERROR(INDEX(Sheet1!I:I,MATCH(A771,Sheet1!A:A,0)),"")</f>
        <v/>
      </c>
      <c r="C771" s="21">
        <f>IFERROR(INDEX(Sheet3!D:D,MATCH(A771,Sheet3!A:A,0)),"")</f>
        <v/>
      </c>
      <c r="D771" s="22">
        <f>IFERROR(INDEX(Sheet3!G:G,MATCH(A771,Sheet3!A:A,0)),"")</f>
        <v/>
      </c>
      <c r="E771" s="23">
        <f>IFERROR(INDEX(Sheet3!H:H,MATCH(A771,Sheet3!A:A,0)),"")</f>
        <v/>
      </c>
    </row>
    <row r="772">
      <c r="A772" s="19" t="n">
        <v>1890</v>
      </c>
      <c r="B772" s="20">
        <f>IFERROR(INDEX(Sheet1!I:I,MATCH(A772,Sheet1!A:A,0)),"")</f>
        <v/>
      </c>
      <c r="C772" s="21">
        <f>IFERROR(INDEX(Sheet3!D:D,MATCH(A772,Sheet3!A:A,0)),"")</f>
        <v/>
      </c>
      <c r="D772" s="22">
        <f>IFERROR(INDEX(Sheet3!G:G,MATCH(A772,Sheet3!A:A,0)),"")</f>
        <v/>
      </c>
      <c r="E772" s="23">
        <f>IFERROR(INDEX(Sheet3!H:H,MATCH(A772,Sheet3!A:A,0)),"")</f>
        <v/>
      </c>
    </row>
    <row r="773">
      <c r="A773" s="19" t="n">
        <v>1891</v>
      </c>
      <c r="B773" s="20">
        <f>IFERROR(INDEX(Sheet1!I:I,MATCH(A773,Sheet1!A:A,0)),"")</f>
        <v/>
      </c>
      <c r="C773" s="21">
        <f>IFERROR(INDEX(Sheet3!D:D,MATCH(A773,Sheet3!A:A,0)),"")</f>
        <v/>
      </c>
      <c r="D773" s="22">
        <f>IFERROR(INDEX(Sheet3!G:G,MATCH(A773,Sheet3!A:A,0)),"")</f>
        <v/>
      </c>
      <c r="E773" s="23">
        <f>IFERROR(INDEX(Sheet3!H:H,MATCH(A773,Sheet3!A:A,0)),"")</f>
        <v/>
      </c>
    </row>
    <row r="774">
      <c r="A774" s="19" t="n">
        <v>1892</v>
      </c>
      <c r="B774" s="20">
        <f>IFERROR(INDEX(Sheet1!I:I,MATCH(A774,Sheet1!A:A,0)),"")</f>
        <v/>
      </c>
      <c r="C774" s="21">
        <f>IFERROR(INDEX(Sheet3!D:D,MATCH(A774,Sheet3!A:A,0)),"")</f>
        <v/>
      </c>
      <c r="D774" s="22">
        <f>IFERROR(INDEX(Sheet3!G:G,MATCH(A774,Sheet3!A:A,0)),"")</f>
        <v/>
      </c>
      <c r="E774" s="23">
        <f>IFERROR(INDEX(Sheet3!H:H,MATCH(A774,Sheet3!A:A,0)),"")</f>
        <v/>
      </c>
    </row>
    <row r="775">
      <c r="A775" s="19" t="n">
        <v>1893</v>
      </c>
      <c r="B775" s="20">
        <f>IFERROR(INDEX(Sheet1!I:I,MATCH(A775,Sheet1!A:A,0)),"")</f>
        <v/>
      </c>
      <c r="C775" s="21">
        <f>IFERROR(INDEX(Sheet3!D:D,MATCH(A775,Sheet3!A:A,0)),"")</f>
        <v/>
      </c>
      <c r="D775" s="22">
        <f>IFERROR(INDEX(Sheet3!G:G,MATCH(A775,Sheet3!A:A,0)),"")</f>
        <v/>
      </c>
      <c r="E775" s="23">
        <f>IFERROR(INDEX(Sheet3!H:H,MATCH(A775,Sheet3!A:A,0)),"")</f>
        <v/>
      </c>
    </row>
    <row r="776">
      <c r="A776" s="19" t="n">
        <v>1895</v>
      </c>
      <c r="B776" s="20">
        <f>IFERROR(INDEX(Sheet1!I:I,MATCH(A776,Sheet1!A:A,0)),"")</f>
        <v/>
      </c>
      <c r="C776" s="21">
        <f>IFERROR(INDEX(Sheet3!D:D,MATCH(A776,Sheet3!A:A,0)),"")</f>
        <v/>
      </c>
      <c r="D776" s="22">
        <f>IFERROR(INDEX(Sheet3!G:G,MATCH(A776,Sheet3!A:A,0)),"")</f>
        <v/>
      </c>
      <c r="E776" s="23">
        <f>IFERROR(INDEX(Sheet3!H:H,MATCH(A776,Sheet3!A:A,0)),"")</f>
        <v/>
      </c>
    </row>
    <row r="777">
      <c r="A777" s="19" t="n">
        <v>1896</v>
      </c>
      <c r="B777" s="20">
        <f>IFERROR(INDEX(Sheet1!I:I,MATCH(A777,Sheet1!A:A,0)),"")</f>
        <v/>
      </c>
      <c r="C777" s="21">
        <f>IFERROR(INDEX(Sheet3!D:D,MATCH(A777,Sheet3!A:A,0)),"")</f>
        <v/>
      </c>
      <c r="D777" s="22">
        <f>IFERROR(INDEX(Sheet3!G:G,MATCH(A777,Sheet3!A:A,0)),"")</f>
        <v/>
      </c>
      <c r="E777" s="23">
        <f>IFERROR(INDEX(Sheet3!H:H,MATCH(A777,Sheet3!A:A,0)),"")</f>
        <v/>
      </c>
    </row>
    <row r="778">
      <c r="A778" s="19" t="n">
        <v>1897</v>
      </c>
      <c r="B778" s="20">
        <f>IFERROR(INDEX(Sheet1!I:I,MATCH(A778,Sheet1!A:A,0)),"")</f>
        <v/>
      </c>
      <c r="C778" s="21">
        <f>IFERROR(INDEX(Sheet3!D:D,MATCH(A778,Sheet3!A:A,0)),"")</f>
        <v/>
      </c>
      <c r="D778" s="22">
        <f>IFERROR(INDEX(Sheet3!G:G,MATCH(A778,Sheet3!A:A,0)),"")</f>
        <v/>
      </c>
      <c r="E778" s="23">
        <f>IFERROR(INDEX(Sheet3!H:H,MATCH(A778,Sheet3!A:A,0)),"")</f>
        <v/>
      </c>
    </row>
    <row r="779">
      <c r="A779" s="19" t="n">
        <v>1898</v>
      </c>
      <c r="B779" s="20">
        <f>IFERROR(INDEX(Sheet1!I:I,MATCH(A779,Sheet1!A:A,0)),"")</f>
        <v/>
      </c>
      <c r="C779" s="21">
        <f>IFERROR(INDEX(Sheet3!D:D,MATCH(A779,Sheet3!A:A,0)),"")</f>
        <v/>
      </c>
      <c r="D779" s="22">
        <f>IFERROR(INDEX(Sheet3!G:G,MATCH(A779,Sheet3!A:A,0)),"")</f>
        <v/>
      </c>
      <c r="E779" s="23">
        <f>IFERROR(INDEX(Sheet3!H:H,MATCH(A779,Sheet3!A:A,0)),"")</f>
        <v/>
      </c>
    </row>
    <row r="780">
      <c r="A780" s="19" t="n">
        <v>1899</v>
      </c>
      <c r="B780" s="20">
        <f>IFERROR(INDEX(Sheet1!I:I,MATCH(A780,Sheet1!A:A,0)),"")</f>
        <v/>
      </c>
      <c r="C780" s="21">
        <f>IFERROR(INDEX(Sheet3!D:D,MATCH(A780,Sheet3!A:A,0)),"")</f>
        <v/>
      </c>
      <c r="D780" s="22">
        <f>IFERROR(INDEX(Sheet3!G:G,MATCH(A780,Sheet3!A:A,0)),"")</f>
        <v/>
      </c>
      <c r="E780" s="23">
        <f>IFERROR(INDEX(Sheet3!H:H,MATCH(A780,Sheet3!A:A,0)),"")</f>
        <v/>
      </c>
    </row>
    <row r="781">
      <c r="A781" s="19" t="n">
        <v>1900</v>
      </c>
      <c r="B781" s="20">
        <f>IFERROR(INDEX(Sheet1!I:I,MATCH(A781,Sheet1!A:A,0)),"")</f>
        <v/>
      </c>
      <c r="C781" s="21">
        <f>IFERROR(INDEX(Sheet3!D:D,MATCH(A781,Sheet3!A:A,0)),"")</f>
        <v/>
      </c>
      <c r="D781" s="22">
        <f>IFERROR(INDEX(Sheet3!G:G,MATCH(A781,Sheet3!A:A,0)),"")</f>
        <v/>
      </c>
      <c r="E781" s="23">
        <f>IFERROR(INDEX(Sheet3!H:H,MATCH(A781,Sheet3!A:A,0)),"")</f>
        <v/>
      </c>
    </row>
    <row r="782">
      <c r="A782" s="19" t="n">
        <v>1901</v>
      </c>
      <c r="B782" s="20">
        <f>IFERROR(INDEX(Sheet1!I:I,MATCH(A782,Sheet1!A:A,0)),"")</f>
        <v/>
      </c>
      <c r="C782" s="21">
        <f>IFERROR(INDEX(Sheet3!D:D,MATCH(A782,Sheet3!A:A,0)),"")</f>
        <v/>
      </c>
      <c r="D782" s="22">
        <f>IFERROR(INDEX(Sheet3!G:G,MATCH(A782,Sheet3!A:A,0)),"")</f>
        <v/>
      </c>
      <c r="E782" s="23">
        <f>IFERROR(INDEX(Sheet3!H:H,MATCH(A782,Sheet3!A:A,0)),"")</f>
        <v/>
      </c>
    </row>
    <row r="783">
      <c r="A783" s="19" t="n">
        <v>1902</v>
      </c>
      <c r="B783" s="20">
        <f>IFERROR(INDEX(Sheet1!I:I,MATCH(A783,Sheet1!A:A,0)),"")</f>
        <v/>
      </c>
      <c r="C783" s="21">
        <f>IFERROR(INDEX(Sheet3!D:D,MATCH(A783,Sheet3!A:A,0)),"")</f>
        <v/>
      </c>
      <c r="D783" s="22">
        <f>IFERROR(INDEX(Sheet3!G:G,MATCH(A783,Sheet3!A:A,0)),"")</f>
        <v/>
      </c>
      <c r="E783" s="23">
        <f>IFERROR(INDEX(Sheet3!H:H,MATCH(A783,Sheet3!A:A,0)),"")</f>
        <v/>
      </c>
    </row>
    <row r="784">
      <c r="A784" s="19" t="n">
        <v>1903</v>
      </c>
      <c r="B784" s="20">
        <f>IFERROR(INDEX(Sheet1!I:I,MATCH(A784,Sheet1!A:A,0)),"")</f>
        <v/>
      </c>
      <c r="C784" s="21">
        <f>IFERROR(INDEX(Sheet3!D:D,MATCH(A784,Sheet3!A:A,0)),"")</f>
        <v/>
      </c>
      <c r="D784" s="22">
        <f>IFERROR(INDEX(Sheet3!G:G,MATCH(A784,Sheet3!A:A,0)),"")</f>
        <v/>
      </c>
      <c r="E784" s="23">
        <f>IFERROR(INDEX(Sheet3!H:H,MATCH(A784,Sheet3!A:A,0)),"")</f>
        <v/>
      </c>
    </row>
    <row r="785">
      <c r="A785" s="19" t="n">
        <v>1906</v>
      </c>
      <c r="B785" s="20">
        <f>IFERROR(INDEX(Sheet1!I:I,MATCH(A785,Sheet1!A:A,0)),"")</f>
        <v/>
      </c>
      <c r="C785" s="21">
        <f>IFERROR(INDEX(Sheet3!D:D,MATCH(A785,Sheet3!A:A,0)),"")</f>
        <v/>
      </c>
      <c r="D785" s="22">
        <f>IFERROR(INDEX(Sheet3!G:G,MATCH(A785,Sheet3!A:A,0)),"")</f>
        <v/>
      </c>
      <c r="E785" s="23">
        <f>IFERROR(INDEX(Sheet3!H:H,MATCH(A785,Sheet3!A:A,0)),"")</f>
        <v/>
      </c>
    </row>
    <row r="786">
      <c r="A786" s="19" t="n">
        <v>1907</v>
      </c>
      <c r="B786" s="20">
        <f>IFERROR(INDEX(Sheet1!I:I,MATCH(A786,Sheet1!A:A,0)),"")</f>
        <v/>
      </c>
      <c r="C786" s="21">
        <f>IFERROR(INDEX(Sheet3!D:D,MATCH(A786,Sheet3!A:A,0)),"")</f>
        <v/>
      </c>
      <c r="D786" s="22">
        <f>IFERROR(INDEX(Sheet3!G:G,MATCH(A786,Sheet3!A:A,0)),"")</f>
        <v/>
      </c>
      <c r="E786" s="23">
        <f>IFERROR(INDEX(Sheet3!H:H,MATCH(A786,Sheet3!A:A,0)),"")</f>
        <v/>
      </c>
    </row>
    <row r="787">
      <c r="A787" s="19" t="n">
        <v>1908</v>
      </c>
      <c r="B787" s="20">
        <f>IFERROR(INDEX(Sheet1!I:I,MATCH(A787,Sheet1!A:A,0)),"")</f>
        <v/>
      </c>
      <c r="C787" s="21">
        <f>IFERROR(INDEX(Sheet3!D:D,MATCH(A787,Sheet3!A:A,0)),"")</f>
        <v/>
      </c>
      <c r="D787" s="22">
        <f>IFERROR(INDEX(Sheet3!G:G,MATCH(A787,Sheet3!A:A,0)),"")</f>
        <v/>
      </c>
      <c r="E787" s="23">
        <f>IFERROR(INDEX(Sheet3!H:H,MATCH(A787,Sheet3!A:A,0)),"")</f>
        <v/>
      </c>
    </row>
    <row r="788">
      <c r="A788" s="19" t="n">
        <v>1909</v>
      </c>
      <c r="B788" s="20">
        <f>IFERROR(INDEX(Sheet1!I:I,MATCH(A788,Sheet1!A:A,0)),"")</f>
        <v/>
      </c>
      <c r="C788" s="21">
        <f>IFERROR(INDEX(Sheet3!D:D,MATCH(A788,Sheet3!A:A,0)),"")</f>
        <v/>
      </c>
      <c r="D788" s="22">
        <f>IFERROR(INDEX(Sheet3!G:G,MATCH(A788,Sheet3!A:A,0)),"")</f>
        <v/>
      </c>
      <c r="E788" s="23">
        <f>IFERROR(INDEX(Sheet3!H:H,MATCH(A788,Sheet3!A:A,0)),"")</f>
        <v/>
      </c>
    </row>
    <row r="789">
      <c r="A789" s="19" t="n">
        <v>1910</v>
      </c>
      <c r="B789" s="20">
        <f>IFERROR(INDEX(Sheet1!I:I,MATCH(A789,Sheet1!A:A,0)),"")</f>
        <v/>
      </c>
      <c r="C789" s="21">
        <f>IFERROR(INDEX(Sheet3!D:D,MATCH(A789,Sheet3!A:A,0)),"")</f>
        <v/>
      </c>
      <c r="D789" s="22">
        <f>IFERROR(INDEX(Sheet3!G:G,MATCH(A789,Sheet3!A:A,0)),"")</f>
        <v/>
      </c>
      <c r="E789" s="23">
        <f>IFERROR(INDEX(Sheet3!H:H,MATCH(A789,Sheet3!A:A,0)),"")</f>
        <v/>
      </c>
    </row>
    <row r="790">
      <c r="A790" s="19" t="n">
        <v>1911</v>
      </c>
      <c r="B790" s="20">
        <f>IFERROR(INDEX(Sheet1!I:I,MATCH(A790,Sheet1!A:A,0)),"")</f>
        <v/>
      </c>
      <c r="C790" s="21">
        <f>IFERROR(INDEX(Sheet3!D:D,MATCH(A790,Sheet3!A:A,0)),"")</f>
        <v/>
      </c>
      <c r="D790" s="22">
        <f>IFERROR(INDEX(Sheet3!G:G,MATCH(A790,Sheet3!A:A,0)),"")</f>
        <v/>
      </c>
      <c r="E790" s="23">
        <f>IFERROR(INDEX(Sheet3!H:H,MATCH(A790,Sheet3!A:A,0)),"")</f>
        <v/>
      </c>
    </row>
    <row r="791">
      <c r="A791" s="19" t="n">
        <v>1912</v>
      </c>
      <c r="B791" s="20">
        <f>IFERROR(INDEX(Sheet1!I:I,MATCH(A791,Sheet1!A:A,0)),"")</f>
        <v/>
      </c>
      <c r="C791" s="21">
        <f>IFERROR(INDEX(Sheet3!D:D,MATCH(A791,Sheet3!A:A,0)),"")</f>
        <v/>
      </c>
      <c r="D791" s="22">
        <f>IFERROR(INDEX(Sheet3!G:G,MATCH(A791,Sheet3!A:A,0)),"")</f>
        <v/>
      </c>
      <c r="E791" s="23">
        <f>IFERROR(INDEX(Sheet3!H:H,MATCH(A791,Sheet3!A:A,0)),"")</f>
        <v/>
      </c>
    </row>
    <row r="792">
      <c r="A792" s="19" t="n">
        <v>1913</v>
      </c>
      <c r="B792" s="20">
        <f>IFERROR(INDEX(Sheet1!I:I,MATCH(A792,Sheet1!A:A,0)),"")</f>
        <v/>
      </c>
      <c r="C792" s="21">
        <f>IFERROR(INDEX(Sheet3!D:D,MATCH(A792,Sheet3!A:A,0)),"")</f>
        <v/>
      </c>
      <c r="D792" s="22">
        <f>IFERROR(INDEX(Sheet3!G:G,MATCH(A792,Sheet3!A:A,0)),"")</f>
        <v/>
      </c>
      <c r="E792" s="23">
        <f>IFERROR(INDEX(Sheet3!H:H,MATCH(A792,Sheet3!A:A,0)),"")</f>
        <v/>
      </c>
    </row>
    <row r="793">
      <c r="A793" s="19" t="n">
        <v>1914</v>
      </c>
      <c r="B793" s="20">
        <f>IFERROR(INDEX(Sheet1!I:I,MATCH(A793,Sheet1!A:A,0)),"")</f>
        <v/>
      </c>
      <c r="C793" s="21">
        <f>IFERROR(INDEX(Sheet3!D:D,MATCH(A793,Sheet3!A:A,0)),"")</f>
        <v/>
      </c>
      <c r="D793" s="22">
        <f>IFERROR(INDEX(Sheet3!G:G,MATCH(A793,Sheet3!A:A,0)),"")</f>
        <v/>
      </c>
      <c r="E793" s="23">
        <f>IFERROR(INDEX(Sheet3!H:H,MATCH(A793,Sheet3!A:A,0)),"")</f>
        <v/>
      </c>
    </row>
    <row r="794">
      <c r="A794" s="19" t="n">
        <v>1916</v>
      </c>
      <c r="B794" s="20">
        <f>IFERROR(INDEX(Sheet1!I:I,MATCH(A794,Sheet1!A:A,0)),"")</f>
        <v/>
      </c>
      <c r="C794" s="21">
        <f>IFERROR(INDEX(Sheet3!D:D,MATCH(A794,Sheet3!A:A,0)),"")</f>
        <v/>
      </c>
      <c r="D794" s="22">
        <f>IFERROR(INDEX(Sheet3!G:G,MATCH(A794,Sheet3!A:A,0)),"")</f>
        <v/>
      </c>
      <c r="E794" s="23">
        <f>IFERROR(INDEX(Sheet3!H:H,MATCH(A794,Sheet3!A:A,0)),"")</f>
        <v/>
      </c>
    </row>
    <row r="795">
      <c r="A795" s="19" t="n">
        <v>1917</v>
      </c>
      <c r="B795" s="20">
        <f>IFERROR(INDEX(Sheet1!I:I,MATCH(A795,Sheet1!A:A,0)),"")</f>
        <v/>
      </c>
      <c r="C795" s="21">
        <f>IFERROR(INDEX(Sheet3!D:D,MATCH(A795,Sheet3!A:A,0)),"")</f>
        <v/>
      </c>
      <c r="D795" s="22">
        <f>IFERROR(INDEX(Sheet3!G:G,MATCH(A795,Sheet3!A:A,0)),"")</f>
        <v/>
      </c>
      <c r="E795" s="23">
        <f>IFERROR(INDEX(Sheet3!H:H,MATCH(A795,Sheet3!A:A,0)),"")</f>
        <v/>
      </c>
    </row>
    <row r="796">
      <c r="A796" s="19" t="n">
        <v>1918</v>
      </c>
      <c r="B796" s="20">
        <f>IFERROR(INDEX(Sheet1!I:I,MATCH(A796,Sheet1!A:A,0)),"")</f>
        <v/>
      </c>
      <c r="C796" s="21">
        <f>IFERROR(INDEX(Sheet3!D:D,MATCH(A796,Sheet3!A:A,0)),"")</f>
        <v/>
      </c>
      <c r="D796" s="22">
        <f>IFERROR(INDEX(Sheet3!G:G,MATCH(A796,Sheet3!A:A,0)),"")</f>
        <v/>
      </c>
      <c r="E796" s="23">
        <f>IFERROR(INDEX(Sheet3!H:H,MATCH(A796,Sheet3!A:A,0)),"")</f>
        <v/>
      </c>
    </row>
    <row r="797">
      <c r="A797" s="19" t="n">
        <v>1919</v>
      </c>
      <c r="B797" s="20">
        <f>IFERROR(INDEX(Sheet1!I:I,MATCH(A797,Sheet1!A:A,0)),"")</f>
        <v/>
      </c>
      <c r="C797" s="21">
        <f>IFERROR(INDEX(Sheet3!D:D,MATCH(A797,Sheet3!A:A,0)),"")</f>
        <v/>
      </c>
      <c r="D797" s="22">
        <f>IFERROR(INDEX(Sheet3!G:G,MATCH(A797,Sheet3!A:A,0)),"")</f>
        <v/>
      </c>
      <c r="E797" s="23">
        <f>IFERROR(INDEX(Sheet3!H:H,MATCH(A797,Sheet3!A:A,0)),"")</f>
        <v/>
      </c>
    </row>
    <row r="798">
      <c r="A798" s="19" t="n">
        <v>1920</v>
      </c>
      <c r="B798" s="20">
        <f>IFERROR(INDEX(Sheet1!I:I,MATCH(A798,Sheet1!A:A,0)),"")</f>
        <v/>
      </c>
      <c r="C798" s="21">
        <f>IFERROR(INDEX(Sheet3!D:D,MATCH(A798,Sheet3!A:A,0)),"")</f>
        <v/>
      </c>
      <c r="D798" s="22">
        <f>IFERROR(INDEX(Sheet3!G:G,MATCH(A798,Sheet3!A:A,0)),"")</f>
        <v/>
      </c>
      <c r="E798" s="23">
        <f>IFERROR(INDEX(Sheet3!H:H,MATCH(A798,Sheet3!A:A,0)),"")</f>
        <v/>
      </c>
    </row>
    <row r="799">
      <c r="A799" s="19" t="n">
        <v>1922</v>
      </c>
      <c r="B799" s="20">
        <f>IFERROR(INDEX(Sheet1!I:I,MATCH(A799,Sheet1!A:A,0)),"")</f>
        <v/>
      </c>
      <c r="C799" s="21">
        <f>IFERROR(INDEX(Sheet3!D:D,MATCH(A799,Sheet3!A:A,0)),"")</f>
        <v/>
      </c>
      <c r="D799" s="22">
        <f>IFERROR(INDEX(Sheet3!G:G,MATCH(A799,Sheet3!A:A,0)),"")</f>
        <v/>
      </c>
      <c r="E799" s="23">
        <f>IFERROR(INDEX(Sheet3!H:H,MATCH(A799,Sheet3!A:A,0)),"")</f>
        <v/>
      </c>
    </row>
    <row r="800">
      <c r="A800" s="19" t="n">
        <v>1923</v>
      </c>
      <c r="B800" s="20">
        <f>IFERROR(INDEX(Sheet1!I:I,MATCH(A800,Sheet1!A:A,0)),"")</f>
        <v/>
      </c>
      <c r="C800" s="21">
        <f>IFERROR(INDEX(Sheet3!D:D,MATCH(A800,Sheet3!A:A,0)),"")</f>
        <v/>
      </c>
      <c r="D800" s="22">
        <f>IFERROR(INDEX(Sheet3!G:G,MATCH(A800,Sheet3!A:A,0)),"")</f>
        <v/>
      </c>
      <c r="E800" s="23">
        <f>IFERROR(INDEX(Sheet3!H:H,MATCH(A800,Sheet3!A:A,0)),"")</f>
        <v/>
      </c>
    </row>
    <row r="801">
      <c r="A801" s="19" t="n">
        <v>1927</v>
      </c>
      <c r="B801" s="20">
        <f>IFERROR(INDEX(Sheet1!I:I,MATCH(A801,Sheet1!A:A,0)),"")</f>
        <v/>
      </c>
      <c r="C801" s="21">
        <f>IFERROR(INDEX(Sheet3!D:D,MATCH(A801,Sheet3!A:A,0)),"")</f>
        <v/>
      </c>
      <c r="D801" s="22">
        <f>IFERROR(INDEX(Sheet3!G:G,MATCH(A801,Sheet3!A:A,0)),"")</f>
        <v/>
      </c>
      <c r="E801" s="23">
        <f>IFERROR(INDEX(Sheet3!H:H,MATCH(A801,Sheet3!A:A,0)),"")</f>
        <v/>
      </c>
    </row>
    <row r="802">
      <c r="A802" s="19" t="n">
        <v>1928</v>
      </c>
      <c r="B802" s="20">
        <f>IFERROR(INDEX(Sheet1!I:I,MATCH(A802,Sheet1!A:A,0)),"")</f>
        <v/>
      </c>
      <c r="C802" s="21">
        <f>IFERROR(INDEX(Sheet3!D:D,MATCH(A802,Sheet3!A:A,0)),"")</f>
        <v/>
      </c>
      <c r="D802" s="22">
        <f>IFERROR(INDEX(Sheet3!G:G,MATCH(A802,Sheet3!A:A,0)),"")</f>
        <v/>
      </c>
      <c r="E802" s="23">
        <f>IFERROR(INDEX(Sheet3!H:H,MATCH(A802,Sheet3!A:A,0)),"")</f>
        <v/>
      </c>
    </row>
    <row r="803">
      <c r="A803" s="19" t="n">
        <v>1929</v>
      </c>
      <c r="B803" s="20">
        <f>IFERROR(INDEX(Sheet1!I:I,MATCH(A803,Sheet1!A:A,0)),"")</f>
        <v/>
      </c>
      <c r="C803" s="21">
        <f>IFERROR(INDEX(Sheet3!D:D,MATCH(A803,Sheet3!A:A,0)),"")</f>
        <v/>
      </c>
      <c r="D803" s="22">
        <f>IFERROR(INDEX(Sheet3!G:G,MATCH(A803,Sheet3!A:A,0)),"")</f>
        <v/>
      </c>
      <c r="E803" s="23">
        <f>IFERROR(INDEX(Sheet3!H:H,MATCH(A803,Sheet3!A:A,0)),"")</f>
        <v/>
      </c>
    </row>
    <row r="804">
      <c r="A804" s="19" t="n">
        <v>1932</v>
      </c>
      <c r="B804" s="20">
        <f>IFERROR(INDEX(Sheet1!I:I,MATCH(A804,Sheet1!A:A,0)),"")</f>
        <v/>
      </c>
      <c r="C804" s="21">
        <f>IFERROR(INDEX(Sheet3!D:D,MATCH(A804,Sheet3!A:A,0)),"")</f>
        <v/>
      </c>
      <c r="D804" s="22">
        <f>IFERROR(INDEX(Sheet3!G:G,MATCH(A804,Sheet3!A:A,0)),"")</f>
        <v/>
      </c>
      <c r="E804" s="23">
        <f>IFERROR(INDEX(Sheet3!H:H,MATCH(A804,Sheet3!A:A,0)),"")</f>
        <v/>
      </c>
    </row>
    <row r="805">
      <c r="A805" s="19" t="n">
        <v>1933</v>
      </c>
      <c r="B805" s="20">
        <f>IFERROR(INDEX(Sheet1!I:I,MATCH(A805,Sheet1!A:A,0)),"")</f>
        <v/>
      </c>
      <c r="C805" s="21">
        <f>IFERROR(INDEX(Sheet3!D:D,MATCH(A805,Sheet3!A:A,0)),"")</f>
        <v/>
      </c>
      <c r="D805" s="22">
        <f>IFERROR(INDEX(Sheet3!G:G,MATCH(A805,Sheet3!A:A,0)),"")</f>
        <v/>
      </c>
      <c r="E805" s="23">
        <f>IFERROR(INDEX(Sheet3!H:H,MATCH(A805,Sheet3!A:A,0)),"")</f>
        <v/>
      </c>
    </row>
    <row r="806">
      <c r="A806" s="19" t="n">
        <v>1934</v>
      </c>
      <c r="B806" s="20">
        <f>IFERROR(INDEX(Sheet1!I:I,MATCH(A806,Sheet1!A:A,0)),"")</f>
        <v/>
      </c>
      <c r="C806" s="21">
        <f>IFERROR(INDEX(Sheet3!D:D,MATCH(A806,Sheet3!A:A,0)),"")</f>
        <v/>
      </c>
      <c r="D806" s="22">
        <f>IFERROR(INDEX(Sheet3!G:G,MATCH(A806,Sheet3!A:A,0)),"")</f>
        <v/>
      </c>
      <c r="E806" s="23">
        <f>IFERROR(INDEX(Sheet3!H:H,MATCH(A806,Sheet3!A:A,0)),"")</f>
        <v/>
      </c>
    </row>
    <row r="807">
      <c r="A807" s="19" t="n">
        <v>1936</v>
      </c>
      <c r="B807" s="20">
        <f>IFERROR(INDEX(Sheet1!I:I,MATCH(A807,Sheet1!A:A,0)),"")</f>
        <v/>
      </c>
      <c r="C807" s="21">
        <f>IFERROR(INDEX(Sheet3!D:D,MATCH(A807,Sheet3!A:A,0)),"")</f>
        <v/>
      </c>
      <c r="D807" s="22">
        <f>IFERROR(INDEX(Sheet3!G:G,MATCH(A807,Sheet3!A:A,0)),"")</f>
        <v/>
      </c>
      <c r="E807" s="23">
        <f>IFERROR(INDEX(Sheet3!H:H,MATCH(A807,Sheet3!A:A,0)),"")</f>
        <v/>
      </c>
    </row>
    <row r="808">
      <c r="A808" s="19" t="n">
        <v>1937</v>
      </c>
      <c r="B808" s="20">
        <f>IFERROR(INDEX(Sheet1!I:I,MATCH(A808,Sheet1!A:A,0)),"")</f>
        <v/>
      </c>
      <c r="C808" s="21">
        <f>IFERROR(INDEX(Sheet3!D:D,MATCH(A808,Sheet3!A:A,0)),"")</f>
        <v/>
      </c>
      <c r="D808" s="22">
        <f>IFERROR(INDEX(Sheet3!G:G,MATCH(A808,Sheet3!A:A,0)),"")</f>
        <v/>
      </c>
      <c r="E808" s="23">
        <f>IFERROR(INDEX(Sheet3!H:H,MATCH(A808,Sheet3!A:A,0)),"")</f>
        <v/>
      </c>
    </row>
    <row r="809">
      <c r="A809" s="19" t="n">
        <v>1939</v>
      </c>
      <c r="B809" s="20">
        <f>IFERROR(INDEX(Sheet1!I:I,MATCH(A809,Sheet1!A:A,0)),"")</f>
        <v/>
      </c>
      <c r="C809" s="21">
        <f>IFERROR(INDEX(Sheet3!D:D,MATCH(A809,Sheet3!A:A,0)),"")</f>
        <v/>
      </c>
      <c r="D809" s="22">
        <f>IFERROR(INDEX(Sheet3!G:G,MATCH(A809,Sheet3!A:A,0)),"")</f>
        <v/>
      </c>
      <c r="E809" s="23">
        <f>IFERROR(INDEX(Sheet3!H:H,MATCH(A809,Sheet3!A:A,0)),"")</f>
        <v/>
      </c>
    </row>
    <row r="810">
      <c r="A810" s="19" t="n">
        <v>1943</v>
      </c>
      <c r="B810" s="20">
        <f>IFERROR(INDEX(Sheet1!I:I,MATCH(A810,Sheet1!A:A,0)),"")</f>
        <v/>
      </c>
      <c r="C810" s="21">
        <f>IFERROR(INDEX(Sheet3!D:D,MATCH(A810,Sheet3!A:A,0)),"")</f>
        <v/>
      </c>
      <c r="D810" s="22">
        <f>IFERROR(INDEX(Sheet3!G:G,MATCH(A810,Sheet3!A:A,0)),"")</f>
        <v/>
      </c>
      <c r="E810" s="23">
        <f>IFERROR(INDEX(Sheet3!H:H,MATCH(A810,Sheet3!A:A,0)),"")</f>
        <v/>
      </c>
    </row>
    <row r="811">
      <c r="A811" s="19" t="n">
        <v>1946</v>
      </c>
      <c r="B811" s="20">
        <f>IFERROR(INDEX(Sheet1!I:I,MATCH(A811,Sheet1!A:A,0)),"")</f>
        <v/>
      </c>
      <c r="C811" s="21">
        <f>IFERROR(INDEX(Sheet3!D:D,MATCH(A811,Sheet3!A:A,0)),"")</f>
        <v/>
      </c>
      <c r="D811" s="22">
        <f>IFERROR(INDEX(Sheet3!G:G,MATCH(A811,Sheet3!A:A,0)),"")</f>
        <v/>
      </c>
      <c r="E811" s="23">
        <f>IFERROR(INDEX(Sheet3!H:H,MATCH(A811,Sheet3!A:A,0)),"")</f>
        <v/>
      </c>
    </row>
    <row r="812">
      <c r="A812" s="19" t="n">
        <v>1947</v>
      </c>
      <c r="B812" s="20">
        <f>IFERROR(INDEX(Sheet1!I:I,MATCH(A812,Sheet1!A:A,0)),"")</f>
        <v/>
      </c>
      <c r="C812" s="21">
        <f>IFERROR(INDEX(Sheet3!D:D,MATCH(A812,Sheet3!A:A,0)),"")</f>
        <v/>
      </c>
      <c r="D812" s="22">
        <f>IFERROR(INDEX(Sheet3!G:G,MATCH(A812,Sheet3!A:A,0)),"")</f>
        <v/>
      </c>
      <c r="E812" s="23">
        <f>IFERROR(INDEX(Sheet3!H:H,MATCH(A812,Sheet3!A:A,0)),"")</f>
        <v/>
      </c>
    </row>
    <row r="813">
      <c r="A813" s="19" t="n">
        <v>1950</v>
      </c>
      <c r="B813" s="20">
        <f>IFERROR(INDEX(Sheet1!I:I,MATCH(A813,Sheet1!A:A,0)),"")</f>
        <v/>
      </c>
      <c r="C813" s="21">
        <f>IFERROR(INDEX(Sheet3!D:D,MATCH(A813,Sheet3!A:A,0)),"")</f>
        <v/>
      </c>
      <c r="D813" s="22">
        <f>IFERROR(INDEX(Sheet3!G:G,MATCH(A813,Sheet3!A:A,0)),"")</f>
        <v/>
      </c>
      <c r="E813" s="23">
        <f>IFERROR(INDEX(Sheet3!H:H,MATCH(A813,Sheet3!A:A,0)),"")</f>
        <v/>
      </c>
    </row>
    <row r="814">
      <c r="A814" s="19" t="n">
        <v>1953</v>
      </c>
      <c r="B814" s="20">
        <f>IFERROR(INDEX(Sheet1!I:I,MATCH(A814,Sheet1!A:A,0)),"")</f>
        <v/>
      </c>
      <c r="C814" s="21">
        <f>IFERROR(INDEX(Sheet3!D:D,MATCH(A814,Sheet3!A:A,0)),"")</f>
        <v/>
      </c>
      <c r="D814" s="22">
        <f>IFERROR(INDEX(Sheet3!G:G,MATCH(A814,Sheet3!A:A,0)),"")</f>
        <v/>
      </c>
      <c r="E814" s="23">
        <f>IFERROR(INDEX(Sheet3!H:H,MATCH(A814,Sheet3!A:A,0)),"")</f>
        <v/>
      </c>
    </row>
    <row r="815">
      <c r="A815" s="19" t="n">
        <v>1967</v>
      </c>
      <c r="B815" s="20">
        <f>IFERROR(INDEX(Sheet1!I:I,MATCH(A815,Sheet1!A:A,0)),"")</f>
        <v/>
      </c>
      <c r="C815" s="21">
        <f>IFERROR(INDEX(Sheet3!D:D,MATCH(A815,Sheet3!A:A,0)),"")</f>
        <v/>
      </c>
      <c r="D815" s="22">
        <f>IFERROR(INDEX(Sheet3!G:G,MATCH(A815,Sheet3!A:A,0)),"")</f>
        <v/>
      </c>
      <c r="E815" s="23">
        <f>IFERROR(INDEX(Sheet3!H:H,MATCH(A815,Sheet3!A:A,0)),"")</f>
        <v/>
      </c>
    </row>
    <row r="816">
      <c r="A816" s="19" t="n">
        <v>1968</v>
      </c>
      <c r="B816" s="20">
        <f>IFERROR(INDEX(Sheet1!I:I,MATCH(A816,Sheet1!A:A,0)),"")</f>
        <v/>
      </c>
      <c r="C816" s="21">
        <f>IFERROR(INDEX(Sheet3!D:D,MATCH(A816,Sheet3!A:A,0)),"")</f>
        <v/>
      </c>
      <c r="D816" s="22">
        <f>IFERROR(INDEX(Sheet3!G:G,MATCH(A816,Sheet3!A:A,0)),"")</f>
        <v/>
      </c>
      <c r="E816" s="23">
        <f>IFERROR(INDEX(Sheet3!H:H,MATCH(A816,Sheet3!A:A,0)),"")</f>
        <v/>
      </c>
    </row>
    <row r="817">
      <c r="A817" s="19" t="n">
        <v>1969</v>
      </c>
      <c r="B817" s="20">
        <f>IFERROR(INDEX(Sheet1!I:I,MATCH(A817,Sheet1!A:A,0)),"")</f>
        <v/>
      </c>
      <c r="C817" s="21">
        <f>IFERROR(INDEX(Sheet3!D:D,MATCH(A817,Sheet3!A:A,0)),"")</f>
        <v/>
      </c>
      <c r="D817" s="22">
        <f>IFERROR(INDEX(Sheet3!G:G,MATCH(A817,Sheet3!A:A,0)),"")</f>
        <v/>
      </c>
      <c r="E817" s="23">
        <f>IFERROR(INDEX(Sheet3!H:H,MATCH(A817,Sheet3!A:A,0)),"")</f>
        <v/>
      </c>
    </row>
    <row r="818">
      <c r="A818" s="19" t="n">
        <v>1970</v>
      </c>
      <c r="B818" s="20">
        <f>IFERROR(INDEX(Sheet1!I:I,MATCH(A818,Sheet1!A:A,0)),"")</f>
        <v/>
      </c>
      <c r="C818" s="21">
        <f>IFERROR(INDEX(Sheet3!D:D,MATCH(A818,Sheet3!A:A,0)),"")</f>
        <v/>
      </c>
      <c r="D818" s="22">
        <f>IFERROR(INDEX(Sheet3!G:G,MATCH(A818,Sheet3!A:A,0)),"")</f>
        <v/>
      </c>
      <c r="E818" s="23">
        <f>IFERROR(INDEX(Sheet3!H:H,MATCH(A818,Sheet3!A:A,0)),"")</f>
        <v/>
      </c>
    </row>
    <row r="819">
      <c r="A819" s="19" t="n">
        <v>1971</v>
      </c>
      <c r="B819" s="20">
        <f>IFERROR(INDEX(Sheet1!I:I,MATCH(A819,Sheet1!A:A,0)),"")</f>
        <v/>
      </c>
      <c r="C819" s="21">
        <f>IFERROR(INDEX(Sheet3!D:D,MATCH(A819,Sheet3!A:A,0)),"")</f>
        <v/>
      </c>
      <c r="D819" s="22">
        <f>IFERROR(INDEX(Sheet3!G:G,MATCH(A819,Sheet3!A:A,0)),"")</f>
        <v/>
      </c>
      <c r="E819" s="23">
        <f>IFERROR(INDEX(Sheet3!H:H,MATCH(A819,Sheet3!A:A,0)),"")</f>
        <v/>
      </c>
    </row>
    <row r="820">
      <c r="A820" s="19" t="n">
        <v>1972</v>
      </c>
      <c r="B820" s="20">
        <f>IFERROR(INDEX(Sheet1!I:I,MATCH(A820,Sheet1!A:A,0)),"")</f>
        <v/>
      </c>
      <c r="C820" s="21">
        <f>IFERROR(INDEX(Sheet3!D:D,MATCH(A820,Sheet3!A:A,0)),"")</f>
        <v/>
      </c>
      <c r="D820" s="22">
        <f>IFERROR(INDEX(Sheet3!G:G,MATCH(A820,Sheet3!A:A,0)),"")</f>
        <v/>
      </c>
      <c r="E820" s="23">
        <f>IFERROR(INDEX(Sheet3!H:H,MATCH(A820,Sheet3!A:A,0)),"")</f>
        <v/>
      </c>
    </row>
    <row r="821">
      <c r="A821" s="19" t="n">
        <v>1973</v>
      </c>
      <c r="B821" s="20">
        <f>IFERROR(INDEX(Sheet1!I:I,MATCH(A821,Sheet1!A:A,0)),"")</f>
        <v/>
      </c>
      <c r="C821" s="21">
        <f>IFERROR(INDEX(Sheet3!D:D,MATCH(A821,Sheet3!A:A,0)),"")</f>
        <v/>
      </c>
      <c r="D821" s="22">
        <f>IFERROR(INDEX(Sheet3!G:G,MATCH(A821,Sheet3!A:A,0)),"")</f>
        <v/>
      </c>
      <c r="E821" s="23">
        <f>IFERROR(INDEX(Sheet3!H:H,MATCH(A821,Sheet3!A:A,0)),"")</f>
        <v/>
      </c>
    </row>
    <row r="822">
      <c r="A822" s="19" t="n">
        <v>1974</v>
      </c>
      <c r="B822" s="20">
        <f>IFERROR(INDEX(Sheet1!I:I,MATCH(A822,Sheet1!A:A,0)),"")</f>
        <v/>
      </c>
      <c r="C822" s="21">
        <f>IFERROR(INDEX(Sheet3!D:D,MATCH(A822,Sheet3!A:A,0)),"")</f>
        <v/>
      </c>
      <c r="D822" s="22">
        <f>IFERROR(INDEX(Sheet3!G:G,MATCH(A822,Sheet3!A:A,0)),"")</f>
        <v/>
      </c>
      <c r="E822" s="23">
        <f>IFERROR(INDEX(Sheet3!H:H,MATCH(A822,Sheet3!A:A,0)),"")</f>
        <v/>
      </c>
    </row>
    <row r="823">
      <c r="A823" s="19" t="n">
        <v>1975</v>
      </c>
      <c r="B823" s="20">
        <f>IFERROR(INDEX(Sheet1!I:I,MATCH(A823,Sheet1!A:A,0)),"")</f>
        <v/>
      </c>
      <c r="C823" s="21">
        <f>IFERROR(INDEX(Sheet3!D:D,MATCH(A823,Sheet3!A:A,0)),"")</f>
        <v/>
      </c>
      <c r="D823" s="22">
        <f>IFERROR(INDEX(Sheet3!G:G,MATCH(A823,Sheet3!A:A,0)),"")</f>
        <v/>
      </c>
      <c r="E823" s="23">
        <f>IFERROR(INDEX(Sheet3!H:H,MATCH(A823,Sheet3!A:A,0)),"")</f>
        <v/>
      </c>
    </row>
    <row r="824">
      <c r="A824" s="19" t="n">
        <v>1976</v>
      </c>
      <c r="B824" s="20">
        <f>IFERROR(INDEX(Sheet1!I:I,MATCH(A824,Sheet1!A:A,0)),"")</f>
        <v/>
      </c>
      <c r="C824" s="21">
        <f>IFERROR(INDEX(Sheet3!D:D,MATCH(A824,Sheet3!A:A,0)),"")</f>
        <v/>
      </c>
      <c r="D824" s="22">
        <f>IFERROR(INDEX(Sheet3!G:G,MATCH(A824,Sheet3!A:A,0)),"")</f>
        <v/>
      </c>
      <c r="E824" s="23">
        <f>IFERROR(INDEX(Sheet3!H:H,MATCH(A824,Sheet3!A:A,0)),"")</f>
        <v/>
      </c>
    </row>
    <row r="825">
      <c r="A825" s="19" t="n">
        <v>1977</v>
      </c>
      <c r="B825" s="20">
        <f>IFERROR(INDEX(Sheet1!I:I,MATCH(A825,Sheet1!A:A,0)),"")</f>
        <v/>
      </c>
      <c r="C825" s="21">
        <f>IFERROR(INDEX(Sheet3!D:D,MATCH(A825,Sheet3!A:A,0)),"")</f>
        <v/>
      </c>
      <c r="D825" s="22">
        <f>IFERROR(INDEX(Sheet3!G:G,MATCH(A825,Sheet3!A:A,0)),"")</f>
        <v/>
      </c>
      <c r="E825" s="23">
        <f>IFERROR(INDEX(Sheet3!H:H,MATCH(A825,Sheet3!A:A,0)),"")</f>
        <v/>
      </c>
    </row>
    <row r="826">
      <c r="A826" s="19" t="n">
        <v>1978</v>
      </c>
      <c r="B826" s="20">
        <f>IFERROR(INDEX(Sheet1!I:I,MATCH(A826,Sheet1!A:A,0)),"")</f>
        <v/>
      </c>
      <c r="C826" s="21">
        <f>IFERROR(INDEX(Sheet3!D:D,MATCH(A826,Sheet3!A:A,0)),"")</f>
        <v/>
      </c>
      <c r="D826" s="22">
        <f>IFERROR(INDEX(Sheet3!G:G,MATCH(A826,Sheet3!A:A,0)),"")</f>
        <v/>
      </c>
      <c r="E826" s="23">
        <f>IFERROR(INDEX(Sheet3!H:H,MATCH(A826,Sheet3!A:A,0)),"")</f>
        <v/>
      </c>
    </row>
    <row r="827">
      <c r="A827" s="19" t="n">
        <v>1979</v>
      </c>
      <c r="B827" s="20">
        <f>IFERROR(INDEX(Sheet1!I:I,MATCH(A827,Sheet1!A:A,0)),"")</f>
        <v/>
      </c>
      <c r="C827" s="21">
        <f>IFERROR(INDEX(Sheet3!D:D,MATCH(A827,Sheet3!A:A,0)),"")</f>
        <v/>
      </c>
      <c r="D827" s="22">
        <f>IFERROR(INDEX(Sheet3!G:G,MATCH(A827,Sheet3!A:A,0)),"")</f>
        <v/>
      </c>
      <c r="E827" s="23">
        <f>IFERROR(INDEX(Sheet3!H:H,MATCH(A827,Sheet3!A:A,0)),"")</f>
        <v/>
      </c>
    </row>
    <row r="828">
      <c r="A828" s="19" t="n">
        <v>1980</v>
      </c>
      <c r="B828" s="20">
        <f>IFERROR(INDEX(Sheet1!I:I,MATCH(A828,Sheet1!A:A,0)),"")</f>
        <v/>
      </c>
      <c r="C828" s="21">
        <f>IFERROR(INDEX(Sheet3!D:D,MATCH(A828,Sheet3!A:A,0)),"")</f>
        <v/>
      </c>
      <c r="D828" s="22">
        <f>IFERROR(INDEX(Sheet3!G:G,MATCH(A828,Sheet3!A:A,0)),"")</f>
        <v/>
      </c>
      <c r="E828" s="23">
        <f>IFERROR(INDEX(Sheet3!H:H,MATCH(A828,Sheet3!A:A,0)),"")</f>
        <v/>
      </c>
    </row>
    <row r="829">
      <c r="A829" s="19" t="n">
        <v>1981</v>
      </c>
      <c r="B829" s="20">
        <f>IFERROR(INDEX(Sheet1!I:I,MATCH(A829,Sheet1!A:A,0)),"")</f>
        <v/>
      </c>
      <c r="C829" s="21">
        <f>IFERROR(INDEX(Sheet3!D:D,MATCH(A829,Sheet3!A:A,0)),"")</f>
        <v/>
      </c>
      <c r="D829" s="22">
        <f>IFERROR(INDEX(Sheet3!G:G,MATCH(A829,Sheet3!A:A,0)),"")</f>
        <v/>
      </c>
      <c r="E829" s="23">
        <f>IFERROR(INDEX(Sheet3!H:H,MATCH(A829,Sheet3!A:A,0)),"")</f>
        <v/>
      </c>
    </row>
    <row r="830">
      <c r="A830" s="19" t="n">
        <v>1982</v>
      </c>
      <c r="B830" s="20">
        <f>IFERROR(INDEX(Sheet1!I:I,MATCH(A830,Sheet1!A:A,0)),"")</f>
        <v/>
      </c>
      <c r="C830" s="21">
        <f>IFERROR(INDEX(Sheet3!D:D,MATCH(A830,Sheet3!A:A,0)),"")</f>
        <v/>
      </c>
      <c r="D830" s="22">
        <f>IFERROR(INDEX(Sheet3!G:G,MATCH(A830,Sheet3!A:A,0)),"")</f>
        <v/>
      </c>
      <c r="E830" s="23">
        <f>IFERROR(INDEX(Sheet3!H:H,MATCH(A830,Sheet3!A:A,0)),"")</f>
        <v/>
      </c>
    </row>
    <row r="831">
      <c r="A831" s="19" t="n">
        <v>1986</v>
      </c>
      <c r="B831" s="20">
        <f>IFERROR(INDEX(Sheet1!I:I,MATCH(A831,Sheet1!A:A,0)),"")</f>
        <v/>
      </c>
      <c r="C831" s="21">
        <f>IFERROR(INDEX(Sheet3!D:D,MATCH(A831,Sheet3!A:A,0)),"")</f>
        <v/>
      </c>
      <c r="D831" s="22">
        <f>IFERROR(INDEX(Sheet3!G:G,MATCH(A831,Sheet3!A:A,0)),"")</f>
        <v/>
      </c>
      <c r="E831" s="23">
        <f>IFERROR(INDEX(Sheet3!H:H,MATCH(A831,Sheet3!A:A,0)),"")</f>
        <v/>
      </c>
    </row>
    <row r="832">
      <c r="A832" s="19" t="n">
        <v>1987</v>
      </c>
      <c r="B832" s="20">
        <f>IFERROR(INDEX(Sheet1!I:I,MATCH(A832,Sheet1!A:A,0)),"")</f>
        <v/>
      </c>
      <c r="C832" s="21">
        <f>IFERROR(INDEX(Sheet3!D:D,MATCH(A832,Sheet3!A:A,0)),"")</f>
        <v/>
      </c>
      <c r="D832" s="22">
        <f>IFERROR(INDEX(Sheet3!G:G,MATCH(A832,Sheet3!A:A,0)),"")</f>
        <v/>
      </c>
      <c r="E832" s="23">
        <f>IFERROR(INDEX(Sheet3!H:H,MATCH(A832,Sheet3!A:A,0)),"")</f>
        <v/>
      </c>
    </row>
    <row r="833">
      <c r="A833" s="19" t="n">
        <v>1989</v>
      </c>
      <c r="B833" s="20">
        <f>IFERROR(INDEX(Sheet1!I:I,MATCH(A833,Sheet1!A:A,0)),"")</f>
        <v/>
      </c>
      <c r="C833" s="21">
        <f>IFERROR(INDEX(Sheet3!D:D,MATCH(A833,Sheet3!A:A,0)),"")</f>
        <v/>
      </c>
      <c r="D833" s="22">
        <f>IFERROR(INDEX(Sheet3!G:G,MATCH(A833,Sheet3!A:A,0)),"")</f>
        <v/>
      </c>
      <c r="E833" s="23">
        <f>IFERROR(INDEX(Sheet3!H:H,MATCH(A833,Sheet3!A:A,0)),"")</f>
        <v/>
      </c>
    </row>
    <row r="834">
      <c r="A834" s="19" t="n">
        <v>1994</v>
      </c>
      <c r="B834" s="20">
        <f>IFERROR(INDEX(Sheet1!I:I,MATCH(A834,Sheet1!A:A,0)),"")</f>
        <v/>
      </c>
      <c r="C834" s="21">
        <f>IFERROR(INDEX(Sheet3!D:D,MATCH(A834,Sheet3!A:A,0)),"")</f>
        <v/>
      </c>
      <c r="D834" s="22">
        <f>IFERROR(INDEX(Sheet3!G:G,MATCH(A834,Sheet3!A:A,0)),"")</f>
        <v/>
      </c>
      <c r="E834" s="23">
        <f>IFERROR(INDEX(Sheet3!H:H,MATCH(A834,Sheet3!A:A,0)),"")</f>
        <v/>
      </c>
    </row>
    <row r="835">
      <c r="A835" s="19" t="n">
        <v>1996</v>
      </c>
      <c r="B835" s="20">
        <f>IFERROR(INDEX(Sheet1!I:I,MATCH(A835,Sheet1!A:A,0)),"")</f>
        <v/>
      </c>
      <c r="C835" s="21">
        <f>IFERROR(INDEX(Sheet3!D:D,MATCH(A835,Sheet3!A:A,0)),"")</f>
        <v/>
      </c>
      <c r="D835" s="22">
        <f>IFERROR(INDEX(Sheet3!G:G,MATCH(A835,Sheet3!A:A,0)),"")</f>
        <v/>
      </c>
      <c r="E835" s="23">
        <f>IFERROR(INDEX(Sheet3!H:H,MATCH(A835,Sheet3!A:A,0)),"")</f>
        <v/>
      </c>
    </row>
    <row r="836">
      <c r="A836" s="19" t="n">
        <v>1997</v>
      </c>
      <c r="B836" s="20">
        <f>IFERROR(INDEX(Sheet1!I:I,MATCH(A836,Sheet1!A:A,0)),"")</f>
        <v/>
      </c>
      <c r="C836" s="21">
        <f>IFERROR(INDEX(Sheet3!D:D,MATCH(A836,Sheet3!A:A,0)),"")</f>
        <v/>
      </c>
      <c r="D836" s="22">
        <f>IFERROR(INDEX(Sheet3!G:G,MATCH(A836,Sheet3!A:A,0)),"")</f>
        <v/>
      </c>
      <c r="E836" s="23">
        <f>IFERROR(INDEX(Sheet3!H:H,MATCH(A836,Sheet3!A:A,0)),"")</f>
        <v/>
      </c>
    </row>
    <row r="837">
      <c r="A837" s="19" t="n">
        <v>1998</v>
      </c>
      <c r="B837" s="20">
        <f>IFERROR(INDEX(Sheet1!I:I,MATCH(A837,Sheet1!A:A,0)),"")</f>
        <v/>
      </c>
      <c r="C837" s="21">
        <f>IFERROR(INDEX(Sheet3!D:D,MATCH(A837,Sheet3!A:A,0)),"")</f>
        <v/>
      </c>
      <c r="D837" s="22">
        <f>IFERROR(INDEX(Sheet3!G:G,MATCH(A837,Sheet3!A:A,0)),"")</f>
        <v/>
      </c>
      <c r="E837" s="23">
        <f>IFERROR(INDEX(Sheet3!H:H,MATCH(A837,Sheet3!A:A,0)),"")</f>
        <v/>
      </c>
    </row>
    <row r="838">
      <c r="A838" s="19" t="n">
        <v>1999</v>
      </c>
      <c r="B838" s="20">
        <f>IFERROR(INDEX(Sheet1!I:I,MATCH(A838,Sheet1!A:A,0)),"")</f>
        <v/>
      </c>
      <c r="C838" s="21">
        <f>IFERROR(INDEX(Sheet3!D:D,MATCH(A838,Sheet3!A:A,0)),"")</f>
        <v/>
      </c>
      <c r="D838" s="22">
        <f>IFERROR(INDEX(Sheet3!G:G,MATCH(A838,Sheet3!A:A,0)),"")</f>
        <v/>
      </c>
      <c r="E838" s="23">
        <f>IFERROR(INDEX(Sheet3!H:H,MATCH(A838,Sheet3!A:A,0)),"")</f>
        <v/>
      </c>
    </row>
    <row r="839">
      <c r="A839" s="19" t="n">
        <v>2000</v>
      </c>
      <c r="B839" s="20">
        <f>IFERROR(INDEX(Sheet1!I:I,MATCH(A839,Sheet1!A:A,0)),"")</f>
        <v/>
      </c>
      <c r="C839" s="21">
        <f>IFERROR(INDEX(Sheet3!D:D,MATCH(A839,Sheet3!A:A,0)),"")</f>
        <v/>
      </c>
      <c r="D839" s="22">
        <f>IFERROR(INDEX(Sheet3!G:G,MATCH(A839,Sheet3!A:A,0)),"")</f>
        <v/>
      </c>
      <c r="E839" s="23">
        <f>IFERROR(INDEX(Sheet3!H:H,MATCH(A839,Sheet3!A:A,0)),"")</f>
        <v/>
      </c>
    </row>
    <row r="840">
      <c r="A840" s="19" t="n">
        <v>2001</v>
      </c>
      <c r="B840" s="20">
        <f>IFERROR(INDEX(Sheet1!I:I,MATCH(A840,Sheet1!A:A,0)),"")</f>
        <v/>
      </c>
      <c r="C840" s="21">
        <f>IFERROR(INDEX(Sheet3!D:D,MATCH(A840,Sheet3!A:A,0)),"")</f>
        <v/>
      </c>
      <c r="D840" s="22">
        <f>IFERROR(INDEX(Sheet3!G:G,MATCH(A840,Sheet3!A:A,0)),"")</f>
        <v/>
      </c>
      <c r="E840" s="23">
        <f>IFERROR(INDEX(Sheet3!H:H,MATCH(A840,Sheet3!A:A,0)),"")</f>
        <v/>
      </c>
    </row>
    <row r="841">
      <c r="A841" s="19" t="n">
        <v>2002</v>
      </c>
      <c r="B841" s="20">
        <f>IFERROR(INDEX(Sheet1!I:I,MATCH(A841,Sheet1!A:A,0)),"")</f>
        <v/>
      </c>
      <c r="C841" s="21">
        <f>IFERROR(INDEX(Sheet3!D:D,MATCH(A841,Sheet3!A:A,0)),"")</f>
        <v/>
      </c>
      <c r="D841" s="22">
        <f>IFERROR(INDEX(Sheet3!G:G,MATCH(A841,Sheet3!A:A,0)),"")</f>
        <v/>
      </c>
      <c r="E841" s="23">
        <f>IFERROR(INDEX(Sheet3!H:H,MATCH(A841,Sheet3!A:A,0)),"")</f>
        <v/>
      </c>
    </row>
    <row r="842">
      <c r="A842" s="19" t="n">
        <v>2003</v>
      </c>
      <c r="B842" s="20">
        <f>IFERROR(INDEX(Sheet1!I:I,MATCH(A842,Sheet1!A:A,0)),"")</f>
        <v/>
      </c>
      <c r="C842" s="21">
        <f>IFERROR(INDEX(Sheet3!D:D,MATCH(A842,Sheet3!A:A,0)),"")</f>
        <v/>
      </c>
      <c r="D842" s="22">
        <f>IFERROR(INDEX(Sheet3!G:G,MATCH(A842,Sheet3!A:A,0)),"")</f>
        <v/>
      </c>
      <c r="E842" s="23">
        <f>IFERROR(INDEX(Sheet3!H:H,MATCH(A842,Sheet3!A:A,0)),"")</f>
        <v/>
      </c>
    </row>
    <row r="843">
      <c r="A843" s="19" t="n">
        <v>2004</v>
      </c>
      <c r="B843" s="20">
        <f>IFERROR(INDEX(Sheet1!I:I,MATCH(A843,Sheet1!A:A,0)),"")</f>
        <v/>
      </c>
      <c r="C843" s="21">
        <f>IFERROR(INDEX(Sheet3!D:D,MATCH(A843,Sheet3!A:A,0)),"")</f>
        <v/>
      </c>
      <c r="D843" s="22">
        <f>IFERROR(INDEX(Sheet3!G:G,MATCH(A843,Sheet3!A:A,0)),"")</f>
        <v/>
      </c>
      <c r="E843" s="23">
        <f>IFERROR(INDEX(Sheet3!H:H,MATCH(A843,Sheet3!A:A,0)),"")</f>
        <v/>
      </c>
    </row>
    <row r="844">
      <c r="A844" s="19" t="n">
        <v>2005</v>
      </c>
      <c r="B844" s="20">
        <f>IFERROR(INDEX(Sheet1!I:I,MATCH(A844,Sheet1!A:A,0)),"")</f>
        <v/>
      </c>
      <c r="C844" s="21">
        <f>IFERROR(INDEX(Sheet3!D:D,MATCH(A844,Sheet3!A:A,0)),"")</f>
        <v/>
      </c>
      <c r="D844" s="22">
        <f>IFERROR(INDEX(Sheet3!G:G,MATCH(A844,Sheet3!A:A,0)),"")</f>
        <v/>
      </c>
      <c r="E844" s="23">
        <f>IFERROR(INDEX(Sheet3!H:H,MATCH(A844,Sheet3!A:A,0)),"")</f>
        <v/>
      </c>
    </row>
    <row r="845">
      <c r="A845" s="19" t="n">
        <v>2006</v>
      </c>
      <c r="B845" s="20">
        <f>IFERROR(INDEX(Sheet1!I:I,MATCH(A845,Sheet1!A:A,0)),"")</f>
        <v/>
      </c>
      <c r="C845" s="21">
        <f>IFERROR(INDEX(Sheet3!D:D,MATCH(A845,Sheet3!A:A,0)),"")</f>
        <v/>
      </c>
      <c r="D845" s="22">
        <f>IFERROR(INDEX(Sheet3!G:G,MATCH(A845,Sheet3!A:A,0)),"")</f>
        <v/>
      </c>
      <c r="E845" s="23">
        <f>IFERROR(INDEX(Sheet3!H:H,MATCH(A845,Sheet3!A:A,0)),"")</f>
        <v/>
      </c>
    </row>
    <row r="846">
      <c r="A846" s="19" t="n">
        <v>2007</v>
      </c>
      <c r="B846" s="20">
        <f>IFERROR(INDEX(Sheet1!I:I,MATCH(A846,Sheet1!A:A,0)),"")</f>
        <v/>
      </c>
      <c r="C846" s="21">
        <f>IFERROR(INDEX(Sheet3!D:D,MATCH(A846,Sheet3!A:A,0)),"")</f>
        <v/>
      </c>
      <c r="D846" s="22">
        <f>IFERROR(INDEX(Sheet3!G:G,MATCH(A846,Sheet3!A:A,0)),"")</f>
        <v/>
      </c>
      <c r="E846" s="23">
        <f>IFERROR(INDEX(Sheet3!H:H,MATCH(A846,Sheet3!A:A,0)),"")</f>
        <v/>
      </c>
    </row>
    <row r="847">
      <c r="A847" s="19" t="n">
        <v>2008</v>
      </c>
      <c r="B847" s="20">
        <f>IFERROR(INDEX(Sheet1!I:I,MATCH(A847,Sheet1!A:A,0)),"")</f>
        <v/>
      </c>
      <c r="C847" s="21">
        <f>IFERROR(INDEX(Sheet3!D:D,MATCH(A847,Sheet3!A:A,0)),"")</f>
        <v/>
      </c>
      <c r="D847" s="22">
        <f>IFERROR(INDEX(Sheet3!G:G,MATCH(A847,Sheet3!A:A,0)),"")</f>
        <v/>
      </c>
      <c r="E847" s="23">
        <f>IFERROR(INDEX(Sheet3!H:H,MATCH(A847,Sheet3!A:A,0)),"")</f>
        <v/>
      </c>
    </row>
    <row r="848">
      <c r="A848" s="19" t="n">
        <v>2009</v>
      </c>
      <c r="B848" s="20">
        <f>IFERROR(INDEX(Sheet1!I:I,MATCH(A848,Sheet1!A:A,0)),"")</f>
        <v/>
      </c>
      <c r="C848" s="21">
        <f>IFERROR(INDEX(Sheet3!D:D,MATCH(A848,Sheet3!A:A,0)),"")</f>
        <v/>
      </c>
      <c r="D848" s="22">
        <f>IFERROR(INDEX(Sheet3!G:G,MATCH(A848,Sheet3!A:A,0)),"")</f>
        <v/>
      </c>
      <c r="E848" s="23">
        <f>IFERROR(INDEX(Sheet3!H:H,MATCH(A848,Sheet3!A:A,0)),"")</f>
        <v/>
      </c>
    </row>
    <row r="849">
      <c r="A849" s="19" t="n">
        <v>2010</v>
      </c>
      <c r="B849" s="20">
        <f>IFERROR(INDEX(Sheet1!I:I,MATCH(A849,Sheet1!A:A,0)),"")</f>
        <v/>
      </c>
      <c r="C849" s="21">
        <f>IFERROR(INDEX(Sheet3!D:D,MATCH(A849,Sheet3!A:A,0)),"")</f>
        <v/>
      </c>
      <c r="D849" s="22">
        <f>IFERROR(INDEX(Sheet3!G:G,MATCH(A849,Sheet3!A:A,0)),"")</f>
        <v/>
      </c>
      <c r="E849" s="23">
        <f>IFERROR(INDEX(Sheet3!H:H,MATCH(A849,Sheet3!A:A,0)),"")</f>
        <v/>
      </c>
    </row>
    <row r="850">
      <c r="A850" s="19" t="n">
        <v>2011</v>
      </c>
      <c r="B850" s="20">
        <f>IFERROR(INDEX(Sheet1!I:I,MATCH(A850,Sheet1!A:A,0)),"")</f>
        <v/>
      </c>
      <c r="C850" s="21">
        <f>IFERROR(INDEX(Sheet3!D:D,MATCH(A850,Sheet3!A:A,0)),"")</f>
        <v/>
      </c>
      <c r="D850" s="22">
        <f>IFERROR(INDEX(Sheet3!G:G,MATCH(A850,Sheet3!A:A,0)),"")</f>
        <v/>
      </c>
      <c r="E850" s="23">
        <f>IFERROR(INDEX(Sheet3!H:H,MATCH(A850,Sheet3!A:A,0)),"")</f>
        <v/>
      </c>
    </row>
    <row r="851">
      <c r="A851" s="19" t="n">
        <v>2012</v>
      </c>
      <c r="B851" s="20">
        <f>IFERROR(INDEX(Sheet1!I:I,MATCH(A851,Sheet1!A:A,0)),"")</f>
        <v/>
      </c>
      <c r="C851" s="21">
        <f>IFERROR(INDEX(Sheet3!D:D,MATCH(A851,Sheet3!A:A,0)),"")</f>
        <v/>
      </c>
      <c r="D851" s="22">
        <f>IFERROR(INDEX(Sheet3!G:G,MATCH(A851,Sheet3!A:A,0)),"")</f>
        <v/>
      </c>
      <c r="E851" s="23">
        <f>IFERROR(INDEX(Sheet3!H:H,MATCH(A851,Sheet3!A:A,0)),"")</f>
        <v/>
      </c>
    </row>
    <row r="852">
      <c r="A852" s="19" t="n">
        <v>2013</v>
      </c>
      <c r="B852" s="20">
        <f>IFERROR(INDEX(Sheet1!I:I,MATCH(A852,Sheet1!A:A,0)),"")</f>
        <v/>
      </c>
      <c r="C852" s="21">
        <f>IFERROR(INDEX(Sheet3!D:D,MATCH(A852,Sheet3!A:A,0)),"")</f>
        <v/>
      </c>
      <c r="D852" s="22">
        <f>IFERROR(INDEX(Sheet3!G:G,MATCH(A852,Sheet3!A:A,0)),"")</f>
        <v/>
      </c>
      <c r="E852" s="23">
        <f>IFERROR(INDEX(Sheet3!H:H,MATCH(A852,Sheet3!A:A,0)),"")</f>
        <v/>
      </c>
    </row>
    <row r="853">
      <c r="A853" s="19" t="n">
        <v>2015</v>
      </c>
      <c r="B853" s="20">
        <f>IFERROR(INDEX(Sheet1!I:I,MATCH(A853,Sheet1!A:A,0)),"")</f>
        <v/>
      </c>
      <c r="C853" s="21">
        <f>IFERROR(INDEX(Sheet3!D:D,MATCH(A853,Sheet3!A:A,0)),"")</f>
        <v/>
      </c>
      <c r="D853" s="22">
        <f>IFERROR(INDEX(Sheet3!G:G,MATCH(A853,Sheet3!A:A,0)),"")</f>
        <v/>
      </c>
      <c r="E853" s="23">
        <f>IFERROR(INDEX(Sheet3!H:H,MATCH(A853,Sheet3!A:A,0)),"")</f>
        <v/>
      </c>
    </row>
    <row r="854">
      <c r="A854" s="19" t="n">
        <v>2017</v>
      </c>
      <c r="B854" s="20">
        <f>IFERROR(INDEX(Sheet1!I:I,MATCH(A854,Sheet1!A:A,0)),"")</f>
        <v/>
      </c>
      <c r="C854" s="21">
        <f>IFERROR(INDEX(Sheet3!D:D,MATCH(A854,Sheet3!A:A,0)),"")</f>
        <v/>
      </c>
      <c r="D854" s="22">
        <f>IFERROR(INDEX(Sheet3!G:G,MATCH(A854,Sheet3!A:A,0)),"")</f>
        <v/>
      </c>
      <c r="E854" s="23">
        <f>IFERROR(INDEX(Sheet3!H:H,MATCH(A854,Sheet3!A:A,0)),"")</f>
        <v/>
      </c>
    </row>
    <row r="855">
      <c r="A855" s="19" t="n">
        <v>2018</v>
      </c>
      <c r="B855" s="20">
        <f>IFERROR(INDEX(Sheet1!I:I,MATCH(A855,Sheet1!A:A,0)),"")</f>
        <v/>
      </c>
      <c r="C855" s="21">
        <f>IFERROR(INDEX(Sheet3!D:D,MATCH(A855,Sheet3!A:A,0)),"")</f>
        <v/>
      </c>
      <c r="D855" s="22">
        <f>IFERROR(INDEX(Sheet3!G:G,MATCH(A855,Sheet3!A:A,0)),"")</f>
        <v/>
      </c>
      <c r="E855" s="23">
        <f>IFERROR(INDEX(Sheet3!H:H,MATCH(A855,Sheet3!A:A,0)),"")</f>
        <v/>
      </c>
    </row>
    <row r="856">
      <c r="A856" s="19" t="n">
        <v>2019</v>
      </c>
      <c r="B856" s="20">
        <f>IFERROR(INDEX(Sheet1!I:I,MATCH(A856,Sheet1!A:A,0)),"")</f>
        <v/>
      </c>
      <c r="C856" s="21">
        <f>IFERROR(INDEX(Sheet3!D:D,MATCH(A856,Sheet3!A:A,0)),"")</f>
        <v/>
      </c>
      <c r="D856" s="22">
        <f>IFERROR(INDEX(Sheet3!G:G,MATCH(A856,Sheet3!A:A,0)),"")</f>
        <v/>
      </c>
      <c r="E856" s="23">
        <f>IFERROR(INDEX(Sheet3!H:H,MATCH(A856,Sheet3!A:A,0)),"")</f>
        <v/>
      </c>
    </row>
    <row r="857">
      <c r="A857" s="19" t="n">
        <v>2027</v>
      </c>
      <c r="B857" s="20">
        <f>IFERROR(INDEX(Sheet1!I:I,MATCH(A857,Sheet1!A:A,0)),"")</f>
        <v/>
      </c>
      <c r="C857" s="21">
        <f>IFERROR(INDEX(Sheet3!D:D,MATCH(A857,Sheet3!A:A,0)),"")</f>
        <v/>
      </c>
      <c r="D857" s="22">
        <f>IFERROR(INDEX(Sheet3!G:G,MATCH(A857,Sheet3!A:A,0)),"")</f>
        <v/>
      </c>
      <c r="E857" s="23">
        <f>IFERROR(INDEX(Sheet3!H:H,MATCH(A857,Sheet3!A:A,0)),"")</f>
        <v/>
      </c>
    </row>
    <row r="858">
      <c r="A858" s="19" t="n">
        <v>2029</v>
      </c>
      <c r="B858" s="20">
        <f>IFERROR(INDEX(Sheet1!I:I,MATCH(A858,Sheet1!A:A,0)),"")</f>
        <v/>
      </c>
      <c r="C858" s="21">
        <f>IFERROR(INDEX(Sheet3!D:D,MATCH(A858,Sheet3!A:A,0)),"")</f>
        <v/>
      </c>
      <c r="D858" s="22">
        <f>IFERROR(INDEX(Sheet3!G:G,MATCH(A858,Sheet3!A:A,0)),"")</f>
        <v/>
      </c>
      <c r="E858" s="23">
        <f>IFERROR(INDEX(Sheet3!H:H,MATCH(A858,Sheet3!A:A,0)),"")</f>
        <v/>
      </c>
    </row>
    <row r="859">
      <c r="A859" s="19" t="n">
        <v>2032</v>
      </c>
      <c r="B859" s="20">
        <f>IFERROR(INDEX(Sheet1!I:I,MATCH(A859,Sheet1!A:A,0)),"")</f>
        <v/>
      </c>
      <c r="C859" s="21">
        <f>IFERROR(INDEX(Sheet3!D:D,MATCH(A859,Sheet3!A:A,0)),"")</f>
        <v/>
      </c>
      <c r="D859" s="22">
        <f>IFERROR(INDEX(Sheet3!G:G,MATCH(A859,Sheet3!A:A,0)),"")</f>
        <v/>
      </c>
      <c r="E859" s="23">
        <f>IFERROR(INDEX(Sheet3!H:H,MATCH(A859,Sheet3!A:A,0)),"")</f>
        <v/>
      </c>
    </row>
    <row r="860">
      <c r="A860" s="19" t="n">
        <v>2033</v>
      </c>
      <c r="B860" s="20">
        <f>IFERROR(INDEX(Sheet1!I:I,MATCH(A860,Sheet1!A:A,0)),"")</f>
        <v/>
      </c>
      <c r="C860" s="21">
        <f>IFERROR(INDEX(Sheet3!D:D,MATCH(A860,Sheet3!A:A,0)),"")</f>
        <v/>
      </c>
      <c r="D860" s="22">
        <f>IFERROR(INDEX(Sheet3!G:G,MATCH(A860,Sheet3!A:A,0)),"")</f>
        <v/>
      </c>
      <c r="E860" s="23">
        <f>IFERROR(INDEX(Sheet3!H:H,MATCH(A860,Sheet3!A:A,0)),"")</f>
        <v/>
      </c>
    </row>
    <row r="861">
      <c r="A861" s="19" t="n">
        <v>2034</v>
      </c>
      <c r="B861" s="20">
        <f>IFERROR(INDEX(Sheet1!I:I,MATCH(A861,Sheet1!A:A,0)),"")</f>
        <v/>
      </c>
      <c r="C861" s="21">
        <f>IFERROR(INDEX(Sheet3!D:D,MATCH(A861,Sheet3!A:A,0)),"")</f>
        <v/>
      </c>
      <c r="D861" s="22">
        <f>IFERROR(INDEX(Sheet3!G:G,MATCH(A861,Sheet3!A:A,0)),"")</f>
        <v/>
      </c>
      <c r="E861" s="23">
        <f>IFERROR(INDEX(Sheet3!H:H,MATCH(A861,Sheet3!A:A,0)),"")</f>
        <v/>
      </c>
    </row>
    <row r="862">
      <c r="A862" s="19" t="n">
        <v>2046</v>
      </c>
      <c r="B862" s="20">
        <f>IFERROR(INDEX(Sheet1!I:I,MATCH(A862,Sheet1!A:A,0)),"")</f>
        <v/>
      </c>
      <c r="C862" s="21">
        <f>IFERROR(INDEX(Sheet3!D:D,MATCH(A862,Sheet3!A:A,0)),"")</f>
        <v/>
      </c>
      <c r="D862" s="22">
        <f>IFERROR(INDEX(Sheet3!G:G,MATCH(A862,Sheet3!A:A,0)),"")</f>
        <v/>
      </c>
      <c r="E862" s="23">
        <f>IFERROR(INDEX(Sheet3!H:H,MATCH(A862,Sheet3!A:A,0)),"")</f>
        <v/>
      </c>
    </row>
    <row r="863">
      <c r="A863" s="19" t="n">
        <v>2049</v>
      </c>
      <c r="B863" s="20">
        <f>IFERROR(INDEX(Sheet1!I:I,MATCH(A863,Sheet1!A:A,0)),"")</f>
        <v/>
      </c>
      <c r="C863" s="21">
        <f>IFERROR(INDEX(Sheet3!D:D,MATCH(A863,Sheet3!A:A,0)),"")</f>
        <v/>
      </c>
      <c r="D863" s="22">
        <f>IFERROR(INDEX(Sheet3!G:G,MATCH(A863,Sheet3!A:A,0)),"")</f>
        <v/>
      </c>
      <c r="E863" s="23">
        <f>IFERROR(INDEX(Sheet3!H:H,MATCH(A863,Sheet3!A:A,0)),"")</f>
        <v/>
      </c>
    </row>
    <row r="864">
      <c r="A864" s="19" t="n">
        <v>2050</v>
      </c>
      <c r="B864" s="20">
        <f>IFERROR(INDEX(Sheet1!I:I,MATCH(A864,Sheet1!A:A,0)),"")</f>
        <v/>
      </c>
      <c r="C864" s="21">
        <f>IFERROR(INDEX(Sheet3!D:D,MATCH(A864,Sheet3!A:A,0)),"")</f>
        <v/>
      </c>
      <c r="D864" s="22">
        <f>IFERROR(INDEX(Sheet3!G:G,MATCH(A864,Sheet3!A:A,0)),"")</f>
        <v/>
      </c>
      <c r="E864" s="23">
        <f>IFERROR(INDEX(Sheet3!H:H,MATCH(A864,Sheet3!A:A,0)),"")</f>
        <v/>
      </c>
    </row>
    <row r="865">
      <c r="A865" s="19" t="n">
        <v>2057</v>
      </c>
      <c r="B865" s="20">
        <f>IFERROR(INDEX(Sheet1!I:I,MATCH(A865,Sheet1!A:A,0)),"")</f>
        <v/>
      </c>
      <c r="C865" s="21">
        <f>IFERROR(INDEX(Sheet3!D:D,MATCH(A865,Sheet3!A:A,0)),"")</f>
        <v/>
      </c>
      <c r="D865" s="22">
        <f>IFERROR(INDEX(Sheet3!G:G,MATCH(A865,Sheet3!A:A,0)),"")</f>
        <v/>
      </c>
      <c r="E865" s="23">
        <f>IFERROR(INDEX(Sheet3!H:H,MATCH(A865,Sheet3!A:A,0)),"")</f>
        <v/>
      </c>
    </row>
    <row r="866">
      <c r="A866" s="19" t="n">
        <v>2058</v>
      </c>
      <c r="B866" s="20">
        <f>IFERROR(INDEX(Sheet1!I:I,MATCH(A866,Sheet1!A:A,0)),"")</f>
        <v/>
      </c>
      <c r="C866" s="21">
        <f>IFERROR(INDEX(Sheet3!D:D,MATCH(A866,Sheet3!A:A,0)),"")</f>
        <v/>
      </c>
      <c r="D866" s="22">
        <f>IFERROR(INDEX(Sheet3!G:G,MATCH(A866,Sheet3!A:A,0)),"")</f>
        <v/>
      </c>
      <c r="E866" s="23">
        <f>IFERROR(INDEX(Sheet3!H:H,MATCH(A866,Sheet3!A:A,0)),"")</f>
        <v/>
      </c>
    </row>
    <row r="867">
      <c r="A867" s="19" t="n">
        <v>2059</v>
      </c>
      <c r="B867" s="20">
        <f>IFERROR(INDEX(Sheet1!I:I,MATCH(A867,Sheet1!A:A,0)),"")</f>
        <v/>
      </c>
      <c r="C867" s="21">
        <f>IFERROR(INDEX(Sheet3!D:D,MATCH(A867,Sheet3!A:A,0)),"")</f>
        <v/>
      </c>
      <c r="D867" s="22">
        <f>IFERROR(INDEX(Sheet3!G:G,MATCH(A867,Sheet3!A:A,0)),"")</f>
        <v/>
      </c>
      <c r="E867" s="23">
        <f>IFERROR(INDEX(Sheet3!H:H,MATCH(A867,Sheet3!A:A,0)),"")</f>
        <v/>
      </c>
    </row>
    <row r="868">
      <c r="A868" s="19" t="n">
        <v>2060</v>
      </c>
      <c r="B868" s="20">
        <f>IFERROR(INDEX(Sheet1!I:I,MATCH(A868,Sheet1!A:A,0)),"")</f>
        <v/>
      </c>
      <c r="C868" s="21">
        <f>IFERROR(INDEX(Sheet3!D:D,MATCH(A868,Sheet3!A:A,0)),"")</f>
        <v/>
      </c>
      <c r="D868" s="22">
        <f>IFERROR(INDEX(Sheet3!G:G,MATCH(A868,Sheet3!A:A,0)),"")</f>
        <v/>
      </c>
      <c r="E868" s="23">
        <f>IFERROR(INDEX(Sheet3!H:H,MATCH(A868,Sheet3!A:A,0)),"")</f>
        <v/>
      </c>
    </row>
    <row r="869">
      <c r="A869" s="19" t="n">
        <v>2062</v>
      </c>
      <c r="B869" s="20">
        <f>IFERROR(INDEX(Sheet1!I:I,MATCH(A869,Sheet1!A:A,0)),"")</f>
        <v/>
      </c>
      <c r="C869" s="21">
        <f>IFERROR(INDEX(Sheet3!D:D,MATCH(A869,Sheet3!A:A,0)),"")</f>
        <v/>
      </c>
      <c r="D869" s="22">
        <f>IFERROR(INDEX(Sheet3!G:G,MATCH(A869,Sheet3!A:A,0)),"")</f>
        <v/>
      </c>
      <c r="E869" s="23">
        <f>IFERROR(INDEX(Sheet3!H:H,MATCH(A869,Sheet3!A:A,0)),"")</f>
        <v/>
      </c>
    </row>
    <row r="870">
      <c r="A870" s="19" t="n">
        <v>2063</v>
      </c>
      <c r="B870" s="20">
        <f>IFERROR(INDEX(Sheet1!I:I,MATCH(A870,Sheet1!A:A,0)),"")</f>
        <v/>
      </c>
      <c r="C870" s="21">
        <f>IFERROR(INDEX(Sheet3!D:D,MATCH(A870,Sheet3!A:A,0)),"")</f>
        <v/>
      </c>
      <c r="D870" s="22">
        <f>IFERROR(INDEX(Sheet3!G:G,MATCH(A870,Sheet3!A:A,0)),"")</f>
        <v/>
      </c>
      <c r="E870" s="23">
        <f>IFERROR(INDEX(Sheet3!H:H,MATCH(A870,Sheet3!A:A,0)),"")</f>
        <v/>
      </c>
    </row>
    <row r="871">
      <c r="A871" s="19" t="n">
        <v>2064</v>
      </c>
      <c r="B871" s="20">
        <f>IFERROR(INDEX(Sheet1!I:I,MATCH(A871,Sheet1!A:A,0)),"")</f>
        <v/>
      </c>
      <c r="C871" s="21">
        <f>IFERROR(INDEX(Sheet3!D:D,MATCH(A871,Sheet3!A:A,0)),"")</f>
        <v/>
      </c>
      <c r="D871" s="22">
        <f>IFERROR(INDEX(Sheet3!G:G,MATCH(A871,Sheet3!A:A,0)),"")</f>
        <v/>
      </c>
      <c r="E871" s="23">
        <f>IFERROR(INDEX(Sheet3!H:H,MATCH(A871,Sheet3!A:A,0)),"")</f>
        <v/>
      </c>
    </row>
    <row r="872">
      <c r="A872" s="19" t="n">
        <v>2067</v>
      </c>
      <c r="B872" s="20">
        <f>IFERROR(INDEX(Sheet1!I:I,MATCH(A872,Sheet1!A:A,0)),"")</f>
        <v/>
      </c>
      <c r="C872" s="21">
        <f>IFERROR(INDEX(Sheet3!D:D,MATCH(A872,Sheet3!A:A,0)),"")</f>
        <v/>
      </c>
      <c r="D872" s="22">
        <f>IFERROR(INDEX(Sheet3!G:G,MATCH(A872,Sheet3!A:A,0)),"")</f>
        <v/>
      </c>
      <c r="E872" s="23">
        <f>IFERROR(INDEX(Sheet3!H:H,MATCH(A872,Sheet3!A:A,0)),"")</f>
        <v/>
      </c>
    </row>
    <row r="873">
      <c r="A873" s="19" t="n">
        <v>2069</v>
      </c>
      <c r="B873" s="20">
        <f>IFERROR(INDEX(Sheet1!I:I,MATCH(A873,Sheet1!A:A,0)),"")</f>
        <v/>
      </c>
      <c r="C873" s="21">
        <f>IFERROR(INDEX(Sheet3!D:D,MATCH(A873,Sheet3!A:A,0)),"")</f>
        <v/>
      </c>
      <c r="D873" s="22">
        <f>IFERROR(INDEX(Sheet3!G:G,MATCH(A873,Sheet3!A:A,0)),"")</f>
        <v/>
      </c>
      <c r="E873" s="23">
        <f>IFERROR(INDEX(Sheet3!H:H,MATCH(A873,Sheet3!A:A,0)),"")</f>
        <v/>
      </c>
    </row>
    <row r="874">
      <c r="A874" s="19" t="n">
        <v>2071</v>
      </c>
      <c r="B874" s="20">
        <f>IFERROR(INDEX(Sheet1!I:I,MATCH(A874,Sheet1!A:A,0)),"")</f>
        <v/>
      </c>
      <c r="C874" s="21">
        <f>IFERROR(INDEX(Sheet3!D:D,MATCH(A874,Sheet3!A:A,0)),"")</f>
        <v/>
      </c>
      <c r="D874" s="22">
        <f>IFERROR(INDEX(Sheet3!G:G,MATCH(A874,Sheet3!A:A,0)),"")</f>
        <v/>
      </c>
      <c r="E874" s="23">
        <f>IFERROR(INDEX(Sheet3!H:H,MATCH(A874,Sheet3!A:A,0)),"")</f>
        <v/>
      </c>
    </row>
    <row r="875">
      <c r="A875" s="19" t="n">
        <v>2073</v>
      </c>
      <c r="B875" s="20">
        <f>IFERROR(INDEX(Sheet1!I:I,MATCH(A875,Sheet1!A:A,0)),"")</f>
        <v/>
      </c>
      <c r="C875" s="21">
        <f>IFERROR(INDEX(Sheet3!D:D,MATCH(A875,Sheet3!A:A,0)),"")</f>
        <v/>
      </c>
      <c r="D875" s="22">
        <f>IFERROR(INDEX(Sheet3!G:G,MATCH(A875,Sheet3!A:A,0)),"")</f>
        <v/>
      </c>
      <c r="E875" s="23">
        <f>IFERROR(INDEX(Sheet3!H:H,MATCH(A875,Sheet3!A:A,0)),"")</f>
        <v/>
      </c>
    </row>
    <row r="876">
      <c r="A876" s="19" t="n">
        <v>2075</v>
      </c>
      <c r="B876" s="20">
        <f>IFERROR(INDEX(Sheet1!I:I,MATCH(A876,Sheet1!A:A,0)),"")</f>
        <v/>
      </c>
      <c r="C876" s="21">
        <f>IFERROR(INDEX(Sheet3!D:D,MATCH(A876,Sheet3!A:A,0)),"")</f>
        <v/>
      </c>
      <c r="D876" s="22">
        <f>IFERROR(INDEX(Sheet3!G:G,MATCH(A876,Sheet3!A:A,0)),"")</f>
        <v/>
      </c>
      <c r="E876" s="23">
        <f>IFERROR(INDEX(Sheet3!H:H,MATCH(A876,Sheet3!A:A,0)),"")</f>
        <v/>
      </c>
    </row>
    <row r="877">
      <c r="A877" s="19" t="n">
        <v>2077</v>
      </c>
      <c r="B877" s="20">
        <f>IFERROR(INDEX(Sheet1!I:I,MATCH(A877,Sheet1!A:A,0)),"")</f>
        <v/>
      </c>
      <c r="C877" s="21">
        <f>IFERROR(INDEX(Sheet3!D:D,MATCH(A877,Sheet3!A:A,0)),"")</f>
        <v/>
      </c>
      <c r="D877" s="22">
        <f>IFERROR(INDEX(Sheet3!G:G,MATCH(A877,Sheet3!A:A,0)),"")</f>
        <v/>
      </c>
      <c r="E877" s="23">
        <f>IFERROR(INDEX(Sheet3!H:H,MATCH(A877,Sheet3!A:A,0)),"")</f>
        <v/>
      </c>
    </row>
    <row r="878">
      <c r="A878" s="19" t="n">
        <v>2080</v>
      </c>
      <c r="B878" s="20">
        <f>IFERROR(INDEX(Sheet1!I:I,MATCH(A878,Sheet1!A:A,0)),"")</f>
        <v/>
      </c>
      <c r="C878" s="21">
        <f>IFERROR(INDEX(Sheet3!D:D,MATCH(A878,Sheet3!A:A,0)),"")</f>
        <v/>
      </c>
      <c r="D878" s="22">
        <f>IFERROR(INDEX(Sheet3!G:G,MATCH(A878,Sheet3!A:A,0)),"")</f>
        <v/>
      </c>
      <c r="E878" s="23">
        <f>IFERROR(INDEX(Sheet3!H:H,MATCH(A878,Sheet3!A:A,0)),"")</f>
        <v/>
      </c>
    </row>
    <row r="879">
      <c r="A879" s="19" t="n">
        <v>2081</v>
      </c>
      <c r="B879" s="20">
        <f>IFERROR(INDEX(Sheet1!I:I,MATCH(A879,Sheet1!A:A,0)),"")</f>
        <v/>
      </c>
      <c r="C879" s="21">
        <f>IFERROR(INDEX(Sheet3!D:D,MATCH(A879,Sheet3!A:A,0)),"")</f>
        <v/>
      </c>
      <c r="D879" s="22">
        <f>IFERROR(INDEX(Sheet3!G:G,MATCH(A879,Sheet3!A:A,0)),"")</f>
        <v/>
      </c>
      <c r="E879" s="23">
        <f>IFERROR(INDEX(Sheet3!H:H,MATCH(A879,Sheet3!A:A,0)),"")</f>
        <v/>
      </c>
    </row>
    <row r="880">
      <c r="A880" s="19" t="n">
        <v>2082</v>
      </c>
      <c r="B880" s="20">
        <f>IFERROR(INDEX(Sheet1!I:I,MATCH(A880,Sheet1!A:A,0)),"")</f>
        <v/>
      </c>
      <c r="C880" s="21">
        <f>IFERROR(INDEX(Sheet3!D:D,MATCH(A880,Sheet3!A:A,0)),"")</f>
        <v/>
      </c>
      <c r="D880" s="22">
        <f>IFERROR(INDEX(Sheet3!G:G,MATCH(A880,Sheet3!A:A,0)),"")</f>
        <v/>
      </c>
      <c r="E880" s="23">
        <f>IFERROR(INDEX(Sheet3!H:H,MATCH(A880,Sheet3!A:A,0)),"")</f>
        <v/>
      </c>
    </row>
    <row r="881">
      <c r="A881" s="19" t="n">
        <v>2083</v>
      </c>
      <c r="B881" s="20">
        <f>IFERROR(INDEX(Sheet1!I:I,MATCH(A881,Sheet1!A:A,0)),"")</f>
        <v/>
      </c>
      <c r="C881" s="21">
        <f>IFERROR(INDEX(Sheet3!D:D,MATCH(A881,Sheet3!A:A,0)),"")</f>
        <v/>
      </c>
      <c r="D881" s="22">
        <f>IFERROR(INDEX(Sheet3!G:G,MATCH(A881,Sheet3!A:A,0)),"")</f>
        <v/>
      </c>
      <c r="E881" s="23">
        <f>IFERROR(INDEX(Sheet3!H:H,MATCH(A881,Sheet3!A:A,0)),"")</f>
        <v/>
      </c>
    </row>
    <row r="882">
      <c r="A882" s="19" t="n">
        <v>2084</v>
      </c>
      <c r="B882" s="20">
        <f>IFERROR(INDEX(Sheet1!I:I,MATCH(A882,Sheet1!A:A,0)),"")</f>
        <v/>
      </c>
      <c r="C882" s="21">
        <f>IFERROR(INDEX(Sheet3!D:D,MATCH(A882,Sheet3!A:A,0)),"")</f>
        <v/>
      </c>
      <c r="D882" s="22">
        <f>IFERROR(INDEX(Sheet3!G:G,MATCH(A882,Sheet3!A:A,0)),"")</f>
        <v/>
      </c>
      <c r="E882" s="23">
        <f>IFERROR(INDEX(Sheet3!H:H,MATCH(A882,Sheet3!A:A,0)),"")</f>
        <v/>
      </c>
    </row>
    <row r="883">
      <c r="A883" s="19" t="n">
        <v>2085</v>
      </c>
      <c r="B883" s="20">
        <f>IFERROR(INDEX(Sheet1!I:I,MATCH(A883,Sheet1!A:A,0)),"")</f>
        <v/>
      </c>
      <c r="C883" s="21">
        <f>IFERROR(INDEX(Sheet3!D:D,MATCH(A883,Sheet3!A:A,0)),"")</f>
        <v/>
      </c>
      <c r="D883" s="22">
        <f>IFERROR(INDEX(Sheet3!G:G,MATCH(A883,Sheet3!A:A,0)),"")</f>
        <v/>
      </c>
      <c r="E883" s="23">
        <f>IFERROR(INDEX(Sheet3!H:H,MATCH(A883,Sheet3!A:A,0)),"")</f>
        <v/>
      </c>
    </row>
    <row r="884">
      <c r="A884" s="19" t="n">
        <v>2087</v>
      </c>
      <c r="B884" s="20">
        <f>IFERROR(INDEX(Sheet1!I:I,MATCH(A884,Sheet1!A:A,0)),"")</f>
        <v/>
      </c>
      <c r="C884" s="21">
        <f>IFERROR(INDEX(Sheet3!D:D,MATCH(A884,Sheet3!A:A,0)),"")</f>
        <v/>
      </c>
      <c r="D884" s="22">
        <f>IFERROR(INDEX(Sheet3!G:G,MATCH(A884,Sheet3!A:A,0)),"")</f>
        <v/>
      </c>
      <c r="E884" s="23">
        <f>IFERROR(INDEX(Sheet3!H:H,MATCH(A884,Sheet3!A:A,0)),"")</f>
        <v/>
      </c>
    </row>
    <row r="885">
      <c r="A885" s="19" t="n">
        <v>2088</v>
      </c>
      <c r="B885" s="20">
        <f>IFERROR(INDEX(Sheet1!I:I,MATCH(A885,Sheet1!A:A,0)),"")</f>
        <v/>
      </c>
      <c r="C885" s="21">
        <f>IFERROR(INDEX(Sheet3!D:D,MATCH(A885,Sheet3!A:A,0)),"")</f>
        <v/>
      </c>
      <c r="D885" s="22">
        <f>IFERROR(INDEX(Sheet3!G:G,MATCH(A885,Sheet3!A:A,0)),"")</f>
        <v/>
      </c>
      <c r="E885" s="23">
        <f>IFERROR(INDEX(Sheet3!H:H,MATCH(A885,Sheet3!A:A,0)),"")</f>
        <v/>
      </c>
    </row>
    <row r="886">
      <c r="A886" s="19" t="n">
        <v>2089</v>
      </c>
      <c r="B886" s="20">
        <f>IFERROR(INDEX(Sheet1!I:I,MATCH(A886,Sheet1!A:A,0)),"")</f>
        <v/>
      </c>
      <c r="C886" s="21">
        <f>IFERROR(INDEX(Sheet3!D:D,MATCH(A886,Sheet3!A:A,0)),"")</f>
        <v/>
      </c>
      <c r="D886" s="22">
        <f>IFERROR(INDEX(Sheet3!G:G,MATCH(A886,Sheet3!A:A,0)),"")</f>
        <v/>
      </c>
      <c r="E886" s="23">
        <f>IFERROR(INDEX(Sheet3!H:H,MATCH(A886,Sheet3!A:A,0)),"")</f>
        <v/>
      </c>
    </row>
    <row r="887">
      <c r="A887" s="19" t="n">
        <v>2090</v>
      </c>
      <c r="B887" s="20">
        <f>IFERROR(INDEX(Sheet1!I:I,MATCH(A887,Sheet1!A:A,0)),"")</f>
        <v/>
      </c>
      <c r="C887" s="21">
        <f>IFERROR(INDEX(Sheet3!D:D,MATCH(A887,Sheet3!A:A,0)),"")</f>
        <v/>
      </c>
      <c r="D887" s="22">
        <f>IFERROR(INDEX(Sheet3!G:G,MATCH(A887,Sheet3!A:A,0)),"")</f>
        <v/>
      </c>
      <c r="E887" s="23">
        <f>IFERROR(INDEX(Sheet3!H:H,MATCH(A887,Sheet3!A:A,0)),"")</f>
        <v/>
      </c>
    </row>
    <row r="888">
      <c r="A888" s="19" t="n">
        <v>2096</v>
      </c>
      <c r="B888" s="20">
        <f>IFERROR(INDEX(Sheet1!I:I,MATCH(A888,Sheet1!A:A,0)),"")</f>
        <v/>
      </c>
      <c r="C888" s="21">
        <f>IFERROR(INDEX(Sheet3!D:D,MATCH(A888,Sheet3!A:A,0)),"")</f>
        <v/>
      </c>
      <c r="D888" s="22">
        <f>IFERROR(INDEX(Sheet3!G:G,MATCH(A888,Sheet3!A:A,0)),"")</f>
        <v/>
      </c>
      <c r="E888" s="23">
        <f>IFERROR(INDEX(Sheet3!H:H,MATCH(A888,Sheet3!A:A,0)),"")</f>
        <v/>
      </c>
    </row>
    <row r="889">
      <c r="A889" s="19" t="n">
        <v>2098</v>
      </c>
      <c r="B889" s="20">
        <f>IFERROR(INDEX(Sheet1!I:I,MATCH(A889,Sheet1!A:A,0)),"")</f>
        <v/>
      </c>
      <c r="C889" s="21">
        <f>IFERROR(INDEX(Sheet3!D:D,MATCH(A889,Sheet3!A:A,0)),"")</f>
        <v/>
      </c>
      <c r="D889" s="22">
        <f>IFERROR(INDEX(Sheet3!G:G,MATCH(A889,Sheet3!A:A,0)),"")</f>
        <v/>
      </c>
      <c r="E889" s="23">
        <f>IFERROR(INDEX(Sheet3!H:H,MATCH(A889,Sheet3!A:A,0)),"")</f>
        <v/>
      </c>
    </row>
    <row r="890">
      <c r="A890" s="19" t="n">
        <v>2099</v>
      </c>
      <c r="B890" s="20">
        <f>IFERROR(INDEX(Sheet1!I:I,MATCH(A890,Sheet1!A:A,0)),"")</f>
        <v/>
      </c>
      <c r="C890" s="21">
        <f>IFERROR(INDEX(Sheet3!D:D,MATCH(A890,Sheet3!A:A,0)),"")</f>
        <v/>
      </c>
      <c r="D890" s="22">
        <f>IFERROR(INDEX(Sheet3!G:G,MATCH(A890,Sheet3!A:A,0)),"")</f>
        <v/>
      </c>
      <c r="E890" s="23">
        <f>IFERROR(INDEX(Sheet3!H:H,MATCH(A890,Sheet3!A:A,0)),"")</f>
        <v/>
      </c>
    </row>
    <row r="891">
      <c r="A891" s="19" t="n">
        <v>2104</v>
      </c>
      <c r="B891" s="20">
        <f>IFERROR(INDEX(Sheet1!I:I,MATCH(A891,Sheet1!A:A,0)),"")</f>
        <v/>
      </c>
      <c r="C891" s="21">
        <f>IFERROR(INDEX(Sheet3!D:D,MATCH(A891,Sheet3!A:A,0)),"")</f>
        <v/>
      </c>
      <c r="D891" s="22">
        <f>IFERROR(INDEX(Sheet3!G:G,MATCH(A891,Sheet3!A:A,0)),"")</f>
        <v/>
      </c>
      <c r="E891" s="23">
        <f>IFERROR(INDEX(Sheet3!H:H,MATCH(A891,Sheet3!A:A,0)),"")</f>
        <v/>
      </c>
    </row>
    <row r="892">
      <c r="A892" s="19" t="n">
        <v>2106</v>
      </c>
      <c r="B892" s="20">
        <f>IFERROR(INDEX(Sheet1!I:I,MATCH(A892,Sheet1!A:A,0)),"")</f>
        <v/>
      </c>
      <c r="C892" s="21">
        <f>IFERROR(INDEX(Sheet3!D:D,MATCH(A892,Sheet3!A:A,0)),"")</f>
        <v/>
      </c>
      <c r="D892" s="22">
        <f>IFERROR(INDEX(Sheet3!G:G,MATCH(A892,Sheet3!A:A,0)),"")</f>
        <v/>
      </c>
      <c r="E892" s="23">
        <f>IFERROR(INDEX(Sheet3!H:H,MATCH(A892,Sheet3!A:A,0)),"")</f>
        <v/>
      </c>
    </row>
    <row r="893">
      <c r="A893" s="19" t="n">
        <v>2107</v>
      </c>
      <c r="B893" s="20">
        <f>IFERROR(INDEX(Sheet1!I:I,MATCH(A893,Sheet1!A:A,0)),"")</f>
        <v/>
      </c>
      <c r="C893" s="21">
        <f>IFERROR(INDEX(Sheet3!D:D,MATCH(A893,Sheet3!A:A,0)),"")</f>
        <v/>
      </c>
      <c r="D893" s="22">
        <f>IFERROR(INDEX(Sheet3!G:G,MATCH(A893,Sheet3!A:A,0)),"")</f>
        <v/>
      </c>
      <c r="E893" s="23">
        <f>IFERROR(INDEX(Sheet3!H:H,MATCH(A893,Sheet3!A:A,0)),"")</f>
        <v/>
      </c>
    </row>
    <row r="894">
      <c r="A894" s="19" t="n">
        <v>2109</v>
      </c>
      <c r="B894" s="20">
        <f>IFERROR(INDEX(Sheet1!I:I,MATCH(A894,Sheet1!A:A,0)),"")</f>
        <v/>
      </c>
      <c r="C894" s="21">
        <f>IFERROR(INDEX(Sheet3!D:D,MATCH(A894,Sheet3!A:A,0)),"")</f>
        <v/>
      </c>
      <c r="D894" s="22">
        <f>IFERROR(INDEX(Sheet3!G:G,MATCH(A894,Sheet3!A:A,0)),"")</f>
        <v/>
      </c>
      <c r="E894" s="23">
        <f>IFERROR(INDEX(Sheet3!H:H,MATCH(A894,Sheet3!A:A,0)),"")</f>
        <v/>
      </c>
    </row>
    <row r="895">
      <c r="A895" s="19" t="n">
        <v>2110</v>
      </c>
      <c r="B895" s="20">
        <f>IFERROR(INDEX(Sheet1!I:I,MATCH(A895,Sheet1!A:A,0)),"")</f>
        <v/>
      </c>
      <c r="C895" s="21">
        <f>IFERROR(INDEX(Sheet3!D:D,MATCH(A895,Sheet3!A:A,0)),"")</f>
        <v/>
      </c>
      <c r="D895" s="22">
        <f>IFERROR(INDEX(Sheet3!G:G,MATCH(A895,Sheet3!A:A,0)),"")</f>
        <v/>
      </c>
      <c r="E895" s="23">
        <f>IFERROR(INDEX(Sheet3!H:H,MATCH(A895,Sheet3!A:A,0)),"")</f>
        <v/>
      </c>
    </row>
    <row r="896">
      <c r="A896" s="19" t="n">
        <v>2111</v>
      </c>
      <c r="B896" s="20">
        <f>IFERROR(INDEX(Sheet1!I:I,MATCH(A896,Sheet1!A:A,0)),"")</f>
        <v/>
      </c>
      <c r="C896" s="21">
        <f>IFERROR(INDEX(Sheet3!D:D,MATCH(A896,Sheet3!A:A,0)),"")</f>
        <v/>
      </c>
      <c r="D896" s="22">
        <f>IFERROR(INDEX(Sheet3!G:G,MATCH(A896,Sheet3!A:A,0)),"")</f>
        <v/>
      </c>
      <c r="E896" s="23">
        <f>IFERROR(INDEX(Sheet3!H:H,MATCH(A896,Sheet3!A:A,0)),"")</f>
        <v/>
      </c>
    </row>
    <row r="897">
      <c r="A897" s="19" t="n">
        <v>2112</v>
      </c>
      <c r="B897" s="20">
        <f>IFERROR(INDEX(Sheet1!I:I,MATCH(A897,Sheet1!A:A,0)),"")</f>
        <v/>
      </c>
      <c r="C897" s="21">
        <f>IFERROR(INDEX(Sheet3!D:D,MATCH(A897,Sheet3!A:A,0)),"")</f>
        <v/>
      </c>
      <c r="D897" s="22">
        <f>IFERROR(INDEX(Sheet3!G:G,MATCH(A897,Sheet3!A:A,0)),"")</f>
        <v/>
      </c>
      <c r="E897" s="23">
        <f>IFERROR(INDEX(Sheet3!H:H,MATCH(A897,Sheet3!A:A,0)),"")</f>
        <v/>
      </c>
    </row>
    <row r="898">
      <c r="A898" s="19" t="n">
        <v>2113</v>
      </c>
      <c r="B898" s="20">
        <f>IFERROR(INDEX(Sheet1!I:I,MATCH(A898,Sheet1!A:A,0)),"")</f>
        <v/>
      </c>
      <c r="C898" s="21">
        <f>IFERROR(INDEX(Sheet3!D:D,MATCH(A898,Sheet3!A:A,0)),"")</f>
        <v/>
      </c>
      <c r="D898" s="22">
        <f>IFERROR(INDEX(Sheet3!G:G,MATCH(A898,Sheet3!A:A,0)),"")</f>
        <v/>
      </c>
      <c r="E898" s="23">
        <f>IFERROR(INDEX(Sheet3!H:H,MATCH(A898,Sheet3!A:A,0)),"")</f>
        <v/>
      </c>
    </row>
    <row r="899">
      <c r="A899" s="19" t="n">
        <v>2114</v>
      </c>
      <c r="B899" s="20">
        <f>IFERROR(INDEX(Sheet1!I:I,MATCH(A899,Sheet1!A:A,0)),"")</f>
        <v/>
      </c>
      <c r="C899" s="21">
        <f>IFERROR(INDEX(Sheet3!D:D,MATCH(A899,Sheet3!A:A,0)),"")</f>
        <v/>
      </c>
      <c r="D899" s="22">
        <f>IFERROR(INDEX(Sheet3!G:G,MATCH(A899,Sheet3!A:A,0)),"")</f>
        <v/>
      </c>
      <c r="E899" s="23">
        <f>IFERROR(INDEX(Sheet3!H:H,MATCH(A899,Sheet3!A:A,0)),"")</f>
        <v/>
      </c>
    </row>
    <row r="900">
      <c r="A900" s="19" t="n">
        <v>2115</v>
      </c>
      <c r="B900" s="20">
        <f>IFERROR(INDEX(Sheet1!I:I,MATCH(A900,Sheet1!A:A,0)),"")</f>
        <v/>
      </c>
      <c r="C900" s="21">
        <f>IFERROR(INDEX(Sheet3!D:D,MATCH(A900,Sheet3!A:A,0)),"")</f>
        <v/>
      </c>
      <c r="D900" s="22">
        <f>IFERROR(INDEX(Sheet3!G:G,MATCH(A900,Sheet3!A:A,0)),"")</f>
        <v/>
      </c>
      <c r="E900" s="23">
        <f>IFERROR(INDEX(Sheet3!H:H,MATCH(A900,Sheet3!A:A,0)),"")</f>
        <v/>
      </c>
    </row>
    <row r="901">
      <c r="A901" s="19" t="n">
        <v>2116</v>
      </c>
      <c r="B901" s="20">
        <f>IFERROR(INDEX(Sheet1!I:I,MATCH(A901,Sheet1!A:A,0)),"")</f>
        <v/>
      </c>
      <c r="C901" s="21">
        <f>IFERROR(INDEX(Sheet3!D:D,MATCH(A901,Sheet3!A:A,0)),"")</f>
        <v/>
      </c>
      <c r="D901" s="22">
        <f>IFERROR(INDEX(Sheet3!G:G,MATCH(A901,Sheet3!A:A,0)),"")</f>
        <v/>
      </c>
      <c r="E901" s="23">
        <f>IFERROR(INDEX(Sheet3!H:H,MATCH(A901,Sheet3!A:A,0)),"")</f>
        <v/>
      </c>
    </row>
    <row r="902">
      <c r="A902" s="19" t="n">
        <v>2119</v>
      </c>
      <c r="B902" s="20">
        <f>IFERROR(INDEX(Sheet1!I:I,MATCH(A902,Sheet1!A:A,0)),"")</f>
        <v/>
      </c>
      <c r="C902" s="21">
        <f>IFERROR(INDEX(Sheet3!D:D,MATCH(A902,Sheet3!A:A,0)),"")</f>
        <v/>
      </c>
      <c r="D902" s="22">
        <f>IFERROR(INDEX(Sheet3!G:G,MATCH(A902,Sheet3!A:A,0)),"")</f>
        <v/>
      </c>
      <c r="E902" s="23">
        <f>IFERROR(INDEX(Sheet3!H:H,MATCH(A902,Sheet3!A:A,0)),"")</f>
        <v/>
      </c>
    </row>
    <row r="903">
      <c r="A903" s="19" t="n">
        <v>2120</v>
      </c>
      <c r="B903" s="20">
        <f>IFERROR(INDEX(Sheet1!I:I,MATCH(A903,Sheet1!A:A,0)),"")</f>
        <v/>
      </c>
      <c r="C903" s="21">
        <f>IFERROR(INDEX(Sheet3!D:D,MATCH(A903,Sheet3!A:A,0)),"")</f>
        <v/>
      </c>
      <c r="D903" s="22">
        <f>IFERROR(INDEX(Sheet3!G:G,MATCH(A903,Sheet3!A:A,0)),"")</f>
        <v/>
      </c>
      <c r="E903" s="23">
        <f>IFERROR(INDEX(Sheet3!H:H,MATCH(A903,Sheet3!A:A,0)),"")</f>
        <v/>
      </c>
    </row>
    <row r="904">
      <c r="A904" s="19" t="n">
        <v>2121</v>
      </c>
      <c r="B904" s="20">
        <f>IFERROR(INDEX(Sheet1!I:I,MATCH(A904,Sheet1!A:A,0)),"")</f>
        <v/>
      </c>
      <c r="C904" s="21">
        <f>IFERROR(INDEX(Sheet3!D:D,MATCH(A904,Sheet3!A:A,0)),"")</f>
        <v/>
      </c>
      <c r="D904" s="22">
        <f>IFERROR(INDEX(Sheet3!G:G,MATCH(A904,Sheet3!A:A,0)),"")</f>
        <v/>
      </c>
      <c r="E904" s="23">
        <f>IFERROR(INDEX(Sheet3!H:H,MATCH(A904,Sheet3!A:A,0)),"")</f>
        <v/>
      </c>
    </row>
    <row r="905">
      <c r="A905" s="19" t="n">
        <v>2122</v>
      </c>
      <c r="B905" s="20">
        <f>IFERROR(INDEX(Sheet1!I:I,MATCH(A905,Sheet1!A:A,0)),"")</f>
        <v/>
      </c>
      <c r="C905" s="21">
        <f>IFERROR(INDEX(Sheet3!D:D,MATCH(A905,Sheet3!A:A,0)),"")</f>
        <v/>
      </c>
      <c r="D905" s="22">
        <f>IFERROR(INDEX(Sheet3!G:G,MATCH(A905,Sheet3!A:A,0)),"")</f>
        <v/>
      </c>
      <c r="E905" s="23">
        <f>IFERROR(INDEX(Sheet3!H:H,MATCH(A905,Sheet3!A:A,0)),"")</f>
        <v/>
      </c>
    </row>
    <row r="906">
      <c r="A906" s="19" t="n">
        <v>2123</v>
      </c>
      <c r="B906" s="20">
        <f>IFERROR(INDEX(Sheet1!I:I,MATCH(A906,Sheet1!A:A,0)),"")</f>
        <v/>
      </c>
      <c r="C906" s="21">
        <f>IFERROR(INDEX(Sheet3!D:D,MATCH(A906,Sheet3!A:A,0)),"")</f>
        <v/>
      </c>
      <c r="D906" s="22">
        <f>IFERROR(INDEX(Sheet3!G:G,MATCH(A906,Sheet3!A:A,0)),"")</f>
        <v/>
      </c>
      <c r="E906" s="23">
        <f>IFERROR(INDEX(Sheet3!H:H,MATCH(A906,Sheet3!A:A,0)),"")</f>
        <v/>
      </c>
    </row>
    <row r="907">
      <c r="A907" s="19" t="n">
        <v>2132</v>
      </c>
      <c r="B907" s="20">
        <f>IFERROR(INDEX(Sheet1!I:I,MATCH(A907,Sheet1!A:A,0)),"")</f>
        <v/>
      </c>
      <c r="C907" s="21">
        <f>IFERROR(INDEX(Sheet3!D:D,MATCH(A907,Sheet3!A:A,0)),"")</f>
        <v/>
      </c>
      <c r="D907" s="22">
        <f>IFERROR(INDEX(Sheet3!G:G,MATCH(A907,Sheet3!A:A,0)),"")</f>
        <v/>
      </c>
      <c r="E907" s="23">
        <f>IFERROR(INDEX(Sheet3!H:H,MATCH(A907,Sheet3!A:A,0)),"")</f>
        <v/>
      </c>
    </row>
    <row r="908">
      <c r="A908" s="19" t="n">
        <v>2135</v>
      </c>
      <c r="B908" s="20">
        <f>IFERROR(INDEX(Sheet1!I:I,MATCH(A908,Sheet1!A:A,0)),"")</f>
        <v/>
      </c>
      <c r="C908" s="21">
        <f>IFERROR(INDEX(Sheet3!D:D,MATCH(A908,Sheet3!A:A,0)),"")</f>
        <v/>
      </c>
      <c r="D908" s="22">
        <f>IFERROR(INDEX(Sheet3!G:G,MATCH(A908,Sheet3!A:A,0)),"")</f>
        <v/>
      </c>
      <c r="E908" s="23">
        <f>IFERROR(INDEX(Sheet3!H:H,MATCH(A908,Sheet3!A:A,0)),"")</f>
        <v/>
      </c>
    </row>
    <row r="909">
      <c r="A909" s="19" t="n">
        <v>2136</v>
      </c>
      <c r="B909" s="20">
        <f>IFERROR(INDEX(Sheet1!I:I,MATCH(A909,Sheet1!A:A,0)),"")</f>
        <v/>
      </c>
      <c r="C909" s="21">
        <f>IFERROR(INDEX(Sheet3!D:D,MATCH(A909,Sheet3!A:A,0)),"")</f>
        <v/>
      </c>
      <c r="D909" s="22">
        <f>IFERROR(INDEX(Sheet3!G:G,MATCH(A909,Sheet3!A:A,0)),"")</f>
        <v/>
      </c>
      <c r="E909" s="23">
        <f>IFERROR(INDEX(Sheet3!H:H,MATCH(A909,Sheet3!A:A,0)),"")</f>
        <v/>
      </c>
    </row>
    <row r="910">
      <c r="A910" s="19" t="n">
        <v>2138</v>
      </c>
      <c r="B910" s="20">
        <f>IFERROR(INDEX(Sheet1!I:I,MATCH(A910,Sheet1!A:A,0)),"")</f>
        <v/>
      </c>
      <c r="C910" s="21">
        <f>IFERROR(INDEX(Sheet3!D:D,MATCH(A910,Sheet3!A:A,0)),"")</f>
        <v/>
      </c>
      <c r="D910" s="22">
        <f>IFERROR(INDEX(Sheet3!G:G,MATCH(A910,Sheet3!A:A,0)),"")</f>
        <v/>
      </c>
      <c r="E910" s="23">
        <f>IFERROR(INDEX(Sheet3!H:H,MATCH(A910,Sheet3!A:A,0)),"")</f>
        <v/>
      </c>
    </row>
    <row r="911">
      <c r="A911" s="19" t="n">
        <v>2141</v>
      </c>
      <c r="B911" s="20">
        <f>IFERROR(INDEX(Sheet1!I:I,MATCH(A911,Sheet1!A:A,0)),"")</f>
        <v/>
      </c>
      <c r="C911" s="21">
        <f>IFERROR(INDEX(Sheet3!D:D,MATCH(A911,Sheet3!A:A,0)),"")</f>
        <v/>
      </c>
      <c r="D911" s="22">
        <f>IFERROR(INDEX(Sheet3!G:G,MATCH(A911,Sheet3!A:A,0)),"")</f>
        <v/>
      </c>
      <c r="E911" s="23">
        <f>IFERROR(INDEX(Sheet3!H:H,MATCH(A911,Sheet3!A:A,0)),"")</f>
        <v/>
      </c>
    </row>
    <row r="912">
      <c r="A912" s="19" t="n">
        <v>2142</v>
      </c>
      <c r="B912" s="20">
        <f>IFERROR(INDEX(Sheet1!I:I,MATCH(A912,Sheet1!A:A,0)),"")</f>
        <v/>
      </c>
      <c r="C912" s="21">
        <f>IFERROR(INDEX(Sheet3!D:D,MATCH(A912,Sheet3!A:A,0)),"")</f>
        <v/>
      </c>
      <c r="D912" s="22">
        <f>IFERROR(INDEX(Sheet3!G:G,MATCH(A912,Sheet3!A:A,0)),"")</f>
        <v/>
      </c>
      <c r="E912" s="23">
        <f>IFERROR(INDEX(Sheet3!H:H,MATCH(A912,Sheet3!A:A,0)),"")</f>
        <v/>
      </c>
    </row>
    <row r="913">
      <c r="A913" s="19" t="n">
        <v>2145</v>
      </c>
      <c r="B913" s="20">
        <f>IFERROR(INDEX(Sheet1!I:I,MATCH(A913,Sheet1!A:A,0)),"")</f>
        <v/>
      </c>
      <c r="C913" s="21">
        <f>IFERROR(INDEX(Sheet3!D:D,MATCH(A913,Sheet3!A:A,0)),"")</f>
        <v/>
      </c>
      <c r="D913" s="22">
        <f>IFERROR(INDEX(Sheet3!G:G,MATCH(A913,Sheet3!A:A,0)),"")</f>
        <v/>
      </c>
      <c r="E913" s="23">
        <f>IFERROR(INDEX(Sheet3!H:H,MATCH(A913,Sheet3!A:A,0)),"")</f>
        <v/>
      </c>
    </row>
    <row r="914">
      <c r="A914" s="19" t="n">
        <v>2146</v>
      </c>
      <c r="B914" s="20">
        <f>IFERROR(INDEX(Sheet1!I:I,MATCH(A914,Sheet1!A:A,0)),"")</f>
        <v/>
      </c>
      <c r="C914" s="21">
        <f>IFERROR(INDEX(Sheet3!D:D,MATCH(A914,Sheet3!A:A,0)),"")</f>
        <v/>
      </c>
      <c r="D914" s="22">
        <f>IFERROR(INDEX(Sheet3!G:G,MATCH(A914,Sheet3!A:A,0)),"")</f>
        <v/>
      </c>
      <c r="E914" s="23">
        <f>IFERROR(INDEX(Sheet3!H:H,MATCH(A914,Sheet3!A:A,0)),"")</f>
        <v/>
      </c>
    </row>
    <row r="915">
      <c r="A915" s="19" t="n">
        <v>2147</v>
      </c>
      <c r="B915" s="20">
        <f>IFERROR(INDEX(Sheet1!I:I,MATCH(A915,Sheet1!A:A,0)),"")</f>
        <v/>
      </c>
      <c r="C915" s="21">
        <f>IFERROR(INDEX(Sheet3!D:D,MATCH(A915,Sheet3!A:A,0)),"")</f>
        <v/>
      </c>
      <c r="D915" s="22">
        <f>IFERROR(INDEX(Sheet3!G:G,MATCH(A915,Sheet3!A:A,0)),"")</f>
        <v/>
      </c>
      <c r="E915" s="23">
        <f>IFERROR(INDEX(Sheet3!H:H,MATCH(A915,Sheet3!A:A,0)),"")</f>
        <v/>
      </c>
    </row>
    <row r="916">
      <c r="A916" s="19" t="n">
        <v>2150</v>
      </c>
      <c r="B916" s="20">
        <f>IFERROR(INDEX(Sheet1!I:I,MATCH(A916,Sheet1!A:A,0)),"")</f>
        <v/>
      </c>
      <c r="C916" s="21">
        <f>IFERROR(INDEX(Sheet3!D:D,MATCH(A916,Sheet3!A:A,0)),"")</f>
        <v/>
      </c>
      <c r="D916" s="22">
        <f>IFERROR(INDEX(Sheet3!G:G,MATCH(A916,Sheet3!A:A,0)),"")</f>
        <v/>
      </c>
      <c r="E916" s="23">
        <f>IFERROR(INDEX(Sheet3!H:H,MATCH(A916,Sheet3!A:A,0)),"")</f>
        <v/>
      </c>
    </row>
    <row r="917">
      <c r="A917" s="19" t="n">
        <v>2152</v>
      </c>
      <c r="B917" s="20">
        <f>IFERROR(INDEX(Sheet1!I:I,MATCH(A917,Sheet1!A:A,0)),"")</f>
        <v/>
      </c>
      <c r="C917" s="21">
        <f>IFERROR(INDEX(Sheet3!D:D,MATCH(A917,Sheet3!A:A,0)),"")</f>
        <v/>
      </c>
      <c r="D917" s="22">
        <f>IFERROR(INDEX(Sheet3!G:G,MATCH(A917,Sheet3!A:A,0)),"")</f>
        <v/>
      </c>
      <c r="E917" s="23">
        <f>IFERROR(INDEX(Sheet3!H:H,MATCH(A917,Sheet3!A:A,0)),"")</f>
        <v/>
      </c>
    </row>
    <row r="918">
      <c r="A918" s="19" t="n">
        <v>2154</v>
      </c>
      <c r="B918" s="20">
        <f>IFERROR(INDEX(Sheet1!I:I,MATCH(A918,Sheet1!A:A,0)),"")</f>
        <v/>
      </c>
      <c r="C918" s="21">
        <f>IFERROR(INDEX(Sheet3!D:D,MATCH(A918,Sheet3!A:A,0)),"")</f>
        <v/>
      </c>
      <c r="D918" s="22">
        <f>IFERROR(INDEX(Sheet3!G:G,MATCH(A918,Sheet3!A:A,0)),"")</f>
        <v/>
      </c>
      <c r="E918" s="23">
        <f>IFERROR(INDEX(Sheet3!H:H,MATCH(A918,Sheet3!A:A,0)),"")</f>
        <v/>
      </c>
    </row>
    <row r="919">
      <c r="A919" s="19" t="n">
        <v>2156</v>
      </c>
      <c r="B919" s="20">
        <f>IFERROR(INDEX(Sheet1!I:I,MATCH(A919,Sheet1!A:A,0)),"")</f>
        <v/>
      </c>
      <c r="C919" s="21">
        <f>IFERROR(INDEX(Sheet3!D:D,MATCH(A919,Sheet3!A:A,0)),"")</f>
        <v/>
      </c>
      <c r="D919" s="22">
        <f>IFERROR(INDEX(Sheet3!G:G,MATCH(A919,Sheet3!A:A,0)),"")</f>
        <v/>
      </c>
      <c r="E919" s="23">
        <f>IFERROR(INDEX(Sheet3!H:H,MATCH(A919,Sheet3!A:A,0)),"")</f>
        <v/>
      </c>
    </row>
    <row r="920">
      <c r="A920" s="19" t="n">
        <v>2157</v>
      </c>
      <c r="B920" s="20">
        <f>IFERROR(INDEX(Sheet1!I:I,MATCH(A920,Sheet1!A:A,0)),"")</f>
        <v/>
      </c>
      <c r="C920" s="21">
        <f>IFERROR(INDEX(Sheet3!D:D,MATCH(A920,Sheet3!A:A,0)),"")</f>
        <v/>
      </c>
      <c r="D920" s="22">
        <f>IFERROR(INDEX(Sheet3!G:G,MATCH(A920,Sheet3!A:A,0)),"")</f>
        <v/>
      </c>
      <c r="E920" s="23">
        <f>IFERROR(INDEX(Sheet3!H:H,MATCH(A920,Sheet3!A:A,0)),"")</f>
        <v/>
      </c>
    </row>
    <row r="921">
      <c r="A921" s="19" t="n">
        <v>2159</v>
      </c>
      <c r="B921" s="20">
        <f>IFERROR(INDEX(Sheet1!I:I,MATCH(A921,Sheet1!A:A,0)),"")</f>
        <v/>
      </c>
      <c r="C921" s="21">
        <f>IFERROR(INDEX(Sheet3!D:D,MATCH(A921,Sheet3!A:A,0)),"")</f>
        <v/>
      </c>
      <c r="D921" s="22">
        <f>IFERROR(INDEX(Sheet3!G:G,MATCH(A921,Sheet3!A:A,0)),"")</f>
        <v/>
      </c>
      <c r="E921" s="23">
        <f>IFERROR(INDEX(Sheet3!H:H,MATCH(A921,Sheet3!A:A,0)),"")</f>
        <v/>
      </c>
    </row>
    <row r="922">
      <c r="A922" s="19" t="n">
        <v>2160</v>
      </c>
      <c r="B922" s="20">
        <f>IFERROR(INDEX(Sheet1!I:I,MATCH(A922,Sheet1!A:A,0)),"")</f>
        <v/>
      </c>
      <c r="C922" s="21">
        <f>IFERROR(INDEX(Sheet3!D:D,MATCH(A922,Sheet3!A:A,0)),"")</f>
        <v/>
      </c>
      <c r="D922" s="22">
        <f>IFERROR(INDEX(Sheet3!G:G,MATCH(A922,Sheet3!A:A,0)),"")</f>
        <v/>
      </c>
      <c r="E922" s="23">
        <f>IFERROR(INDEX(Sheet3!H:H,MATCH(A922,Sheet3!A:A,0)),"")</f>
        <v/>
      </c>
    </row>
    <row r="923">
      <c r="A923" s="19" t="n">
        <v>2162</v>
      </c>
      <c r="B923" s="20">
        <f>IFERROR(INDEX(Sheet1!I:I,MATCH(A923,Sheet1!A:A,0)),"")</f>
        <v/>
      </c>
      <c r="C923" s="21">
        <f>IFERROR(INDEX(Sheet3!D:D,MATCH(A923,Sheet3!A:A,0)),"")</f>
        <v/>
      </c>
      <c r="D923" s="22">
        <f>IFERROR(INDEX(Sheet3!G:G,MATCH(A923,Sheet3!A:A,0)),"")</f>
        <v/>
      </c>
      <c r="E923" s="23">
        <f>IFERROR(INDEX(Sheet3!H:H,MATCH(A923,Sheet3!A:A,0)),"")</f>
        <v/>
      </c>
    </row>
    <row r="924">
      <c r="A924" s="19" t="n">
        <v>2165</v>
      </c>
      <c r="B924" s="20">
        <f>IFERROR(INDEX(Sheet1!I:I,MATCH(A924,Sheet1!A:A,0)),"")</f>
        <v/>
      </c>
      <c r="C924" s="21">
        <f>IFERROR(INDEX(Sheet3!D:D,MATCH(A924,Sheet3!A:A,0)),"")</f>
        <v/>
      </c>
      <c r="D924" s="22">
        <f>IFERROR(INDEX(Sheet3!G:G,MATCH(A924,Sheet3!A:A,0)),"")</f>
        <v/>
      </c>
      <c r="E924" s="23">
        <f>IFERROR(INDEX(Sheet3!H:H,MATCH(A924,Sheet3!A:A,0)),"")</f>
        <v/>
      </c>
    </row>
    <row r="925">
      <c r="A925" s="19" t="n">
        <v>2168</v>
      </c>
      <c r="B925" s="20">
        <f>IFERROR(INDEX(Sheet1!I:I,MATCH(A925,Sheet1!A:A,0)),"")</f>
        <v/>
      </c>
      <c r="C925" s="21">
        <f>IFERROR(INDEX(Sheet3!D:D,MATCH(A925,Sheet3!A:A,0)),"")</f>
        <v/>
      </c>
      <c r="D925" s="22">
        <f>IFERROR(INDEX(Sheet3!G:G,MATCH(A925,Sheet3!A:A,0)),"")</f>
        <v/>
      </c>
      <c r="E925" s="23">
        <f>IFERROR(INDEX(Sheet3!H:H,MATCH(A925,Sheet3!A:A,0)),"")</f>
        <v/>
      </c>
    </row>
    <row r="926">
      <c r="A926" s="19" t="n">
        <v>2169</v>
      </c>
      <c r="B926" s="20">
        <f>IFERROR(INDEX(Sheet1!I:I,MATCH(A926,Sheet1!A:A,0)),"")</f>
        <v/>
      </c>
      <c r="C926" s="21">
        <f>IFERROR(INDEX(Sheet3!D:D,MATCH(A926,Sheet3!A:A,0)),"")</f>
        <v/>
      </c>
      <c r="D926" s="22">
        <f>IFERROR(INDEX(Sheet3!G:G,MATCH(A926,Sheet3!A:A,0)),"")</f>
        <v/>
      </c>
      <c r="E926" s="23">
        <f>IFERROR(INDEX(Sheet3!H:H,MATCH(A926,Sheet3!A:A,0)),"")</f>
        <v/>
      </c>
    </row>
    <row r="927">
      <c r="A927" s="19" t="n">
        <v>2170</v>
      </c>
      <c r="B927" s="20">
        <f>IFERROR(INDEX(Sheet1!I:I,MATCH(A927,Sheet1!A:A,0)),"")</f>
        <v/>
      </c>
      <c r="C927" s="21">
        <f>IFERROR(INDEX(Sheet3!D:D,MATCH(A927,Sheet3!A:A,0)),"")</f>
        <v/>
      </c>
      <c r="D927" s="22">
        <f>IFERROR(INDEX(Sheet3!G:G,MATCH(A927,Sheet3!A:A,0)),"")</f>
        <v/>
      </c>
      <c r="E927" s="23">
        <f>IFERROR(INDEX(Sheet3!H:H,MATCH(A927,Sheet3!A:A,0)),"")</f>
        <v/>
      </c>
    </row>
    <row r="928">
      <c r="A928" s="19" t="n">
        <v>2171</v>
      </c>
      <c r="B928" s="20">
        <f>IFERROR(INDEX(Sheet1!I:I,MATCH(A928,Sheet1!A:A,0)),"")</f>
        <v/>
      </c>
      <c r="C928" s="21">
        <f>IFERROR(INDEX(Sheet3!D:D,MATCH(A928,Sheet3!A:A,0)),"")</f>
        <v/>
      </c>
      <c r="D928" s="22">
        <f>IFERROR(INDEX(Sheet3!G:G,MATCH(A928,Sheet3!A:A,0)),"")</f>
        <v/>
      </c>
      <c r="E928" s="23">
        <f>IFERROR(INDEX(Sheet3!H:H,MATCH(A928,Sheet3!A:A,0)),"")</f>
        <v/>
      </c>
    </row>
    <row r="929">
      <c r="A929" s="19" t="n">
        <v>2172</v>
      </c>
      <c r="B929" s="20">
        <f>IFERROR(INDEX(Sheet1!I:I,MATCH(A929,Sheet1!A:A,0)),"")</f>
        <v/>
      </c>
      <c r="C929" s="21">
        <f>IFERROR(INDEX(Sheet3!D:D,MATCH(A929,Sheet3!A:A,0)),"")</f>
        <v/>
      </c>
      <c r="D929" s="22">
        <f>IFERROR(INDEX(Sheet3!G:G,MATCH(A929,Sheet3!A:A,0)),"")</f>
        <v/>
      </c>
      <c r="E929" s="23">
        <f>IFERROR(INDEX(Sheet3!H:H,MATCH(A929,Sheet3!A:A,0)),"")</f>
        <v/>
      </c>
    </row>
    <row r="930">
      <c r="A930" s="19" t="n">
        <v>2173</v>
      </c>
      <c r="B930" s="20">
        <f>IFERROR(INDEX(Sheet1!I:I,MATCH(A930,Sheet1!A:A,0)),"")</f>
        <v/>
      </c>
      <c r="C930" s="21">
        <f>IFERROR(INDEX(Sheet3!D:D,MATCH(A930,Sheet3!A:A,0)),"")</f>
        <v/>
      </c>
      <c r="D930" s="22">
        <f>IFERROR(INDEX(Sheet3!G:G,MATCH(A930,Sheet3!A:A,0)),"")</f>
        <v/>
      </c>
      <c r="E930" s="23">
        <f>IFERROR(INDEX(Sheet3!H:H,MATCH(A930,Sheet3!A:A,0)),"")</f>
        <v/>
      </c>
    </row>
    <row r="931">
      <c r="A931" s="19" t="n">
        <v>2174</v>
      </c>
      <c r="B931" s="20">
        <f>IFERROR(INDEX(Sheet1!I:I,MATCH(A931,Sheet1!A:A,0)),"")</f>
        <v/>
      </c>
      <c r="C931" s="21">
        <f>IFERROR(INDEX(Sheet3!D:D,MATCH(A931,Sheet3!A:A,0)),"")</f>
        <v/>
      </c>
      <c r="D931" s="22">
        <f>IFERROR(INDEX(Sheet3!G:G,MATCH(A931,Sheet3!A:A,0)),"")</f>
        <v/>
      </c>
      <c r="E931" s="23">
        <f>IFERROR(INDEX(Sheet3!H:H,MATCH(A931,Sheet3!A:A,0)),"")</f>
        <v/>
      </c>
    </row>
    <row r="932">
      <c r="A932" s="19" t="n">
        <v>2176</v>
      </c>
      <c r="B932" s="20">
        <f>IFERROR(INDEX(Sheet1!I:I,MATCH(A932,Sheet1!A:A,0)),"")</f>
        <v/>
      </c>
      <c r="C932" s="21">
        <f>IFERROR(INDEX(Sheet3!D:D,MATCH(A932,Sheet3!A:A,0)),"")</f>
        <v/>
      </c>
      <c r="D932" s="22">
        <f>IFERROR(INDEX(Sheet3!G:G,MATCH(A932,Sheet3!A:A,0)),"")</f>
        <v/>
      </c>
      <c r="E932" s="23">
        <f>IFERROR(INDEX(Sheet3!H:H,MATCH(A932,Sheet3!A:A,0)),"")</f>
        <v/>
      </c>
    </row>
    <row r="933">
      <c r="A933" s="19" t="n">
        <v>2177</v>
      </c>
      <c r="B933" s="20">
        <f>IFERROR(INDEX(Sheet1!I:I,MATCH(A933,Sheet1!A:A,0)),"")</f>
        <v/>
      </c>
      <c r="C933" s="21">
        <f>IFERROR(INDEX(Sheet3!D:D,MATCH(A933,Sheet3!A:A,0)),"")</f>
        <v/>
      </c>
      <c r="D933" s="22">
        <f>IFERROR(INDEX(Sheet3!G:G,MATCH(A933,Sheet3!A:A,0)),"")</f>
        <v/>
      </c>
      <c r="E933" s="23">
        <f>IFERROR(INDEX(Sheet3!H:H,MATCH(A933,Sheet3!A:A,0)),"")</f>
        <v/>
      </c>
    </row>
    <row r="934">
      <c r="A934" s="19" t="n">
        <v>2178</v>
      </c>
      <c r="B934" s="20">
        <f>IFERROR(INDEX(Sheet1!I:I,MATCH(A934,Sheet1!A:A,0)),"")</f>
        <v/>
      </c>
      <c r="C934" s="21">
        <f>IFERROR(INDEX(Sheet3!D:D,MATCH(A934,Sheet3!A:A,0)),"")</f>
        <v/>
      </c>
      <c r="D934" s="22">
        <f>IFERROR(INDEX(Sheet3!G:G,MATCH(A934,Sheet3!A:A,0)),"")</f>
        <v/>
      </c>
      <c r="E934" s="23">
        <f>IFERROR(INDEX(Sheet3!H:H,MATCH(A934,Sheet3!A:A,0)),"")</f>
        <v/>
      </c>
    </row>
    <row r="935">
      <c r="A935" s="19" t="n">
        <v>2180</v>
      </c>
      <c r="B935" s="20">
        <f>IFERROR(INDEX(Sheet1!I:I,MATCH(A935,Sheet1!A:A,0)),"")</f>
        <v/>
      </c>
      <c r="C935" s="21">
        <f>IFERROR(INDEX(Sheet3!D:D,MATCH(A935,Sheet3!A:A,0)),"")</f>
        <v/>
      </c>
      <c r="D935" s="22">
        <f>IFERROR(INDEX(Sheet3!G:G,MATCH(A935,Sheet3!A:A,0)),"")</f>
        <v/>
      </c>
      <c r="E935" s="23">
        <f>IFERROR(INDEX(Sheet3!H:H,MATCH(A935,Sheet3!A:A,0)),"")</f>
        <v/>
      </c>
    </row>
    <row r="936">
      <c r="A936" s="19" t="n">
        <v>2181</v>
      </c>
      <c r="B936" s="20">
        <f>IFERROR(INDEX(Sheet1!I:I,MATCH(A936,Sheet1!A:A,0)),"")</f>
        <v/>
      </c>
      <c r="C936" s="21">
        <f>IFERROR(INDEX(Sheet3!D:D,MATCH(A936,Sheet3!A:A,0)),"")</f>
        <v/>
      </c>
      <c r="D936" s="22">
        <f>IFERROR(INDEX(Sheet3!G:G,MATCH(A936,Sheet3!A:A,0)),"")</f>
        <v/>
      </c>
      <c r="E936" s="23">
        <f>IFERROR(INDEX(Sheet3!H:H,MATCH(A936,Sheet3!A:A,0)),"")</f>
        <v/>
      </c>
    </row>
    <row r="937">
      <c r="A937" s="19" t="n">
        <v>2182</v>
      </c>
      <c r="B937" s="20">
        <f>IFERROR(INDEX(Sheet1!I:I,MATCH(A937,Sheet1!A:A,0)),"")</f>
        <v/>
      </c>
      <c r="C937" s="21">
        <f>IFERROR(INDEX(Sheet3!D:D,MATCH(A937,Sheet3!A:A,0)),"")</f>
        <v/>
      </c>
      <c r="D937" s="22">
        <f>IFERROR(INDEX(Sheet3!G:G,MATCH(A937,Sheet3!A:A,0)),"")</f>
        <v/>
      </c>
      <c r="E937" s="23">
        <f>IFERROR(INDEX(Sheet3!H:H,MATCH(A937,Sheet3!A:A,0)),"")</f>
        <v/>
      </c>
    </row>
    <row r="938">
      <c r="A938" s="19" t="n">
        <v>2183</v>
      </c>
      <c r="B938" s="20">
        <f>IFERROR(INDEX(Sheet1!I:I,MATCH(A938,Sheet1!A:A,0)),"")</f>
        <v/>
      </c>
      <c r="C938" s="21">
        <f>IFERROR(INDEX(Sheet3!D:D,MATCH(A938,Sheet3!A:A,0)),"")</f>
        <v/>
      </c>
      <c r="D938" s="22">
        <f>IFERROR(INDEX(Sheet3!G:G,MATCH(A938,Sheet3!A:A,0)),"")</f>
        <v/>
      </c>
      <c r="E938" s="23">
        <f>IFERROR(INDEX(Sheet3!H:H,MATCH(A938,Sheet3!A:A,0)),"")</f>
        <v/>
      </c>
    </row>
    <row r="939">
      <c r="A939" s="19" t="n">
        <v>2187</v>
      </c>
      <c r="B939" s="20">
        <f>IFERROR(INDEX(Sheet1!I:I,MATCH(A939,Sheet1!A:A,0)),"")</f>
        <v/>
      </c>
      <c r="C939" s="21">
        <f>IFERROR(INDEX(Sheet3!D:D,MATCH(A939,Sheet3!A:A,0)),"")</f>
        <v/>
      </c>
      <c r="D939" s="22">
        <f>IFERROR(INDEX(Sheet3!G:G,MATCH(A939,Sheet3!A:A,0)),"")</f>
        <v/>
      </c>
      <c r="E939" s="23">
        <f>IFERROR(INDEX(Sheet3!H:H,MATCH(A939,Sheet3!A:A,0)),"")</f>
        <v/>
      </c>
    </row>
    <row r="940">
      <c r="A940" s="19" t="n">
        <v>2189</v>
      </c>
      <c r="B940" s="20">
        <f>IFERROR(INDEX(Sheet1!I:I,MATCH(A940,Sheet1!A:A,0)),"")</f>
        <v/>
      </c>
      <c r="C940" s="21">
        <f>IFERROR(INDEX(Sheet3!D:D,MATCH(A940,Sheet3!A:A,0)),"")</f>
        <v/>
      </c>
      <c r="D940" s="22">
        <f>IFERROR(INDEX(Sheet3!G:G,MATCH(A940,Sheet3!A:A,0)),"")</f>
        <v/>
      </c>
      <c r="E940" s="23">
        <f>IFERROR(INDEX(Sheet3!H:H,MATCH(A940,Sheet3!A:A,0)),"")</f>
        <v/>
      </c>
    </row>
    <row r="941">
      <c r="A941" s="19" t="n">
        <v>2190</v>
      </c>
      <c r="B941" s="20">
        <f>IFERROR(INDEX(Sheet1!I:I,MATCH(A941,Sheet1!A:A,0)),"")</f>
        <v/>
      </c>
      <c r="C941" s="21">
        <f>IFERROR(INDEX(Sheet3!D:D,MATCH(A941,Sheet3!A:A,0)),"")</f>
        <v/>
      </c>
      <c r="D941" s="22">
        <f>IFERROR(INDEX(Sheet3!G:G,MATCH(A941,Sheet3!A:A,0)),"")</f>
        <v/>
      </c>
      <c r="E941" s="23">
        <f>IFERROR(INDEX(Sheet3!H:H,MATCH(A941,Sheet3!A:A,0)),"")</f>
        <v/>
      </c>
    </row>
    <row r="942">
      <c r="A942" s="19" t="n">
        <v>2191</v>
      </c>
      <c r="B942" s="20">
        <f>IFERROR(INDEX(Sheet1!I:I,MATCH(A942,Sheet1!A:A,0)),"")</f>
        <v/>
      </c>
      <c r="C942" s="21">
        <f>IFERROR(INDEX(Sheet3!D:D,MATCH(A942,Sheet3!A:A,0)),"")</f>
        <v/>
      </c>
      <c r="D942" s="22">
        <f>IFERROR(INDEX(Sheet3!G:G,MATCH(A942,Sheet3!A:A,0)),"")</f>
        <v/>
      </c>
      <c r="E942" s="23">
        <f>IFERROR(INDEX(Sheet3!H:H,MATCH(A942,Sheet3!A:A,0)),"")</f>
        <v/>
      </c>
    </row>
    <row r="943">
      <c r="A943" s="19" t="n">
        <v>2193</v>
      </c>
      <c r="B943" s="20">
        <f>IFERROR(INDEX(Sheet1!I:I,MATCH(A943,Sheet1!A:A,0)),"")</f>
        <v/>
      </c>
      <c r="C943" s="21">
        <f>IFERROR(INDEX(Sheet3!D:D,MATCH(A943,Sheet3!A:A,0)),"")</f>
        <v/>
      </c>
      <c r="D943" s="22">
        <f>IFERROR(INDEX(Sheet3!G:G,MATCH(A943,Sheet3!A:A,0)),"")</f>
        <v/>
      </c>
      <c r="E943" s="23">
        <f>IFERROR(INDEX(Sheet3!H:H,MATCH(A943,Sheet3!A:A,0)),"")</f>
        <v/>
      </c>
    </row>
    <row r="944">
      <c r="A944" s="19" t="n">
        <v>2194</v>
      </c>
      <c r="B944" s="20">
        <f>IFERROR(INDEX(Sheet1!I:I,MATCH(A944,Sheet1!A:A,0)),"")</f>
        <v/>
      </c>
      <c r="C944" s="21">
        <f>IFERROR(INDEX(Sheet3!D:D,MATCH(A944,Sheet3!A:A,0)),"")</f>
        <v/>
      </c>
      <c r="D944" s="22">
        <f>IFERROR(INDEX(Sheet3!G:G,MATCH(A944,Sheet3!A:A,0)),"")</f>
        <v/>
      </c>
      <c r="E944" s="23">
        <f>IFERROR(INDEX(Sheet3!H:H,MATCH(A944,Sheet3!A:A,0)),"")</f>
        <v/>
      </c>
    </row>
    <row r="945">
      <c r="A945" s="19" t="n">
        <v>2195</v>
      </c>
      <c r="B945" s="20">
        <f>IFERROR(INDEX(Sheet1!I:I,MATCH(A945,Sheet1!A:A,0)),"")</f>
        <v/>
      </c>
      <c r="C945" s="21">
        <f>IFERROR(INDEX(Sheet3!D:D,MATCH(A945,Sheet3!A:A,0)),"")</f>
        <v/>
      </c>
      <c r="D945" s="22">
        <f>IFERROR(INDEX(Sheet3!G:G,MATCH(A945,Sheet3!A:A,0)),"")</f>
        <v/>
      </c>
      <c r="E945" s="23">
        <f>IFERROR(INDEX(Sheet3!H:H,MATCH(A945,Sheet3!A:A,0)),"")</f>
        <v/>
      </c>
    </row>
    <row r="946">
      <c r="A946" s="19" t="n">
        <v>2197</v>
      </c>
      <c r="B946" s="20">
        <f>IFERROR(INDEX(Sheet1!I:I,MATCH(A946,Sheet1!A:A,0)),"")</f>
        <v/>
      </c>
      <c r="C946" s="21">
        <f>IFERROR(INDEX(Sheet3!D:D,MATCH(A946,Sheet3!A:A,0)),"")</f>
        <v/>
      </c>
      <c r="D946" s="22">
        <f>IFERROR(INDEX(Sheet3!G:G,MATCH(A946,Sheet3!A:A,0)),"")</f>
        <v/>
      </c>
      <c r="E946" s="23">
        <f>IFERROR(INDEX(Sheet3!H:H,MATCH(A946,Sheet3!A:A,0)),"")</f>
        <v/>
      </c>
    </row>
    <row r="947">
      <c r="A947" s="19" t="n">
        <v>2205</v>
      </c>
      <c r="B947" s="20">
        <f>IFERROR(INDEX(Sheet1!I:I,MATCH(A947,Sheet1!A:A,0)),"")</f>
        <v/>
      </c>
      <c r="C947" s="21">
        <f>IFERROR(INDEX(Sheet3!D:D,MATCH(A947,Sheet3!A:A,0)),"")</f>
        <v/>
      </c>
      <c r="D947" s="22">
        <f>IFERROR(INDEX(Sheet3!G:G,MATCH(A947,Sheet3!A:A,0)),"")</f>
        <v/>
      </c>
      <c r="E947" s="23">
        <f>IFERROR(INDEX(Sheet3!H:H,MATCH(A947,Sheet3!A:A,0)),"")</f>
        <v/>
      </c>
    </row>
    <row r="948">
      <c r="A948" s="19" t="n">
        <v>2206</v>
      </c>
      <c r="B948" s="20">
        <f>IFERROR(INDEX(Sheet1!I:I,MATCH(A948,Sheet1!A:A,0)),"")</f>
        <v/>
      </c>
      <c r="C948" s="21">
        <f>IFERROR(INDEX(Sheet3!D:D,MATCH(A948,Sheet3!A:A,0)),"")</f>
        <v/>
      </c>
      <c r="D948" s="22">
        <f>IFERROR(INDEX(Sheet3!G:G,MATCH(A948,Sheet3!A:A,0)),"")</f>
        <v/>
      </c>
      <c r="E948" s="23">
        <f>IFERROR(INDEX(Sheet3!H:H,MATCH(A948,Sheet3!A:A,0)),"")</f>
        <v/>
      </c>
    </row>
    <row r="949">
      <c r="A949" s="19" t="n">
        <v>2207</v>
      </c>
      <c r="B949" s="20">
        <f>IFERROR(INDEX(Sheet1!I:I,MATCH(A949,Sheet1!A:A,0)),"")</f>
        <v/>
      </c>
      <c r="C949" s="21">
        <f>IFERROR(INDEX(Sheet3!D:D,MATCH(A949,Sheet3!A:A,0)),"")</f>
        <v/>
      </c>
      <c r="D949" s="22">
        <f>IFERROR(INDEX(Sheet3!G:G,MATCH(A949,Sheet3!A:A,0)),"")</f>
        <v/>
      </c>
      <c r="E949" s="23">
        <f>IFERROR(INDEX(Sheet3!H:H,MATCH(A949,Sheet3!A:A,0)),"")</f>
        <v/>
      </c>
    </row>
    <row r="950">
      <c r="A950" s="19" t="n">
        <v>2210</v>
      </c>
      <c r="B950" s="20">
        <f>IFERROR(INDEX(Sheet1!I:I,MATCH(A950,Sheet1!A:A,0)),"")</f>
        <v/>
      </c>
      <c r="C950" s="21">
        <f>IFERROR(INDEX(Sheet3!D:D,MATCH(A950,Sheet3!A:A,0)),"")</f>
        <v/>
      </c>
      <c r="D950" s="22">
        <f>IFERROR(INDEX(Sheet3!G:G,MATCH(A950,Sheet3!A:A,0)),"")</f>
        <v/>
      </c>
      <c r="E950" s="23">
        <f>IFERROR(INDEX(Sheet3!H:H,MATCH(A950,Sheet3!A:A,0)),"")</f>
        <v/>
      </c>
    </row>
    <row r="951">
      <c r="A951" s="19" t="n">
        <v>2215</v>
      </c>
      <c r="B951" s="20">
        <f>IFERROR(INDEX(Sheet1!I:I,MATCH(A951,Sheet1!A:A,0)),"")</f>
        <v/>
      </c>
      <c r="C951" s="21">
        <f>IFERROR(INDEX(Sheet3!D:D,MATCH(A951,Sheet3!A:A,0)),"")</f>
        <v/>
      </c>
      <c r="D951" s="22">
        <f>IFERROR(INDEX(Sheet3!G:G,MATCH(A951,Sheet3!A:A,0)),"")</f>
        <v/>
      </c>
      <c r="E951" s="23">
        <f>IFERROR(INDEX(Sheet3!H:H,MATCH(A951,Sheet3!A:A,0)),"")</f>
        <v/>
      </c>
    </row>
    <row r="952">
      <c r="A952" s="19" t="n">
        <v>2216</v>
      </c>
      <c r="B952" s="20">
        <f>IFERROR(INDEX(Sheet1!I:I,MATCH(A952,Sheet1!A:A,0)),"")</f>
        <v/>
      </c>
      <c r="C952" s="21">
        <f>IFERROR(INDEX(Sheet3!D:D,MATCH(A952,Sheet3!A:A,0)),"")</f>
        <v/>
      </c>
      <c r="D952" s="22">
        <f>IFERROR(INDEX(Sheet3!G:G,MATCH(A952,Sheet3!A:A,0)),"")</f>
        <v/>
      </c>
      <c r="E952" s="23">
        <f>IFERROR(INDEX(Sheet3!H:H,MATCH(A952,Sheet3!A:A,0)),"")</f>
        <v/>
      </c>
    </row>
    <row r="953">
      <c r="A953" s="19" t="n">
        <v>2217</v>
      </c>
      <c r="B953" s="20">
        <f>IFERROR(INDEX(Sheet1!I:I,MATCH(A953,Sheet1!A:A,0)),"")</f>
        <v/>
      </c>
      <c r="C953" s="21">
        <f>IFERROR(INDEX(Sheet3!D:D,MATCH(A953,Sheet3!A:A,0)),"")</f>
        <v/>
      </c>
      <c r="D953" s="22">
        <f>IFERROR(INDEX(Sheet3!G:G,MATCH(A953,Sheet3!A:A,0)),"")</f>
        <v/>
      </c>
      <c r="E953" s="23">
        <f>IFERROR(INDEX(Sheet3!H:H,MATCH(A953,Sheet3!A:A,0)),"")</f>
        <v/>
      </c>
    </row>
    <row r="954">
      <c r="A954" s="19" t="n">
        <v>2225</v>
      </c>
      <c r="B954" s="20">
        <f>IFERROR(INDEX(Sheet1!I:I,MATCH(A954,Sheet1!A:A,0)),"")</f>
        <v/>
      </c>
      <c r="C954" s="21">
        <f>IFERROR(INDEX(Sheet3!D:D,MATCH(A954,Sheet3!A:A,0)),"")</f>
        <v/>
      </c>
      <c r="D954" s="22">
        <f>IFERROR(INDEX(Sheet3!G:G,MATCH(A954,Sheet3!A:A,0)),"")</f>
        <v/>
      </c>
      <c r="E954" s="23">
        <f>IFERROR(INDEX(Sheet3!H:H,MATCH(A954,Sheet3!A:A,0)),"")</f>
        <v/>
      </c>
    </row>
    <row r="955">
      <c r="A955" s="19" t="n">
        <v>2227</v>
      </c>
      <c r="B955" s="20">
        <f>IFERROR(INDEX(Sheet1!I:I,MATCH(A955,Sheet1!A:A,0)),"")</f>
        <v/>
      </c>
      <c r="C955" s="21">
        <f>IFERROR(INDEX(Sheet3!D:D,MATCH(A955,Sheet3!A:A,0)),"")</f>
        <v/>
      </c>
      <c r="D955" s="22">
        <f>IFERROR(INDEX(Sheet3!G:G,MATCH(A955,Sheet3!A:A,0)),"")</f>
        <v/>
      </c>
      <c r="E955" s="23">
        <f>IFERROR(INDEX(Sheet3!H:H,MATCH(A955,Sheet3!A:A,0)),"")</f>
        <v/>
      </c>
    </row>
    <row r="956">
      <c r="A956" s="19" t="n">
        <v>2228</v>
      </c>
      <c r="B956" s="20">
        <f>IFERROR(INDEX(Sheet1!I:I,MATCH(A956,Sheet1!A:A,0)),"")</f>
        <v/>
      </c>
      <c r="C956" s="21">
        <f>IFERROR(INDEX(Sheet3!D:D,MATCH(A956,Sheet3!A:A,0)),"")</f>
        <v/>
      </c>
      <c r="D956" s="22">
        <f>IFERROR(INDEX(Sheet3!G:G,MATCH(A956,Sheet3!A:A,0)),"")</f>
        <v/>
      </c>
      <c r="E956" s="23">
        <f>IFERROR(INDEX(Sheet3!H:H,MATCH(A956,Sheet3!A:A,0)),"")</f>
        <v/>
      </c>
    </row>
    <row r="957">
      <c r="A957" s="19" t="n">
        <v>2229</v>
      </c>
      <c r="B957" s="20">
        <f>IFERROR(INDEX(Sheet1!I:I,MATCH(A957,Sheet1!A:A,0)),"")</f>
        <v/>
      </c>
      <c r="C957" s="21">
        <f>IFERROR(INDEX(Sheet3!D:D,MATCH(A957,Sheet3!A:A,0)),"")</f>
        <v/>
      </c>
      <c r="D957" s="22">
        <f>IFERROR(INDEX(Sheet3!G:G,MATCH(A957,Sheet3!A:A,0)),"")</f>
        <v/>
      </c>
      <c r="E957" s="23">
        <f>IFERROR(INDEX(Sheet3!H:H,MATCH(A957,Sheet3!A:A,0)),"")</f>
        <v/>
      </c>
    </row>
    <row r="958">
      <c r="A958" s="19" t="n">
        <v>2230</v>
      </c>
      <c r="B958" s="20">
        <f>IFERROR(INDEX(Sheet1!I:I,MATCH(A958,Sheet1!A:A,0)),"")</f>
        <v/>
      </c>
      <c r="C958" s="21">
        <f>IFERROR(INDEX(Sheet3!D:D,MATCH(A958,Sheet3!A:A,0)),"")</f>
        <v/>
      </c>
      <c r="D958" s="22">
        <f>IFERROR(INDEX(Sheet3!G:G,MATCH(A958,Sheet3!A:A,0)),"")</f>
        <v/>
      </c>
      <c r="E958" s="23">
        <f>IFERROR(INDEX(Sheet3!H:H,MATCH(A958,Sheet3!A:A,0)),"")</f>
        <v/>
      </c>
    </row>
    <row r="959">
      <c r="A959" s="19" t="n">
        <v>2234</v>
      </c>
      <c r="B959" s="20">
        <f>IFERROR(INDEX(Sheet1!I:I,MATCH(A959,Sheet1!A:A,0)),"")</f>
        <v/>
      </c>
      <c r="C959" s="21">
        <f>IFERROR(INDEX(Sheet3!D:D,MATCH(A959,Sheet3!A:A,0)),"")</f>
        <v/>
      </c>
      <c r="D959" s="22">
        <f>IFERROR(INDEX(Sheet3!G:G,MATCH(A959,Sheet3!A:A,0)),"")</f>
        <v/>
      </c>
      <c r="E959" s="23">
        <f>IFERROR(INDEX(Sheet3!H:H,MATCH(A959,Sheet3!A:A,0)),"")</f>
        <v/>
      </c>
    </row>
    <row r="960">
      <c r="A960" s="19" t="n">
        <v>2235</v>
      </c>
      <c r="B960" s="20">
        <f>IFERROR(INDEX(Sheet1!I:I,MATCH(A960,Sheet1!A:A,0)),"")</f>
        <v/>
      </c>
      <c r="C960" s="21">
        <f>IFERROR(INDEX(Sheet3!D:D,MATCH(A960,Sheet3!A:A,0)),"")</f>
        <v/>
      </c>
      <c r="D960" s="22">
        <f>IFERROR(INDEX(Sheet3!G:G,MATCH(A960,Sheet3!A:A,0)),"")</f>
        <v/>
      </c>
      <c r="E960" s="23">
        <f>IFERROR(INDEX(Sheet3!H:H,MATCH(A960,Sheet3!A:A,0)),"")</f>
        <v/>
      </c>
    </row>
    <row r="961">
      <c r="A961" s="19" t="n">
        <v>2236</v>
      </c>
      <c r="B961" s="20">
        <f>IFERROR(INDEX(Sheet1!I:I,MATCH(A961,Sheet1!A:A,0)),"")</f>
        <v/>
      </c>
      <c r="C961" s="21">
        <f>IFERROR(INDEX(Sheet3!D:D,MATCH(A961,Sheet3!A:A,0)),"")</f>
        <v/>
      </c>
      <c r="D961" s="22">
        <f>IFERROR(INDEX(Sheet3!G:G,MATCH(A961,Sheet3!A:A,0)),"")</f>
        <v/>
      </c>
      <c r="E961" s="23">
        <f>IFERROR(INDEX(Sheet3!H:H,MATCH(A961,Sheet3!A:A,0)),"")</f>
        <v/>
      </c>
    </row>
    <row r="962">
      <c r="A962" s="19" t="n">
        <v>2239</v>
      </c>
      <c r="B962" s="20">
        <f>IFERROR(INDEX(Sheet1!I:I,MATCH(A962,Sheet1!A:A,0)),"")</f>
        <v/>
      </c>
      <c r="C962" s="21">
        <f>IFERROR(INDEX(Sheet3!D:D,MATCH(A962,Sheet3!A:A,0)),"")</f>
        <v/>
      </c>
      <c r="D962" s="22">
        <f>IFERROR(INDEX(Sheet3!G:G,MATCH(A962,Sheet3!A:A,0)),"")</f>
        <v/>
      </c>
      <c r="E962" s="23">
        <f>IFERROR(INDEX(Sheet3!H:H,MATCH(A962,Sheet3!A:A,0)),"")</f>
        <v/>
      </c>
    </row>
    <row r="963">
      <c r="A963" s="19" t="n">
        <v>2247</v>
      </c>
      <c r="B963" s="20">
        <f>IFERROR(INDEX(Sheet1!I:I,MATCH(A963,Sheet1!A:A,0)),"")</f>
        <v/>
      </c>
      <c r="C963" s="21">
        <f>IFERROR(INDEX(Sheet3!D:D,MATCH(A963,Sheet3!A:A,0)),"")</f>
        <v/>
      </c>
      <c r="D963" s="22">
        <f>IFERROR(INDEX(Sheet3!G:G,MATCH(A963,Sheet3!A:A,0)),"")</f>
        <v/>
      </c>
      <c r="E963" s="23">
        <f>IFERROR(INDEX(Sheet3!H:H,MATCH(A963,Sheet3!A:A,0)),"")</f>
        <v/>
      </c>
    </row>
    <row r="964">
      <c r="A964" s="19" t="n">
        <v>2253</v>
      </c>
      <c r="B964" s="20">
        <f>IFERROR(INDEX(Sheet1!I:I,MATCH(A964,Sheet1!A:A,0)),"")</f>
        <v/>
      </c>
      <c r="C964" s="21">
        <f>IFERROR(INDEX(Sheet3!D:D,MATCH(A964,Sheet3!A:A,0)),"")</f>
        <v/>
      </c>
      <c r="D964" s="22">
        <f>IFERROR(INDEX(Sheet3!G:G,MATCH(A964,Sheet3!A:A,0)),"")</f>
        <v/>
      </c>
      <c r="E964" s="23">
        <f>IFERROR(INDEX(Sheet3!H:H,MATCH(A964,Sheet3!A:A,0)),"")</f>
        <v/>
      </c>
    </row>
    <row r="965">
      <c r="A965" s="19" t="n">
        <v>2258</v>
      </c>
      <c r="B965" s="20">
        <f>IFERROR(INDEX(Sheet1!I:I,MATCH(A965,Sheet1!A:A,0)),"")</f>
        <v/>
      </c>
      <c r="C965" s="21">
        <f>IFERROR(INDEX(Sheet3!D:D,MATCH(A965,Sheet3!A:A,0)),"")</f>
        <v/>
      </c>
      <c r="D965" s="22">
        <f>IFERROR(INDEX(Sheet3!G:G,MATCH(A965,Sheet3!A:A,0)),"")</f>
        <v/>
      </c>
      <c r="E965" s="23">
        <f>IFERROR(INDEX(Sheet3!H:H,MATCH(A965,Sheet3!A:A,0)),"")</f>
        <v/>
      </c>
    </row>
    <row r="966">
      <c r="A966" s="19" t="n">
        <v>2259</v>
      </c>
      <c r="B966" s="20">
        <f>IFERROR(INDEX(Sheet1!I:I,MATCH(A966,Sheet1!A:A,0)),"")</f>
        <v/>
      </c>
      <c r="C966" s="21">
        <f>IFERROR(INDEX(Sheet3!D:D,MATCH(A966,Sheet3!A:A,0)),"")</f>
        <v/>
      </c>
      <c r="D966" s="22">
        <f>IFERROR(INDEX(Sheet3!G:G,MATCH(A966,Sheet3!A:A,0)),"")</f>
        <v/>
      </c>
      <c r="E966" s="23">
        <f>IFERROR(INDEX(Sheet3!H:H,MATCH(A966,Sheet3!A:A,0)),"")</f>
        <v/>
      </c>
    </row>
    <row r="967">
      <c r="A967" s="19" t="n">
        <v>2260</v>
      </c>
      <c r="B967" s="20">
        <f>IFERROR(INDEX(Sheet1!I:I,MATCH(A967,Sheet1!A:A,0)),"")</f>
        <v/>
      </c>
      <c r="C967" s="21">
        <f>IFERROR(INDEX(Sheet3!D:D,MATCH(A967,Sheet3!A:A,0)),"")</f>
        <v/>
      </c>
      <c r="D967" s="22">
        <f>IFERROR(INDEX(Sheet3!G:G,MATCH(A967,Sheet3!A:A,0)),"")</f>
        <v/>
      </c>
      <c r="E967" s="23">
        <f>IFERROR(INDEX(Sheet3!H:H,MATCH(A967,Sheet3!A:A,0)),"")</f>
        <v/>
      </c>
    </row>
    <row r="968">
      <c r="A968" s="19" t="n">
        <v>2261</v>
      </c>
      <c r="B968" s="20">
        <f>IFERROR(INDEX(Sheet1!I:I,MATCH(A968,Sheet1!A:A,0)),"")</f>
        <v/>
      </c>
      <c r="C968" s="21">
        <f>IFERROR(INDEX(Sheet3!D:D,MATCH(A968,Sheet3!A:A,0)),"")</f>
        <v/>
      </c>
      <c r="D968" s="22">
        <f>IFERROR(INDEX(Sheet3!G:G,MATCH(A968,Sheet3!A:A,0)),"")</f>
        <v/>
      </c>
      <c r="E968" s="23">
        <f>IFERROR(INDEX(Sheet3!H:H,MATCH(A968,Sheet3!A:A,0)),"")</f>
        <v/>
      </c>
    </row>
    <row r="969">
      <c r="A969" s="19" t="n">
        <v>2270</v>
      </c>
      <c r="B969" s="20">
        <f>IFERROR(INDEX(Sheet1!I:I,MATCH(A969,Sheet1!A:A,0)),"")</f>
        <v/>
      </c>
      <c r="C969" s="21">
        <f>IFERROR(INDEX(Sheet3!D:D,MATCH(A969,Sheet3!A:A,0)),"")</f>
        <v/>
      </c>
      <c r="D969" s="22">
        <f>IFERROR(INDEX(Sheet3!G:G,MATCH(A969,Sheet3!A:A,0)),"")</f>
        <v/>
      </c>
      <c r="E969" s="23">
        <f>IFERROR(INDEX(Sheet3!H:H,MATCH(A969,Sheet3!A:A,0)),"")</f>
        <v/>
      </c>
    </row>
    <row r="970">
      <c r="A970" s="19" t="n">
        <v>2271</v>
      </c>
      <c r="B970" s="20">
        <f>IFERROR(INDEX(Sheet1!I:I,MATCH(A970,Sheet1!A:A,0)),"")</f>
        <v/>
      </c>
      <c r="C970" s="21">
        <f>IFERROR(INDEX(Sheet3!D:D,MATCH(A970,Sheet3!A:A,0)),"")</f>
        <v/>
      </c>
      <c r="D970" s="22">
        <f>IFERROR(INDEX(Sheet3!G:G,MATCH(A970,Sheet3!A:A,0)),"")</f>
        <v/>
      </c>
      <c r="E970" s="23">
        <f>IFERROR(INDEX(Sheet3!H:H,MATCH(A970,Sheet3!A:A,0)),"")</f>
        <v/>
      </c>
    </row>
    <row r="971">
      <c r="A971" s="19" t="n">
        <v>2272</v>
      </c>
      <c r="B971" s="20">
        <f>IFERROR(INDEX(Sheet1!I:I,MATCH(A971,Sheet1!A:A,0)),"")</f>
        <v/>
      </c>
      <c r="C971" s="21">
        <f>IFERROR(INDEX(Sheet3!D:D,MATCH(A971,Sheet3!A:A,0)),"")</f>
        <v/>
      </c>
      <c r="D971" s="22">
        <f>IFERROR(INDEX(Sheet3!G:G,MATCH(A971,Sheet3!A:A,0)),"")</f>
        <v/>
      </c>
      <c r="E971" s="23">
        <f>IFERROR(INDEX(Sheet3!H:H,MATCH(A971,Sheet3!A:A,0)),"")</f>
        <v/>
      </c>
    </row>
    <row r="972">
      <c r="A972" s="19" t="n">
        <v>2273</v>
      </c>
      <c r="B972" s="20">
        <f>IFERROR(INDEX(Sheet1!I:I,MATCH(A972,Sheet1!A:A,0)),"")</f>
        <v/>
      </c>
      <c r="C972" s="21">
        <f>IFERROR(INDEX(Sheet3!D:D,MATCH(A972,Sheet3!A:A,0)),"")</f>
        <v/>
      </c>
      <c r="D972" s="22">
        <f>IFERROR(INDEX(Sheet3!G:G,MATCH(A972,Sheet3!A:A,0)),"")</f>
        <v/>
      </c>
      <c r="E972" s="23">
        <f>IFERROR(INDEX(Sheet3!H:H,MATCH(A972,Sheet3!A:A,0)),"")</f>
        <v/>
      </c>
    </row>
    <row r="973">
      <c r="A973" s="19" t="n">
        <v>2274</v>
      </c>
      <c r="B973" s="20">
        <f>IFERROR(INDEX(Sheet1!I:I,MATCH(A973,Sheet1!A:A,0)),"")</f>
        <v/>
      </c>
      <c r="C973" s="21">
        <f>IFERROR(INDEX(Sheet3!D:D,MATCH(A973,Sheet3!A:A,0)),"")</f>
        <v/>
      </c>
      <c r="D973" s="22">
        <f>IFERROR(INDEX(Sheet3!G:G,MATCH(A973,Sheet3!A:A,0)),"")</f>
        <v/>
      </c>
      <c r="E973" s="23">
        <f>IFERROR(INDEX(Sheet3!H:H,MATCH(A973,Sheet3!A:A,0)),"")</f>
        <v/>
      </c>
    </row>
    <row r="974">
      <c r="A974" s="19" t="n">
        <v>2275</v>
      </c>
      <c r="B974" s="20">
        <f>IFERROR(INDEX(Sheet1!I:I,MATCH(A974,Sheet1!A:A,0)),"")</f>
        <v/>
      </c>
      <c r="C974" s="21">
        <f>IFERROR(INDEX(Sheet3!D:D,MATCH(A974,Sheet3!A:A,0)),"")</f>
        <v/>
      </c>
      <c r="D974" s="22">
        <f>IFERROR(INDEX(Sheet3!G:G,MATCH(A974,Sheet3!A:A,0)),"")</f>
        <v/>
      </c>
      <c r="E974" s="23">
        <f>IFERROR(INDEX(Sheet3!H:H,MATCH(A974,Sheet3!A:A,0)),"")</f>
        <v/>
      </c>
    </row>
    <row r="975">
      <c r="A975" s="19" t="n">
        <v>2276</v>
      </c>
      <c r="B975" s="20">
        <f>IFERROR(INDEX(Sheet1!I:I,MATCH(A975,Sheet1!A:A,0)),"")</f>
        <v/>
      </c>
      <c r="C975" s="21">
        <f>IFERROR(INDEX(Sheet3!D:D,MATCH(A975,Sheet3!A:A,0)),"")</f>
        <v/>
      </c>
      <c r="D975" s="22">
        <f>IFERROR(INDEX(Sheet3!G:G,MATCH(A975,Sheet3!A:A,0)),"")</f>
        <v/>
      </c>
      <c r="E975" s="23">
        <f>IFERROR(INDEX(Sheet3!H:H,MATCH(A975,Sheet3!A:A,0)),"")</f>
        <v/>
      </c>
    </row>
    <row r="976">
      <c r="A976" s="19" t="n">
        <v>2278</v>
      </c>
      <c r="B976" s="20">
        <f>IFERROR(INDEX(Sheet1!I:I,MATCH(A976,Sheet1!A:A,0)),"")</f>
        <v/>
      </c>
      <c r="C976" s="21">
        <f>IFERROR(INDEX(Sheet3!D:D,MATCH(A976,Sheet3!A:A,0)),"")</f>
        <v/>
      </c>
      <c r="D976" s="22">
        <f>IFERROR(INDEX(Sheet3!G:G,MATCH(A976,Sheet3!A:A,0)),"")</f>
        <v/>
      </c>
      <c r="E976" s="23">
        <f>IFERROR(INDEX(Sheet3!H:H,MATCH(A976,Sheet3!A:A,0)),"")</f>
        <v/>
      </c>
    </row>
    <row r="977">
      <c r="A977" s="19" t="n">
        <v>2279</v>
      </c>
      <c r="B977" s="20">
        <f>IFERROR(INDEX(Sheet1!I:I,MATCH(A977,Sheet1!A:A,0)),"")</f>
        <v/>
      </c>
      <c r="C977" s="21">
        <f>IFERROR(INDEX(Sheet3!D:D,MATCH(A977,Sheet3!A:A,0)),"")</f>
        <v/>
      </c>
      <c r="D977" s="22">
        <f>IFERROR(INDEX(Sheet3!G:G,MATCH(A977,Sheet3!A:A,0)),"")</f>
        <v/>
      </c>
      <c r="E977" s="23">
        <f>IFERROR(INDEX(Sheet3!H:H,MATCH(A977,Sheet3!A:A,0)),"")</f>
        <v/>
      </c>
    </row>
    <row r="978">
      <c r="A978" s="19" t="n">
        <v>2280</v>
      </c>
      <c r="B978" s="20">
        <f>IFERROR(INDEX(Sheet1!I:I,MATCH(A978,Sheet1!A:A,0)),"")</f>
        <v/>
      </c>
      <c r="C978" s="21">
        <f>IFERROR(INDEX(Sheet3!D:D,MATCH(A978,Sheet3!A:A,0)),"")</f>
        <v/>
      </c>
      <c r="D978" s="22">
        <f>IFERROR(INDEX(Sheet3!G:G,MATCH(A978,Sheet3!A:A,0)),"")</f>
        <v/>
      </c>
      <c r="E978" s="23">
        <f>IFERROR(INDEX(Sheet3!H:H,MATCH(A978,Sheet3!A:A,0)),"")</f>
        <v/>
      </c>
    </row>
    <row r="979">
      <c r="A979" s="19" t="n">
        <v>2281</v>
      </c>
      <c r="B979" s="20">
        <f>IFERROR(INDEX(Sheet1!I:I,MATCH(A979,Sheet1!A:A,0)),"")</f>
        <v/>
      </c>
      <c r="C979" s="21">
        <f>IFERROR(INDEX(Sheet3!D:D,MATCH(A979,Sheet3!A:A,0)),"")</f>
        <v/>
      </c>
      <c r="D979" s="22">
        <f>IFERROR(INDEX(Sheet3!G:G,MATCH(A979,Sheet3!A:A,0)),"")</f>
        <v/>
      </c>
      <c r="E979" s="23">
        <f>IFERROR(INDEX(Sheet3!H:H,MATCH(A979,Sheet3!A:A,0)),"")</f>
        <v/>
      </c>
    </row>
    <row r="980">
      <c r="A980" s="19" t="n">
        <v>2282</v>
      </c>
      <c r="B980" s="20">
        <f>IFERROR(INDEX(Sheet1!I:I,MATCH(A980,Sheet1!A:A,0)),"")</f>
        <v/>
      </c>
      <c r="C980" s="21">
        <f>IFERROR(INDEX(Sheet3!D:D,MATCH(A980,Sheet3!A:A,0)),"")</f>
        <v/>
      </c>
      <c r="D980" s="22">
        <f>IFERROR(INDEX(Sheet3!G:G,MATCH(A980,Sheet3!A:A,0)),"")</f>
        <v/>
      </c>
      <c r="E980" s="23">
        <f>IFERROR(INDEX(Sheet3!H:H,MATCH(A980,Sheet3!A:A,0)),"")</f>
        <v/>
      </c>
    </row>
    <row r="981">
      <c r="A981" s="19" t="n">
        <v>2283</v>
      </c>
      <c r="B981" s="20">
        <f>IFERROR(INDEX(Sheet1!I:I,MATCH(A981,Sheet1!A:A,0)),"")</f>
        <v/>
      </c>
      <c r="C981" s="21">
        <f>IFERROR(INDEX(Sheet3!D:D,MATCH(A981,Sheet3!A:A,0)),"")</f>
        <v/>
      </c>
      <c r="D981" s="22">
        <f>IFERROR(INDEX(Sheet3!G:G,MATCH(A981,Sheet3!A:A,0)),"")</f>
        <v/>
      </c>
      <c r="E981" s="23">
        <f>IFERROR(INDEX(Sheet3!H:H,MATCH(A981,Sheet3!A:A,0)),"")</f>
        <v/>
      </c>
    </row>
    <row r="982">
      <c r="A982" s="19" t="n">
        <v>2284</v>
      </c>
      <c r="B982" s="20">
        <f>IFERROR(INDEX(Sheet1!I:I,MATCH(A982,Sheet1!A:A,0)),"")</f>
        <v/>
      </c>
      <c r="C982" s="21">
        <f>IFERROR(INDEX(Sheet3!D:D,MATCH(A982,Sheet3!A:A,0)),"")</f>
        <v/>
      </c>
      <c r="D982" s="22">
        <f>IFERROR(INDEX(Sheet3!G:G,MATCH(A982,Sheet3!A:A,0)),"")</f>
        <v/>
      </c>
      <c r="E982" s="23">
        <f>IFERROR(INDEX(Sheet3!H:H,MATCH(A982,Sheet3!A:A,0)),"")</f>
        <v/>
      </c>
    </row>
    <row r="983">
      <c r="A983" s="19" t="n">
        <v>2285</v>
      </c>
      <c r="B983" s="20">
        <f>IFERROR(INDEX(Sheet1!I:I,MATCH(A983,Sheet1!A:A,0)),"")</f>
        <v/>
      </c>
      <c r="C983" s="21">
        <f>IFERROR(INDEX(Sheet3!D:D,MATCH(A983,Sheet3!A:A,0)),"")</f>
        <v/>
      </c>
      <c r="D983" s="22">
        <f>IFERROR(INDEX(Sheet3!G:G,MATCH(A983,Sheet3!A:A,0)),"")</f>
        <v/>
      </c>
      <c r="E983" s="23">
        <f>IFERROR(INDEX(Sheet3!H:H,MATCH(A983,Sheet3!A:A,0)),"")</f>
        <v/>
      </c>
    </row>
    <row r="984">
      <c r="A984" s="19" t="n">
        <v>2286</v>
      </c>
      <c r="B984" s="20">
        <f>IFERROR(INDEX(Sheet1!I:I,MATCH(A984,Sheet1!A:A,0)),"")</f>
        <v/>
      </c>
      <c r="C984" s="21">
        <f>IFERROR(INDEX(Sheet3!D:D,MATCH(A984,Sheet3!A:A,0)),"")</f>
        <v/>
      </c>
      <c r="D984" s="22">
        <f>IFERROR(INDEX(Sheet3!G:G,MATCH(A984,Sheet3!A:A,0)),"")</f>
        <v/>
      </c>
      <c r="E984" s="23">
        <f>IFERROR(INDEX(Sheet3!H:H,MATCH(A984,Sheet3!A:A,0)),"")</f>
        <v/>
      </c>
    </row>
    <row r="985">
      <c r="A985" s="19" t="n">
        <v>2287</v>
      </c>
      <c r="B985" s="20">
        <f>IFERROR(INDEX(Sheet1!I:I,MATCH(A985,Sheet1!A:A,0)),"")</f>
        <v/>
      </c>
      <c r="C985" s="21">
        <f>IFERROR(INDEX(Sheet3!D:D,MATCH(A985,Sheet3!A:A,0)),"")</f>
        <v/>
      </c>
      <c r="D985" s="22">
        <f>IFERROR(INDEX(Sheet3!G:G,MATCH(A985,Sheet3!A:A,0)),"")</f>
        <v/>
      </c>
      <c r="E985" s="23">
        <f>IFERROR(INDEX(Sheet3!H:H,MATCH(A985,Sheet3!A:A,0)),"")</f>
        <v/>
      </c>
    </row>
    <row r="986">
      <c r="A986" s="19" t="n">
        <v>2288</v>
      </c>
      <c r="B986" s="20">
        <f>IFERROR(INDEX(Sheet1!I:I,MATCH(A986,Sheet1!A:A,0)),"")</f>
        <v/>
      </c>
      <c r="C986" s="21">
        <f>IFERROR(INDEX(Sheet3!D:D,MATCH(A986,Sheet3!A:A,0)),"")</f>
        <v/>
      </c>
      <c r="D986" s="22">
        <f>IFERROR(INDEX(Sheet3!G:G,MATCH(A986,Sheet3!A:A,0)),"")</f>
        <v/>
      </c>
      <c r="E986" s="23">
        <f>IFERROR(INDEX(Sheet3!H:H,MATCH(A986,Sheet3!A:A,0)),"")</f>
        <v/>
      </c>
    </row>
    <row r="987">
      <c r="A987" s="19" t="n">
        <v>2293</v>
      </c>
      <c r="B987" s="20">
        <f>IFERROR(INDEX(Sheet1!I:I,MATCH(A987,Sheet1!A:A,0)),"")</f>
        <v/>
      </c>
      <c r="C987" s="21">
        <f>IFERROR(INDEX(Sheet3!D:D,MATCH(A987,Sheet3!A:A,0)),"")</f>
        <v/>
      </c>
      <c r="D987" s="22">
        <f>IFERROR(INDEX(Sheet3!G:G,MATCH(A987,Sheet3!A:A,0)),"")</f>
        <v/>
      </c>
      <c r="E987" s="23">
        <f>IFERROR(INDEX(Sheet3!H:H,MATCH(A987,Sheet3!A:A,0)),"")</f>
        <v/>
      </c>
    </row>
    <row r="988">
      <c r="A988" s="19" t="n">
        <v>2294</v>
      </c>
      <c r="B988" s="20">
        <f>IFERROR(INDEX(Sheet1!I:I,MATCH(A988,Sheet1!A:A,0)),"")</f>
        <v/>
      </c>
      <c r="C988" s="21">
        <f>IFERROR(INDEX(Sheet3!D:D,MATCH(A988,Sheet3!A:A,0)),"")</f>
        <v/>
      </c>
      <c r="D988" s="22">
        <f>IFERROR(INDEX(Sheet3!G:G,MATCH(A988,Sheet3!A:A,0)),"")</f>
        <v/>
      </c>
      <c r="E988" s="23">
        <f>IFERROR(INDEX(Sheet3!H:H,MATCH(A988,Sheet3!A:A,0)),"")</f>
        <v/>
      </c>
    </row>
    <row r="989">
      <c r="A989" s="19" t="n">
        <v>2295</v>
      </c>
      <c r="B989" s="20">
        <f>IFERROR(INDEX(Sheet1!I:I,MATCH(A989,Sheet1!A:A,0)),"")</f>
        <v/>
      </c>
      <c r="C989" s="21">
        <f>IFERROR(INDEX(Sheet3!D:D,MATCH(A989,Sheet3!A:A,0)),"")</f>
        <v/>
      </c>
      <c r="D989" s="22">
        <f>IFERROR(INDEX(Sheet3!G:G,MATCH(A989,Sheet3!A:A,0)),"")</f>
        <v/>
      </c>
      <c r="E989" s="23">
        <f>IFERROR(INDEX(Sheet3!H:H,MATCH(A989,Sheet3!A:A,0)),"")</f>
        <v/>
      </c>
    </row>
    <row r="990">
      <c r="A990" s="19" t="n">
        <v>2307</v>
      </c>
      <c r="B990" s="20">
        <f>IFERROR(INDEX(Sheet1!I:I,MATCH(A990,Sheet1!A:A,0)),"")</f>
        <v/>
      </c>
      <c r="C990" s="21">
        <f>IFERROR(INDEX(Sheet3!D:D,MATCH(A990,Sheet3!A:A,0)),"")</f>
        <v/>
      </c>
      <c r="D990" s="22">
        <f>IFERROR(INDEX(Sheet3!G:G,MATCH(A990,Sheet3!A:A,0)),"")</f>
        <v/>
      </c>
      <c r="E990" s="23">
        <f>IFERROR(INDEX(Sheet3!H:H,MATCH(A990,Sheet3!A:A,0)),"")</f>
        <v/>
      </c>
    </row>
    <row r="991">
      <c r="A991" s="19" t="n">
        <v>2308</v>
      </c>
      <c r="B991" s="20">
        <f>IFERROR(INDEX(Sheet1!I:I,MATCH(A991,Sheet1!A:A,0)),"")</f>
        <v/>
      </c>
      <c r="C991" s="21">
        <f>IFERROR(INDEX(Sheet3!D:D,MATCH(A991,Sheet3!A:A,0)),"")</f>
        <v/>
      </c>
      <c r="D991" s="22">
        <f>IFERROR(INDEX(Sheet3!G:G,MATCH(A991,Sheet3!A:A,0)),"")</f>
        <v/>
      </c>
      <c r="E991" s="23">
        <f>IFERROR(INDEX(Sheet3!H:H,MATCH(A991,Sheet3!A:A,0)),"")</f>
        <v/>
      </c>
    </row>
    <row r="992">
      <c r="A992" s="19" t="n">
        <v>2312</v>
      </c>
      <c r="B992" s="20">
        <f>IFERROR(INDEX(Sheet1!I:I,MATCH(A992,Sheet1!A:A,0)),"")</f>
        <v/>
      </c>
      <c r="C992" s="21">
        <f>IFERROR(INDEX(Sheet3!D:D,MATCH(A992,Sheet3!A:A,0)),"")</f>
        <v/>
      </c>
      <c r="D992" s="22">
        <f>IFERROR(INDEX(Sheet3!G:G,MATCH(A992,Sheet3!A:A,0)),"")</f>
        <v/>
      </c>
      <c r="E992" s="23">
        <f>IFERROR(INDEX(Sheet3!H:H,MATCH(A992,Sheet3!A:A,0)),"")</f>
        <v/>
      </c>
    </row>
    <row r="993">
      <c r="A993" s="19" t="n">
        <v>2315</v>
      </c>
      <c r="B993" s="20">
        <f>IFERROR(INDEX(Sheet1!I:I,MATCH(A993,Sheet1!A:A,0)),"")</f>
        <v/>
      </c>
      <c r="C993" s="21">
        <f>IFERROR(INDEX(Sheet3!D:D,MATCH(A993,Sheet3!A:A,0)),"")</f>
        <v/>
      </c>
      <c r="D993" s="22">
        <f>IFERROR(INDEX(Sheet3!G:G,MATCH(A993,Sheet3!A:A,0)),"")</f>
        <v/>
      </c>
      <c r="E993" s="23">
        <f>IFERROR(INDEX(Sheet3!H:H,MATCH(A993,Sheet3!A:A,0)),"")</f>
        <v/>
      </c>
    </row>
    <row r="994">
      <c r="A994" s="19" t="n">
        <v>2317</v>
      </c>
      <c r="B994" s="20">
        <f>IFERROR(INDEX(Sheet1!I:I,MATCH(A994,Sheet1!A:A,0)),"")</f>
        <v/>
      </c>
      <c r="C994" s="21">
        <f>IFERROR(INDEX(Sheet3!D:D,MATCH(A994,Sheet3!A:A,0)),"")</f>
        <v/>
      </c>
      <c r="D994" s="22">
        <f>IFERROR(INDEX(Sheet3!G:G,MATCH(A994,Sheet3!A:A,0)),"")</f>
        <v/>
      </c>
      <c r="E994" s="23">
        <f>IFERROR(INDEX(Sheet3!H:H,MATCH(A994,Sheet3!A:A,0)),"")</f>
        <v/>
      </c>
    </row>
    <row r="995">
      <c r="A995" s="19" t="n">
        <v>2319</v>
      </c>
      <c r="B995" s="20">
        <f>IFERROR(INDEX(Sheet1!I:I,MATCH(A995,Sheet1!A:A,0)),"")</f>
        <v/>
      </c>
      <c r="C995" s="21">
        <f>IFERROR(INDEX(Sheet3!D:D,MATCH(A995,Sheet3!A:A,0)),"")</f>
        <v/>
      </c>
      <c r="D995" s="22">
        <f>IFERROR(INDEX(Sheet3!G:G,MATCH(A995,Sheet3!A:A,0)),"")</f>
        <v/>
      </c>
      <c r="E995" s="23">
        <f>IFERROR(INDEX(Sheet3!H:H,MATCH(A995,Sheet3!A:A,0)),"")</f>
        <v/>
      </c>
    </row>
    <row r="996">
      <c r="A996" s="19" t="n">
        <v>2320</v>
      </c>
      <c r="B996" s="20">
        <f>IFERROR(INDEX(Sheet1!I:I,MATCH(A996,Sheet1!A:A,0)),"")</f>
        <v/>
      </c>
      <c r="C996" s="21">
        <f>IFERROR(INDEX(Sheet3!D:D,MATCH(A996,Sheet3!A:A,0)),"")</f>
        <v/>
      </c>
      <c r="D996" s="22">
        <f>IFERROR(INDEX(Sheet3!G:G,MATCH(A996,Sheet3!A:A,0)),"")</f>
        <v/>
      </c>
      <c r="E996" s="23">
        <f>IFERROR(INDEX(Sheet3!H:H,MATCH(A996,Sheet3!A:A,0)),"")</f>
        <v/>
      </c>
    </row>
    <row r="997">
      <c r="A997" s="19" t="n">
        <v>2321</v>
      </c>
      <c r="B997" s="20">
        <f>IFERROR(INDEX(Sheet1!I:I,MATCH(A997,Sheet1!A:A,0)),"")</f>
        <v/>
      </c>
      <c r="C997" s="21">
        <f>IFERROR(INDEX(Sheet3!D:D,MATCH(A997,Sheet3!A:A,0)),"")</f>
        <v/>
      </c>
      <c r="D997" s="22">
        <f>IFERROR(INDEX(Sheet3!G:G,MATCH(A997,Sheet3!A:A,0)),"")</f>
        <v/>
      </c>
      <c r="E997" s="23">
        <f>IFERROR(INDEX(Sheet3!H:H,MATCH(A997,Sheet3!A:A,0)),"")</f>
        <v/>
      </c>
    </row>
    <row r="998">
      <c r="A998" s="19" t="n">
        <v>2324</v>
      </c>
      <c r="B998" s="20">
        <f>IFERROR(INDEX(Sheet1!I:I,MATCH(A998,Sheet1!A:A,0)),"")</f>
        <v/>
      </c>
      <c r="C998" s="21">
        <f>IFERROR(INDEX(Sheet3!D:D,MATCH(A998,Sheet3!A:A,0)),"")</f>
        <v/>
      </c>
      <c r="D998" s="22">
        <f>IFERROR(INDEX(Sheet3!G:G,MATCH(A998,Sheet3!A:A,0)),"")</f>
        <v/>
      </c>
      <c r="E998" s="23">
        <f>IFERROR(INDEX(Sheet3!H:H,MATCH(A998,Sheet3!A:A,0)),"")</f>
        <v/>
      </c>
    </row>
    <row r="999">
      <c r="A999" s="19" t="n">
        <v>2325</v>
      </c>
      <c r="B999" s="20">
        <f>IFERROR(INDEX(Sheet1!I:I,MATCH(A999,Sheet1!A:A,0)),"")</f>
        <v/>
      </c>
      <c r="C999" s="21">
        <f>IFERROR(INDEX(Sheet3!D:D,MATCH(A999,Sheet3!A:A,0)),"")</f>
        <v/>
      </c>
      <c r="D999" s="22">
        <f>IFERROR(INDEX(Sheet3!G:G,MATCH(A999,Sheet3!A:A,0)),"")</f>
        <v/>
      </c>
      <c r="E999" s="23">
        <f>IFERROR(INDEX(Sheet3!H:H,MATCH(A999,Sheet3!A:A,0)),"")</f>
        <v/>
      </c>
    </row>
    <row r="1000">
      <c r="A1000" s="19" t="n">
        <v>2326</v>
      </c>
      <c r="B1000" s="20">
        <f>IFERROR(INDEX(Sheet1!I:I,MATCH(A1000,Sheet1!A:A,0)),"")</f>
        <v/>
      </c>
      <c r="C1000" s="21">
        <f>IFERROR(INDEX(Sheet3!D:D,MATCH(A1000,Sheet3!A:A,0)),"")</f>
        <v/>
      </c>
      <c r="D1000" s="22">
        <f>IFERROR(INDEX(Sheet3!G:G,MATCH(A1000,Sheet3!A:A,0)),"")</f>
        <v/>
      </c>
      <c r="E1000" s="23">
        <f>IFERROR(INDEX(Sheet3!H:H,MATCH(A1000,Sheet3!A:A,0)),"")</f>
        <v/>
      </c>
    </row>
    <row r="1001">
      <c r="A1001" s="19" t="n">
        <v>2327</v>
      </c>
      <c r="B1001" s="20">
        <f>IFERROR(INDEX(Sheet1!I:I,MATCH(A1001,Sheet1!A:A,0)),"")</f>
        <v/>
      </c>
      <c r="C1001" s="21">
        <f>IFERROR(INDEX(Sheet3!D:D,MATCH(A1001,Sheet3!A:A,0)),"")</f>
        <v/>
      </c>
      <c r="D1001" s="22">
        <f>IFERROR(INDEX(Sheet3!G:G,MATCH(A1001,Sheet3!A:A,0)),"")</f>
        <v/>
      </c>
      <c r="E1001" s="23">
        <f>IFERROR(INDEX(Sheet3!H:H,MATCH(A1001,Sheet3!A:A,0)),"")</f>
        <v/>
      </c>
    </row>
    <row r="1002">
      <c r="A1002" s="19" t="n">
        <v>2328</v>
      </c>
      <c r="B1002" s="20">
        <f>IFERROR(INDEX(Sheet1!I:I,MATCH(A1002,Sheet1!A:A,0)),"")</f>
        <v/>
      </c>
      <c r="C1002" s="21">
        <f>IFERROR(INDEX(Sheet3!D:D,MATCH(A1002,Sheet3!A:A,0)),"")</f>
        <v/>
      </c>
      <c r="D1002" s="22">
        <f>IFERROR(INDEX(Sheet3!G:G,MATCH(A1002,Sheet3!A:A,0)),"")</f>
        <v/>
      </c>
      <c r="E1002" s="23">
        <f>IFERROR(INDEX(Sheet3!H:H,MATCH(A1002,Sheet3!A:A,0)),"")</f>
        <v/>
      </c>
    </row>
    <row r="1003">
      <c r="A1003" s="19" t="n">
        <v>2330</v>
      </c>
      <c r="B1003" s="20">
        <f>IFERROR(INDEX(Sheet1!I:I,MATCH(A1003,Sheet1!A:A,0)),"")</f>
        <v/>
      </c>
      <c r="C1003" s="21">
        <f>IFERROR(INDEX(Sheet3!D:D,MATCH(A1003,Sheet3!A:A,0)),"")</f>
        <v/>
      </c>
      <c r="D1003" s="22">
        <f>IFERROR(INDEX(Sheet3!G:G,MATCH(A1003,Sheet3!A:A,0)),"")</f>
        <v/>
      </c>
      <c r="E1003" s="23">
        <f>IFERROR(INDEX(Sheet3!H:H,MATCH(A1003,Sheet3!A:A,0)),"")</f>
        <v/>
      </c>
    </row>
    <row r="1004">
      <c r="A1004" s="19" t="n">
        <v>2331</v>
      </c>
      <c r="B1004" s="20">
        <f>IFERROR(INDEX(Sheet1!I:I,MATCH(A1004,Sheet1!A:A,0)),"")</f>
        <v/>
      </c>
      <c r="C1004" s="21">
        <f>IFERROR(INDEX(Sheet3!D:D,MATCH(A1004,Sheet3!A:A,0)),"")</f>
        <v/>
      </c>
      <c r="D1004" s="22">
        <f>IFERROR(INDEX(Sheet3!G:G,MATCH(A1004,Sheet3!A:A,0)),"")</f>
        <v/>
      </c>
      <c r="E1004" s="23">
        <f>IFERROR(INDEX(Sheet3!H:H,MATCH(A1004,Sheet3!A:A,0)),"")</f>
        <v/>
      </c>
    </row>
    <row r="1005">
      <c r="A1005" s="19" t="n">
        <v>2332</v>
      </c>
      <c r="B1005" s="20">
        <f>IFERROR(INDEX(Sheet1!I:I,MATCH(A1005,Sheet1!A:A,0)),"")</f>
        <v/>
      </c>
      <c r="C1005" s="21">
        <f>IFERROR(INDEX(Sheet3!D:D,MATCH(A1005,Sheet3!A:A,0)),"")</f>
        <v/>
      </c>
      <c r="D1005" s="22">
        <f>IFERROR(INDEX(Sheet3!G:G,MATCH(A1005,Sheet3!A:A,0)),"")</f>
        <v/>
      </c>
      <c r="E1005" s="23">
        <f>IFERROR(INDEX(Sheet3!H:H,MATCH(A1005,Sheet3!A:A,0)),"")</f>
        <v/>
      </c>
    </row>
    <row r="1006">
      <c r="A1006" s="19" t="n">
        <v>2333</v>
      </c>
      <c r="B1006" s="20">
        <f>IFERROR(INDEX(Sheet1!I:I,MATCH(A1006,Sheet1!A:A,0)),"")</f>
        <v/>
      </c>
      <c r="C1006" s="21">
        <f>IFERROR(INDEX(Sheet3!D:D,MATCH(A1006,Sheet3!A:A,0)),"")</f>
        <v/>
      </c>
      <c r="D1006" s="22">
        <f>IFERROR(INDEX(Sheet3!G:G,MATCH(A1006,Sheet3!A:A,0)),"")</f>
        <v/>
      </c>
      <c r="E1006" s="23">
        <f>IFERROR(INDEX(Sheet3!H:H,MATCH(A1006,Sheet3!A:A,0)),"")</f>
        <v/>
      </c>
    </row>
    <row r="1007">
      <c r="A1007" s="19" t="n">
        <v>2334</v>
      </c>
      <c r="B1007" s="20">
        <f>IFERROR(INDEX(Sheet1!I:I,MATCH(A1007,Sheet1!A:A,0)),"")</f>
        <v/>
      </c>
      <c r="C1007" s="21">
        <f>IFERROR(INDEX(Sheet3!D:D,MATCH(A1007,Sheet3!A:A,0)),"")</f>
        <v/>
      </c>
      <c r="D1007" s="22">
        <f>IFERROR(INDEX(Sheet3!G:G,MATCH(A1007,Sheet3!A:A,0)),"")</f>
        <v/>
      </c>
      <c r="E1007" s="23">
        <f>IFERROR(INDEX(Sheet3!H:H,MATCH(A1007,Sheet3!A:A,0)),"")</f>
        <v/>
      </c>
    </row>
    <row r="1008">
      <c r="A1008" s="19" t="n">
        <v>2335</v>
      </c>
      <c r="B1008" s="20">
        <f>IFERROR(INDEX(Sheet1!I:I,MATCH(A1008,Sheet1!A:A,0)),"")</f>
        <v/>
      </c>
      <c r="C1008" s="21">
        <f>IFERROR(INDEX(Sheet3!D:D,MATCH(A1008,Sheet3!A:A,0)),"")</f>
        <v/>
      </c>
      <c r="D1008" s="22">
        <f>IFERROR(INDEX(Sheet3!G:G,MATCH(A1008,Sheet3!A:A,0)),"")</f>
        <v/>
      </c>
      <c r="E1008" s="23">
        <f>IFERROR(INDEX(Sheet3!H:H,MATCH(A1008,Sheet3!A:A,0)),"")</f>
        <v/>
      </c>
    </row>
    <row r="1009">
      <c r="A1009" s="19" t="n">
        <v>2336</v>
      </c>
      <c r="B1009" s="20">
        <f>IFERROR(INDEX(Sheet1!I:I,MATCH(A1009,Sheet1!A:A,0)),"")</f>
        <v/>
      </c>
      <c r="C1009" s="21">
        <f>IFERROR(INDEX(Sheet3!D:D,MATCH(A1009,Sheet3!A:A,0)),"")</f>
        <v/>
      </c>
      <c r="D1009" s="22">
        <f>IFERROR(INDEX(Sheet3!G:G,MATCH(A1009,Sheet3!A:A,0)),"")</f>
        <v/>
      </c>
      <c r="E1009" s="23">
        <f>IFERROR(INDEX(Sheet3!H:H,MATCH(A1009,Sheet3!A:A,0)),"")</f>
        <v/>
      </c>
    </row>
    <row r="1010">
      <c r="A1010" s="19" t="n">
        <v>2338</v>
      </c>
      <c r="B1010" s="20">
        <f>IFERROR(INDEX(Sheet1!I:I,MATCH(A1010,Sheet1!A:A,0)),"")</f>
        <v/>
      </c>
      <c r="C1010" s="21">
        <f>IFERROR(INDEX(Sheet3!D:D,MATCH(A1010,Sheet3!A:A,0)),"")</f>
        <v/>
      </c>
      <c r="D1010" s="22">
        <f>IFERROR(INDEX(Sheet3!G:G,MATCH(A1010,Sheet3!A:A,0)),"")</f>
        <v/>
      </c>
      <c r="E1010" s="23">
        <f>IFERROR(INDEX(Sheet3!H:H,MATCH(A1010,Sheet3!A:A,0)),"")</f>
        <v/>
      </c>
    </row>
    <row r="1011">
      <c r="A1011" s="19" t="n">
        <v>2341</v>
      </c>
      <c r="B1011" s="20">
        <f>IFERROR(INDEX(Sheet1!I:I,MATCH(A1011,Sheet1!A:A,0)),"")</f>
        <v/>
      </c>
      <c r="C1011" s="21">
        <f>IFERROR(INDEX(Sheet3!D:D,MATCH(A1011,Sheet3!A:A,0)),"")</f>
        <v/>
      </c>
      <c r="D1011" s="22">
        <f>IFERROR(INDEX(Sheet3!G:G,MATCH(A1011,Sheet3!A:A,0)),"")</f>
        <v/>
      </c>
      <c r="E1011" s="23">
        <f>IFERROR(INDEX(Sheet3!H:H,MATCH(A1011,Sheet3!A:A,0)),"")</f>
        <v/>
      </c>
    </row>
    <row r="1012">
      <c r="A1012" s="19" t="n">
        <v>2342</v>
      </c>
      <c r="B1012" s="20">
        <f>IFERROR(INDEX(Sheet1!I:I,MATCH(A1012,Sheet1!A:A,0)),"")</f>
        <v/>
      </c>
      <c r="C1012" s="21">
        <f>IFERROR(INDEX(Sheet3!D:D,MATCH(A1012,Sheet3!A:A,0)),"")</f>
        <v/>
      </c>
      <c r="D1012" s="22">
        <f>IFERROR(INDEX(Sheet3!G:G,MATCH(A1012,Sheet3!A:A,0)),"")</f>
        <v/>
      </c>
      <c r="E1012" s="23">
        <f>IFERROR(INDEX(Sheet3!H:H,MATCH(A1012,Sheet3!A:A,0)),"")</f>
        <v/>
      </c>
    </row>
    <row r="1013">
      <c r="A1013" s="19" t="n">
        <v>2344</v>
      </c>
      <c r="B1013" s="20">
        <f>IFERROR(INDEX(Sheet1!I:I,MATCH(A1013,Sheet1!A:A,0)),"")</f>
        <v/>
      </c>
      <c r="C1013" s="21">
        <f>IFERROR(INDEX(Sheet3!D:D,MATCH(A1013,Sheet3!A:A,0)),"")</f>
        <v/>
      </c>
      <c r="D1013" s="22">
        <f>IFERROR(INDEX(Sheet3!G:G,MATCH(A1013,Sheet3!A:A,0)),"")</f>
        <v/>
      </c>
      <c r="E1013" s="23">
        <f>IFERROR(INDEX(Sheet3!H:H,MATCH(A1013,Sheet3!A:A,0)),"")</f>
        <v/>
      </c>
    </row>
    <row r="1014">
      <c r="A1014" s="19" t="n">
        <v>2345</v>
      </c>
      <c r="B1014" s="20">
        <f>IFERROR(INDEX(Sheet1!I:I,MATCH(A1014,Sheet1!A:A,0)),"")</f>
        <v/>
      </c>
      <c r="C1014" s="21">
        <f>IFERROR(INDEX(Sheet3!D:D,MATCH(A1014,Sheet3!A:A,0)),"")</f>
        <v/>
      </c>
      <c r="D1014" s="22">
        <f>IFERROR(INDEX(Sheet3!G:G,MATCH(A1014,Sheet3!A:A,0)),"")</f>
        <v/>
      </c>
      <c r="E1014" s="23">
        <f>IFERROR(INDEX(Sheet3!H:H,MATCH(A1014,Sheet3!A:A,0)),"")</f>
        <v/>
      </c>
    </row>
    <row r="1015">
      <c r="A1015" s="19" t="n">
        <v>2346</v>
      </c>
      <c r="B1015" s="20">
        <f>IFERROR(INDEX(Sheet1!I:I,MATCH(A1015,Sheet1!A:A,0)),"")</f>
        <v/>
      </c>
      <c r="C1015" s="21">
        <f>IFERROR(INDEX(Sheet3!D:D,MATCH(A1015,Sheet3!A:A,0)),"")</f>
        <v/>
      </c>
      <c r="D1015" s="22">
        <f>IFERROR(INDEX(Sheet3!G:G,MATCH(A1015,Sheet3!A:A,0)),"")</f>
        <v/>
      </c>
      <c r="E1015" s="23">
        <f>IFERROR(INDEX(Sheet3!H:H,MATCH(A1015,Sheet3!A:A,0)),"")</f>
        <v/>
      </c>
    </row>
    <row r="1016">
      <c r="A1016" s="19" t="n">
        <v>2347</v>
      </c>
      <c r="B1016" s="20">
        <f>IFERROR(INDEX(Sheet1!I:I,MATCH(A1016,Sheet1!A:A,0)),"")</f>
        <v/>
      </c>
      <c r="C1016" s="21">
        <f>IFERROR(INDEX(Sheet3!D:D,MATCH(A1016,Sheet3!A:A,0)),"")</f>
        <v/>
      </c>
      <c r="D1016" s="22">
        <f>IFERROR(INDEX(Sheet3!G:G,MATCH(A1016,Sheet3!A:A,0)),"")</f>
        <v/>
      </c>
      <c r="E1016" s="23">
        <f>IFERROR(INDEX(Sheet3!H:H,MATCH(A1016,Sheet3!A:A,0)),"")</f>
        <v/>
      </c>
    </row>
    <row r="1017">
      <c r="A1017" s="19" t="n">
        <v>2349</v>
      </c>
      <c r="B1017" s="20">
        <f>IFERROR(INDEX(Sheet1!I:I,MATCH(A1017,Sheet1!A:A,0)),"")</f>
        <v/>
      </c>
      <c r="C1017" s="21">
        <f>IFERROR(INDEX(Sheet3!D:D,MATCH(A1017,Sheet3!A:A,0)),"")</f>
        <v/>
      </c>
      <c r="D1017" s="22">
        <f>IFERROR(INDEX(Sheet3!G:G,MATCH(A1017,Sheet3!A:A,0)),"")</f>
        <v/>
      </c>
      <c r="E1017" s="23">
        <f>IFERROR(INDEX(Sheet3!H:H,MATCH(A1017,Sheet3!A:A,0)),"")</f>
        <v/>
      </c>
    </row>
    <row r="1018">
      <c r="A1018" s="19" t="n">
        <v>2350</v>
      </c>
      <c r="B1018" s="20">
        <f>IFERROR(INDEX(Sheet1!I:I,MATCH(A1018,Sheet1!A:A,0)),"")</f>
        <v/>
      </c>
      <c r="C1018" s="21">
        <f>IFERROR(INDEX(Sheet3!D:D,MATCH(A1018,Sheet3!A:A,0)),"")</f>
        <v/>
      </c>
      <c r="D1018" s="22">
        <f>IFERROR(INDEX(Sheet3!G:G,MATCH(A1018,Sheet3!A:A,0)),"")</f>
        <v/>
      </c>
      <c r="E1018" s="23">
        <f>IFERROR(INDEX(Sheet3!H:H,MATCH(A1018,Sheet3!A:A,0)),"")</f>
        <v/>
      </c>
    </row>
    <row r="1019">
      <c r="A1019" s="19" t="n">
        <v>2351</v>
      </c>
      <c r="B1019" s="20">
        <f>IFERROR(INDEX(Sheet1!I:I,MATCH(A1019,Sheet1!A:A,0)),"")</f>
        <v/>
      </c>
      <c r="C1019" s="21">
        <f>IFERROR(INDEX(Sheet3!D:D,MATCH(A1019,Sheet3!A:A,0)),"")</f>
        <v/>
      </c>
      <c r="D1019" s="22">
        <f>IFERROR(INDEX(Sheet3!G:G,MATCH(A1019,Sheet3!A:A,0)),"")</f>
        <v/>
      </c>
      <c r="E1019" s="23">
        <f>IFERROR(INDEX(Sheet3!H:H,MATCH(A1019,Sheet3!A:A,0)),"")</f>
        <v/>
      </c>
    </row>
    <row r="1020">
      <c r="A1020" s="19" t="n">
        <v>2352</v>
      </c>
      <c r="B1020" s="20">
        <f>IFERROR(INDEX(Sheet1!I:I,MATCH(A1020,Sheet1!A:A,0)),"")</f>
        <v/>
      </c>
      <c r="C1020" s="21">
        <f>IFERROR(INDEX(Sheet3!D:D,MATCH(A1020,Sheet3!A:A,0)),"")</f>
        <v/>
      </c>
      <c r="D1020" s="22">
        <f>IFERROR(INDEX(Sheet3!G:G,MATCH(A1020,Sheet3!A:A,0)),"")</f>
        <v/>
      </c>
      <c r="E1020" s="23">
        <f>IFERROR(INDEX(Sheet3!H:H,MATCH(A1020,Sheet3!A:A,0)),"")</f>
        <v/>
      </c>
    </row>
    <row r="1021">
      <c r="A1021" s="19" t="n">
        <v>2353</v>
      </c>
      <c r="B1021" s="20">
        <f>IFERROR(INDEX(Sheet1!I:I,MATCH(A1021,Sheet1!A:A,0)),"")</f>
        <v/>
      </c>
      <c r="C1021" s="21">
        <f>IFERROR(INDEX(Sheet3!D:D,MATCH(A1021,Sheet3!A:A,0)),"")</f>
        <v/>
      </c>
      <c r="D1021" s="22">
        <f>IFERROR(INDEX(Sheet3!G:G,MATCH(A1021,Sheet3!A:A,0)),"")</f>
        <v/>
      </c>
      <c r="E1021" s="23">
        <f>IFERROR(INDEX(Sheet3!H:H,MATCH(A1021,Sheet3!A:A,0)),"")</f>
        <v/>
      </c>
    </row>
    <row r="1022">
      <c r="A1022" s="19" t="n">
        <v>2354</v>
      </c>
      <c r="B1022" s="20">
        <f>IFERROR(INDEX(Sheet1!I:I,MATCH(A1022,Sheet1!A:A,0)),"")</f>
        <v/>
      </c>
      <c r="C1022" s="21">
        <f>IFERROR(INDEX(Sheet3!D:D,MATCH(A1022,Sheet3!A:A,0)),"")</f>
        <v/>
      </c>
      <c r="D1022" s="22">
        <f>IFERROR(INDEX(Sheet3!G:G,MATCH(A1022,Sheet3!A:A,0)),"")</f>
        <v/>
      </c>
      <c r="E1022" s="23">
        <f>IFERROR(INDEX(Sheet3!H:H,MATCH(A1022,Sheet3!A:A,0)),"")</f>
        <v/>
      </c>
    </row>
    <row r="1023">
      <c r="A1023" s="19" t="n">
        <v>2355</v>
      </c>
      <c r="B1023" s="20">
        <f>IFERROR(INDEX(Sheet1!I:I,MATCH(A1023,Sheet1!A:A,0)),"")</f>
        <v/>
      </c>
      <c r="C1023" s="21">
        <f>IFERROR(INDEX(Sheet3!D:D,MATCH(A1023,Sheet3!A:A,0)),"")</f>
        <v/>
      </c>
      <c r="D1023" s="22">
        <f>IFERROR(INDEX(Sheet3!G:G,MATCH(A1023,Sheet3!A:A,0)),"")</f>
        <v/>
      </c>
      <c r="E1023" s="23">
        <f>IFERROR(INDEX(Sheet3!H:H,MATCH(A1023,Sheet3!A:A,0)),"")</f>
        <v/>
      </c>
    </row>
    <row r="1024">
      <c r="A1024" s="19" t="n">
        <v>2356</v>
      </c>
      <c r="B1024" s="20">
        <f>IFERROR(INDEX(Sheet1!I:I,MATCH(A1024,Sheet1!A:A,0)),"")</f>
        <v/>
      </c>
      <c r="C1024" s="21">
        <f>IFERROR(INDEX(Sheet3!D:D,MATCH(A1024,Sheet3!A:A,0)),"")</f>
        <v/>
      </c>
      <c r="D1024" s="22">
        <f>IFERROR(INDEX(Sheet3!G:G,MATCH(A1024,Sheet3!A:A,0)),"")</f>
        <v/>
      </c>
      <c r="E1024" s="23">
        <f>IFERROR(INDEX(Sheet3!H:H,MATCH(A1024,Sheet3!A:A,0)),"")</f>
        <v/>
      </c>
    </row>
    <row r="1025">
      <c r="A1025" s="19" t="n">
        <v>2358</v>
      </c>
      <c r="B1025" s="20">
        <f>IFERROR(INDEX(Sheet1!I:I,MATCH(A1025,Sheet1!A:A,0)),"")</f>
        <v/>
      </c>
      <c r="C1025" s="21">
        <f>IFERROR(INDEX(Sheet3!D:D,MATCH(A1025,Sheet3!A:A,0)),"")</f>
        <v/>
      </c>
      <c r="D1025" s="22">
        <f>IFERROR(INDEX(Sheet3!G:G,MATCH(A1025,Sheet3!A:A,0)),"")</f>
        <v/>
      </c>
      <c r="E1025" s="23">
        <f>IFERROR(INDEX(Sheet3!H:H,MATCH(A1025,Sheet3!A:A,0)),"")</f>
        <v/>
      </c>
    </row>
    <row r="1026">
      <c r="A1026" s="19" t="n">
        <v>2365</v>
      </c>
      <c r="B1026" s="20">
        <f>IFERROR(INDEX(Sheet1!I:I,MATCH(A1026,Sheet1!A:A,0)),"")</f>
        <v/>
      </c>
      <c r="C1026" s="21">
        <f>IFERROR(INDEX(Sheet3!D:D,MATCH(A1026,Sheet3!A:A,0)),"")</f>
        <v/>
      </c>
      <c r="D1026" s="22">
        <f>IFERROR(INDEX(Sheet3!G:G,MATCH(A1026,Sheet3!A:A,0)),"")</f>
        <v/>
      </c>
      <c r="E1026" s="23">
        <f>IFERROR(INDEX(Sheet3!H:H,MATCH(A1026,Sheet3!A:A,0)),"")</f>
        <v/>
      </c>
    </row>
    <row r="1027">
      <c r="A1027" s="19" t="n">
        <v>2457</v>
      </c>
      <c r="B1027" s="20">
        <f>IFERROR(INDEX(Sheet1!I:I,MATCH(A1027,Sheet1!A:A,0)),"")</f>
        <v/>
      </c>
      <c r="C1027" s="21">
        <f>IFERROR(INDEX(Sheet3!D:D,MATCH(A1027,Sheet3!A:A,0)),"")</f>
        <v/>
      </c>
      <c r="D1027" s="22">
        <f>IFERROR(INDEX(Sheet3!G:G,MATCH(A1027,Sheet3!A:A,0)),"")</f>
        <v/>
      </c>
      <c r="E1027" s="23">
        <f>IFERROR(INDEX(Sheet3!H:H,MATCH(A1027,Sheet3!A:A,0)),"")</f>
        <v/>
      </c>
    </row>
    <row r="1028">
      <c r="A1028" s="19" t="n">
        <v>2458</v>
      </c>
      <c r="B1028" s="20">
        <f>IFERROR(INDEX(Sheet1!I:I,MATCH(A1028,Sheet1!A:A,0)),"")</f>
        <v/>
      </c>
      <c r="C1028" s="21">
        <f>IFERROR(INDEX(Sheet3!D:D,MATCH(A1028,Sheet3!A:A,0)),"")</f>
        <v/>
      </c>
      <c r="D1028" s="22">
        <f>IFERROR(INDEX(Sheet3!G:G,MATCH(A1028,Sheet3!A:A,0)),"")</f>
        <v/>
      </c>
      <c r="E1028" s="23">
        <f>IFERROR(INDEX(Sheet3!H:H,MATCH(A1028,Sheet3!A:A,0)),"")</f>
        <v/>
      </c>
    </row>
    <row r="1029">
      <c r="A1029" s="19" t="n">
        <v>2520</v>
      </c>
      <c r="B1029" s="20">
        <f>IFERROR(INDEX(Sheet1!I:I,MATCH(A1029,Sheet1!A:A,0)),"")</f>
        <v/>
      </c>
      <c r="C1029" s="21">
        <f>IFERROR(INDEX(Sheet3!D:D,MATCH(A1029,Sheet3!A:A,0)),"")</f>
        <v/>
      </c>
      <c r="D1029" s="22">
        <f>IFERROR(INDEX(Sheet3!G:G,MATCH(A1029,Sheet3!A:A,0)),"")</f>
        <v/>
      </c>
      <c r="E1029" s="23">
        <f>IFERROR(INDEX(Sheet3!H:H,MATCH(A1029,Sheet3!A:A,0)),"")</f>
        <v/>
      </c>
    </row>
    <row r="1030">
      <c r="A1030" s="19" t="n">
        <v>2545</v>
      </c>
      <c r="B1030" s="20">
        <f>IFERROR(INDEX(Sheet1!I:I,MATCH(A1030,Sheet1!A:A,0)),"")</f>
        <v/>
      </c>
      <c r="C1030" s="21">
        <f>IFERROR(INDEX(Sheet3!D:D,MATCH(A1030,Sheet3!A:A,0)),"")</f>
        <v/>
      </c>
      <c r="D1030" s="22">
        <f>IFERROR(INDEX(Sheet3!G:G,MATCH(A1030,Sheet3!A:A,0)),"")</f>
        <v/>
      </c>
      <c r="E1030" s="23">
        <f>IFERROR(INDEX(Sheet3!H:H,MATCH(A1030,Sheet3!A:A,0)),"")</f>
        <v/>
      </c>
    </row>
    <row r="1031">
      <c r="A1031" s="19" t="n">
        <v>2603</v>
      </c>
      <c r="B1031" s="20">
        <f>IFERROR(INDEX(Sheet1!I:I,MATCH(A1031,Sheet1!A:A,0)),"")</f>
        <v/>
      </c>
      <c r="C1031" s="21">
        <f>IFERROR(INDEX(Sheet3!D:D,MATCH(A1031,Sheet3!A:A,0)),"")</f>
        <v/>
      </c>
      <c r="D1031" s="22">
        <f>IFERROR(INDEX(Sheet3!G:G,MATCH(A1031,Sheet3!A:A,0)),"")</f>
        <v/>
      </c>
      <c r="E1031" s="23">
        <f>IFERROR(INDEX(Sheet3!H:H,MATCH(A1031,Sheet3!A:A,0)),"")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31"/>
  <sheetViews>
    <sheetView tabSelected="1" workbookViewId="0">
      <selection activeCell="A1" sqref="A1:AH1048576"/>
    </sheetView>
  </sheetViews>
  <sheetFormatPr baseColWidth="8" defaultRowHeight="14.4"/>
  <cols>
    <col width="8.88671875" customWidth="1" style="18" min="1" max="1"/>
    <col width="35.33203125" customWidth="1" style="18" min="2" max="2"/>
    <col width="8.88671875" customWidth="1" style="1" min="3" max="6"/>
    <col hidden="1" width="8.88671875" customWidth="1" style="1" min="7" max="8"/>
    <col width="8.88671875" customWidth="1" style="1" min="9" max="9"/>
    <col width="8.88671875" customWidth="1" style="5" min="10" max="13"/>
    <col hidden="1" width="8.88671875" customWidth="1" style="5" min="14" max="15"/>
    <col width="8.88671875" customWidth="1" style="5" min="16" max="16"/>
    <col width="8.88671875" customWidth="1" style="9" min="17" max="20"/>
    <col hidden="1" width="8.88671875" customWidth="1" style="9" min="21" max="22"/>
    <col width="8.88671875" customWidth="1" style="9" min="23" max="23"/>
    <col width="8.88671875" customWidth="1" style="13" min="24" max="26"/>
    <col width="8.6640625" customWidth="1" style="13" min="27" max="27"/>
    <col hidden="1" width="8.88671875" customWidth="1" style="13" min="28" max="29"/>
    <col width="8.88671875" customWidth="1" style="13" min="30" max="30"/>
    <col width="8.88671875" customWidth="1" style="14" min="31" max="32"/>
    <col hidden="1" width="8.88671875" customWidth="1" style="16" min="33" max="33"/>
    <col width="8.88671875" customWidth="1" style="17" min="34" max="34"/>
  </cols>
  <sheetData>
    <row r="1">
      <c r="A1" s="18" t="inlineStr">
        <is>
          <t>ID</t>
        </is>
      </c>
      <c r="B1" s="18" t="inlineStr">
        <is>
          <t>NAME</t>
        </is>
      </c>
      <c r="C1" s="1" t="inlineStr">
        <is>
          <t>FIRST YEAR</t>
        </is>
      </c>
      <c r="D1" s="2" t="inlineStr">
        <is>
          <t>PROFESSIONALISM STEP I</t>
        </is>
      </c>
      <c r="E1" s="3" t="inlineStr">
        <is>
          <t>RESEARCH STEP I</t>
        </is>
      </c>
      <c r="F1" s="4" t="inlineStr">
        <is>
          <t>COMMUNICATION STEP I</t>
        </is>
      </c>
      <c r="G1" s="4" t="n"/>
      <c r="H1" s="4" t="n"/>
      <c r="I1" s="4" t="inlineStr">
        <is>
          <t>FIRST YEAR RANK</t>
        </is>
      </c>
      <c r="J1" s="5" t="inlineStr">
        <is>
          <t>SECOND YEAR</t>
        </is>
      </c>
      <c r="K1" s="6" t="inlineStr">
        <is>
          <t>RESEARCH STEP II</t>
        </is>
      </c>
      <c r="L1" s="7" t="inlineStr">
        <is>
          <t>PROFESSIONALISM STEP II</t>
        </is>
      </c>
      <c r="M1" s="8" t="inlineStr">
        <is>
          <t>COMMUNICATION STEP II</t>
        </is>
      </c>
      <c r="N1" s="8" t="n"/>
      <c r="O1" s="8" t="n"/>
      <c r="P1" s="8" t="inlineStr">
        <is>
          <t>SECOND YEAR RANK</t>
        </is>
      </c>
      <c r="Q1" s="9" t="inlineStr">
        <is>
          <t xml:space="preserve">THIRD YEAR	</t>
        </is>
      </c>
      <c r="R1" s="10" t="inlineStr">
        <is>
          <t>RESEARCH STEP III</t>
        </is>
      </c>
      <c r="S1" s="11" t="inlineStr">
        <is>
          <t>COMMUNICATION STEP III</t>
        </is>
      </c>
      <c r="T1" s="12" t="inlineStr">
        <is>
          <t>PROFESSIONALISM STEP III</t>
        </is>
      </c>
      <c r="U1" s="12" t="n"/>
      <c r="V1" s="12" t="n"/>
      <c r="W1" s="12" t="inlineStr">
        <is>
          <t>THIRD YEAR RANK</t>
        </is>
      </c>
      <c r="X1" s="13" t="inlineStr">
        <is>
          <t>FOURTH YEAR</t>
        </is>
      </c>
      <c r="Y1" s="13" t="inlineStr">
        <is>
          <t>PROFESSIONALISM STEP IV</t>
        </is>
      </c>
      <c r="Z1" s="13" t="inlineStr">
        <is>
          <t>RESEARCH STEP IV</t>
        </is>
      </c>
      <c r="AA1" s="13" t="inlineStr">
        <is>
          <t>COMMUNICATION STEP IV</t>
        </is>
      </c>
      <c r="AD1" s="13" t="inlineStr">
        <is>
          <t>FOURTH YEAR RANK</t>
        </is>
      </c>
      <c r="AE1" s="14" t="inlineStr">
        <is>
          <t>PERCENTAGE</t>
        </is>
      </c>
      <c r="AF1" s="14" t="inlineStr">
        <is>
          <t>TOTAL</t>
        </is>
      </c>
      <c r="AG1" s="14" t="n"/>
      <c r="AH1" s="14" t="inlineStr">
        <is>
          <t xml:space="preserve"> TOTAL RANK</t>
        </is>
      </c>
    </row>
    <row r="2">
      <c r="A2" s="18" t="n">
        <v>4</v>
      </c>
      <c r="B2" s="18" t="inlineStr">
        <is>
          <t>ابرار عدلى ابراهيم على بيبرس</t>
        </is>
      </c>
      <c r="C2" s="1" t="n">
        <v>596.9</v>
      </c>
      <c r="D2" s="1" t="n">
        <v>23</v>
      </c>
      <c r="E2" s="1" t="n">
        <v>23</v>
      </c>
      <c r="F2" s="1" t="n">
        <v>22</v>
      </c>
      <c r="G2" s="1">
        <f>C2+D2+E2+F2</f>
        <v/>
      </c>
      <c r="H2" s="1">
        <f>IF(ISNUMBER(G2),G2,"")</f>
        <v/>
      </c>
      <c r="I2" s="1">
        <f>_xlfn.RANK.EQ(H2,$H$2:$H$1031)</f>
        <v/>
      </c>
      <c r="J2" s="5" t="n">
        <v>577</v>
      </c>
      <c r="K2" s="5" t="n">
        <v>47</v>
      </c>
      <c r="L2" s="5" t="n">
        <v>22</v>
      </c>
      <c r="M2" s="5" t="n">
        <v>21</v>
      </c>
      <c r="N2" s="5">
        <f>J2+K2+L2+M2</f>
        <v/>
      </c>
      <c r="O2" s="5">
        <f>IF(ISNUMBER(N2),N2,"")</f>
        <v/>
      </c>
      <c r="P2" s="5">
        <f>_xlfn.RANK.EQ(O2,$O$2:$O$1031)</f>
        <v/>
      </c>
      <c r="Q2" s="9" t="n">
        <v>252.5</v>
      </c>
      <c r="R2" s="9" t="n">
        <v>46.5</v>
      </c>
      <c r="S2" s="9" t="n">
        <v>21</v>
      </c>
      <c r="T2" s="9" t="n">
        <v>23</v>
      </c>
      <c r="U2" s="9">
        <f>Q2+R2+S2+T2</f>
        <v/>
      </c>
      <c r="V2" s="9">
        <f>IF(ISNUMBER(U2),U2,"")</f>
        <v/>
      </c>
      <c r="W2" s="9">
        <f>_xlfn.RANK.EQ(V2,$V$2:$V$1031)</f>
        <v/>
      </c>
      <c r="X2" s="13" t="n">
        <v>1354.1958333333</v>
      </c>
      <c r="Y2" s="13" t="n">
        <v>24</v>
      </c>
      <c r="Z2" s="13" t="n">
        <v>25</v>
      </c>
      <c r="AA2" s="13" t="n">
        <v>21</v>
      </c>
      <c r="AB2" s="13">
        <f>IF(ISNUMBER(X2),X2+N(Y2)+N(Z2)+N(AA2),X2)</f>
        <v/>
      </c>
      <c r="AC2" s="13">
        <f>IF(ISNUMBER(AB2),AB2,"")</f>
        <v/>
      </c>
      <c r="AD2" s="13">
        <f>IF(ISNUMBER(AC2),_xlfn.RANK.EQ(AC2,$AC$2:$AC$1031),"")</f>
        <v/>
      </c>
      <c r="AE2" s="15">
        <f>IF(ISNUMBER(AF2),AF2/3630,"")</f>
        <v/>
      </c>
      <c r="AF2" s="14">
        <f>IFERROR(C2+D2+E2+F2+J2+K2+L2+M2+Q2+R2+S2+T2+IF(ISNUMBER(X2),X2,0)+N(Y2)+N(Z2)+N(AA2),"")</f>
        <v/>
      </c>
      <c r="AG2" s="14">
        <f>IF(ISNUMBER(AF2),AF2,"")</f>
        <v/>
      </c>
      <c r="AH2" s="14">
        <f>IF(ISNUMBER(AG2),_xlfn.RANK.EQ(AG2,$AG$2:$AG$1031),"")</f>
        <v/>
      </c>
    </row>
    <row r="3">
      <c r="A3" s="18" t="n">
        <v>6</v>
      </c>
      <c r="B3" s="18" t="inlineStr">
        <is>
          <t>ابراهيم احمد  جابر سلام</t>
        </is>
      </c>
      <c r="C3" s="1" t="n">
        <v>601.8</v>
      </c>
      <c r="D3" s="1" t="n">
        <v>23</v>
      </c>
      <c r="E3" s="1" t="n">
        <v>21</v>
      </c>
      <c r="F3" s="1" t="n">
        <v>20</v>
      </c>
      <c r="G3" s="1">
        <f>C3+D3+E3+F3</f>
        <v/>
      </c>
      <c r="H3" s="1">
        <f>IF(ISNUMBER(G3),G3,"")</f>
        <v/>
      </c>
      <c r="I3" s="1">
        <f>_xlfn.RANK.EQ(H3,$H$2:$H$1031)</f>
        <v/>
      </c>
      <c r="J3" s="5" t="n">
        <v>552.7</v>
      </c>
      <c r="K3" s="5" t="n">
        <v>37</v>
      </c>
      <c r="L3" s="5" t="n">
        <v>21</v>
      </c>
      <c r="M3" s="5" t="n">
        <v>15</v>
      </c>
      <c r="N3" s="5">
        <f>J3+K3+L3+M3</f>
        <v/>
      </c>
      <c r="O3" s="5">
        <f>IF(ISNUMBER(N3),N3,"")</f>
        <v/>
      </c>
      <c r="P3" s="5">
        <f>_xlfn.RANK.EQ(O3,$O$2:$O$1031)</f>
        <v/>
      </c>
      <c r="Q3" s="9" t="n">
        <v>219.5</v>
      </c>
      <c r="R3" s="9" t="n">
        <v>42.5</v>
      </c>
      <c r="S3" s="9" t="n">
        <v>21</v>
      </c>
      <c r="T3" s="9" t="n">
        <v>24</v>
      </c>
      <c r="U3" s="9">
        <f>Q3+R3+S3+T3</f>
        <v/>
      </c>
      <c r="V3" s="9">
        <f>IF(ISNUMBER(U3),U3,"")</f>
        <v/>
      </c>
      <c r="W3" s="9">
        <f>_xlfn.RANK.EQ(V3,$V$2:$V$1031)</f>
        <v/>
      </c>
      <c r="X3" s="13" t="n">
        <v>1341.8125</v>
      </c>
      <c r="Y3" s="13" t="n">
        <v>23</v>
      </c>
      <c r="Z3" s="13" t="n">
        <v>22</v>
      </c>
      <c r="AA3" s="13" t="n">
        <v>17</v>
      </c>
      <c r="AB3" s="13">
        <f>IF(ISNUMBER(X3),X3+N(Y3)+N(Z3)+N(AA3),X3)</f>
        <v/>
      </c>
      <c r="AC3" s="13">
        <f>IF(ISNUMBER(AB3),AB3,"")</f>
        <v/>
      </c>
      <c r="AD3" s="13">
        <f>IF(ISNUMBER(AC3),_xlfn.RANK.EQ(AC3,$AC$2:$AC$1031),"")</f>
        <v/>
      </c>
      <c r="AE3" s="15">
        <f>IF(ISNUMBER(AF3),AF3/3630,"")</f>
        <v/>
      </c>
      <c r="AF3" s="14">
        <f>IFERROR(C3+D3+E3+F3+J3+K3+L3+M3+Q3+R3+S3+T3+IF(ISNUMBER(X3),X3,0)+N(Y3)+N(Z3)+N(AA3),"")</f>
        <v/>
      </c>
      <c r="AG3" s="14">
        <f>IF(ISNUMBER(AF3),AF3,"")</f>
        <v/>
      </c>
      <c r="AH3" s="14">
        <f>IF(ISNUMBER(AG3),_xlfn.RANK.EQ(AG3,$AG$2:$AG$1031),"")</f>
        <v/>
      </c>
    </row>
    <row r="4">
      <c r="A4" s="18" t="n">
        <v>9</v>
      </c>
      <c r="B4" s="18" t="inlineStr">
        <is>
          <t>ابراهيم حسنى محمد على حسونه</t>
        </is>
      </c>
      <c r="C4" s="1" t="n">
        <v>654</v>
      </c>
      <c r="D4" s="1" t="n">
        <v>25</v>
      </c>
      <c r="E4" s="1" t="n">
        <v>25</v>
      </c>
      <c r="F4" s="1" t="n">
        <v>23</v>
      </c>
      <c r="G4" s="1">
        <f>C4+D4+E4+F4</f>
        <v/>
      </c>
      <c r="H4" s="1">
        <f>IF(ISNUMBER(G4),G4,"")</f>
        <v/>
      </c>
      <c r="I4" s="1">
        <f>_xlfn.RANK.EQ(H4,$H$2:$H$1031)</f>
        <v/>
      </c>
      <c r="J4" s="5" t="n">
        <v>635.5</v>
      </c>
      <c r="K4" s="5" t="n">
        <v>48</v>
      </c>
      <c r="L4" s="5" t="n">
        <v>19</v>
      </c>
      <c r="M4" s="5" t="n">
        <v>23</v>
      </c>
      <c r="N4" s="5">
        <f>J4+K4+L4+M4</f>
        <v/>
      </c>
      <c r="O4" s="5">
        <f>IF(ISNUMBER(N4),N4,"")</f>
        <v/>
      </c>
      <c r="P4" s="5">
        <f>_xlfn.RANK.EQ(O4,$O$2:$O$1031)</f>
        <v/>
      </c>
      <c r="Q4" s="9" t="n">
        <v>289</v>
      </c>
      <c r="R4" s="9" t="n">
        <v>48.5</v>
      </c>
      <c r="S4" s="9" t="n">
        <v>23</v>
      </c>
      <c r="T4" s="9" t="n">
        <v>25</v>
      </c>
      <c r="U4" s="9">
        <f>Q4+R4+S4+T4</f>
        <v/>
      </c>
      <c r="V4" s="9">
        <f>IF(ISNUMBER(U4),U4,"")</f>
        <v/>
      </c>
      <c r="W4" s="9">
        <f>_xlfn.RANK.EQ(V4,$V$2:$V$1031)</f>
        <v/>
      </c>
      <c r="X4" s="13" t="n">
        <v>1585.8333333333</v>
      </c>
      <c r="Y4" s="13" t="n">
        <v>25</v>
      </c>
      <c r="Z4" s="13" t="n">
        <v>25</v>
      </c>
      <c r="AA4" s="13" t="n">
        <v>23</v>
      </c>
      <c r="AB4" s="13">
        <f>IF(ISNUMBER(X4),X4+N(Y4)+N(Z4)+N(AA4),X4)</f>
        <v/>
      </c>
      <c r="AC4" s="13">
        <f>IF(ISNUMBER(AB4),AB4,"")</f>
        <v/>
      </c>
      <c r="AD4" s="13">
        <f>IF(ISNUMBER(AC4),_xlfn.RANK.EQ(AC4,$AC$2:$AC$1031),"")</f>
        <v/>
      </c>
      <c r="AE4" s="15">
        <f>IF(ISNUMBER(AF4),AF4/3630,"")</f>
        <v/>
      </c>
      <c r="AF4" s="14">
        <f>IFERROR(C4+D4+E4+F4+J4+K4+L4+M4+Q4+R4+S4+T4+IF(ISNUMBER(X4),X4,0)+N(Y4)+N(Z4)+N(AA4),"")</f>
        <v/>
      </c>
      <c r="AG4" s="14">
        <f>IF(ISNUMBER(AF4),AF4,"")</f>
        <v/>
      </c>
      <c r="AH4" s="14">
        <f>IF(ISNUMBER(AG4),_xlfn.RANK.EQ(AG4,$AG$2:$AG$1031),"")</f>
        <v/>
      </c>
    </row>
    <row r="5">
      <c r="A5" s="18" t="n">
        <v>13</v>
      </c>
      <c r="B5" s="18" t="inlineStr">
        <is>
          <t>ابراهيم علاء مرزوق على اغا</t>
        </is>
      </c>
      <c r="C5" s="1" t="n">
        <v>440</v>
      </c>
      <c r="D5" s="1" t="n">
        <v>23</v>
      </c>
      <c r="E5" s="1" t="n">
        <v>6</v>
      </c>
      <c r="F5" s="1" t="n">
        <v>18</v>
      </c>
      <c r="G5" s="1">
        <f>C5+D5+E5+F5</f>
        <v/>
      </c>
      <c r="H5" s="1">
        <f>IF(ISNUMBER(G5),G5,"")</f>
        <v/>
      </c>
      <c r="I5" s="1">
        <f>_xlfn.RANK.EQ(H5,$H$2:$H$1031)</f>
        <v/>
      </c>
      <c r="J5" s="5" t="n">
        <v>407.5</v>
      </c>
      <c r="K5" s="5" t="n">
        <v>23</v>
      </c>
      <c r="L5" s="5" t="n">
        <v>13</v>
      </c>
      <c r="M5" s="5" t="n">
        <v>11</v>
      </c>
      <c r="N5" s="5">
        <f>J5+K5+L5+M5</f>
        <v/>
      </c>
      <c r="O5" s="5">
        <f>IF(ISNUMBER(N5),N5,"")</f>
        <v/>
      </c>
      <c r="P5" s="5">
        <f>_xlfn.RANK.EQ(O5,$O$2:$O$1031)</f>
        <v/>
      </c>
      <c r="Q5" s="9" t="n">
        <v>152.75</v>
      </c>
      <c r="R5" s="9" t="n">
        <v>34</v>
      </c>
      <c r="S5" s="9" t="n">
        <v>22</v>
      </c>
      <c r="T5" s="9" t="n">
        <v>22</v>
      </c>
      <c r="U5" s="9">
        <f>Q5+R5+S5+T5</f>
        <v/>
      </c>
      <c r="V5" s="9">
        <f>IF(ISNUMBER(U5),U5,"")</f>
        <v/>
      </c>
      <c r="W5" s="9">
        <f>_xlfn.RANK.EQ(V5,$V$2:$V$1031)</f>
        <v/>
      </c>
      <c r="X5" s="13" t="n">
        <v>1150.8041666667</v>
      </c>
      <c r="Y5" s="13" t="n">
        <v>25</v>
      </c>
      <c r="Z5" s="13" t="n">
        <v>21</v>
      </c>
      <c r="AA5" s="13" t="n">
        <v>20</v>
      </c>
      <c r="AB5" s="13">
        <f>IF(ISNUMBER(X5),X5+N(Y5)+N(Z5)+N(AA5),X5)</f>
        <v/>
      </c>
      <c r="AC5" s="13">
        <f>IF(ISNUMBER(AB5),AB5,"")</f>
        <v/>
      </c>
      <c r="AD5" s="13">
        <f>IF(ISNUMBER(AC5),_xlfn.RANK.EQ(AC5,$AC$2:$AC$1031),"")</f>
        <v/>
      </c>
      <c r="AE5" s="15">
        <f>IF(ISNUMBER(AF5),AF5/3630,"")</f>
        <v/>
      </c>
      <c r="AF5" s="14">
        <f>IFERROR(C5+D5+E5+F5+J5+K5+L5+M5+Q5+R5+S5+T5+IF(ISNUMBER(X5),X5,0)+N(Y5)+N(Z5)+N(AA5),"")</f>
        <v/>
      </c>
      <c r="AG5" s="14">
        <f>IF(ISNUMBER(AF5),AF5,"")</f>
        <v/>
      </c>
      <c r="AH5" s="14">
        <f>IF(ISNUMBER(AG5),_xlfn.RANK.EQ(AG5,$AG$2:$AG$1031),"")</f>
        <v/>
      </c>
    </row>
    <row r="6">
      <c r="A6" s="18" t="n">
        <v>15</v>
      </c>
      <c r="B6" s="18" t="inlineStr">
        <is>
          <t>ابراهيم محمد حسن عويضه</t>
        </is>
      </c>
      <c r="C6" s="1" t="n">
        <v>565.6</v>
      </c>
      <c r="D6" s="1" t="n">
        <v>24</v>
      </c>
      <c r="E6" s="1" t="n">
        <v>22</v>
      </c>
      <c r="F6" s="1" t="n">
        <v>18</v>
      </c>
      <c r="G6" s="1">
        <f>C6+D6+E6+F6</f>
        <v/>
      </c>
      <c r="H6" s="1">
        <f>IF(ISNUMBER(G6),G6,"")</f>
        <v/>
      </c>
      <c r="I6" s="1">
        <f>_xlfn.RANK.EQ(H6,$H$2:$H$1031)</f>
        <v/>
      </c>
      <c r="J6" s="5" t="n">
        <v>599.5</v>
      </c>
      <c r="K6" s="5" t="n">
        <v>49</v>
      </c>
      <c r="L6" s="5" t="n">
        <v>25</v>
      </c>
      <c r="M6" s="5" t="n">
        <v>22</v>
      </c>
      <c r="N6" s="5">
        <f>J6+K6+L6+M6</f>
        <v/>
      </c>
      <c r="O6" s="5">
        <f>IF(ISNUMBER(N6),N6,"")</f>
        <v/>
      </c>
      <c r="P6" s="5">
        <f>_xlfn.RANK.EQ(O6,$O$2:$O$1031)</f>
        <v/>
      </c>
      <c r="Q6" s="9" t="n">
        <v>243</v>
      </c>
      <c r="R6" s="9" t="n">
        <v>43</v>
      </c>
      <c r="S6" s="9" t="n">
        <v>22</v>
      </c>
      <c r="T6" s="9" t="n">
        <v>25</v>
      </c>
      <c r="U6" s="9">
        <f>Q6+R6+S6+T6</f>
        <v/>
      </c>
      <c r="V6" s="9">
        <f>IF(ISNUMBER(U6),U6,"")</f>
        <v/>
      </c>
      <c r="W6" s="9">
        <f>_xlfn.RANK.EQ(V6,$V$2:$V$1031)</f>
        <v/>
      </c>
      <c r="X6" s="13" t="n">
        <v>1403.6083333333</v>
      </c>
      <c r="Y6" s="13" t="n">
        <v>25</v>
      </c>
      <c r="Z6" s="13" t="n">
        <v>23</v>
      </c>
      <c r="AA6" s="13" t="n">
        <v>22</v>
      </c>
      <c r="AB6" s="13">
        <f>IF(ISNUMBER(X6),X6+N(Y6)+N(Z6)+N(AA6),X6)</f>
        <v/>
      </c>
      <c r="AC6" s="13">
        <f>IF(ISNUMBER(AB6),AB6,"")</f>
        <v/>
      </c>
      <c r="AD6" s="13">
        <f>IF(ISNUMBER(AC6),_xlfn.RANK.EQ(AC6,$AC$2:$AC$1031),"")</f>
        <v/>
      </c>
      <c r="AE6" s="15">
        <f>IF(ISNUMBER(AF6),AF6/3630,"")</f>
        <v/>
      </c>
      <c r="AF6" s="14">
        <f>IFERROR(C6+D6+E6+F6+J6+K6+L6+M6+Q6+R6+S6+T6+IF(ISNUMBER(X6),X6,0)+N(Y6)+N(Z6)+N(AA6),"")</f>
        <v/>
      </c>
      <c r="AG6" s="14">
        <f>IF(ISNUMBER(AF6),AF6,"")</f>
        <v/>
      </c>
      <c r="AH6" s="14">
        <f>IF(ISNUMBER(AG6),_xlfn.RANK.EQ(AG6,$AG$2:$AG$1031),"")</f>
        <v/>
      </c>
    </row>
    <row r="7">
      <c r="A7" s="18" t="n">
        <v>31</v>
      </c>
      <c r="B7" s="18" t="inlineStr">
        <is>
          <t>احلام محمد خميس على عبدالكريم</t>
        </is>
      </c>
      <c r="C7" s="1" t="n">
        <v>616.7</v>
      </c>
      <c r="D7" s="1" t="n">
        <v>25</v>
      </c>
      <c r="E7" s="1" t="n">
        <v>24</v>
      </c>
      <c r="F7" s="1" t="n">
        <v>23</v>
      </c>
      <c r="G7" s="1">
        <f>C7+D7+E7+F7</f>
        <v/>
      </c>
      <c r="H7" s="1">
        <f>IF(ISNUMBER(G7),G7,"")</f>
        <v/>
      </c>
      <c r="I7" s="1">
        <f>_xlfn.RANK.EQ(H7,$H$2:$H$1031)</f>
        <v/>
      </c>
      <c r="J7" s="5" t="n">
        <v>629.4</v>
      </c>
      <c r="K7" s="5" t="n">
        <v>46</v>
      </c>
      <c r="L7" s="5" t="n">
        <v>21</v>
      </c>
      <c r="M7" s="5" t="n">
        <v>22</v>
      </c>
      <c r="N7" s="5">
        <f>J7+K7+L7+M7</f>
        <v/>
      </c>
      <c r="O7" s="5">
        <f>IF(ISNUMBER(N7),N7,"")</f>
        <v/>
      </c>
      <c r="P7" s="5">
        <f>_xlfn.RANK.EQ(O7,$O$2:$O$1031)</f>
        <v/>
      </c>
      <c r="Q7" s="9" t="n">
        <v>272</v>
      </c>
      <c r="R7" s="9" t="n">
        <v>48</v>
      </c>
      <c r="S7" s="9" t="n">
        <v>24</v>
      </c>
      <c r="T7" s="9" t="n">
        <v>25</v>
      </c>
      <c r="U7" s="9">
        <f>Q7+R7+S7+T7</f>
        <v/>
      </c>
      <c r="V7" s="9">
        <f>IF(ISNUMBER(U7),U7,"")</f>
        <v/>
      </c>
      <c r="W7" s="9">
        <f>_xlfn.RANK.EQ(V7,$V$2:$V$1031)</f>
        <v/>
      </c>
      <c r="X7" s="13" t="n">
        <v>1497.6708333333</v>
      </c>
      <c r="Y7" s="13" t="n">
        <v>25</v>
      </c>
      <c r="Z7" s="13" t="n">
        <v>25</v>
      </c>
      <c r="AA7" s="13" t="n">
        <v>24</v>
      </c>
      <c r="AB7" s="13">
        <f>IF(ISNUMBER(X7),X7+N(Y7)+N(Z7)+N(AA7),X7)</f>
        <v/>
      </c>
      <c r="AC7" s="13">
        <f>IF(ISNUMBER(AB7),AB7,"")</f>
        <v/>
      </c>
      <c r="AD7" s="13">
        <f>IF(ISNUMBER(AC7),_xlfn.RANK.EQ(AC7,$AC$2:$AC$1031),"")</f>
        <v/>
      </c>
      <c r="AE7" s="15">
        <f>IF(ISNUMBER(AF7),AF7/3630,"")</f>
        <v/>
      </c>
      <c r="AF7" s="14">
        <f>IFERROR(C7+D7+E7+F7+J7+K7+L7+M7+Q7+R7+S7+T7+IF(ISNUMBER(X7),X7,0)+N(Y7)+N(Z7)+N(AA7),"")</f>
        <v/>
      </c>
      <c r="AG7" s="14">
        <f>IF(ISNUMBER(AF7),AF7,"")</f>
        <v/>
      </c>
      <c r="AH7" s="14">
        <f>IF(ISNUMBER(AG7),_xlfn.RANK.EQ(AG7,$AG$2:$AG$1031),"")</f>
        <v/>
      </c>
    </row>
    <row r="8">
      <c r="A8" s="18" t="n">
        <v>32</v>
      </c>
      <c r="B8" s="18" t="inlineStr">
        <is>
          <t>احمد ابراهيم ابراهيم سيد احمد عيسى</t>
        </is>
      </c>
      <c r="C8" s="1" t="n">
        <v>598.8</v>
      </c>
      <c r="D8" s="1" t="n">
        <v>24</v>
      </c>
      <c r="E8" s="1" t="n">
        <v>22</v>
      </c>
      <c r="F8" s="1" t="n">
        <v>24</v>
      </c>
      <c r="G8" s="1">
        <f>C8+D8+E8+F8</f>
        <v/>
      </c>
      <c r="H8" s="1">
        <f>IF(ISNUMBER(G8),G8,"")</f>
        <v/>
      </c>
      <c r="I8" s="1">
        <f>_xlfn.RANK.EQ(H8,$H$2:$H$1031)</f>
        <v/>
      </c>
      <c r="J8" s="5" t="n">
        <v>589.8</v>
      </c>
      <c r="K8" s="5" t="n">
        <v>49</v>
      </c>
      <c r="L8" s="5" t="n">
        <v>22</v>
      </c>
      <c r="M8" s="5" t="n">
        <v>25</v>
      </c>
      <c r="N8" s="5">
        <f>J8+K8+L8+M8</f>
        <v/>
      </c>
      <c r="O8" s="5">
        <f>IF(ISNUMBER(N8),N8,"")</f>
        <v/>
      </c>
      <c r="P8" s="5">
        <f>_xlfn.RANK.EQ(O8,$O$2:$O$1031)</f>
        <v/>
      </c>
      <c r="Q8" s="9" t="n">
        <v>272</v>
      </c>
      <c r="R8" s="9" t="n">
        <v>47.5</v>
      </c>
      <c r="S8" s="9" t="n">
        <v>24</v>
      </c>
      <c r="T8" s="9" t="n">
        <v>25</v>
      </c>
      <c r="U8" s="9">
        <f>Q8+R8+S8+T8</f>
        <v/>
      </c>
      <c r="V8" s="9">
        <f>IF(ISNUMBER(U8),U8,"")</f>
        <v/>
      </c>
      <c r="W8" s="9">
        <f>_xlfn.RANK.EQ(V8,$V$2:$V$1031)</f>
        <v/>
      </c>
      <c r="X8" s="13" t="n">
        <v>1369.3833333333</v>
      </c>
      <c r="Y8" s="13" t="n">
        <v>24</v>
      </c>
      <c r="Z8" s="13" t="n">
        <v>24</v>
      </c>
      <c r="AA8" s="13" t="n">
        <v>22</v>
      </c>
      <c r="AB8" s="13">
        <f>IF(ISNUMBER(X8),X8+N(Y8)+N(Z8)+N(AA8),X8)</f>
        <v/>
      </c>
      <c r="AC8" s="13">
        <f>IF(ISNUMBER(AB8),AB8,"")</f>
        <v/>
      </c>
      <c r="AD8" s="13">
        <f>IF(ISNUMBER(AC8),_xlfn.RANK.EQ(AC8,$AC$2:$AC$1031),"")</f>
        <v/>
      </c>
      <c r="AE8" s="15">
        <f>IF(ISNUMBER(AF8),AF8/3630,"")</f>
        <v/>
      </c>
      <c r="AF8" s="14">
        <f>IFERROR(C8+D8+E8+F8+J8+K8+L8+M8+Q8+R8+S8+T8+IF(ISNUMBER(X8),X8,0)+N(Y8)+N(Z8)+N(AA8),"")</f>
        <v/>
      </c>
      <c r="AG8" s="14">
        <f>IF(ISNUMBER(AF8),AF8,"")</f>
        <v/>
      </c>
      <c r="AH8" s="14">
        <f>IF(ISNUMBER(AG8),_xlfn.RANK.EQ(AG8,$AG$2:$AG$1031),"")</f>
        <v/>
      </c>
    </row>
    <row r="9">
      <c r="A9" s="18" t="n">
        <v>34</v>
      </c>
      <c r="B9" s="18" t="inlineStr">
        <is>
          <t>احمد ابراهيم فاروق سعد الششتاوى</t>
        </is>
      </c>
      <c r="C9" s="1" t="n">
        <v>477</v>
      </c>
      <c r="D9" s="1" t="n">
        <v>24</v>
      </c>
      <c r="E9" s="1" t="n">
        <v>22</v>
      </c>
      <c r="F9" s="1" t="n">
        <v>24</v>
      </c>
      <c r="G9" s="1">
        <f>C9+D9+E9+F9</f>
        <v/>
      </c>
      <c r="H9" s="1">
        <f>IF(ISNUMBER(G9),G9,"")</f>
        <v/>
      </c>
      <c r="I9" s="1">
        <f>_xlfn.RANK.EQ(H9,$H$2:$H$1031)</f>
        <v/>
      </c>
      <c r="J9" s="5" t="n">
        <v>545.3</v>
      </c>
      <c r="K9" s="5" t="n">
        <v>49</v>
      </c>
      <c r="L9" s="5" t="n">
        <v>22</v>
      </c>
      <c r="M9" s="5" t="n">
        <v>23</v>
      </c>
      <c r="N9" s="5">
        <f>J9+K9+L9+M9</f>
        <v/>
      </c>
      <c r="O9" s="5">
        <f>IF(ISNUMBER(N9),N9,"")</f>
        <v/>
      </c>
      <c r="P9" s="5">
        <f>_xlfn.RANK.EQ(O9,$O$2:$O$1031)</f>
        <v/>
      </c>
      <c r="Q9" s="9" t="n">
        <v>226.5</v>
      </c>
      <c r="R9" s="9" t="n">
        <v>31.5</v>
      </c>
      <c r="S9" s="9" t="n">
        <v>16</v>
      </c>
      <c r="T9" s="9" t="n">
        <v>23</v>
      </c>
      <c r="U9" s="9">
        <f>Q9+R9+S9+T9</f>
        <v/>
      </c>
      <c r="V9" s="9">
        <f>IF(ISNUMBER(U9),U9,"")</f>
        <v/>
      </c>
      <c r="W9" s="9">
        <f>_xlfn.RANK.EQ(V9,$V$2:$V$1031)</f>
        <v/>
      </c>
      <c r="X9" s="13" t="n">
        <v>1191.0458333333</v>
      </c>
      <c r="Y9" s="13" t="n">
        <v>25</v>
      </c>
      <c r="Z9" s="13" t="n">
        <v>18</v>
      </c>
      <c r="AA9" s="13" t="n">
        <v>22</v>
      </c>
      <c r="AB9" s="13">
        <f>IF(ISNUMBER(X9),X9+N(Y9)+N(Z9)+N(AA9),X9)</f>
        <v/>
      </c>
      <c r="AC9" s="13">
        <f>IF(ISNUMBER(AB9),AB9,"")</f>
        <v/>
      </c>
      <c r="AD9" s="13">
        <f>IF(ISNUMBER(AC9),_xlfn.RANK.EQ(AC9,$AC$2:$AC$1031),"")</f>
        <v/>
      </c>
      <c r="AE9" s="15">
        <f>IF(ISNUMBER(AF9),AF9/3630,"")</f>
        <v/>
      </c>
      <c r="AF9" s="14">
        <f>IFERROR(C9+D9+E9+F9+J9+K9+L9+M9+Q9+R9+S9+T9+IF(ISNUMBER(X9),X9,0)+N(Y9)+N(Z9)+N(AA9),"")</f>
        <v/>
      </c>
      <c r="AG9" s="14">
        <f>IF(ISNUMBER(AF9),AF9,"")</f>
        <v/>
      </c>
      <c r="AH9" s="14">
        <f>IF(ISNUMBER(AG9),_xlfn.RANK.EQ(AG9,$AG$2:$AG$1031),"")</f>
        <v/>
      </c>
    </row>
    <row r="10">
      <c r="A10" s="18" t="n">
        <v>35</v>
      </c>
      <c r="B10" s="18" t="inlineStr">
        <is>
          <t>احمد احمد ابراهيم احمد عويضه</t>
        </is>
      </c>
      <c r="C10" s="1" t="n">
        <v>515.2</v>
      </c>
      <c r="D10" s="1" t="n">
        <v>21</v>
      </c>
      <c r="E10" s="1" t="n">
        <v>25</v>
      </c>
      <c r="F10" s="1" t="n">
        <v>20.5</v>
      </c>
      <c r="G10" s="1">
        <f>C10+D10+E10+F10</f>
        <v/>
      </c>
      <c r="H10" s="1">
        <f>IF(ISNUMBER(G10),G10,"")</f>
        <v/>
      </c>
      <c r="I10" s="1">
        <f>_xlfn.RANK.EQ(H10,$H$2:$H$1031)</f>
        <v/>
      </c>
      <c r="J10" s="5" t="n">
        <v>551</v>
      </c>
      <c r="K10" s="5" t="n">
        <v>46</v>
      </c>
      <c r="L10" s="5" t="n">
        <v>22</v>
      </c>
      <c r="M10" s="5" t="n">
        <v>23</v>
      </c>
      <c r="N10" s="5">
        <f>J10+K10+L10+M10</f>
        <v/>
      </c>
      <c r="O10" s="5">
        <f>IF(ISNUMBER(N10),N10,"")</f>
        <v/>
      </c>
      <c r="P10" s="5">
        <f>_xlfn.RANK.EQ(O10,$O$2:$O$1031)</f>
        <v/>
      </c>
      <c r="Q10" s="9" t="n">
        <v>264</v>
      </c>
      <c r="R10" s="9" t="n">
        <v>45</v>
      </c>
      <c r="S10" s="9" t="n">
        <v>22</v>
      </c>
      <c r="T10" s="9" t="n">
        <v>23.5</v>
      </c>
      <c r="U10" s="9">
        <f>Q10+R10+S10+T10</f>
        <v/>
      </c>
      <c r="V10" s="9">
        <f>IF(ISNUMBER(U10),U10,"")</f>
        <v/>
      </c>
      <c r="W10" s="9">
        <f>_xlfn.RANK.EQ(V10,$V$2:$V$1031)</f>
        <v/>
      </c>
      <c r="X10" s="13" t="n">
        <v>1386.7375</v>
      </c>
      <c r="Y10" s="13" t="n">
        <v>25</v>
      </c>
      <c r="Z10" s="13" t="n">
        <v>21</v>
      </c>
      <c r="AA10" s="13" t="n">
        <v>20</v>
      </c>
      <c r="AB10" s="13">
        <f>IF(ISNUMBER(X10),X10+N(Y10)+N(Z10)+N(AA10),X10)</f>
        <v/>
      </c>
      <c r="AC10" s="13">
        <f>IF(ISNUMBER(AB10),AB10,"")</f>
        <v/>
      </c>
      <c r="AD10" s="13">
        <f>IF(ISNUMBER(AC10),_xlfn.RANK.EQ(AC10,$AC$2:$AC$1031),"")</f>
        <v/>
      </c>
      <c r="AE10" s="15">
        <f>IF(ISNUMBER(AF10),AF10/3630,"")</f>
        <v/>
      </c>
      <c r="AF10" s="14">
        <f>IFERROR(C10+D10+E10+F10+J10+K10+L10+M10+Q10+R10+S10+T10+IF(ISNUMBER(X10),X10,0)+N(Y10)+N(Z10)+N(AA10),"")</f>
        <v/>
      </c>
      <c r="AG10" s="14">
        <f>IF(ISNUMBER(AF10),AF10,"")</f>
        <v/>
      </c>
      <c r="AH10" s="14">
        <f>IF(ISNUMBER(AG10),_xlfn.RANK.EQ(AG10,$AG$2:$AG$1031),"")</f>
        <v/>
      </c>
    </row>
    <row r="11">
      <c r="A11" s="18" t="n">
        <v>37</v>
      </c>
      <c r="B11" s="18" t="inlineStr">
        <is>
          <t>احمد اشرف عبد الزين عباس</t>
        </is>
      </c>
      <c r="C11" s="1" t="n">
        <v>658</v>
      </c>
      <c r="D11" s="1" t="n">
        <v>25</v>
      </c>
      <c r="E11" s="1" t="n">
        <v>25</v>
      </c>
      <c r="F11" s="1" t="n">
        <v>24</v>
      </c>
      <c r="G11" s="1">
        <f>C11+D11+E11+F11</f>
        <v/>
      </c>
      <c r="H11" s="1">
        <f>IF(ISNUMBER(G11),G11,"")</f>
        <v/>
      </c>
      <c r="I11" s="1">
        <f>_xlfn.RANK.EQ(H11,$H$2:$H$1031)</f>
        <v/>
      </c>
      <c r="J11" s="5" t="n">
        <v>633.7</v>
      </c>
      <c r="K11" s="5" t="n">
        <v>47</v>
      </c>
      <c r="L11" s="5" t="n">
        <v>23</v>
      </c>
      <c r="M11" s="5" t="n">
        <v>23</v>
      </c>
      <c r="N11" s="5">
        <f>J11+K11+L11+M11</f>
        <v/>
      </c>
      <c r="O11" s="5">
        <f>IF(ISNUMBER(N11),N11,"")</f>
        <v/>
      </c>
      <c r="P11" s="5">
        <f>_xlfn.RANK.EQ(O11,$O$2:$O$1031)</f>
        <v/>
      </c>
      <c r="Q11" s="9" t="n">
        <v>283</v>
      </c>
      <c r="R11" s="9" t="n">
        <v>47</v>
      </c>
      <c r="S11" s="9" t="n">
        <v>22</v>
      </c>
      <c r="T11" s="9" t="n">
        <v>24.5</v>
      </c>
      <c r="U11" s="9">
        <f>Q11+R11+S11+T11</f>
        <v/>
      </c>
      <c r="V11" s="9">
        <f>IF(ISNUMBER(U11),U11,"")</f>
        <v/>
      </c>
      <c r="W11" s="9">
        <f>_xlfn.RANK.EQ(V11,$V$2:$V$1031)</f>
        <v/>
      </c>
      <c r="X11" s="13" t="n">
        <v>1528.7583333333</v>
      </c>
      <c r="Y11" s="13" t="n">
        <v>25</v>
      </c>
      <c r="Z11" s="13" t="n">
        <v>20</v>
      </c>
      <c r="AA11" s="13" t="n">
        <v>21</v>
      </c>
      <c r="AB11" s="13">
        <f>IF(ISNUMBER(X11),X11+N(Y11)+N(Z11)+N(AA11),X11)</f>
        <v/>
      </c>
      <c r="AC11" s="13">
        <f>IF(ISNUMBER(AB11),AB11,"")</f>
        <v/>
      </c>
      <c r="AD11" s="13">
        <f>IF(ISNUMBER(AC11),_xlfn.RANK.EQ(AC11,$AC$2:$AC$1031),"")</f>
        <v/>
      </c>
      <c r="AE11" s="15">
        <f>IF(ISNUMBER(AF11),AF11/3630,"")</f>
        <v/>
      </c>
      <c r="AF11" s="14">
        <f>IFERROR(C11+D11+E11+F11+J11+K11+L11+M11+Q11+R11+S11+T11+IF(ISNUMBER(X11),X11,0)+N(Y11)+N(Z11)+N(AA11),"")</f>
        <v/>
      </c>
      <c r="AG11" s="14">
        <f>IF(ISNUMBER(AF11),AF11,"")</f>
        <v/>
      </c>
      <c r="AH11" s="14">
        <f>IF(ISNUMBER(AG11),_xlfn.RANK.EQ(AG11,$AG$2:$AG$1031),"")</f>
        <v/>
      </c>
    </row>
    <row r="12">
      <c r="A12" s="18" t="n">
        <v>38</v>
      </c>
      <c r="B12" s="18" t="inlineStr">
        <is>
          <t>احمد اشرف عبد الفتاح عبد ربه</t>
        </is>
      </c>
      <c r="C12" s="1" t="n">
        <v>472.1</v>
      </c>
      <c r="D12" s="1" t="n">
        <v>19</v>
      </c>
      <c r="E12" s="1" t="n">
        <v>20</v>
      </c>
      <c r="F12" s="1" t="n">
        <v>16</v>
      </c>
      <c r="G12" s="1">
        <f>C12+D12+E12+F12</f>
        <v/>
      </c>
      <c r="H12" s="1">
        <f>IF(ISNUMBER(G12),G12,"")</f>
        <v/>
      </c>
      <c r="I12" s="1">
        <f>_xlfn.RANK.EQ(H12,$H$2:$H$1031)</f>
        <v/>
      </c>
      <c r="J12" s="5" t="n">
        <v>510.7</v>
      </c>
      <c r="K12" s="5" t="n">
        <v>34</v>
      </c>
      <c r="L12" s="5" t="n">
        <v>20</v>
      </c>
      <c r="M12" s="5" t="n">
        <v>18</v>
      </c>
      <c r="N12" s="5">
        <f>J12+K12+L12+M12</f>
        <v/>
      </c>
      <c r="O12" s="5">
        <f>IF(ISNUMBER(N12),N12,"")</f>
        <v/>
      </c>
      <c r="P12" s="5">
        <f>_xlfn.RANK.EQ(O12,$O$2:$O$1031)</f>
        <v/>
      </c>
      <c r="Q12" s="9" t="n">
        <v>212.5</v>
      </c>
      <c r="R12" s="9" t="n">
        <v>43</v>
      </c>
      <c r="S12" s="9" t="n">
        <v>25</v>
      </c>
      <c r="T12" s="9" t="n">
        <v>22.5</v>
      </c>
      <c r="U12" s="9">
        <f>Q12+R12+S12+T12</f>
        <v/>
      </c>
      <c r="V12" s="9">
        <f>IF(ISNUMBER(U12),U12,"")</f>
        <v/>
      </c>
      <c r="W12" s="9">
        <f>_xlfn.RANK.EQ(V12,$V$2:$V$1031)</f>
        <v/>
      </c>
      <c r="X12" s="13" t="n">
        <v>1292.6166666667</v>
      </c>
      <c r="Y12" s="13" t="n">
        <v>25</v>
      </c>
      <c r="Z12" s="13" t="n">
        <v>22</v>
      </c>
      <c r="AA12" s="13" t="n">
        <v>25</v>
      </c>
      <c r="AB12" s="13">
        <f>IF(ISNUMBER(X12),X12+N(Y12)+N(Z12)+N(AA12),X12)</f>
        <v/>
      </c>
      <c r="AC12" s="13">
        <f>IF(ISNUMBER(AB12),AB12,"")</f>
        <v/>
      </c>
      <c r="AD12" s="13">
        <f>IF(ISNUMBER(AC12),_xlfn.RANK.EQ(AC12,$AC$2:$AC$1031),"")</f>
        <v/>
      </c>
      <c r="AE12" s="15">
        <f>IF(ISNUMBER(AF12),AF12/3630,"")</f>
        <v/>
      </c>
      <c r="AF12" s="14">
        <f>IFERROR(C12+D12+E12+F12+J12+K12+L12+M12+Q12+R12+S12+T12+IF(ISNUMBER(X12),X12,0)+N(Y12)+N(Z12)+N(AA12),"")</f>
        <v/>
      </c>
      <c r="AG12" s="14">
        <f>IF(ISNUMBER(AF12),AF12,"")</f>
        <v/>
      </c>
      <c r="AH12" s="14">
        <f>IF(ISNUMBER(AG12),_xlfn.RANK.EQ(AG12,$AG$2:$AG$1031),"")</f>
        <v/>
      </c>
    </row>
    <row r="13">
      <c r="A13" s="18" t="n">
        <v>39</v>
      </c>
      <c r="B13" s="18" t="inlineStr">
        <is>
          <t>احمد اشرف عطية محمود القزاز</t>
        </is>
      </c>
      <c r="C13" s="1" t="n">
        <v>639.5</v>
      </c>
      <c r="D13" s="1" t="n">
        <v>25</v>
      </c>
      <c r="E13" s="1" t="n">
        <v>25</v>
      </c>
      <c r="F13" s="1" t="n">
        <v>22</v>
      </c>
      <c r="G13" s="1">
        <f>C13+D13+E13+F13</f>
        <v/>
      </c>
      <c r="H13" s="1">
        <f>IF(ISNUMBER(G13),G13,"")</f>
        <v/>
      </c>
      <c r="I13" s="1">
        <f>_xlfn.RANK.EQ(H13,$H$2:$H$1031)</f>
        <v/>
      </c>
      <c r="J13" s="5" t="n">
        <v>622.7</v>
      </c>
      <c r="K13" s="5" t="n">
        <v>49</v>
      </c>
      <c r="L13" s="5" t="n">
        <v>22</v>
      </c>
      <c r="M13" s="5" t="n">
        <v>23</v>
      </c>
      <c r="N13" s="5">
        <f>J13+K13+L13+M13</f>
        <v/>
      </c>
      <c r="O13" s="5">
        <f>IF(ISNUMBER(N13),N13,"")</f>
        <v/>
      </c>
      <c r="P13" s="5">
        <f>_xlfn.RANK.EQ(O13,$O$2:$O$1031)</f>
        <v/>
      </c>
      <c r="Q13" s="9" t="n">
        <v>274.5</v>
      </c>
      <c r="R13" s="9" t="n">
        <v>48</v>
      </c>
      <c r="S13" s="9" t="n">
        <v>24</v>
      </c>
      <c r="T13" s="9" t="n">
        <v>24.5</v>
      </c>
      <c r="U13" s="9">
        <f>Q13+R13+S13+T13</f>
        <v/>
      </c>
      <c r="V13" s="9">
        <f>IF(ISNUMBER(U13),U13,"")</f>
        <v/>
      </c>
      <c r="W13" s="9">
        <f>_xlfn.RANK.EQ(V13,$V$2:$V$1031)</f>
        <v/>
      </c>
      <c r="X13" s="13" t="n">
        <v>1395.3208333333</v>
      </c>
      <c r="Y13" s="13" t="n">
        <v>25</v>
      </c>
      <c r="Z13" s="13" t="n">
        <v>22</v>
      </c>
      <c r="AA13" s="13" t="n">
        <v>23</v>
      </c>
      <c r="AB13" s="13">
        <f>IF(ISNUMBER(X13),X13+N(Y13)+N(Z13)+N(AA13),X13)</f>
        <v/>
      </c>
      <c r="AC13" s="13">
        <f>IF(ISNUMBER(AB13),AB13,"")</f>
        <v/>
      </c>
      <c r="AD13" s="13">
        <f>IF(ISNUMBER(AC13),_xlfn.RANK.EQ(AC13,$AC$2:$AC$1031),"")</f>
        <v/>
      </c>
      <c r="AE13" s="15">
        <f>IF(ISNUMBER(AF13),AF13/3630,"")</f>
        <v/>
      </c>
      <c r="AF13" s="14">
        <f>IFERROR(C13+D13+E13+F13+J13+K13+L13+M13+Q13+R13+S13+T13+IF(ISNUMBER(X13),X13,0)+N(Y13)+N(Z13)+N(AA13),"")</f>
        <v/>
      </c>
      <c r="AG13" s="14">
        <f>IF(ISNUMBER(AF13),AF13,"")</f>
        <v/>
      </c>
      <c r="AH13" s="14">
        <f>IF(ISNUMBER(AG13),_xlfn.RANK.EQ(AG13,$AG$2:$AG$1031),"")</f>
        <v/>
      </c>
    </row>
    <row r="14">
      <c r="A14" s="18" t="n">
        <v>40</v>
      </c>
      <c r="B14" s="18" t="inlineStr">
        <is>
          <t>احمد اشرف محمد شريف</t>
        </is>
      </c>
      <c r="C14" s="1" t="n">
        <v>607.9</v>
      </c>
      <c r="D14" s="1" t="n">
        <v>24</v>
      </c>
      <c r="E14" s="1" t="n">
        <v>25</v>
      </c>
      <c r="F14" s="1" t="n">
        <v>21</v>
      </c>
      <c r="G14" s="1">
        <f>C14+D14+E14+F14</f>
        <v/>
      </c>
      <c r="H14" s="1">
        <f>IF(ISNUMBER(G14),G14,"")</f>
        <v/>
      </c>
      <c r="I14" s="1">
        <f>_xlfn.RANK.EQ(H14,$H$2:$H$1031)</f>
        <v/>
      </c>
      <c r="J14" s="5" t="n">
        <v>543.7</v>
      </c>
      <c r="K14" s="5" t="n">
        <v>39</v>
      </c>
      <c r="L14" s="5" t="n">
        <v>20</v>
      </c>
      <c r="M14" s="5" t="n">
        <v>21</v>
      </c>
      <c r="N14" s="5">
        <f>J14+K14+L14+M14</f>
        <v/>
      </c>
      <c r="O14" s="5">
        <f>IF(ISNUMBER(N14),N14,"")</f>
        <v/>
      </c>
      <c r="P14" s="5">
        <f>_xlfn.RANK.EQ(O14,$O$2:$O$1031)</f>
        <v/>
      </c>
      <c r="Q14" s="9" t="n">
        <v>231.5</v>
      </c>
      <c r="R14" s="9" t="n">
        <v>44.5</v>
      </c>
      <c r="S14" s="9" t="n">
        <v>24</v>
      </c>
      <c r="T14" s="9" t="n">
        <v>25</v>
      </c>
      <c r="U14" s="9">
        <f>Q14+R14+S14+T14</f>
        <v/>
      </c>
      <c r="V14" s="9">
        <f>IF(ISNUMBER(U14),U14,"")</f>
        <v/>
      </c>
      <c r="W14" s="9">
        <f>_xlfn.RANK.EQ(V14,$V$2:$V$1031)</f>
        <v/>
      </c>
      <c r="X14" s="13" t="inlineStr">
        <is>
          <t>راسب</t>
        </is>
      </c>
      <c r="Y14" s="13" t="n">
        <v>25</v>
      </c>
      <c r="Z14" s="13" t="n">
        <v>21</v>
      </c>
      <c r="AA14" s="13" t="n">
        <v>22</v>
      </c>
      <c r="AB14" s="13">
        <f>IF(ISNUMBER(X14),X14+N(Y14)+N(Z14)+N(AA14),X14)</f>
        <v/>
      </c>
      <c r="AC14" s="13">
        <f>IF(ISNUMBER(AB14),AB14,"")</f>
        <v/>
      </c>
      <c r="AD14" s="13">
        <f>IF(ISNUMBER(AC14),_xlfn.RANK.EQ(AC14,$AC$2:$AC$1031),"")</f>
        <v/>
      </c>
      <c r="AE14" s="15">
        <f>IF(ISNUMBER(AF14),AF14/3630,"")</f>
        <v/>
      </c>
      <c r="AF14" s="14">
        <f>IFERROR(C14+D14+E14+F14+J14+K14+L14+M14+Q14+R14+S14+T14+IF(ISNUMBER(X14),X14,0)+N(Y14)+N(Z14)+N(AA14),"")</f>
        <v/>
      </c>
      <c r="AG14" s="14">
        <f>IF(ISNUMBER(AF14),AF14,"")</f>
        <v/>
      </c>
      <c r="AH14" s="14">
        <f>IF(ISNUMBER(AG14),_xlfn.RANK.EQ(AG14,$AG$2:$AG$1031),"")</f>
        <v/>
      </c>
    </row>
    <row r="15">
      <c r="A15" s="18" t="n">
        <v>41</v>
      </c>
      <c r="B15" s="18" t="inlineStr">
        <is>
          <t>احمد اشرف محمود محمد</t>
        </is>
      </c>
      <c r="C15" s="1" t="n">
        <v>579.3</v>
      </c>
      <c r="D15" s="1" t="n">
        <v>22</v>
      </c>
      <c r="E15" s="1" t="n">
        <v>25</v>
      </c>
      <c r="F15" s="1" t="n">
        <v>23</v>
      </c>
      <c r="G15" s="1">
        <f>C15+D15+E15+F15</f>
        <v/>
      </c>
      <c r="H15" s="1">
        <f>IF(ISNUMBER(G15),G15,"")</f>
        <v/>
      </c>
      <c r="I15" s="1">
        <f>_xlfn.RANK.EQ(H15,$H$2:$H$1031)</f>
        <v/>
      </c>
      <c r="J15" s="5" t="n">
        <v>587.5</v>
      </c>
      <c r="K15" s="5" t="n">
        <v>49</v>
      </c>
      <c r="L15" s="5" t="n">
        <v>23</v>
      </c>
      <c r="M15" s="5" t="n">
        <v>22</v>
      </c>
      <c r="N15" s="5">
        <f>J15+K15+L15+M15</f>
        <v/>
      </c>
      <c r="O15" s="5">
        <f>IF(ISNUMBER(N15),N15,"")</f>
        <v/>
      </c>
      <c r="P15" s="5">
        <f>_xlfn.RANK.EQ(O15,$O$2:$O$1031)</f>
        <v/>
      </c>
      <c r="Q15" s="9" t="n">
        <v>271</v>
      </c>
      <c r="R15" s="9" t="n">
        <v>46.5</v>
      </c>
      <c r="S15" s="9" t="n">
        <v>23</v>
      </c>
      <c r="T15" s="9" t="n">
        <v>25</v>
      </c>
      <c r="U15" s="9">
        <f>Q15+R15+S15+T15</f>
        <v/>
      </c>
      <c r="V15" s="9">
        <f>IF(ISNUMBER(U15),U15,"")</f>
        <v/>
      </c>
      <c r="W15" s="9">
        <f>_xlfn.RANK.EQ(V15,$V$2:$V$1031)</f>
        <v/>
      </c>
      <c r="X15" s="13" t="n">
        <v>1454.7958333333</v>
      </c>
      <c r="Y15" s="13" t="n">
        <v>21</v>
      </c>
      <c r="Z15" s="13" t="n">
        <v>21</v>
      </c>
      <c r="AA15" s="13" t="n">
        <v>22</v>
      </c>
      <c r="AB15" s="13">
        <f>IF(ISNUMBER(X15),X15+N(Y15)+N(Z15)+N(AA15),X15)</f>
        <v/>
      </c>
      <c r="AC15" s="13">
        <f>IF(ISNUMBER(AB15),AB15,"")</f>
        <v/>
      </c>
      <c r="AD15" s="13">
        <f>IF(ISNUMBER(AC15),_xlfn.RANK.EQ(AC15,$AC$2:$AC$1031),"")</f>
        <v/>
      </c>
      <c r="AE15" s="15">
        <f>IF(ISNUMBER(AF15),AF15/3630,"")</f>
        <v/>
      </c>
      <c r="AF15" s="14">
        <f>IFERROR(C15+D15+E15+F15+J15+K15+L15+M15+Q15+R15+S15+T15+IF(ISNUMBER(X15),X15,0)+N(Y15)+N(Z15)+N(AA15),"")</f>
        <v/>
      </c>
      <c r="AG15" s="14">
        <f>IF(ISNUMBER(AF15),AF15,"")</f>
        <v/>
      </c>
      <c r="AH15" s="14">
        <f>IF(ISNUMBER(AG15),_xlfn.RANK.EQ(AG15,$AG$2:$AG$1031),"")</f>
        <v/>
      </c>
    </row>
    <row r="16">
      <c r="A16" s="18" t="n">
        <v>42</v>
      </c>
      <c r="B16" s="18" t="inlineStr">
        <is>
          <t>احمد السعيد عطيه المليجى</t>
        </is>
      </c>
      <c r="C16" s="1" t="n">
        <v>581.7</v>
      </c>
      <c r="D16" s="1" t="n">
        <v>24</v>
      </c>
      <c r="E16" s="1" t="n">
        <v>21</v>
      </c>
      <c r="F16" s="1" t="n">
        <v>21</v>
      </c>
      <c r="G16" s="1">
        <f>C16+D16+E16+F16</f>
        <v/>
      </c>
      <c r="H16" s="1">
        <f>IF(ISNUMBER(G16),G16,"")</f>
        <v/>
      </c>
      <c r="I16" s="1">
        <f>_xlfn.RANK.EQ(H16,$H$2:$H$1031)</f>
        <v/>
      </c>
      <c r="J16" s="5" t="n">
        <v>534.9</v>
      </c>
      <c r="K16" s="5" t="n">
        <v>44</v>
      </c>
      <c r="L16" s="5" t="n">
        <v>25</v>
      </c>
      <c r="M16" s="5" t="n">
        <v>17</v>
      </c>
      <c r="N16" s="5">
        <f>J16+K16+L16+M16</f>
        <v/>
      </c>
      <c r="O16" s="5">
        <f>IF(ISNUMBER(N16),N16,"")</f>
        <v/>
      </c>
      <c r="P16" s="5">
        <f>_xlfn.RANK.EQ(O16,$O$2:$O$1031)</f>
        <v/>
      </c>
      <c r="Q16" s="9" t="n">
        <v>239</v>
      </c>
      <c r="R16" s="9" t="n">
        <v>41.5</v>
      </c>
      <c r="S16" s="9" t="n">
        <v>24</v>
      </c>
      <c r="T16" s="9" t="n">
        <v>23</v>
      </c>
      <c r="U16" s="9">
        <f>Q16+R16+S16+T16</f>
        <v/>
      </c>
      <c r="V16" s="9">
        <f>IF(ISNUMBER(U16),U16,"")</f>
        <v/>
      </c>
      <c r="W16" s="9">
        <f>_xlfn.RANK.EQ(V16,$V$2:$V$1031)</f>
        <v/>
      </c>
      <c r="X16" s="13" t="n">
        <v>1333.0958333333</v>
      </c>
      <c r="Y16" s="13" t="n">
        <v>25</v>
      </c>
      <c r="Z16" s="13" t="n">
        <v>17</v>
      </c>
      <c r="AA16" s="13" t="n">
        <v>24</v>
      </c>
      <c r="AB16" s="13">
        <f>IF(ISNUMBER(X16),X16+N(Y16)+N(Z16)+N(AA16),X16)</f>
        <v/>
      </c>
      <c r="AC16" s="13">
        <f>IF(ISNUMBER(AB16),AB16,"")</f>
        <v/>
      </c>
      <c r="AD16" s="13">
        <f>IF(ISNUMBER(AC16),_xlfn.RANK.EQ(AC16,$AC$2:$AC$1031),"")</f>
        <v/>
      </c>
      <c r="AE16" s="15">
        <f>IF(ISNUMBER(AF16),AF16/3630,"")</f>
        <v/>
      </c>
      <c r="AF16" s="14">
        <f>IFERROR(C16+D16+E16+F16+J16+K16+L16+M16+Q16+R16+S16+T16+IF(ISNUMBER(X16),X16,0)+N(Y16)+N(Z16)+N(AA16),"")</f>
        <v/>
      </c>
      <c r="AG16" s="14">
        <f>IF(ISNUMBER(AF16),AF16,"")</f>
        <v/>
      </c>
      <c r="AH16" s="14">
        <f>IF(ISNUMBER(AG16),_xlfn.RANK.EQ(AG16,$AG$2:$AG$1031),"")</f>
        <v/>
      </c>
    </row>
    <row r="17">
      <c r="A17" s="18" t="n">
        <v>46</v>
      </c>
      <c r="B17" s="18" t="inlineStr">
        <is>
          <t>احمد ايهاب حسن جابر</t>
        </is>
      </c>
      <c r="C17" s="1" t="n">
        <v>489.6</v>
      </c>
      <c r="D17" s="1" t="n">
        <v>18</v>
      </c>
      <c r="E17" s="1" t="n">
        <v>20</v>
      </c>
      <c r="F17" s="1" t="n">
        <v>20</v>
      </c>
      <c r="G17" s="1">
        <f>C17+D17+E17+F17</f>
        <v/>
      </c>
      <c r="H17" s="1">
        <f>IF(ISNUMBER(G17),G17,"")</f>
        <v/>
      </c>
      <c r="I17" s="1">
        <f>_xlfn.RANK.EQ(H17,$H$2:$H$1031)</f>
        <v/>
      </c>
      <c r="J17" s="5" t="n">
        <v>557.2</v>
      </c>
      <c r="K17" s="5" t="n">
        <v>36</v>
      </c>
      <c r="L17" s="5" t="n">
        <v>20</v>
      </c>
      <c r="M17" s="5" t="n">
        <v>17</v>
      </c>
      <c r="N17" s="5">
        <f>J17+K17+L17+M17</f>
        <v/>
      </c>
      <c r="O17" s="5">
        <f>IF(ISNUMBER(N17),N17,"")</f>
        <v/>
      </c>
      <c r="P17" s="5">
        <f>_xlfn.RANK.EQ(O17,$O$2:$O$1031)</f>
        <v/>
      </c>
      <c r="Q17" s="9" t="n">
        <v>216.5</v>
      </c>
      <c r="R17" s="9" t="n">
        <v>42</v>
      </c>
      <c r="S17" s="9" t="n">
        <v>21</v>
      </c>
      <c r="T17" s="9" t="n">
        <v>23</v>
      </c>
      <c r="U17" s="9">
        <f>Q17+R17+S17+T17</f>
        <v/>
      </c>
      <c r="V17" s="9">
        <f>IF(ISNUMBER(U17),U17,"")</f>
        <v/>
      </c>
      <c r="W17" s="9">
        <f>_xlfn.RANK.EQ(V17,$V$2:$V$1031)</f>
        <v/>
      </c>
      <c r="X17" s="13" t="n">
        <v>1315.0416666667</v>
      </c>
      <c r="Y17" s="13" t="n">
        <v>22</v>
      </c>
      <c r="Z17" s="13" t="n">
        <v>25</v>
      </c>
      <c r="AA17" s="13" t="n">
        <v>22</v>
      </c>
      <c r="AB17" s="13">
        <f>IF(ISNUMBER(X17),X17+N(Y17)+N(Z17)+N(AA17),X17)</f>
        <v/>
      </c>
      <c r="AC17" s="13">
        <f>IF(ISNUMBER(AB17),AB17,"")</f>
        <v/>
      </c>
      <c r="AD17" s="13">
        <f>IF(ISNUMBER(AC17),_xlfn.RANK.EQ(AC17,$AC$2:$AC$1031),"")</f>
        <v/>
      </c>
      <c r="AE17" s="15">
        <f>IF(ISNUMBER(AF17),AF17/3630,"")</f>
        <v/>
      </c>
      <c r="AF17" s="14">
        <f>IFERROR(C17+D17+E17+F17+J17+K17+L17+M17+Q17+R17+S17+T17+IF(ISNUMBER(X17),X17,0)+N(Y17)+N(Z17)+N(AA17),"")</f>
        <v/>
      </c>
      <c r="AG17" s="14">
        <f>IF(ISNUMBER(AF17),AF17,"")</f>
        <v/>
      </c>
      <c r="AH17" s="14">
        <f>IF(ISNUMBER(AG17),_xlfn.RANK.EQ(AG17,$AG$2:$AG$1031),"")</f>
        <v/>
      </c>
    </row>
    <row r="18">
      <c r="A18" s="18" t="n">
        <v>50</v>
      </c>
      <c r="B18" s="18" t="inlineStr">
        <is>
          <t>احمد جميل عبد الحليم فرج محمد</t>
        </is>
      </c>
      <c r="C18" s="1" t="n">
        <v>590</v>
      </c>
      <c r="D18" s="1" t="n">
        <v>24</v>
      </c>
      <c r="E18" s="1" t="n">
        <v>25</v>
      </c>
      <c r="F18" s="1" t="n">
        <v>23</v>
      </c>
      <c r="G18" s="1">
        <f>C18+D18+E18+F18</f>
        <v/>
      </c>
      <c r="H18" s="1">
        <f>IF(ISNUMBER(G18),G18,"")</f>
        <v/>
      </c>
      <c r="I18" s="1">
        <f>_xlfn.RANK.EQ(H18,$H$2:$H$1031)</f>
        <v/>
      </c>
      <c r="J18" s="5" t="n">
        <v>574.7</v>
      </c>
      <c r="K18" s="5" t="n">
        <v>49</v>
      </c>
      <c r="L18" s="5" t="n">
        <v>20</v>
      </c>
      <c r="M18" s="5" t="n">
        <v>20</v>
      </c>
      <c r="N18" s="5">
        <f>J18+K18+L18+M18</f>
        <v/>
      </c>
      <c r="O18" s="5">
        <f>IF(ISNUMBER(N18),N18,"")</f>
        <v/>
      </c>
      <c r="P18" s="5">
        <f>_xlfn.RANK.EQ(O18,$O$2:$O$1031)</f>
        <v/>
      </c>
      <c r="Q18" s="9" t="n">
        <v>230.5</v>
      </c>
      <c r="R18" s="9" t="n">
        <v>45</v>
      </c>
      <c r="S18" s="9" t="n">
        <v>21</v>
      </c>
      <c r="T18" s="9" t="n">
        <v>22.5</v>
      </c>
      <c r="U18" s="9">
        <f>Q18+R18+S18+T18</f>
        <v/>
      </c>
      <c r="V18" s="9">
        <f>IF(ISNUMBER(U18),U18,"")</f>
        <v/>
      </c>
      <c r="W18" s="9">
        <f>_xlfn.RANK.EQ(V18,$V$2:$V$1031)</f>
        <v/>
      </c>
      <c r="X18" s="13" t="n">
        <v>1265.0208333333</v>
      </c>
      <c r="Y18" s="13" t="n">
        <v>25</v>
      </c>
      <c r="Z18" s="13" t="n">
        <v>25</v>
      </c>
      <c r="AA18" s="13" t="n">
        <v>24</v>
      </c>
      <c r="AB18" s="13">
        <f>IF(ISNUMBER(X18),X18+N(Y18)+N(Z18)+N(AA18),X18)</f>
        <v/>
      </c>
      <c r="AC18" s="13">
        <f>IF(ISNUMBER(AB18),AB18,"")</f>
        <v/>
      </c>
      <c r="AD18" s="13">
        <f>IF(ISNUMBER(AC18),_xlfn.RANK.EQ(AC18,$AC$2:$AC$1031),"")</f>
        <v/>
      </c>
      <c r="AE18" s="15">
        <f>IF(ISNUMBER(AF18),AF18/3630,"")</f>
        <v/>
      </c>
      <c r="AF18" s="14">
        <f>IFERROR(C18+D18+E18+F18+J18+K18+L18+M18+Q18+R18+S18+T18+IF(ISNUMBER(X18),X18,0)+N(Y18)+N(Z18)+N(AA18),"")</f>
        <v/>
      </c>
      <c r="AG18" s="14">
        <f>IF(ISNUMBER(AF18),AF18,"")</f>
        <v/>
      </c>
      <c r="AH18" s="14">
        <f>IF(ISNUMBER(AG18),_xlfn.RANK.EQ(AG18,$AG$2:$AG$1031),"")</f>
        <v/>
      </c>
    </row>
    <row r="19">
      <c r="A19" s="18" t="n">
        <v>51</v>
      </c>
      <c r="B19" s="18" t="inlineStr">
        <is>
          <t>احمد حسام الدين فتحى ابوالخير</t>
        </is>
      </c>
      <c r="C19" s="1" t="n">
        <v>494.2</v>
      </c>
      <c r="D19" s="1" t="n">
        <v>18</v>
      </c>
      <c r="E19" s="1" t="n">
        <v>20</v>
      </c>
      <c r="F19" s="1" t="n">
        <v>21</v>
      </c>
      <c r="G19" s="1">
        <f>C19+D19+E19+F19</f>
        <v/>
      </c>
      <c r="H19" s="1">
        <f>IF(ISNUMBER(G19),G19,"")</f>
        <v/>
      </c>
      <c r="I19" s="1">
        <f>_xlfn.RANK.EQ(H19,$H$2:$H$1031)</f>
        <v/>
      </c>
      <c r="J19" s="5" t="n">
        <v>460.7</v>
      </c>
      <c r="K19" s="5" t="n">
        <v>39</v>
      </c>
      <c r="L19" s="5" t="n">
        <v>18</v>
      </c>
      <c r="M19" s="5" t="n">
        <v>18</v>
      </c>
      <c r="N19" s="5">
        <f>J19+K19+L19+M19</f>
        <v/>
      </c>
      <c r="O19" s="5">
        <f>IF(ISNUMBER(N19),N19,"")</f>
        <v/>
      </c>
      <c r="P19" s="5">
        <f>_xlfn.RANK.EQ(O19,$O$2:$O$1031)</f>
        <v/>
      </c>
      <c r="Q19" s="9" t="n">
        <v>216</v>
      </c>
      <c r="R19" s="9" t="n">
        <v>39</v>
      </c>
      <c r="S19" s="9" t="n">
        <v>22</v>
      </c>
      <c r="T19" s="9" t="n">
        <v>25</v>
      </c>
      <c r="U19" s="9">
        <f>Q19+R19+S19+T19</f>
        <v/>
      </c>
      <c r="V19" s="9">
        <f>IF(ISNUMBER(U19),U19,"")</f>
        <v/>
      </c>
      <c r="W19" s="9">
        <f>_xlfn.RANK.EQ(V19,$V$2:$V$1031)</f>
        <v/>
      </c>
      <c r="X19" s="13" t="n">
        <v>1298.6708333333</v>
      </c>
      <c r="Y19" s="13" t="n">
        <v>22</v>
      </c>
      <c r="Z19" s="13" t="n">
        <v>24</v>
      </c>
      <c r="AA19" s="13" t="n">
        <v>20</v>
      </c>
      <c r="AB19" s="13">
        <f>IF(ISNUMBER(X19),X19+N(Y19)+N(Z19)+N(AA19),X19)</f>
        <v/>
      </c>
      <c r="AC19" s="13">
        <f>IF(ISNUMBER(AB19),AB19,"")</f>
        <v/>
      </c>
      <c r="AD19" s="13">
        <f>IF(ISNUMBER(AC19),_xlfn.RANK.EQ(AC19,$AC$2:$AC$1031),"")</f>
        <v/>
      </c>
      <c r="AE19" s="15">
        <f>IF(ISNUMBER(AF19),AF19/3630,"")</f>
        <v/>
      </c>
      <c r="AF19" s="14">
        <f>IFERROR(C19+D19+E19+F19+J19+K19+L19+M19+Q19+R19+S19+T19+IF(ISNUMBER(X19),X19,0)+N(Y19)+N(Z19)+N(AA19),"")</f>
        <v/>
      </c>
      <c r="AG19" s="14">
        <f>IF(ISNUMBER(AF19),AF19,"")</f>
        <v/>
      </c>
      <c r="AH19" s="14">
        <f>IF(ISNUMBER(AG19),_xlfn.RANK.EQ(AG19,$AG$2:$AG$1031),"")</f>
        <v/>
      </c>
    </row>
    <row r="20">
      <c r="A20" s="18" t="n">
        <v>52</v>
      </c>
      <c r="B20" s="18" t="inlineStr">
        <is>
          <t>احمد حسام عبد المجيد علي</t>
        </is>
      </c>
      <c r="C20" s="1" t="n">
        <v>555.6</v>
      </c>
      <c r="D20" s="1" t="n">
        <v>24</v>
      </c>
      <c r="E20" s="1" t="n">
        <v>22</v>
      </c>
      <c r="F20" s="1" t="n">
        <v>16.5</v>
      </c>
      <c r="G20" s="1">
        <f>C20+D20+E20+F20</f>
        <v/>
      </c>
      <c r="H20" s="1">
        <f>IF(ISNUMBER(G20),G20,"")</f>
        <v/>
      </c>
      <c r="I20" s="1">
        <f>_xlfn.RANK.EQ(H20,$H$2:$H$1031)</f>
        <v/>
      </c>
      <c r="J20" s="5" t="n">
        <v>490.4</v>
      </c>
      <c r="K20" s="5" t="n">
        <v>30</v>
      </c>
      <c r="L20" s="5" t="n">
        <v>16</v>
      </c>
      <c r="M20" s="5" t="n">
        <v>14</v>
      </c>
      <c r="N20" s="5">
        <f>J20+K20+L20+M20</f>
        <v/>
      </c>
      <c r="O20" s="5">
        <f>IF(ISNUMBER(N20),N20,"")</f>
        <v/>
      </c>
      <c r="P20" s="5">
        <f>_xlfn.RANK.EQ(O20,$O$2:$O$1031)</f>
        <v/>
      </c>
      <c r="Q20" s="9" t="n">
        <v>206</v>
      </c>
      <c r="R20" s="9" t="n">
        <v>41.5</v>
      </c>
      <c r="S20" s="9" t="n">
        <v>22</v>
      </c>
      <c r="T20" s="9" t="n">
        <v>23.5</v>
      </c>
      <c r="U20" s="9">
        <f>Q20+R20+S20+T20</f>
        <v/>
      </c>
      <c r="V20" s="9">
        <f>IF(ISNUMBER(U20),U20,"")</f>
        <v/>
      </c>
      <c r="W20" s="9">
        <f>_xlfn.RANK.EQ(V20,$V$2:$V$1031)</f>
        <v/>
      </c>
      <c r="X20" s="13" t="inlineStr">
        <is>
          <t>راسب</t>
        </is>
      </c>
      <c r="Y20" s="13" t="n">
        <v>23</v>
      </c>
      <c r="Z20" s="13" t="n">
        <v>24</v>
      </c>
      <c r="AA20" s="13" t="n">
        <v>21</v>
      </c>
      <c r="AB20" s="13">
        <f>IF(ISNUMBER(X20),X20+N(Y20)+N(Z20)+N(AA20),X20)</f>
        <v/>
      </c>
      <c r="AC20" s="13">
        <f>IF(ISNUMBER(AB20),AB20,"")</f>
        <v/>
      </c>
      <c r="AD20" s="13">
        <f>IF(ISNUMBER(AC20),_xlfn.RANK.EQ(AC20,$AC$2:$AC$1031),"")</f>
        <v/>
      </c>
      <c r="AE20" s="15">
        <f>IF(ISNUMBER(AF20),AF20/3630,"")</f>
        <v/>
      </c>
      <c r="AF20" s="14">
        <f>IFERROR(C20+D20+E20+F20+J20+K20+L20+M20+Q20+R20+S20+T20+IF(ISNUMBER(X20),X20,0)+N(Y20)+N(Z20)+N(AA20),"")</f>
        <v/>
      </c>
      <c r="AG20" s="14">
        <f>IF(ISNUMBER(AF20),AF20,"")</f>
        <v/>
      </c>
      <c r="AH20" s="14">
        <f>IF(ISNUMBER(AG20),_xlfn.RANK.EQ(AG20,$AG$2:$AG$1031),"")</f>
        <v/>
      </c>
    </row>
    <row r="21">
      <c r="A21" s="18" t="n">
        <v>53</v>
      </c>
      <c r="B21" s="18" t="inlineStr">
        <is>
          <t>احمد حسن ابراهيم المهدى هاشم</t>
        </is>
      </c>
      <c r="C21" s="1" t="n">
        <v>457.1</v>
      </c>
      <c r="D21" s="1" t="n">
        <v>21</v>
      </c>
      <c r="E21" s="1" t="n">
        <v>13</v>
      </c>
      <c r="F21" s="1" t="n">
        <v>21</v>
      </c>
      <c r="G21" s="1">
        <f>C21+D21+E21+F21</f>
        <v/>
      </c>
      <c r="H21" s="1">
        <f>IF(ISNUMBER(G21),G21,"")</f>
        <v/>
      </c>
      <c r="I21" s="1">
        <f>_xlfn.RANK.EQ(H21,$H$2:$H$1031)</f>
        <v/>
      </c>
      <c r="J21" s="5" t="n">
        <v>457.5</v>
      </c>
      <c r="K21" s="5" t="n">
        <v>37</v>
      </c>
      <c r="L21" s="5" t="n">
        <v>20</v>
      </c>
      <c r="M21" s="5" t="n">
        <v>15</v>
      </c>
      <c r="N21" s="5">
        <f>J21+K21+L21+M21</f>
        <v/>
      </c>
      <c r="O21" s="5">
        <f>IF(ISNUMBER(N21),N21,"")</f>
        <v/>
      </c>
      <c r="P21" s="5">
        <f>_xlfn.RANK.EQ(O21,$O$2:$O$1031)</f>
        <v/>
      </c>
      <c r="Q21" s="9" t="inlineStr">
        <is>
          <t>راسب</t>
        </is>
      </c>
      <c r="R21" s="9" t="n">
        <v>40</v>
      </c>
      <c r="S21" s="9" t="n">
        <v>23</v>
      </c>
      <c r="T21" s="9" t="n">
        <v>19.5</v>
      </c>
      <c r="U21" s="9">
        <f>Q21+R21+S21+T21</f>
        <v/>
      </c>
      <c r="V21" s="9">
        <f>IF(ISNUMBER(U21),U21,"")</f>
        <v/>
      </c>
      <c r="W21" s="9">
        <f>_xlfn.RANK.EQ(V21,$V$2:$V$1031)</f>
        <v/>
      </c>
      <c r="X21" s="13" t="inlineStr">
        <is>
          <t>راسب</t>
        </is>
      </c>
      <c r="Y21" s="13" t="n">
        <v>23</v>
      </c>
      <c r="Z21" s="13" t="n">
        <v>25</v>
      </c>
      <c r="AA21" s="13" t="n">
        <v>20</v>
      </c>
      <c r="AB21" s="13">
        <f>IF(ISNUMBER(X21),X21+N(Y21)+N(Z21)+N(AA21),X21)</f>
        <v/>
      </c>
      <c r="AC21" s="13">
        <f>IF(ISNUMBER(AB21),AB21,"")</f>
        <v/>
      </c>
      <c r="AD21" s="13">
        <f>IF(ISNUMBER(AC21),_xlfn.RANK.EQ(AC21,$AC$2:$AC$1031),"")</f>
        <v/>
      </c>
      <c r="AE21" s="15">
        <f>IF(ISNUMBER(AF21),AF21/3630,"")</f>
        <v/>
      </c>
      <c r="AF21" s="14">
        <f>IFERROR(C21+D21+E21+F21+J21+K21+L21+M21+Q21+R21+S21+T21+IF(ISNUMBER(X21),X21,0)+N(Y21)+N(Z21)+N(AA21),"")</f>
        <v/>
      </c>
      <c r="AG21" s="14">
        <f>IF(ISNUMBER(AF21),AF21,"")</f>
        <v/>
      </c>
      <c r="AH21" s="14">
        <f>IF(ISNUMBER(AG21),_xlfn.RANK.EQ(AG21,$AG$2:$AG$1031),"")</f>
        <v/>
      </c>
    </row>
    <row r="22">
      <c r="A22" s="18" t="n">
        <v>54</v>
      </c>
      <c r="B22" s="18" t="inlineStr">
        <is>
          <t>احمد حسن أحمد محمد على</t>
        </is>
      </c>
      <c r="C22" s="1" t="n">
        <v>606.2</v>
      </c>
      <c r="D22" s="1" t="n">
        <v>24</v>
      </c>
      <c r="E22" s="1" t="n">
        <v>20</v>
      </c>
      <c r="F22" s="1" t="n">
        <v>22</v>
      </c>
      <c r="G22" s="1">
        <f>C22+D22+E22+F22</f>
        <v/>
      </c>
      <c r="H22" s="1">
        <f>IF(ISNUMBER(G22),G22,"")</f>
        <v/>
      </c>
      <c r="I22" s="1">
        <f>_xlfn.RANK.EQ(H22,$H$2:$H$1031)</f>
        <v/>
      </c>
      <c r="J22" s="5" t="n">
        <v>615</v>
      </c>
      <c r="K22" s="5" t="n">
        <v>49</v>
      </c>
      <c r="L22" s="5" t="n">
        <v>22</v>
      </c>
      <c r="M22" s="5" t="n">
        <v>21</v>
      </c>
      <c r="N22" s="5">
        <f>J22+K22+L22+M22</f>
        <v/>
      </c>
      <c r="O22" s="5">
        <f>IF(ISNUMBER(N22),N22,"")</f>
        <v/>
      </c>
      <c r="P22" s="5">
        <f>_xlfn.RANK.EQ(O22,$O$2:$O$1031)</f>
        <v/>
      </c>
      <c r="Q22" s="9" t="n">
        <v>262</v>
      </c>
      <c r="R22" s="9" t="n">
        <v>47.5</v>
      </c>
      <c r="S22" s="9" t="n">
        <v>25</v>
      </c>
      <c r="T22" s="9" t="n">
        <v>23.5</v>
      </c>
      <c r="U22" s="9">
        <f>Q22+R22+S22+T22</f>
        <v/>
      </c>
      <c r="V22" s="9">
        <f>IF(ISNUMBER(U22),U22,"")</f>
        <v/>
      </c>
      <c r="W22" s="9">
        <f>_xlfn.RANK.EQ(V22,$V$2:$V$1031)</f>
        <v/>
      </c>
      <c r="X22" s="13" t="n">
        <v>1492.9291666667</v>
      </c>
      <c r="Y22" s="13" t="n">
        <v>24</v>
      </c>
      <c r="Z22" s="13" t="n">
        <v>23</v>
      </c>
      <c r="AA22" s="13" t="n">
        <v>22</v>
      </c>
      <c r="AB22" s="13">
        <f>IF(ISNUMBER(X22),X22+N(Y22)+N(Z22)+N(AA22),X22)</f>
        <v/>
      </c>
      <c r="AC22" s="13">
        <f>IF(ISNUMBER(AB22),AB22,"")</f>
        <v/>
      </c>
      <c r="AD22" s="13">
        <f>IF(ISNUMBER(AC22),_xlfn.RANK.EQ(AC22,$AC$2:$AC$1031),"")</f>
        <v/>
      </c>
      <c r="AE22" s="15">
        <f>IF(ISNUMBER(AF22),AF22/3630,"")</f>
        <v/>
      </c>
      <c r="AF22" s="14">
        <f>IFERROR(C22+D22+E22+F22+J22+K22+L22+M22+Q22+R22+S22+T22+IF(ISNUMBER(X22),X22,0)+N(Y22)+N(Z22)+N(AA22),"")</f>
        <v/>
      </c>
      <c r="AG22" s="14">
        <f>IF(ISNUMBER(AF22),AF22,"")</f>
        <v/>
      </c>
      <c r="AH22" s="14">
        <f>IF(ISNUMBER(AG22),_xlfn.RANK.EQ(AG22,$AG$2:$AG$1031),"")</f>
        <v/>
      </c>
    </row>
    <row r="23">
      <c r="A23" s="18" t="n">
        <v>55</v>
      </c>
      <c r="B23" s="18" t="inlineStr">
        <is>
          <t>احمد حسين محمد محمد البصال</t>
        </is>
      </c>
      <c r="C23" s="1" t="n">
        <v>642.7</v>
      </c>
      <c r="D23" s="1" t="n">
        <v>25</v>
      </c>
      <c r="E23" s="1" t="n">
        <v>24</v>
      </c>
      <c r="F23" s="1" t="n">
        <v>24</v>
      </c>
      <c r="G23" s="1">
        <f>C23+D23+E23+F23</f>
        <v/>
      </c>
      <c r="H23" s="1">
        <f>IF(ISNUMBER(G23),G23,"")</f>
        <v/>
      </c>
      <c r="I23" s="1">
        <f>_xlfn.RANK.EQ(H23,$H$2:$H$1031)</f>
        <v/>
      </c>
      <c r="J23" s="5" t="n">
        <v>636</v>
      </c>
      <c r="K23" s="5" t="n">
        <v>47</v>
      </c>
      <c r="L23" s="5" t="n">
        <v>24</v>
      </c>
      <c r="M23" s="5" t="n">
        <v>23</v>
      </c>
      <c r="N23" s="5">
        <f>J23+K23+L23+M23</f>
        <v/>
      </c>
      <c r="O23" s="5">
        <f>IF(ISNUMBER(N23),N23,"")</f>
        <v/>
      </c>
      <c r="P23" s="5">
        <f>_xlfn.RANK.EQ(O23,$O$2:$O$1031)</f>
        <v/>
      </c>
      <c r="Q23" s="9" t="n">
        <v>257</v>
      </c>
      <c r="R23" s="9" t="n">
        <v>45.5</v>
      </c>
      <c r="S23" s="9" t="n">
        <v>23</v>
      </c>
      <c r="T23" s="9" t="n">
        <v>25</v>
      </c>
      <c r="U23" s="9">
        <f>Q23+R23+S23+T23</f>
        <v/>
      </c>
      <c r="V23" s="9">
        <f>IF(ISNUMBER(U23),U23,"")</f>
        <v/>
      </c>
      <c r="W23" s="9">
        <f>_xlfn.RANK.EQ(V23,$V$2:$V$1031)</f>
        <v/>
      </c>
      <c r="X23" s="13" t="n">
        <v>1451.875</v>
      </c>
      <c r="Y23" s="13" t="n">
        <v>24</v>
      </c>
      <c r="Z23" s="13" t="n">
        <v>20</v>
      </c>
      <c r="AA23" s="13" t="n">
        <v>21</v>
      </c>
      <c r="AB23" s="13">
        <f>IF(ISNUMBER(X23),X23+N(Y23)+N(Z23)+N(AA23),X23)</f>
        <v/>
      </c>
      <c r="AC23" s="13">
        <f>IF(ISNUMBER(AB23),AB23,"")</f>
        <v/>
      </c>
      <c r="AD23" s="13">
        <f>IF(ISNUMBER(AC23),_xlfn.RANK.EQ(AC23,$AC$2:$AC$1031),"")</f>
        <v/>
      </c>
      <c r="AE23" s="15">
        <f>IF(ISNUMBER(AF23),AF23/3630,"")</f>
        <v/>
      </c>
      <c r="AF23" s="14">
        <f>IFERROR(C23+D23+E23+F23+J23+K23+L23+M23+Q23+R23+S23+T23+IF(ISNUMBER(X23),X23,0)+N(Y23)+N(Z23)+N(AA23),"")</f>
        <v/>
      </c>
      <c r="AG23" s="14">
        <f>IF(ISNUMBER(AF23),AF23,"")</f>
        <v/>
      </c>
      <c r="AH23" s="14">
        <f>IF(ISNUMBER(AG23),_xlfn.RANK.EQ(AG23,$AG$2:$AG$1031),"")</f>
        <v/>
      </c>
    </row>
    <row r="24">
      <c r="A24" s="18" t="n">
        <v>58</v>
      </c>
      <c r="B24" s="18" t="inlineStr">
        <is>
          <t>احمد خالد عبدالغنى عبدالجليل</t>
        </is>
      </c>
      <c r="C24" s="1" t="n">
        <v>499.1</v>
      </c>
      <c r="D24" s="1" t="n">
        <v>18</v>
      </c>
      <c r="E24" s="1" t="n">
        <v>22</v>
      </c>
      <c r="F24" s="1" t="n">
        <v>21</v>
      </c>
      <c r="G24" s="1">
        <f>C24+D24+E24+F24</f>
        <v/>
      </c>
      <c r="H24" s="1">
        <f>IF(ISNUMBER(G24),G24,"")</f>
        <v/>
      </c>
      <c r="I24" s="1">
        <f>_xlfn.RANK.EQ(H24,$H$2:$H$1031)</f>
        <v/>
      </c>
      <c r="J24" s="5" t="n">
        <v>578.5</v>
      </c>
      <c r="K24" s="5" t="n">
        <v>40</v>
      </c>
      <c r="L24" s="5" t="n">
        <v>24</v>
      </c>
      <c r="M24" s="5" t="n">
        <v>23</v>
      </c>
      <c r="N24" s="5">
        <f>J24+K24+L24+M24</f>
        <v/>
      </c>
      <c r="O24" s="5">
        <f>IF(ISNUMBER(N24),N24,"")</f>
        <v/>
      </c>
      <c r="P24" s="5">
        <f>_xlfn.RANK.EQ(O24,$O$2:$O$1031)</f>
        <v/>
      </c>
      <c r="Q24" s="9" t="n">
        <v>245</v>
      </c>
      <c r="R24" s="9" t="n">
        <v>44</v>
      </c>
      <c r="S24" s="9" t="n">
        <v>24</v>
      </c>
      <c r="T24" s="9" t="n">
        <v>24</v>
      </c>
      <c r="U24" s="9">
        <f>Q24+R24+S24+T24</f>
        <v/>
      </c>
      <c r="V24" s="9">
        <f>IF(ISNUMBER(U24),U24,"")</f>
        <v/>
      </c>
      <c r="W24" s="9">
        <f>_xlfn.RANK.EQ(V24,$V$2:$V$1031)</f>
        <v/>
      </c>
      <c r="X24" s="13" t="n">
        <v>1433.4416666667</v>
      </c>
      <c r="Y24" s="13" t="n">
        <v>24</v>
      </c>
      <c r="Z24" s="13" t="n">
        <v>24</v>
      </c>
      <c r="AA24" s="13" t="n">
        <v>23</v>
      </c>
      <c r="AB24" s="13">
        <f>IF(ISNUMBER(X24),X24+N(Y24)+N(Z24)+N(AA24),X24)</f>
        <v/>
      </c>
      <c r="AC24" s="13">
        <f>IF(ISNUMBER(AB24),AB24,"")</f>
        <v/>
      </c>
      <c r="AD24" s="13">
        <f>IF(ISNUMBER(AC24),_xlfn.RANK.EQ(AC24,$AC$2:$AC$1031),"")</f>
        <v/>
      </c>
      <c r="AE24" s="15">
        <f>IF(ISNUMBER(AF24),AF24/3630,"")</f>
        <v/>
      </c>
      <c r="AF24" s="14">
        <f>IFERROR(C24+D24+E24+F24+J24+K24+L24+M24+Q24+R24+S24+T24+IF(ISNUMBER(X24),X24,0)+N(Y24)+N(Z24)+N(AA24),"")</f>
        <v/>
      </c>
      <c r="AG24" s="14">
        <f>IF(ISNUMBER(AF24),AF24,"")</f>
        <v/>
      </c>
      <c r="AH24" s="14">
        <f>IF(ISNUMBER(AG24),_xlfn.RANK.EQ(AG24,$AG$2:$AG$1031),"")</f>
        <v/>
      </c>
    </row>
    <row r="25">
      <c r="A25" s="18" t="n">
        <v>59</v>
      </c>
      <c r="B25" s="18" t="inlineStr">
        <is>
          <t>احمد خالد محمد مبروك صقر</t>
        </is>
      </c>
      <c r="C25" s="1" t="n">
        <v>639.7</v>
      </c>
      <c r="D25" s="1" t="n">
        <v>25</v>
      </c>
      <c r="E25" s="1" t="n">
        <v>24</v>
      </c>
      <c r="F25" s="1" t="n">
        <v>23</v>
      </c>
      <c r="G25" s="1">
        <f>C25+D25+E25+F25</f>
        <v/>
      </c>
      <c r="H25" s="1">
        <f>IF(ISNUMBER(G25),G25,"")</f>
        <v/>
      </c>
      <c r="I25" s="1">
        <f>_xlfn.RANK.EQ(H25,$H$2:$H$1031)</f>
        <v/>
      </c>
      <c r="J25" s="5" t="n">
        <v>613</v>
      </c>
      <c r="K25" s="5" t="n">
        <v>47</v>
      </c>
      <c r="L25" s="5" t="n">
        <v>24</v>
      </c>
      <c r="M25" s="5" t="n">
        <v>23</v>
      </c>
      <c r="N25" s="5">
        <f>J25+K25+L25+M25</f>
        <v/>
      </c>
      <c r="O25" s="5">
        <f>IF(ISNUMBER(N25),N25,"")</f>
        <v/>
      </c>
      <c r="P25" s="5">
        <f>_xlfn.RANK.EQ(O25,$O$2:$O$1031)</f>
        <v/>
      </c>
      <c r="Q25" s="9" t="n">
        <v>260</v>
      </c>
      <c r="R25" s="9" t="n">
        <v>47.5</v>
      </c>
      <c r="S25" s="9" t="n">
        <v>24</v>
      </c>
      <c r="T25" s="9" t="n">
        <v>25</v>
      </c>
      <c r="U25" s="9">
        <f>Q25+R25+S25+T25</f>
        <v/>
      </c>
      <c r="V25" s="9">
        <f>IF(ISNUMBER(U25),U25,"")</f>
        <v/>
      </c>
      <c r="W25" s="9">
        <f>_xlfn.RANK.EQ(V25,$V$2:$V$1031)</f>
        <v/>
      </c>
      <c r="X25" s="13" t="n">
        <v>1426.1041666667</v>
      </c>
      <c r="Y25" s="13" t="n">
        <v>15</v>
      </c>
      <c r="Z25" s="13" t="n">
        <v>23</v>
      </c>
      <c r="AA25" s="13" t="n">
        <v>23</v>
      </c>
      <c r="AB25" s="13">
        <f>IF(ISNUMBER(X25),X25+N(Y25)+N(Z25)+N(AA25),X25)</f>
        <v/>
      </c>
      <c r="AC25" s="13">
        <f>IF(ISNUMBER(AB25),AB25,"")</f>
        <v/>
      </c>
      <c r="AD25" s="13">
        <f>IF(ISNUMBER(AC25),_xlfn.RANK.EQ(AC25,$AC$2:$AC$1031),"")</f>
        <v/>
      </c>
      <c r="AE25" s="15">
        <f>IF(ISNUMBER(AF25),AF25/3630,"")</f>
        <v/>
      </c>
      <c r="AF25" s="14">
        <f>IFERROR(C25+D25+E25+F25+J25+K25+L25+M25+Q25+R25+S25+T25+IF(ISNUMBER(X25),X25,0)+N(Y25)+N(Z25)+N(AA25),"")</f>
        <v/>
      </c>
      <c r="AG25" s="14">
        <f>IF(ISNUMBER(AF25),AF25,"")</f>
        <v/>
      </c>
      <c r="AH25" s="14">
        <f>IF(ISNUMBER(AG25),_xlfn.RANK.EQ(AG25,$AG$2:$AG$1031),"")</f>
        <v/>
      </c>
    </row>
    <row r="26">
      <c r="A26" s="18" t="n">
        <v>60</v>
      </c>
      <c r="B26" s="18" t="inlineStr">
        <is>
          <t>احمد خميس الحسيني حماد</t>
        </is>
      </c>
      <c r="C26" s="1" t="n">
        <v>495.7</v>
      </c>
      <c r="D26" s="1" t="n">
        <v>14</v>
      </c>
      <c r="E26" s="1" t="n">
        <v>17</v>
      </c>
      <c r="F26" s="1" t="n">
        <v>16</v>
      </c>
      <c r="G26" s="1">
        <f>C26+D26+E26+F26</f>
        <v/>
      </c>
      <c r="H26" s="1">
        <f>IF(ISNUMBER(G26),G26,"")</f>
        <v/>
      </c>
      <c r="I26" s="1">
        <f>_xlfn.RANK.EQ(H26,$H$2:$H$1031)</f>
        <v/>
      </c>
      <c r="J26" s="5" t="n">
        <v>493</v>
      </c>
      <c r="K26" s="5" t="n">
        <v>48</v>
      </c>
      <c r="L26" s="5" t="n">
        <v>20</v>
      </c>
      <c r="M26" s="5" t="n">
        <v>16</v>
      </c>
      <c r="N26" s="5">
        <f>J26+K26+L26+M26</f>
        <v/>
      </c>
      <c r="O26" s="5">
        <f>IF(ISNUMBER(N26),N26,"")</f>
        <v/>
      </c>
      <c r="P26" s="5">
        <f>_xlfn.RANK.EQ(O26,$O$2:$O$1031)</f>
        <v/>
      </c>
      <c r="Q26" s="9" t="n">
        <v>223</v>
      </c>
      <c r="R26" s="9" t="n">
        <v>46.5</v>
      </c>
      <c r="S26" s="9" t="n">
        <v>25</v>
      </c>
      <c r="T26" s="9" t="n">
        <v>23.5</v>
      </c>
      <c r="U26" s="9">
        <f>Q26+R26+S26+T26</f>
        <v/>
      </c>
      <c r="V26" s="9">
        <f>IF(ISNUMBER(U26),U26,"")</f>
        <v/>
      </c>
      <c r="W26" s="9">
        <f>_xlfn.RANK.EQ(V26,$V$2:$V$1031)</f>
        <v/>
      </c>
      <c r="X26" s="13" t="n">
        <v>1214.5041666667</v>
      </c>
      <c r="Y26" s="13" t="n">
        <v>25</v>
      </c>
      <c r="Z26" s="13" t="n">
        <v>20</v>
      </c>
      <c r="AA26" s="13" t="n">
        <v>18</v>
      </c>
      <c r="AB26" s="13">
        <f>IF(ISNUMBER(X26),X26+N(Y26)+N(Z26)+N(AA26),X26)</f>
        <v/>
      </c>
      <c r="AC26" s="13">
        <f>IF(ISNUMBER(AB26),AB26,"")</f>
        <v/>
      </c>
      <c r="AD26" s="13">
        <f>IF(ISNUMBER(AC26),_xlfn.RANK.EQ(AC26,$AC$2:$AC$1031),"")</f>
        <v/>
      </c>
      <c r="AE26" s="15">
        <f>IF(ISNUMBER(AF26),AF26/3630,"")</f>
        <v/>
      </c>
      <c r="AF26" s="14">
        <f>IFERROR(C26+D26+E26+F26+J26+K26+L26+M26+Q26+R26+S26+T26+IF(ISNUMBER(X26),X26,0)+N(Y26)+N(Z26)+N(AA26),"")</f>
        <v/>
      </c>
      <c r="AG26" s="14">
        <f>IF(ISNUMBER(AF26),AF26,"")</f>
        <v/>
      </c>
      <c r="AH26" s="14">
        <f>IF(ISNUMBER(AG26),_xlfn.RANK.EQ(AG26,$AG$2:$AG$1031),"")</f>
        <v/>
      </c>
    </row>
    <row r="27">
      <c r="A27" s="18" t="n">
        <v>67</v>
      </c>
      <c r="B27" s="18" t="inlineStr">
        <is>
          <t>احمد سامح عبد الرحمن حبيب</t>
        </is>
      </c>
      <c r="C27" s="1" t="n">
        <v>611.4</v>
      </c>
      <c r="D27" s="1" t="n">
        <v>24</v>
      </c>
      <c r="E27" s="1" t="n">
        <v>24</v>
      </c>
      <c r="F27" s="1" t="n">
        <v>25</v>
      </c>
      <c r="G27" s="1">
        <f>C27+D27+E27+F27</f>
        <v/>
      </c>
      <c r="H27" s="1">
        <f>IF(ISNUMBER(G27),G27,"")</f>
        <v/>
      </c>
      <c r="I27" s="1">
        <f>_xlfn.RANK.EQ(H27,$H$2:$H$1031)</f>
        <v/>
      </c>
      <c r="J27" s="5" t="n">
        <v>611.5</v>
      </c>
      <c r="K27" s="5" t="n">
        <v>49</v>
      </c>
      <c r="L27" s="5" t="n">
        <v>23</v>
      </c>
      <c r="M27" s="5" t="n">
        <v>23</v>
      </c>
      <c r="N27" s="5">
        <f>J27+K27+L27+M27</f>
        <v/>
      </c>
      <c r="O27" s="5">
        <f>IF(ISNUMBER(N27),N27,"")</f>
        <v/>
      </c>
      <c r="P27" s="5">
        <f>_xlfn.RANK.EQ(O27,$O$2:$O$1031)</f>
        <v/>
      </c>
      <c r="Q27" s="9" t="n">
        <v>262</v>
      </c>
      <c r="R27" s="9" t="n">
        <v>45.5</v>
      </c>
      <c r="S27" s="9" t="n">
        <v>24</v>
      </c>
      <c r="T27" s="9" t="n">
        <v>24</v>
      </c>
      <c r="U27" s="9">
        <f>Q27+R27+S27+T27</f>
        <v/>
      </c>
      <c r="V27" s="9">
        <f>IF(ISNUMBER(U27),U27,"")</f>
        <v/>
      </c>
      <c r="W27" s="9">
        <f>_xlfn.RANK.EQ(V27,$V$2:$V$1031)</f>
        <v/>
      </c>
      <c r="X27" s="13" t="n">
        <v>1472.6833333333</v>
      </c>
      <c r="Y27" s="13" t="n">
        <v>25</v>
      </c>
      <c r="Z27" s="13" t="n">
        <v>25</v>
      </c>
      <c r="AA27" s="13" t="n">
        <v>24</v>
      </c>
      <c r="AB27" s="13">
        <f>IF(ISNUMBER(X27),X27+N(Y27)+N(Z27)+N(AA27),X27)</f>
        <v/>
      </c>
      <c r="AC27" s="13">
        <f>IF(ISNUMBER(AB27),AB27,"")</f>
        <v/>
      </c>
      <c r="AD27" s="13">
        <f>IF(ISNUMBER(AC27),_xlfn.RANK.EQ(AC27,$AC$2:$AC$1031),"")</f>
        <v/>
      </c>
      <c r="AE27" s="15">
        <f>IF(ISNUMBER(AF27),AF27/3630,"")</f>
        <v/>
      </c>
      <c r="AF27" s="14">
        <f>IFERROR(C27+D27+E27+F27+J27+K27+L27+M27+Q27+R27+S27+T27+IF(ISNUMBER(X27),X27,0)+N(Y27)+N(Z27)+N(AA27),"")</f>
        <v/>
      </c>
      <c r="AG27" s="14">
        <f>IF(ISNUMBER(AF27),AF27,"")</f>
        <v/>
      </c>
      <c r="AH27" s="14">
        <f>IF(ISNUMBER(AG27),_xlfn.RANK.EQ(AG27,$AG$2:$AG$1031),"")</f>
        <v/>
      </c>
    </row>
    <row r="28">
      <c r="A28" s="18" t="n">
        <v>68</v>
      </c>
      <c r="B28" s="18" t="inlineStr">
        <is>
          <t>احمد سامح عرفه حسن القحافى</t>
        </is>
      </c>
      <c r="C28" s="1" t="n">
        <v>529.9</v>
      </c>
      <c r="D28" s="1" t="n">
        <v>24</v>
      </c>
      <c r="E28" s="1" t="n">
        <v>25</v>
      </c>
      <c r="F28" s="1" t="n">
        <v>22</v>
      </c>
      <c r="G28" s="1">
        <f>C28+D28+E28+F28</f>
        <v/>
      </c>
      <c r="H28" s="1">
        <f>IF(ISNUMBER(G28),G28,"")</f>
        <v/>
      </c>
      <c r="I28" s="1">
        <f>_xlfn.RANK.EQ(H28,$H$2:$H$1031)</f>
        <v/>
      </c>
      <c r="J28" s="5" t="n">
        <v>540.5</v>
      </c>
      <c r="K28" s="5" t="n">
        <v>49</v>
      </c>
      <c r="L28" s="5" t="n">
        <v>20</v>
      </c>
      <c r="M28" s="5" t="n">
        <v>24</v>
      </c>
      <c r="N28" s="5">
        <f>J28+K28+L28+M28</f>
        <v/>
      </c>
      <c r="O28" s="5">
        <f>IF(ISNUMBER(N28),N28,"")</f>
        <v/>
      </c>
      <c r="P28" s="5">
        <f>_xlfn.RANK.EQ(O28,$O$2:$O$1031)</f>
        <v/>
      </c>
      <c r="Q28" s="9" t="n">
        <v>253</v>
      </c>
      <c r="R28" s="9" t="n">
        <v>45</v>
      </c>
      <c r="S28" s="9" t="n">
        <v>25</v>
      </c>
      <c r="T28" s="9" t="n">
        <v>25</v>
      </c>
      <c r="U28" s="9">
        <f>Q28+R28+S28+T28</f>
        <v/>
      </c>
      <c r="V28" s="9">
        <f>IF(ISNUMBER(U28),U28,"")</f>
        <v/>
      </c>
      <c r="W28" s="9">
        <f>_xlfn.RANK.EQ(V28,$V$2:$V$1031)</f>
        <v/>
      </c>
      <c r="X28" s="13" t="inlineStr">
        <is>
          <t>راسب</t>
        </is>
      </c>
      <c r="Y28" s="13" t="n">
        <v>25</v>
      </c>
      <c r="Z28" s="13" t="n">
        <v>25</v>
      </c>
      <c r="AA28" s="13" t="n">
        <v>24</v>
      </c>
      <c r="AB28" s="13">
        <f>IF(ISNUMBER(X28),X28+N(Y28)+N(Z28)+N(AA28),X28)</f>
        <v/>
      </c>
      <c r="AC28" s="13">
        <f>IF(ISNUMBER(AB28),AB28,"")</f>
        <v/>
      </c>
      <c r="AD28" s="13">
        <f>IF(ISNUMBER(AC28),_xlfn.RANK.EQ(AC28,$AC$2:$AC$1031),"")</f>
        <v/>
      </c>
      <c r="AE28" s="15">
        <f>IF(ISNUMBER(AF28),AF28/3630,"")</f>
        <v/>
      </c>
      <c r="AF28" s="14">
        <f>IFERROR(C28+D28+E28+F28+J28+K28+L28+M28+Q28+R28+S28+T28+IF(ISNUMBER(X28),X28,0)+N(Y28)+N(Z28)+N(AA28),"")</f>
        <v/>
      </c>
      <c r="AG28" s="14">
        <f>IF(ISNUMBER(AF28),AF28,"")</f>
        <v/>
      </c>
      <c r="AH28" s="14">
        <f>IF(ISNUMBER(AG28),_xlfn.RANK.EQ(AG28,$AG$2:$AG$1031),"")</f>
        <v/>
      </c>
    </row>
    <row r="29">
      <c r="A29" s="18" t="n">
        <v>72</v>
      </c>
      <c r="B29" s="18" t="inlineStr">
        <is>
          <t>احمد سمير السيد علي  العيسوي</t>
        </is>
      </c>
      <c r="C29" s="1" t="n">
        <v>601.5</v>
      </c>
      <c r="D29" s="1" t="n">
        <v>25</v>
      </c>
      <c r="E29" s="1" t="n">
        <v>25</v>
      </c>
      <c r="F29" s="1" t="n">
        <v>23</v>
      </c>
      <c r="G29" s="1">
        <f>C29+D29+E29+F29</f>
        <v/>
      </c>
      <c r="H29" s="1">
        <f>IF(ISNUMBER(G29),G29,"")</f>
        <v/>
      </c>
      <c r="I29" s="1">
        <f>_xlfn.RANK.EQ(H29,$H$2:$H$1031)</f>
        <v/>
      </c>
      <c r="J29" s="5" t="n">
        <v>608.5</v>
      </c>
      <c r="K29" s="5" t="n">
        <v>49</v>
      </c>
      <c r="L29" s="5" t="n">
        <v>22</v>
      </c>
      <c r="M29" s="5" t="n">
        <v>24</v>
      </c>
      <c r="N29" s="5">
        <f>J29+K29+L29+M29</f>
        <v/>
      </c>
      <c r="O29" s="5">
        <f>IF(ISNUMBER(N29),N29,"")</f>
        <v/>
      </c>
      <c r="P29" s="5">
        <f>_xlfn.RANK.EQ(O29,$O$2:$O$1031)</f>
        <v/>
      </c>
      <c r="Q29" s="9" t="n">
        <v>272.5</v>
      </c>
      <c r="R29" s="9" t="n">
        <v>48</v>
      </c>
      <c r="S29" s="9" t="n">
        <v>25</v>
      </c>
      <c r="T29" s="9" t="n">
        <v>25</v>
      </c>
      <c r="U29" s="9">
        <f>Q29+R29+S29+T29</f>
        <v/>
      </c>
      <c r="V29" s="9">
        <f>IF(ISNUMBER(U29),U29,"")</f>
        <v/>
      </c>
      <c r="W29" s="9">
        <f>_xlfn.RANK.EQ(V29,$V$2:$V$1031)</f>
        <v/>
      </c>
      <c r="X29" s="13" t="n">
        <v>1360.1791666667</v>
      </c>
      <c r="Y29" s="13" t="n">
        <v>25</v>
      </c>
      <c r="Z29" s="13" t="n">
        <v>23</v>
      </c>
      <c r="AA29" s="13" t="n">
        <v>24</v>
      </c>
      <c r="AB29" s="13">
        <f>IF(ISNUMBER(X29),X29+N(Y29)+N(Z29)+N(AA29),X29)</f>
        <v/>
      </c>
      <c r="AC29" s="13">
        <f>IF(ISNUMBER(AB29),AB29,"")</f>
        <v/>
      </c>
      <c r="AD29" s="13">
        <f>IF(ISNUMBER(AC29),_xlfn.RANK.EQ(AC29,$AC$2:$AC$1031),"")</f>
        <v/>
      </c>
      <c r="AE29" s="15">
        <f>IF(ISNUMBER(AF29),AF29/3630,"")</f>
        <v/>
      </c>
      <c r="AF29" s="14">
        <f>IFERROR(C29+D29+E29+F29+J29+K29+L29+M29+Q29+R29+S29+T29+IF(ISNUMBER(X29),X29,0)+N(Y29)+N(Z29)+N(AA29),"")</f>
        <v/>
      </c>
      <c r="AG29" s="14">
        <f>IF(ISNUMBER(AF29),AF29,"")</f>
        <v/>
      </c>
      <c r="AH29" s="14">
        <f>IF(ISNUMBER(AG29),_xlfn.RANK.EQ(AG29,$AG$2:$AG$1031),"")</f>
        <v/>
      </c>
    </row>
    <row r="30">
      <c r="A30" s="18" t="n">
        <v>74</v>
      </c>
      <c r="B30" s="18" t="inlineStr">
        <is>
          <t>احمد شحاتة عبدالعزيز عبدالقادر</t>
        </is>
      </c>
      <c r="C30" s="1" t="n">
        <v>621.5</v>
      </c>
      <c r="D30" s="1" t="n">
        <v>24</v>
      </c>
      <c r="E30" s="1" t="n">
        <v>22</v>
      </c>
      <c r="F30" s="1" t="n">
        <v>22</v>
      </c>
      <c r="G30" s="1">
        <f>C30+D30+E30+F30</f>
        <v/>
      </c>
      <c r="H30" s="1">
        <f>IF(ISNUMBER(G30),G30,"")</f>
        <v/>
      </c>
      <c r="I30" s="1">
        <f>_xlfn.RANK.EQ(H30,$H$2:$H$1031)</f>
        <v/>
      </c>
      <c r="J30" s="5" t="n">
        <v>619</v>
      </c>
      <c r="K30" s="5" t="n">
        <v>46</v>
      </c>
      <c r="L30" s="5" t="n">
        <v>20</v>
      </c>
      <c r="M30" s="5" t="n">
        <v>25</v>
      </c>
      <c r="N30" s="5">
        <f>J30+K30+L30+M30</f>
        <v/>
      </c>
      <c r="O30" s="5">
        <f>IF(ISNUMBER(N30),N30,"")</f>
        <v/>
      </c>
      <c r="P30" s="5">
        <f>_xlfn.RANK.EQ(O30,$O$2:$O$1031)</f>
        <v/>
      </c>
      <c r="Q30" s="9" t="n">
        <v>273</v>
      </c>
      <c r="R30" s="9" t="n">
        <v>46</v>
      </c>
      <c r="S30" s="9" t="n">
        <v>22</v>
      </c>
      <c r="T30" s="9" t="n">
        <v>23</v>
      </c>
      <c r="U30" s="9">
        <f>Q30+R30+S30+T30</f>
        <v/>
      </c>
      <c r="V30" s="9">
        <f>IF(ISNUMBER(U30),U30,"")</f>
        <v/>
      </c>
      <c r="W30" s="9">
        <f>_xlfn.RANK.EQ(V30,$V$2:$V$1031)</f>
        <v/>
      </c>
      <c r="X30" s="13" t="n">
        <v>1508.7958333333</v>
      </c>
      <c r="Y30" s="13" t="n">
        <v>25</v>
      </c>
      <c r="Z30" s="13" t="n">
        <v>25</v>
      </c>
      <c r="AA30" s="13" t="n">
        <v>21</v>
      </c>
      <c r="AB30" s="13">
        <f>IF(ISNUMBER(X30),X30+N(Y30)+N(Z30)+N(AA30),X30)</f>
        <v/>
      </c>
      <c r="AC30" s="13">
        <f>IF(ISNUMBER(AB30),AB30,"")</f>
        <v/>
      </c>
      <c r="AD30" s="13">
        <f>IF(ISNUMBER(AC30),_xlfn.RANK.EQ(AC30,$AC$2:$AC$1031),"")</f>
        <v/>
      </c>
      <c r="AE30" s="15">
        <f>IF(ISNUMBER(AF30),AF30/3630,"")</f>
        <v/>
      </c>
      <c r="AF30" s="14">
        <f>IFERROR(C30+D30+E30+F30+J30+K30+L30+M30+Q30+R30+S30+T30+IF(ISNUMBER(X30),X30,0)+N(Y30)+N(Z30)+N(AA30),"")</f>
        <v/>
      </c>
      <c r="AG30" s="14">
        <f>IF(ISNUMBER(AF30),AF30,"")</f>
        <v/>
      </c>
      <c r="AH30" s="14">
        <f>IF(ISNUMBER(AG30),_xlfn.RANK.EQ(AG30,$AG$2:$AG$1031),"")</f>
        <v/>
      </c>
    </row>
    <row r="31">
      <c r="A31" s="18" t="n">
        <v>75</v>
      </c>
      <c r="B31" s="18" t="inlineStr">
        <is>
          <t>احمد شريف فتحي عبدالفتاح</t>
        </is>
      </c>
      <c r="C31" s="1" t="n">
        <v>595.7</v>
      </c>
      <c r="D31" s="1" t="n">
        <v>22</v>
      </c>
      <c r="E31" s="1" t="n">
        <v>25</v>
      </c>
      <c r="F31" s="1" t="n">
        <v>23</v>
      </c>
      <c r="G31" s="1">
        <f>C31+D31+E31+F31</f>
        <v/>
      </c>
      <c r="H31" s="1">
        <f>IF(ISNUMBER(G31),G31,"")</f>
        <v/>
      </c>
      <c r="I31" s="1">
        <f>_xlfn.RANK.EQ(H31,$H$2:$H$1031)</f>
        <v/>
      </c>
      <c r="J31" s="5" t="n">
        <v>615</v>
      </c>
      <c r="K31" s="5" t="n">
        <v>49</v>
      </c>
      <c r="L31" s="5" t="n">
        <v>21</v>
      </c>
      <c r="M31" s="5" t="n">
        <v>22</v>
      </c>
      <c r="N31" s="5">
        <f>J31+K31+L31+M31</f>
        <v/>
      </c>
      <c r="O31" s="5">
        <f>IF(ISNUMBER(N31),N31,"")</f>
        <v/>
      </c>
      <c r="P31" s="5">
        <f>_xlfn.RANK.EQ(O31,$O$2:$O$1031)</f>
        <v/>
      </c>
      <c r="Q31" s="9" t="n">
        <v>272</v>
      </c>
      <c r="R31" s="9" t="n">
        <v>46.5</v>
      </c>
      <c r="S31" s="9" t="n">
        <v>24</v>
      </c>
      <c r="T31" s="9" t="n">
        <v>25</v>
      </c>
      <c r="U31" s="9">
        <f>Q31+R31+S31+T31</f>
        <v/>
      </c>
      <c r="V31" s="9">
        <f>IF(ISNUMBER(U31),U31,"")</f>
        <v/>
      </c>
      <c r="W31" s="9">
        <f>_xlfn.RANK.EQ(V31,$V$2:$V$1031)</f>
        <v/>
      </c>
      <c r="X31" s="13" t="n">
        <v>1507.9666666667</v>
      </c>
      <c r="Y31" s="13" t="n">
        <v>25</v>
      </c>
      <c r="Z31" s="13" t="n">
        <v>25</v>
      </c>
      <c r="AA31" s="13" t="n">
        <v>23</v>
      </c>
      <c r="AB31" s="13">
        <f>IF(ISNUMBER(X31),X31+N(Y31)+N(Z31)+N(AA31),X31)</f>
        <v/>
      </c>
      <c r="AC31" s="13">
        <f>IF(ISNUMBER(AB31),AB31,"")</f>
        <v/>
      </c>
      <c r="AD31" s="13">
        <f>IF(ISNUMBER(AC31),_xlfn.RANK.EQ(AC31,$AC$2:$AC$1031),"")</f>
        <v/>
      </c>
      <c r="AE31" s="15">
        <f>IF(ISNUMBER(AF31),AF31/3630,"")</f>
        <v/>
      </c>
      <c r="AF31" s="14">
        <f>IFERROR(C31+D31+E31+F31+J31+K31+L31+M31+Q31+R31+S31+T31+IF(ISNUMBER(X31),X31,0)+N(Y31)+N(Z31)+N(AA31),"")</f>
        <v/>
      </c>
      <c r="AG31" s="14">
        <f>IF(ISNUMBER(AF31),AF31,"")</f>
        <v/>
      </c>
      <c r="AH31" s="14">
        <f>IF(ISNUMBER(AG31),_xlfn.RANK.EQ(AG31,$AG$2:$AG$1031),"")</f>
        <v/>
      </c>
    </row>
    <row r="32">
      <c r="A32" s="18" t="n">
        <v>76</v>
      </c>
      <c r="B32" s="18" t="inlineStr">
        <is>
          <t>احمد صابر السيد السعيد إبراهيم</t>
        </is>
      </c>
      <c r="C32" s="1" t="n">
        <v>598.1</v>
      </c>
      <c r="D32" s="1" t="n">
        <v>23</v>
      </c>
      <c r="E32" s="1" t="n">
        <v>24</v>
      </c>
      <c r="F32" s="1" t="n">
        <v>24</v>
      </c>
      <c r="G32" s="1">
        <f>C32+D32+E32+F32</f>
        <v/>
      </c>
      <c r="H32" s="1">
        <f>IF(ISNUMBER(G32),G32,"")</f>
        <v/>
      </c>
      <c r="I32" s="1">
        <f>_xlfn.RANK.EQ(H32,$H$2:$H$1031)</f>
        <v/>
      </c>
      <c r="J32" s="5" t="n">
        <v>617</v>
      </c>
      <c r="K32" s="5" t="n">
        <v>50</v>
      </c>
      <c r="L32" s="5" t="n">
        <v>23</v>
      </c>
      <c r="M32" s="5" t="n">
        <v>20</v>
      </c>
      <c r="N32" s="5">
        <f>J32+K32+L32+M32</f>
        <v/>
      </c>
      <c r="O32" s="5">
        <f>IF(ISNUMBER(N32),N32,"")</f>
        <v/>
      </c>
      <c r="P32" s="5">
        <f>_xlfn.RANK.EQ(O32,$O$2:$O$1031)</f>
        <v/>
      </c>
      <c r="Q32" s="9" t="n">
        <v>261</v>
      </c>
      <c r="R32" s="9" t="n">
        <v>47.5</v>
      </c>
      <c r="S32" s="9" t="n">
        <v>24</v>
      </c>
      <c r="T32" s="9" t="n">
        <v>25</v>
      </c>
      <c r="U32" s="9">
        <f>Q32+R32+S32+T32</f>
        <v/>
      </c>
      <c r="V32" s="9">
        <f>IF(ISNUMBER(U32),U32,"")</f>
        <v/>
      </c>
      <c r="W32" s="9">
        <f>_xlfn.RANK.EQ(V32,$V$2:$V$1031)</f>
        <v/>
      </c>
      <c r="X32" s="13" t="n">
        <v>1454.8833333333</v>
      </c>
      <c r="Y32" s="13" t="n">
        <v>24</v>
      </c>
      <c r="Z32" s="13" t="n">
        <v>24</v>
      </c>
      <c r="AA32" s="13" t="n">
        <v>25</v>
      </c>
      <c r="AB32" s="13">
        <f>IF(ISNUMBER(X32),X32+N(Y32)+N(Z32)+N(AA32),X32)</f>
        <v/>
      </c>
      <c r="AC32" s="13">
        <f>IF(ISNUMBER(AB32),AB32,"")</f>
        <v/>
      </c>
      <c r="AD32" s="13">
        <f>IF(ISNUMBER(AC32),_xlfn.RANK.EQ(AC32,$AC$2:$AC$1031),"")</f>
        <v/>
      </c>
      <c r="AE32" s="15">
        <f>IF(ISNUMBER(AF32),AF32/3630,"")</f>
        <v/>
      </c>
      <c r="AF32" s="14">
        <f>IFERROR(C32+D32+E32+F32+J32+K32+L32+M32+Q32+R32+S32+T32+IF(ISNUMBER(X32),X32,0)+N(Y32)+N(Z32)+N(AA32),"")</f>
        <v/>
      </c>
      <c r="AG32" s="14">
        <f>IF(ISNUMBER(AF32),AF32,"")</f>
        <v/>
      </c>
      <c r="AH32" s="14">
        <f>IF(ISNUMBER(AG32),_xlfn.RANK.EQ(AG32,$AG$2:$AG$1031),"")</f>
        <v/>
      </c>
    </row>
    <row r="33">
      <c r="A33" s="18" t="n">
        <v>77</v>
      </c>
      <c r="B33" s="18" t="inlineStr">
        <is>
          <t>احمد صبحى درويش محمد موسى عشيبة</t>
        </is>
      </c>
      <c r="C33" s="1" t="n">
        <v>525.8</v>
      </c>
      <c r="D33" s="1" t="n">
        <v>23</v>
      </c>
      <c r="E33" s="1" t="n">
        <v>25</v>
      </c>
      <c r="F33" s="1" t="n">
        <v>22</v>
      </c>
      <c r="G33" s="1">
        <f>C33+D33+E33+F33</f>
        <v/>
      </c>
      <c r="H33" s="1">
        <f>IF(ISNUMBER(G33),G33,"")</f>
        <v/>
      </c>
      <c r="I33" s="1">
        <f>_xlfn.RANK.EQ(H33,$H$2:$H$1031)</f>
        <v/>
      </c>
      <c r="J33" s="5" t="n">
        <v>562.5</v>
      </c>
      <c r="K33" s="5" t="n">
        <v>46</v>
      </c>
      <c r="L33" s="5" t="n">
        <v>21</v>
      </c>
      <c r="M33" s="5" t="n">
        <v>23</v>
      </c>
      <c r="N33" s="5">
        <f>J33+K33+L33+M33</f>
        <v/>
      </c>
      <c r="O33" s="5">
        <f>IF(ISNUMBER(N33),N33,"")</f>
        <v/>
      </c>
      <c r="P33" s="5">
        <f>_xlfn.RANK.EQ(O33,$O$2:$O$1031)</f>
        <v/>
      </c>
      <c r="Q33" s="9" t="n">
        <v>263.5</v>
      </c>
      <c r="R33" s="9" t="n">
        <v>46.5</v>
      </c>
      <c r="S33" s="9" t="n">
        <v>24</v>
      </c>
      <c r="T33" s="9" t="n">
        <v>25</v>
      </c>
      <c r="U33" s="9">
        <f>Q33+R33+S33+T33</f>
        <v/>
      </c>
      <c r="V33" s="9">
        <f>IF(ISNUMBER(U33),U33,"")</f>
        <v/>
      </c>
      <c r="W33" s="9">
        <f>_xlfn.RANK.EQ(V33,$V$2:$V$1031)</f>
        <v/>
      </c>
      <c r="X33" s="13" t="n">
        <v>1415.6875</v>
      </c>
      <c r="Y33" s="13" t="n">
        <v>24</v>
      </c>
      <c r="Z33" s="13" t="n">
        <v>24</v>
      </c>
      <c r="AA33" s="13" t="n">
        <v>23</v>
      </c>
      <c r="AB33" s="13">
        <f>IF(ISNUMBER(X33),X33+N(Y33)+N(Z33)+N(AA33),X33)</f>
        <v/>
      </c>
      <c r="AC33" s="13">
        <f>IF(ISNUMBER(AB33),AB33,"")</f>
        <v/>
      </c>
      <c r="AD33" s="13">
        <f>IF(ISNUMBER(AC33),_xlfn.RANK.EQ(AC33,$AC$2:$AC$1031),"")</f>
        <v/>
      </c>
      <c r="AE33" s="15">
        <f>IF(ISNUMBER(AF33),AF33/3630,"")</f>
        <v/>
      </c>
      <c r="AF33" s="14">
        <f>IFERROR(C33+D33+E33+F33+J33+K33+L33+M33+Q33+R33+S33+T33+IF(ISNUMBER(X33),X33,0)+N(Y33)+N(Z33)+N(AA33),"")</f>
        <v/>
      </c>
      <c r="AG33" s="14">
        <f>IF(ISNUMBER(AF33),AF33,"")</f>
        <v/>
      </c>
      <c r="AH33" s="14">
        <f>IF(ISNUMBER(AG33),_xlfn.RANK.EQ(AG33,$AG$2:$AG$1031),"")</f>
        <v/>
      </c>
    </row>
    <row r="34">
      <c r="A34" s="18" t="n">
        <v>78</v>
      </c>
      <c r="B34" s="18" t="inlineStr">
        <is>
          <t>احمد صبحي محمد ابراهيم</t>
        </is>
      </c>
      <c r="C34" s="1" t="n">
        <v>585.3</v>
      </c>
      <c r="D34" s="1" t="n">
        <v>25</v>
      </c>
      <c r="E34" s="1" t="n">
        <v>24</v>
      </c>
      <c r="F34" s="1" t="n">
        <v>19</v>
      </c>
      <c r="G34" s="1">
        <f>C34+D34+E34+F34</f>
        <v/>
      </c>
      <c r="H34" s="1">
        <f>IF(ISNUMBER(G34),G34,"")</f>
        <v/>
      </c>
      <c r="I34" s="1">
        <f>_xlfn.RANK.EQ(H34,$H$2:$H$1031)</f>
        <v/>
      </c>
      <c r="J34" s="5" t="n">
        <v>569</v>
      </c>
      <c r="K34" s="5" t="n">
        <v>38</v>
      </c>
      <c r="L34" s="5" t="n">
        <v>18</v>
      </c>
      <c r="M34" s="5" t="n">
        <v>19</v>
      </c>
      <c r="N34" s="5">
        <f>J34+K34+L34+M34</f>
        <v/>
      </c>
      <c r="O34" s="5">
        <f>IF(ISNUMBER(N34),N34,"")</f>
        <v/>
      </c>
      <c r="P34" s="5">
        <f>_xlfn.RANK.EQ(O34,$O$2:$O$1031)</f>
        <v/>
      </c>
      <c r="Q34" s="9" t="n">
        <v>221.5</v>
      </c>
      <c r="R34" s="9" t="n">
        <v>42.5</v>
      </c>
      <c r="S34" s="9" t="n">
        <v>23</v>
      </c>
      <c r="T34" s="9" t="n">
        <v>24</v>
      </c>
      <c r="U34" s="9">
        <f>Q34+R34+S34+T34</f>
        <v/>
      </c>
      <c r="V34" s="9">
        <f>IF(ISNUMBER(U34),U34,"")</f>
        <v/>
      </c>
      <c r="W34" s="9">
        <f>_xlfn.RANK.EQ(V34,$V$2:$V$1031)</f>
        <v/>
      </c>
      <c r="X34" s="13" t="n">
        <v>1426.6041666667</v>
      </c>
      <c r="Y34" s="13" t="n">
        <v>24</v>
      </c>
      <c r="Z34" s="13" t="n">
        <v>24</v>
      </c>
      <c r="AA34" s="13" t="n">
        <v>23</v>
      </c>
      <c r="AB34" s="13">
        <f>IF(ISNUMBER(X34),X34+N(Y34)+N(Z34)+N(AA34),X34)</f>
        <v/>
      </c>
      <c r="AC34" s="13">
        <f>IF(ISNUMBER(AB34),AB34,"")</f>
        <v/>
      </c>
      <c r="AD34" s="13">
        <f>IF(ISNUMBER(AC34),_xlfn.RANK.EQ(AC34,$AC$2:$AC$1031),"")</f>
        <v/>
      </c>
      <c r="AE34" s="15">
        <f>IF(ISNUMBER(AF34),AF34/3630,"")</f>
        <v/>
      </c>
      <c r="AF34" s="14">
        <f>IFERROR(C34+D34+E34+F34+J34+K34+L34+M34+Q34+R34+S34+T34+IF(ISNUMBER(X34),X34,0)+N(Y34)+N(Z34)+N(AA34),"")</f>
        <v/>
      </c>
      <c r="AG34" s="14">
        <f>IF(ISNUMBER(AF34),AF34,"")</f>
        <v/>
      </c>
      <c r="AH34" s="14">
        <f>IF(ISNUMBER(AG34),_xlfn.RANK.EQ(AG34,$AG$2:$AG$1031),"")</f>
        <v/>
      </c>
    </row>
    <row r="35">
      <c r="A35" s="18" t="n">
        <v>79</v>
      </c>
      <c r="B35" s="18" t="inlineStr">
        <is>
          <t>احمد صفوت عبد القادر عبد الله عوض</t>
        </is>
      </c>
      <c r="C35" s="1" t="n">
        <v>540.7</v>
      </c>
      <c r="D35" s="1" t="n">
        <v>23</v>
      </c>
      <c r="E35" s="1" t="n">
        <v>19</v>
      </c>
      <c r="F35" s="1" t="n">
        <v>17</v>
      </c>
      <c r="G35" s="1">
        <f>C35+D35+E35+F35</f>
        <v/>
      </c>
      <c r="H35" s="1">
        <f>IF(ISNUMBER(G35),G35,"")</f>
        <v/>
      </c>
      <c r="I35" s="1">
        <f>_xlfn.RANK.EQ(H35,$H$2:$H$1031)</f>
        <v/>
      </c>
      <c r="J35" s="5" t="n">
        <v>524</v>
      </c>
      <c r="K35" s="5" t="n">
        <v>47</v>
      </c>
      <c r="L35" s="5" t="n">
        <v>22</v>
      </c>
      <c r="M35" s="5" t="n">
        <v>17</v>
      </c>
      <c r="N35" s="5">
        <f>J35+K35+L35+M35</f>
        <v/>
      </c>
      <c r="O35" s="5">
        <f>IF(ISNUMBER(N35),N35,"")</f>
        <v/>
      </c>
      <c r="P35" s="5">
        <f>_xlfn.RANK.EQ(O35,$O$2:$O$1031)</f>
        <v/>
      </c>
      <c r="Q35" s="9" t="n">
        <v>210</v>
      </c>
      <c r="R35" s="9" t="n">
        <v>41</v>
      </c>
      <c r="S35" s="9" t="n">
        <v>20</v>
      </c>
      <c r="T35" s="9" t="n">
        <v>24</v>
      </c>
      <c r="U35" s="9">
        <f>Q35+R35+S35+T35</f>
        <v/>
      </c>
      <c r="V35" s="9">
        <f>IF(ISNUMBER(U35),U35,"")</f>
        <v/>
      </c>
      <c r="W35" s="9">
        <f>_xlfn.RANK.EQ(V35,$V$2:$V$1031)</f>
        <v/>
      </c>
      <c r="X35" s="13" t="n">
        <v>1222.3833333333</v>
      </c>
      <c r="Y35" s="13" t="n">
        <v>23</v>
      </c>
      <c r="Z35" s="13" t="n">
        <v>21</v>
      </c>
      <c r="AA35" s="13" t="n">
        <v>21</v>
      </c>
      <c r="AB35" s="13">
        <f>IF(ISNUMBER(X35),X35+N(Y35)+N(Z35)+N(AA35),X35)</f>
        <v/>
      </c>
      <c r="AC35" s="13">
        <f>IF(ISNUMBER(AB35),AB35,"")</f>
        <v/>
      </c>
      <c r="AD35" s="13">
        <f>IF(ISNUMBER(AC35),_xlfn.RANK.EQ(AC35,$AC$2:$AC$1031),"")</f>
        <v/>
      </c>
      <c r="AE35" s="15">
        <f>IF(ISNUMBER(AF35),AF35/3630,"")</f>
        <v/>
      </c>
      <c r="AF35" s="14">
        <f>IFERROR(C35+D35+E35+F35+J35+K35+L35+M35+Q35+R35+S35+T35+IF(ISNUMBER(X35),X35,0)+N(Y35)+N(Z35)+N(AA35),"")</f>
        <v/>
      </c>
      <c r="AG35" s="14">
        <f>IF(ISNUMBER(AF35),AF35,"")</f>
        <v/>
      </c>
      <c r="AH35" s="14">
        <f>IF(ISNUMBER(AG35),_xlfn.RANK.EQ(AG35,$AG$2:$AG$1031),"")</f>
        <v/>
      </c>
    </row>
    <row r="36">
      <c r="A36" s="18" t="n">
        <v>80</v>
      </c>
      <c r="B36" s="18" t="inlineStr">
        <is>
          <t>احمد طارق السيد عثمان</t>
        </is>
      </c>
      <c r="C36" s="1" t="n">
        <v>632.7</v>
      </c>
      <c r="D36" s="1" t="n">
        <v>23</v>
      </c>
      <c r="E36" s="1" t="n">
        <v>24</v>
      </c>
      <c r="F36" s="1" t="n">
        <v>24</v>
      </c>
      <c r="G36" s="1">
        <f>C36+D36+E36+F36</f>
        <v/>
      </c>
      <c r="H36" s="1">
        <f>IF(ISNUMBER(G36),G36,"")</f>
        <v/>
      </c>
      <c r="I36" s="1">
        <f>_xlfn.RANK.EQ(H36,$H$2:$H$1031)</f>
        <v/>
      </c>
      <c r="J36" s="5" t="n">
        <v>619</v>
      </c>
      <c r="K36" s="5" t="n">
        <v>46</v>
      </c>
      <c r="L36" s="5" t="n">
        <v>24</v>
      </c>
      <c r="M36" s="5" t="n">
        <v>24</v>
      </c>
      <c r="N36" s="5">
        <f>J36+K36+L36+M36</f>
        <v/>
      </c>
      <c r="O36" s="5">
        <f>IF(ISNUMBER(N36),N36,"")</f>
        <v/>
      </c>
      <c r="P36" s="5">
        <f>_xlfn.RANK.EQ(O36,$O$2:$O$1031)</f>
        <v/>
      </c>
      <c r="Q36" s="9" t="n">
        <v>279.5</v>
      </c>
      <c r="R36" s="9" t="n">
        <v>47.5</v>
      </c>
      <c r="S36" s="9" t="n">
        <v>25</v>
      </c>
      <c r="T36" s="9" t="n">
        <v>25</v>
      </c>
      <c r="U36" s="9">
        <f>Q36+R36+S36+T36</f>
        <v/>
      </c>
      <c r="V36" s="9">
        <f>IF(ISNUMBER(U36),U36,"")</f>
        <v/>
      </c>
      <c r="W36" s="9">
        <f>_xlfn.RANK.EQ(V36,$V$2:$V$1031)</f>
        <v/>
      </c>
      <c r="X36" s="13" t="n">
        <v>1501.1708333333</v>
      </c>
      <c r="Y36" s="13" t="n">
        <v>25</v>
      </c>
      <c r="Z36" s="13" t="n">
        <v>25</v>
      </c>
      <c r="AA36" s="13" t="n">
        <v>23</v>
      </c>
      <c r="AB36" s="13">
        <f>IF(ISNUMBER(X36),X36+N(Y36)+N(Z36)+N(AA36),X36)</f>
        <v/>
      </c>
      <c r="AC36" s="13">
        <f>IF(ISNUMBER(AB36),AB36,"")</f>
        <v/>
      </c>
      <c r="AD36" s="13">
        <f>IF(ISNUMBER(AC36),_xlfn.RANK.EQ(AC36,$AC$2:$AC$1031),"")</f>
        <v/>
      </c>
      <c r="AE36" s="15">
        <f>IF(ISNUMBER(AF36),AF36/3630,"")</f>
        <v/>
      </c>
      <c r="AF36" s="14">
        <f>IFERROR(C36+D36+E36+F36+J36+K36+L36+M36+Q36+R36+S36+T36+IF(ISNUMBER(X36),X36,0)+N(Y36)+N(Z36)+N(AA36),"")</f>
        <v/>
      </c>
      <c r="AG36" s="14">
        <f>IF(ISNUMBER(AF36),AF36,"")</f>
        <v/>
      </c>
      <c r="AH36" s="14">
        <f>IF(ISNUMBER(AG36),_xlfn.RANK.EQ(AG36,$AG$2:$AG$1031),"")</f>
        <v/>
      </c>
    </row>
    <row r="37">
      <c r="A37" s="18" t="n">
        <v>81</v>
      </c>
      <c r="B37" s="18" t="inlineStr">
        <is>
          <t>احمد طارق امين يونس عبيد</t>
        </is>
      </c>
      <c r="C37" s="1" t="n">
        <v>604.6</v>
      </c>
      <c r="D37" s="1" t="n">
        <v>25</v>
      </c>
      <c r="E37" s="1" t="n">
        <v>23</v>
      </c>
      <c r="F37" s="1" t="n">
        <v>22</v>
      </c>
      <c r="G37" s="1">
        <f>C37+D37+E37+F37</f>
        <v/>
      </c>
      <c r="H37" s="1">
        <f>IF(ISNUMBER(G37),G37,"")</f>
        <v/>
      </c>
      <c r="I37" s="1">
        <f>_xlfn.RANK.EQ(H37,$H$2:$H$1031)</f>
        <v/>
      </c>
      <c r="J37" s="5" t="n">
        <v>600.5</v>
      </c>
      <c r="K37" s="5" t="n">
        <v>47</v>
      </c>
      <c r="L37" s="5" t="n">
        <v>17</v>
      </c>
      <c r="M37" s="5" t="n">
        <v>20</v>
      </c>
      <c r="N37" s="5">
        <f>J37+K37+L37+M37</f>
        <v/>
      </c>
      <c r="O37" s="5">
        <f>IF(ISNUMBER(N37),N37,"")</f>
        <v/>
      </c>
      <c r="P37" s="5">
        <f>_xlfn.RANK.EQ(O37,$O$2:$O$1031)</f>
        <v/>
      </c>
      <c r="Q37" s="9" t="n">
        <v>243</v>
      </c>
      <c r="R37" s="9" t="n">
        <v>47.5</v>
      </c>
      <c r="S37" s="9" t="n">
        <v>25</v>
      </c>
      <c r="T37" s="9" t="n">
        <v>24</v>
      </c>
      <c r="U37" s="9">
        <f>Q37+R37+S37+T37</f>
        <v/>
      </c>
      <c r="V37" s="9">
        <f>IF(ISNUMBER(U37),U37,"")</f>
        <v/>
      </c>
      <c r="W37" s="9">
        <f>_xlfn.RANK.EQ(V37,$V$2:$V$1031)</f>
        <v/>
      </c>
      <c r="X37" s="13" t="n">
        <v>1399.7</v>
      </c>
      <c r="Y37" s="13" t="n">
        <v>25</v>
      </c>
      <c r="Z37" s="13" t="n">
        <v>24</v>
      </c>
      <c r="AA37" s="13" t="n">
        <v>23</v>
      </c>
      <c r="AB37" s="13">
        <f>IF(ISNUMBER(X37),X37+N(Y37)+N(Z37)+N(AA37),X37)</f>
        <v/>
      </c>
      <c r="AC37" s="13">
        <f>IF(ISNUMBER(AB37),AB37,"")</f>
        <v/>
      </c>
      <c r="AD37" s="13">
        <f>IF(ISNUMBER(AC37),_xlfn.RANK.EQ(AC37,$AC$2:$AC$1031),"")</f>
        <v/>
      </c>
      <c r="AE37" s="15">
        <f>IF(ISNUMBER(AF37),AF37/3630,"")</f>
        <v/>
      </c>
      <c r="AF37" s="14">
        <f>IFERROR(C37+D37+E37+F37+J37+K37+L37+M37+Q37+R37+S37+T37+IF(ISNUMBER(X37),X37,0)+N(Y37)+N(Z37)+N(AA37),"")</f>
        <v/>
      </c>
      <c r="AG37" s="14">
        <f>IF(ISNUMBER(AF37),AF37,"")</f>
        <v/>
      </c>
      <c r="AH37" s="14">
        <f>IF(ISNUMBER(AG37),_xlfn.RANK.EQ(AG37,$AG$2:$AG$1031),"")</f>
        <v/>
      </c>
    </row>
    <row r="38">
      <c r="A38" s="18" t="n">
        <v>82</v>
      </c>
      <c r="B38" s="18" t="inlineStr">
        <is>
          <t>احمد طاهر شعبان خليل</t>
        </is>
      </c>
      <c r="C38" s="1" t="n">
        <v>423.25</v>
      </c>
      <c r="D38" s="1" t="n">
        <v>12</v>
      </c>
      <c r="E38" s="1" t="n">
        <v>13</v>
      </c>
      <c r="F38" s="1" t="n">
        <v>13</v>
      </c>
      <c r="G38" s="1">
        <f>C38+D38+E38+F38</f>
        <v/>
      </c>
      <c r="H38" s="1">
        <f>IF(ISNUMBER(G38),G38,"")</f>
        <v/>
      </c>
      <c r="I38" s="1">
        <f>_xlfn.RANK.EQ(H38,$H$2:$H$1031)</f>
        <v/>
      </c>
      <c r="J38" s="5" t="n">
        <v>407.5</v>
      </c>
      <c r="K38" s="5" t="n">
        <v>36</v>
      </c>
      <c r="L38" s="5" t="n">
        <v>17</v>
      </c>
      <c r="M38" s="5" t="n">
        <v>24</v>
      </c>
      <c r="N38" s="5">
        <f>J38+K38+L38+M38</f>
        <v/>
      </c>
      <c r="O38" s="5">
        <f>IF(ISNUMBER(N38),N38,"")</f>
        <v/>
      </c>
      <c r="P38" s="5">
        <f>_xlfn.RANK.EQ(O38,$O$2:$O$1031)</f>
        <v/>
      </c>
      <c r="Q38" s="9" t="n">
        <v>147.5</v>
      </c>
      <c r="R38" s="9" t="n">
        <v>39.5</v>
      </c>
      <c r="S38" s="9" t="n">
        <v>22</v>
      </c>
      <c r="T38" s="9" t="n">
        <v>23</v>
      </c>
      <c r="U38" s="9">
        <f>Q38+R38+S38+T38</f>
        <v/>
      </c>
      <c r="V38" s="9">
        <f>IF(ISNUMBER(U38),U38,"")</f>
        <v/>
      </c>
      <c r="W38" s="9">
        <f>_xlfn.RANK.EQ(V38,$V$2:$V$1031)</f>
        <v/>
      </c>
      <c r="X38" s="13" t="inlineStr">
        <is>
          <t>راسب</t>
        </is>
      </c>
      <c r="Y38" s="13" t="n">
        <v>25</v>
      </c>
      <c r="Z38" s="13" t="n">
        <v>22</v>
      </c>
      <c r="AA38" s="13" t="n">
        <v>17</v>
      </c>
      <c r="AB38" s="13">
        <f>IF(ISNUMBER(X38),X38+N(Y38)+N(Z38)+N(AA38),X38)</f>
        <v/>
      </c>
      <c r="AC38" s="13">
        <f>IF(ISNUMBER(AB38),AB38,"")</f>
        <v/>
      </c>
      <c r="AD38" s="13">
        <f>IF(ISNUMBER(AC38),_xlfn.RANK.EQ(AC38,$AC$2:$AC$1031),"")</f>
        <v/>
      </c>
      <c r="AE38" s="15">
        <f>IF(ISNUMBER(AF38),AF38/3630,"")</f>
        <v/>
      </c>
      <c r="AF38" s="14">
        <f>IFERROR(C38+D38+E38+F38+J38+K38+L38+M38+Q38+R38+S38+T38+IF(ISNUMBER(X38),X38,0)+N(Y38)+N(Z38)+N(AA38),"")</f>
        <v/>
      </c>
      <c r="AG38" s="14">
        <f>IF(ISNUMBER(AF38),AF38,"")</f>
        <v/>
      </c>
      <c r="AH38" s="14">
        <f>IF(ISNUMBER(AG38),_xlfn.RANK.EQ(AG38,$AG$2:$AG$1031),"")</f>
        <v/>
      </c>
    </row>
    <row r="39">
      <c r="A39" s="18" t="n">
        <v>83</v>
      </c>
      <c r="B39" s="18" t="inlineStr">
        <is>
          <t>احمد عبد الباسط سعد عبد اللطيف</t>
        </is>
      </c>
      <c r="C39" s="1" t="n">
        <v>571.8</v>
      </c>
      <c r="D39" s="1" t="n">
        <v>23</v>
      </c>
      <c r="E39" s="1" t="n">
        <v>19</v>
      </c>
      <c r="F39" s="1" t="n">
        <v>21.5</v>
      </c>
      <c r="G39" s="1">
        <f>C39+D39+E39+F39</f>
        <v/>
      </c>
      <c r="H39" s="1">
        <f>IF(ISNUMBER(G39),G39,"")</f>
        <v/>
      </c>
      <c r="I39" s="1">
        <f>_xlfn.RANK.EQ(H39,$H$2:$H$1031)</f>
        <v/>
      </c>
      <c r="J39" s="5" t="n">
        <v>578.5</v>
      </c>
      <c r="K39" s="5" t="n">
        <v>46</v>
      </c>
      <c r="L39" s="5" t="n">
        <v>22</v>
      </c>
      <c r="M39" s="5" t="n">
        <v>22</v>
      </c>
      <c r="N39" s="5">
        <f>J39+K39+L39+M39</f>
        <v/>
      </c>
      <c r="O39" s="5">
        <f>IF(ISNUMBER(N39),N39,"")</f>
        <v/>
      </c>
      <c r="P39" s="5">
        <f>_xlfn.RANK.EQ(O39,$O$2:$O$1031)</f>
        <v/>
      </c>
      <c r="Q39" s="9" t="n">
        <v>252</v>
      </c>
      <c r="R39" s="9" t="n">
        <v>45.5</v>
      </c>
      <c r="S39" s="9" t="n">
        <v>24</v>
      </c>
      <c r="T39" s="9" t="n">
        <v>24.5</v>
      </c>
      <c r="U39" s="9">
        <f>Q39+R39+S39+T39</f>
        <v/>
      </c>
      <c r="V39" s="9">
        <f>IF(ISNUMBER(U39),U39,"")</f>
        <v/>
      </c>
      <c r="W39" s="9">
        <f>_xlfn.RANK.EQ(V39,$V$2:$V$1031)</f>
        <v/>
      </c>
      <c r="X39" s="13" t="n">
        <v>1389.675</v>
      </c>
      <c r="Y39" s="13" t="n">
        <v>24</v>
      </c>
      <c r="Z39" s="13" t="n">
        <v>24</v>
      </c>
      <c r="AA39" s="13" t="n">
        <v>22</v>
      </c>
      <c r="AB39" s="13">
        <f>IF(ISNUMBER(X39),X39+N(Y39)+N(Z39)+N(AA39),X39)</f>
        <v/>
      </c>
      <c r="AC39" s="13">
        <f>IF(ISNUMBER(AB39),AB39,"")</f>
        <v/>
      </c>
      <c r="AD39" s="13">
        <f>IF(ISNUMBER(AC39),_xlfn.RANK.EQ(AC39,$AC$2:$AC$1031),"")</f>
        <v/>
      </c>
      <c r="AE39" s="15">
        <f>IF(ISNUMBER(AF39),AF39/3630,"")</f>
        <v/>
      </c>
      <c r="AF39" s="14">
        <f>IFERROR(C39+D39+E39+F39+J39+K39+L39+M39+Q39+R39+S39+T39+IF(ISNUMBER(X39),X39,0)+N(Y39)+N(Z39)+N(AA39),"")</f>
        <v/>
      </c>
      <c r="AG39" s="14">
        <f>IF(ISNUMBER(AF39),AF39,"")</f>
        <v/>
      </c>
      <c r="AH39" s="14">
        <f>IF(ISNUMBER(AG39),_xlfn.RANK.EQ(AG39,$AG$2:$AG$1031),"")</f>
        <v/>
      </c>
    </row>
    <row r="40">
      <c r="A40" s="18" t="n">
        <v>85</v>
      </c>
      <c r="B40" s="18" t="inlineStr">
        <is>
          <t>احمد عبد السلام السعيد الصياد</t>
        </is>
      </c>
      <c r="C40" s="1" t="n">
        <v>593.4</v>
      </c>
      <c r="D40" s="1" t="n">
        <v>22</v>
      </c>
      <c r="E40" s="1" t="n">
        <v>19</v>
      </c>
      <c r="F40" s="1" t="n">
        <v>25</v>
      </c>
      <c r="G40" s="1">
        <f>C40+D40+E40+F40</f>
        <v/>
      </c>
      <c r="H40" s="1">
        <f>IF(ISNUMBER(G40),G40,"")</f>
        <v/>
      </c>
      <c r="I40" s="1">
        <f>_xlfn.RANK.EQ(H40,$H$2:$H$1031)</f>
        <v/>
      </c>
      <c r="J40" s="5" t="n">
        <v>615.5</v>
      </c>
      <c r="K40" s="5" t="n">
        <v>48</v>
      </c>
      <c r="L40" s="5" t="n">
        <v>20</v>
      </c>
      <c r="M40" s="5" t="n">
        <v>22</v>
      </c>
      <c r="N40" s="5">
        <f>J40+K40+L40+M40</f>
        <v/>
      </c>
      <c r="O40" s="5">
        <f>IF(ISNUMBER(N40),N40,"")</f>
        <v/>
      </c>
      <c r="P40" s="5">
        <f>_xlfn.RANK.EQ(O40,$O$2:$O$1031)</f>
        <v/>
      </c>
      <c r="Q40" s="9" t="n">
        <v>252</v>
      </c>
      <c r="R40" s="9" t="n">
        <v>45</v>
      </c>
      <c r="S40" s="9" t="n">
        <v>21</v>
      </c>
      <c r="T40" s="9" t="n">
        <v>22.5</v>
      </c>
      <c r="U40" s="9">
        <f>Q40+R40+S40+T40</f>
        <v/>
      </c>
      <c r="V40" s="9">
        <f>IF(ISNUMBER(U40),U40,"")</f>
        <v/>
      </c>
      <c r="W40" s="9">
        <f>_xlfn.RANK.EQ(V40,$V$2:$V$1031)</f>
        <v/>
      </c>
      <c r="X40" s="13" t="n">
        <v>1335.4791666667</v>
      </c>
      <c r="Y40" s="13" t="n">
        <v>24</v>
      </c>
      <c r="Z40" s="13" t="n">
        <v>22</v>
      </c>
      <c r="AA40" s="13" t="n">
        <v>19</v>
      </c>
      <c r="AB40" s="13">
        <f>IF(ISNUMBER(X40),X40+N(Y40)+N(Z40)+N(AA40),X40)</f>
        <v/>
      </c>
      <c r="AC40" s="13">
        <f>IF(ISNUMBER(AB40),AB40,"")</f>
        <v/>
      </c>
      <c r="AD40" s="13">
        <f>IF(ISNUMBER(AC40),_xlfn.RANK.EQ(AC40,$AC$2:$AC$1031),"")</f>
        <v/>
      </c>
      <c r="AE40" s="15">
        <f>IF(ISNUMBER(AF40),AF40/3630,"")</f>
        <v/>
      </c>
      <c r="AF40" s="14">
        <f>IFERROR(C40+D40+E40+F40+J40+K40+L40+M40+Q40+R40+S40+T40+IF(ISNUMBER(X40),X40,0)+N(Y40)+N(Z40)+N(AA40),"")</f>
        <v/>
      </c>
      <c r="AG40" s="14">
        <f>IF(ISNUMBER(AF40),AF40,"")</f>
        <v/>
      </c>
      <c r="AH40" s="14">
        <f>IF(ISNUMBER(AG40),_xlfn.RANK.EQ(AG40,$AG$2:$AG$1031),"")</f>
        <v/>
      </c>
    </row>
    <row r="41">
      <c r="A41" s="18" t="n">
        <v>89</v>
      </c>
      <c r="B41" s="18" t="inlineStr">
        <is>
          <t>احمد عبد الناصر عبد السيد شاهين</t>
        </is>
      </c>
      <c r="C41" s="1" t="n">
        <v>584</v>
      </c>
      <c r="D41" s="1" t="n">
        <v>22</v>
      </c>
      <c r="E41" s="1" t="n">
        <v>17</v>
      </c>
      <c r="F41" s="1" t="n">
        <v>17</v>
      </c>
      <c r="G41" s="1">
        <f>C41+D41+E41+F41</f>
        <v/>
      </c>
      <c r="H41" s="1">
        <f>IF(ISNUMBER(G41),G41,"")</f>
        <v/>
      </c>
      <c r="I41" s="1">
        <f>_xlfn.RANK.EQ(H41,$H$2:$H$1031)</f>
        <v/>
      </c>
      <c r="J41" s="5" t="n">
        <v>616.7</v>
      </c>
      <c r="K41" s="5" t="n">
        <v>47</v>
      </c>
      <c r="L41" s="5" t="n">
        <v>20</v>
      </c>
      <c r="M41" s="5" t="n">
        <v>20</v>
      </c>
      <c r="N41" s="5">
        <f>J41+K41+L41+M41</f>
        <v/>
      </c>
      <c r="O41" s="5">
        <f>IF(ISNUMBER(N41),N41,"")</f>
        <v/>
      </c>
      <c r="P41" s="5">
        <f>_xlfn.RANK.EQ(O41,$O$2:$O$1031)</f>
        <v/>
      </c>
      <c r="Q41" s="9" t="n">
        <v>276</v>
      </c>
      <c r="R41" s="9" t="n">
        <v>45</v>
      </c>
      <c r="S41" s="9" t="n">
        <v>21</v>
      </c>
      <c r="T41" s="9" t="n">
        <v>21.5</v>
      </c>
      <c r="U41" s="9">
        <f>Q41+R41+S41+T41</f>
        <v/>
      </c>
      <c r="V41" s="9">
        <f>IF(ISNUMBER(U41),U41,"")</f>
        <v/>
      </c>
      <c r="W41" s="9">
        <f>_xlfn.RANK.EQ(V41,$V$2:$V$1031)</f>
        <v/>
      </c>
      <c r="X41" s="13" t="n">
        <v>1543.0791666667</v>
      </c>
      <c r="Y41" s="13" t="n">
        <v>24</v>
      </c>
      <c r="Z41" s="13" t="n">
        <v>24</v>
      </c>
      <c r="AA41" s="13" t="n">
        <v>23</v>
      </c>
      <c r="AB41" s="13">
        <f>IF(ISNUMBER(X41),X41+N(Y41)+N(Z41)+N(AA41),X41)</f>
        <v/>
      </c>
      <c r="AC41" s="13">
        <f>IF(ISNUMBER(AB41),AB41,"")</f>
        <v/>
      </c>
      <c r="AD41" s="13">
        <f>IF(ISNUMBER(AC41),_xlfn.RANK.EQ(AC41,$AC$2:$AC$1031),"")</f>
        <v/>
      </c>
      <c r="AE41" s="15">
        <f>IF(ISNUMBER(AF41),AF41/3630,"")</f>
        <v/>
      </c>
      <c r="AF41" s="14">
        <f>IFERROR(C41+D41+E41+F41+J41+K41+L41+M41+Q41+R41+S41+T41+IF(ISNUMBER(X41),X41,0)+N(Y41)+N(Z41)+N(AA41),"")</f>
        <v/>
      </c>
      <c r="AG41" s="14">
        <f>IF(ISNUMBER(AF41),AF41,"")</f>
        <v/>
      </c>
      <c r="AH41" s="14">
        <f>IF(ISNUMBER(AG41),_xlfn.RANK.EQ(AG41,$AG$2:$AG$1031),"")</f>
        <v/>
      </c>
    </row>
    <row r="42">
      <c r="A42" s="18" t="n">
        <v>90</v>
      </c>
      <c r="B42" s="18" t="inlineStr">
        <is>
          <t>احمد عصام احمد على عبدالمطلب</t>
        </is>
      </c>
      <c r="C42" s="1" t="n">
        <v>450</v>
      </c>
      <c r="D42" s="1" t="n">
        <v>21</v>
      </c>
      <c r="E42" s="1" t="n">
        <v>19</v>
      </c>
      <c r="F42" s="1" t="n">
        <v>15</v>
      </c>
      <c r="G42" s="1">
        <f>C42+D42+E42+F42</f>
        <v/>
      </c>
      <c r="H42" s="1">
        <f>IF(ISNUMBER(G42),G42,"")</f>
        <v/>
      </c>
      <c r="I42" s="1">
        <f>_xlfn.RANK.EQ(H42,$H$2:$H$1031)</f>
        <v/>
      </c>
      <c r="J42" s="5" t="n">
        <v>441.7</v>
      </c>
      <c r="K42" s="5" t="n">
        <v>25</v>
      </c>
      <c r="L42" s="5" t="n">
        <v>16</v>
      </c>
      <c r="M42" s="5" t="n">
        <v>8</v>
      </c>
      <c r="N42" s="5">
        <f>J42+K42+L42+M42</f>
        <v/>
      </c>
      <c r="O42" s="5">
        <f>IF(ISNUMBER(N42),N42,"")</f>
        <v/>
      </c>
      <c r="P42" s="5">
        <f>_xlfn.RANK.EQ(O42,$O$2:$O$1031)</f>
        <v/>
      </c>
      <c r="Q42" s="9" t="inlineStr">
        <is>
          <t>راسب</t>
        </is>
      </c>
      <c r="R42" s="9" t="n">
        <v>35.5</v>
      </c>
      <c r="S42" s="9" t="n">
        <v>20</v>
      </c>
      <c r="T42" s="9" t="n">
        <v>22.5</v>
      </c>
      <c r="U42" s="9">
        <f>Q42+R42+S42+T42</f>
        <v/>
      </c>
      <c r="V42" s="9">
        <f>IF(ISNUMBER(U42),U42,"")</f>
        <v/>
      </c>
      <c r="W42" s="9">
        <f>_xlfn.RANK.EQ(V42,$V$2:$V$1031)</f>
        <v/>
      </c>
      <c r="X42" s="13" t="inlineStr">
        <is>
          <t>راسب</t>
        </is>
      </c>
      <c r="Y42" s="13" t="n">
        <v>15</v>
      </c>
      <c r="Z42" s="13" t="n">
        <v>20</v>
      </c>
      <c r="AA42" s="13" t="n">
        <v>24</v>
      </c>
      <c r="AB42" s="13">
        <f>IF(ISNUMBER(X42),X42+N(Y42)+N(Z42)+N(AA42),X42)</f>
        <v/>
      </c>
      <c r="AC42" s="13">
        <f>IF(ISNUMBER(AB42),AB42,"")</f>
        <v/>
      </c>
      <c r="AD42" s="13">
        <f>IF(ISNUMBER(AC42),_xlfn.RANK.EQ(AC42,$AC$2:$AC$1031),"")</f>
        <v/>
      </c>
      <c r="AE42" s="15">
        <f>IF(ISNUMBER(AF42),AF42/3630,"")</f>
        <v/>
      </c>
      <c r="AF42" s="14">
        <f>IFERROR(C42+D42+E42+F42+J42+K42+L42+M42+Q42+R42+S42+T42+IF(ISNUMBER(X42),X42,0)+N(Y42)+N(Z42)+N(AA42),"")</f>
        <v/>
      </c>
      <c r="AG42" s="14">
        <f>IF(ISNUMBER(AF42),AF42,"")</f>
        <v/>
      </c>
      <c r="AH42" s="14">
        <f>IF(ISNUMBER(AG42),_xlfn.RANK.EQ(AG42,$AG$2:$AG$1031),"")</f>
        <v/>
      </c>
    </row>
    <row r="43">
      <c r="A43" s="18" t="n">
        <v>91</v>
      </c>
      <c r="B43" s="18" t="inlineStr">
        <is>
          <t>احمد عصام محمد الشيخ</t>
        </is>
      </c>
      <c r="C43" s="1" t="n">
        <v>638.6</v>
      </c>
      <c r="D43" s="1" t="n">
        <v>25</v>
      </c>
      <c r="E43" s="1" t="n">
        <v>24</v>
      </c>
      <c r="F43" s="1" t="n">
        <v>24</v>
      </c>
      <c r="G43" s="1">
        <f>C43+D43+E43+F43</f>
        <v/>
      </c>
      <c r="H43" s="1">
        <f>IF(ISNUMBER(G43),G43,"")</f>
        <v/>
      </c>
      <c r="I43" s="1">
        <f>_xlfn.RANK.EQ(H43,$H$2:$H$1031)</f>
        <v/>
      </c>
      <c r="J43" s="5" t="n">
        <v>631</v>
      </c>
      <c r="K43" s="5" t="n">
        <v>49</v>
      </c>
      <c r="L43" s="5" t="n">
        <v>23</v>
      </c>
      <c r="M43" s="5" t="n">
        <v>25</v>
      </c>
      <c r="N43" s="5">
        <f>J43+K43+L43+M43</f>
        <v/>
      </c>
      <c r="O43" s="5">
        <f>IF(ISNUMBER(N43),N43,"")</f>
        <v/>
      </c>
      <c r="P43" s="5">
        <f>_xlfn.RANK.EQ(O43,$O$2:$O$1031)</f>
        <v/>
      </c>
      <c r="Q43" s="9" t="n">
        <v>283</v>
      </c>
      <c r="R43" s="9" t="n">
        <v>48.5</v>
      </c>
      <c r="S43" s="9" t="n">
        <v>25</v>
      </c>
      <c r="T43" s="9" t="n">
        <v>25</v>
      </c>
      <c r="U43" s="9">
        <f>Q43+R43+S43+T43</f>
        <v/>
      </c>
      <c r="V43" s="9">
        <f>IF(ISNUMBER(U43),U43,"")</f>
        <v/>
      </c>
      <c r="W43" s="9">
        <f>_xlfn.RANK.EQ(V43,$V$2:$V$1031)</f>
        <v/>
      </c>
      <c r="X43" s="13" t="n">
        <v>1577.8791666667</v>
      </c>
      <c r="Y43" s="13" t="n">
        <v>24.5</v>
      </c>
      <c r="Z43" s="13" t="n">
        <v>25</v>
      </c>
      <c r="AA43" s="13" t="n">
        <v>25</v>
      </c>
      <c r="AB43" s="13">
        <f>IF(ISNUMBER(X43),X43+N(Y43)+N(Z43)+N(AA43),X43)</f>
        <v/>
      </c>
      <c r="AC43" s="13">
        <f>IF(ISNUMBER(AB43),AB43,"")</f>
        <v/>
      </c>
      <c r="AD43" s="13">
        <f>IF(ISNUMBER(AC43),_xlfn.RANK.EQ(AC43,$AC$2:$AC$1031),"")</f>
        <v/>
      </c>
      <c r="AE43" s="15">
        <f>IF(ISNUMBER(AF43),AF43/3630,"")</f>
        <v/>
      </c>
      <c r="AF43" s="14">
        <f>IFERROR(C43+D43+E43+F43+J43+K43+L43+M43+Q43+R43+S43+T43+IF(ISNUMBER(X43),X43,0)+N(Y43)+N(Z43)+N(AA43),"")</f>
        <v/>
      </c>
      <c r="AG43" s="14">
        <f>IF(ISNUMBER(AF43),AF43,"")</f>
        <v/>
      </c>
      <c r="AH43" s="14">
        <f>IF(ISNUMBER(AG43),_xlfn.RANK.EQ(AG43,$AG$2:$AG$1031),"")</f>
        <v/>
      </c>
    </row>
    <row r="44">
      <c r="A44" s="18" t="n">
        <v>93</v>
      </c>
      <c r="B44" s="18" t="inlineStr">
        <is>
          <t>احمد عصام محمود عبدالحميد الرسول</t>
        </is>
      </c>
      <c r="C44" s="1" t="n">
        <v>550.6</v>
      </c>
      <c r="D44" s="1" t="n">
        <v>22</v>
      </c>
      <c r="E44" s="1" t="n">
        <v>23</v>
      </c>
      <c r="F44" s="1" t="n">
        <v>22</v>
      </c>
      <c r="G44" s="1">
        <f>C44+D44+E44+F44</f>
        <v/>
      </c>
      <c r="H44" s="1">
        <f>IF(ISNUMBER(G44),G44,"")</f>
        <v/>
      </c>
      <c r="I44" s="1">
        <f>_xlfn.RANK.EQ(H44,$H$2:$H$1031)</f>
        <v/>
      </c>
      <c r="J44" s="5" t="n">
        <v>549.5</v>
      </c>
      <c r="K44" s="5" t="n">
        <v>39</v>
      </c>
      <c r="L44" s="5" t="n">
        <v>20</v>
      </c>
      <c r="M44" s="5" t="n">
        <v>19</v>
      </c>
      <c r="N44" s="5">
        <f>J44+K44+L44+M44</f>
        <v/>
      </c>
      <c r="O44" s="5">
        <f>IF(ISNUMBER(N44),N44,"")</f>
        <v/>
      </c>
      <c r="P44" s="5">
        <f>_xlfn.RANK.EQ(O44,$O$2:$O$1031)</f>
        <v/>
      </c>
      <c r="Q44" s="9" t="inlineStr">
        <is>
          <t>راسب</t>
        </is>
      </c>
      <c r="R44" s="9" t="n"/>
      <c r="S44" s="9" t="n">
        <v>22</v>
      </c>
      <c r="T44" s="9" t="n">
        <v>23.5</v>
      </c>
      <c r="U44" s="9">
        <f>Q44+R44+S44+T44</f>
        <v/>
      </c>
      <c r="V44" s="9">
        <f>IF(ISNUMBER(U44),U44,"")</f>
        <v/>
      </c>
      <c r="W44" s="9">
        <f>_xlfn.RANK.EQ(V44,$V$2:$V$1031)</f>
        <v/>
      </c>
      <c r="X44" s="13" t="n">
        <v>1295.8833333333</v>
      </c>
      <c r="Y44" s="13" t="n">
        <v>25</v>
      </c>
      <c r="Z44" s="13" t="n">
        <v>25</v>
      </c>
      <c r="AA44" s="13" t="n">
        <v>24</v>
      </c>
      <c r="AB44" s="13">
        <f>IF(ISNUMBER(X44),X44+N(Y44)+N(Z44)+N(AA44),X44)</f>
        <v/>
      </c>
      <c r="AC44" s="13">
        <f>IF(ISNUMBER(AB44),AB44,"")</f>
        <v/>
      </c>
      <c r="AD44" s="13">
        <f>IF(ISNUMBER(AC44),_xlfn.RANK.EQ(AC44,$AC$2:$AC$1031),"")</f>
        <v/>
      </c>
      <c r="AE44" s="15">
        <f>IF(ISNUMBER(AF44),AF44/3630,"")</f>
        <v/>
      </c>
      <c r="AF44" s="14">
        <f>IFERROR(C44+D44+E44+F44+J44+K44+L44+M44+Q44+R44+S44+T44+IF(ISNUMBER(X44),X44,0)+N(Y44)+N(Z44)+N(AA44),"")</f>
        <v/>
      </c>
      <c r="AG44" s="14">
        <f>IF(ISNUMBER(AF44),AF44,"")</f>
        <v/>
      </c>
      <c r="AH44" s="14">
        <f>IF(ISNUMBER(AG44),_xlfn.RANK.EQ(AG44,$AG$2:$AG$1031),"")</f>
        <v/>
      </c>
    </row>
    <row r="45">
      <c r="A45" s="18" t="n">
        <v>95</v>
      </c>
      <c r="B45" s="18" t="inlineStr">
        <is>
          <t>احمد علاء كامل محمد علي جنيدي</t>
        </is>
      </c>
      <c r="C45" s="1" t="n">
        <v>539.8</v>
      </c>
      <c r="D45" s="1" t="n">
        <v>21</v>
      </c>
      <c r="E45" s="1" t="n">
        <v>20</v>
      </c>
      <c r="F45" s="1" t="n">
        <v>20</v>
      </c>
      <c r="G45" s="1">
        <f>C45+D45+E45+F45</f>
        <v/>
      </c>
      <c r="H45" s="1">
        <f>IF(ISNUMBER(G45),G45,"")</f>
        <v/>
      </c>
      <c r="I45" s="1">
        <f>_xlfn.RANK.EQ(H45,$H$2:$H$1031)</f>
        <v/>
      </c>
      <c r="J45" s="5" t="n">
        <v>531</v>
      </c>
      <c r="K45" s="5" t="n">
        <v>49</v>
      </c>
      <c r="L45" s="5" t="n">
        <v>20</v>
      </c>
      <c r="M45" s="5" t="n">
        <v>25</v>
      </c>
      <c r="N45" s="5">
        <f>J45+K45+L45+M45</f>
        <v/>
      </c>
      <c r="O45" s="5">
        <f>IF(ISNUMBER(N45),N45,"")</f>
        <v/>
      </c>
      <c r="P45" s="5">
        <f>_xlfn.RANK.EQ(O45,$O$2:$O$1031)</f>
        <v/>
      </c>
      <c r="Q45" s="9" t="n">
        <v>222</v>
      </c>
      <c r="R45" s="9" t="n">
        <v>48</v>
      </c>
      <c r="S45" s="9" t="n">
        <v>25</v>
      </c>
      <c r="T45" s="9" t="n">
        <v>18</v>
      </c>
      <c r="U45" s="9">
        <f>Q45+R45+S45+T45</f>
        <v/>
      </c>
      <c r="V45" s="9">
        <f>IF(ISNUMBER(U45),U45,"")</f>
        <v/>
      </c>
      <c r="W45" s="9">
        <f>_xlfn.RANK.EQ(V45,$V$2:$V$1031)</f>
        <v/>
      </c>
      <c r="X45" s="13" t="n">
        <v>1413.05</v>
      </c>
      <c r="Y45" s="13" t="n">
        <v>25</v>
      </c>
      <c r="Z45" s="13" t="n">
        <v>25</v>
      </c>
      <c r="AA45" s="13" t="n">
        <v>21</v>
      </c>
      <c r="AB45" s="13">
        <f>IF(ISNUMBER(X45),X45+N(Y45)+N(Z45)+N(AA45),X45)</f>
        <v/>
      </c>
      <c r="AC45" s="13">
        <f>IF(ISNUMBER(AB45),AB45,"")</f>
        <v/>
      </c>
      <c r="AD45" s="13">
        <f>IF(ISNUMBER(AC45),_xlfn.RANK.EQ(AC45,$AC$2:$AC$1031),"")</f>
        <v/>
      </c>
      <c r="AE45" s="15">
        <f>IF(ISNUMBER(AF45),AF45/3630,"")</f>
        <v/>
      </c>
      <c r="AF45" s="14">
        <f>IFERROR(C45+D45+E45+F45+J45+K45+L45+M45+Q45+R45+S45+T45+IF(ISNUMBER(X45),X45,0)+N(Y45)+N(Z45)+N(AA45),"")</f>
        <v/>
      </c>
      <c r="AG45" s="14">
        <f>IF(ISNUMBER(AF45),AF45,"")</f>
        <v/>
      </c>
      <c r="AH45" s="14">
        <f>IF(ISNUMBER(AG45),_xlfn.RANK.EQ(AG45,$AG$2:$AG$1031),"")</f>
        <v/>
      </c>
    </row>
    <row r="46">
      <c r="A46" s="18" t="n">
        <v>97</v>
      </c>
      <c r="B46" s="18" t="inlineStr">
        <is>
          <t>احمد عماد الدين شاكر مصطفى</t>
        </is>
      </c>
      <c r="C46" s="1" t="n">
        <v>413.75</v>
      </c>
      <c r="D46" s="1" t="n">
        <v>15</v>
      </c>
      <c r="E46" s="1" t="n">
        <v>13</v>
      </c>
      <c r="F46" s="1" t="n">
        <v>18</v>
      </c>
      <c r="G46" s="1">
        <f>C46+D46+E46+F46</f>
        <v/>
      </c>
      <c r="H46" s="1">
        <f>IF(ISNUMBER(G46),G46,"")</f>
        <v/>
      </c>
      <c r="I46" s="1">
        <f>_xlfn.RANK.EQ(H46,$H$2:$H$1031)</f>
        <v/>
      </c>
      <c r="J46" s="5" t="n">
        <v>480.7</v>
      </c>
      <c r="K46" s="5" t="n">
        <v>46</v>
      </c>
      <c r="L46" s="5" t="n">
        <v>18</v>
      </c>
      <c r="M46" s="5" t="n">
        <v>15</v>
      </c>
      <c r="N46" s="5">
        <f>J46+K46+L46+M46</f>
        <v/>
      </c>
      <c r="O46" s="5">
        <f>IF(ISNUMBER(N46),N46,"")</f>
        <v/>
      </c>
      <c r="P46" s="5">
        <f>_xlfn.RANK.EQ(O46,$O$2:$O$1031)</f>
        <v/>
      </c>
      <c r="Q46" s="9" t="inlineStr">
        <is>
          <t>راسب</t>
        </is>
      </c>
      <c r="R46" s="9" t="n">
        <v>31</v>
      </c>
      <c r="S46" s="9" t="n">
        <v>25</v>
      </c>
      <c r="T46" s="9" t="n">
        <v>24</v>
      </c>
      <c r="U46" s="9">
        <f>Q46+R46+S46+T46</f>
        <v/>
      </c>
      <c r="V46" s="9">
        <f>IF(ISNUMBER(U46),U46,"")</f>
        <v/>
      </c>
      <c r="W46" s="9">
        <f>_xlfn.RANK.EQ(V46,$V$2:$V$1031)</f>
        <v/>
      </c>
      <c r="X46" s="13" t="inlineStr">
        <is>
          <t>راسب</t>
        </is>
      </c>
      <c r="Y46" s="13" t="n">
        <v>23</v>
      </c>
      <c r="Z46" s="13" t="n">
        <v>25</v>
      </c>
      <c r="AA46" s="13" t="n">
        <v>22</v>
      </c>
      <c r="AB46" s="13">
        <f>IF(ISNUMBER(X46),X46+N(Y46)+N(Z46)+N(AA46),X46)</f>
        <v/>
      </c>
      <c r="AC46" s="13">
        <f>IF(ISNUMBER(AB46),AB46,"")</f>
        <v/>
      </c>
      <c r="AD46" s="13">
        <f>IF(ISNUMBER(AC46),_xlfn.RANK.EQ(AC46,$AC$2:$AC$1031),"")</f>
        <v/>
      </c>
      <c r="AE46" s="15">
        <f>IF(ISNUMBER(AF46),AF46/3630,"")</f>
        <v/>
      </c>
      <c r="AF46" s="14">
        <f>IFERROR(C46+D46+E46+F46+J46+K46+L46+M46+Q46+R46+S46+T46+IF(ISNUMBER(X46),X46,0)+N(Y46)+N(Z46)+N(AA46),"")</f>
        <v/>
      </c>
      <c r="AG46" s="14">
        <f>IF(ISNUMBER(AF46),AF46,"")</f>
        <v/>
      </c>
      <c r="AH46" s="14">
        <f>IF(ISNUMBER(AG46),_xlfn.RANK.EQ(AG46,$AG$2:$AG$1031),"")</f>
        <v/>
      </c>
    </row>
    <row r="47">
      <c r="A47" s="18" t="n">
        <v>100</v>
      </c>
      <c r="B47" s="18" t="inlineStr">
        <is>
          <t>احمد عمرو عبد العظيم حبيب</t>
        </is>
      </c>
      <c r="C47" s="1" t="n">
        <v>578.6</v>
      </c>
      <c r="D47" s="1" t="n">
        <v>22</v>
      </c>
      <c r="E47" s="1" t="n">
        <v>22</v>
      </c>
      <c r="F47" s="1" t="n">
        <v>18</v>
      </c>
      <c r="G47" s="1">
        <f>C47+D47+E47+F47</f>
        <v/>
      </c>
      <c r="H47" s="1">
        <f>IF(ISNUMBER(G47),G47,"")</f>
        <v/>
      </c>
      <c r="I47" s="1">
        <f>_xlfn.RANK.EQ(H47,$H$2:$H$1031)</f>
        <v/>
      </c>
      <c r="J47" s="5" t="n">
        <v>599.1</v>
      </c>
      <c r="K47" s="5" t="n">
        <v>42</v>
      </c>
      <c r="L47" s="5" t="n">
        <v>20</v>
      </c>
      <c r="M47" s="5" t="n">
        <v>22</v>
      </c>
      <c r="N47" s="5">
        <f>J47+K47+L47+M47</f>
        <v/>
      </c>
      <c r="O47" s="5">
        <f>IF(ISNUMBER(N47),N47,"")</f>
        <v/>
      </c>
      <c r="P47" s="5">
        <f>_xlfn.RANK.EQ(O47,$O$2:$O$1031)</f>
        <v/>
      </c>
      <c r="Q47" s="9" t="n">
        <v>270.5</v>
      </c>
      <c r="R47" s="9" t="n">
        <v>41</v>
      </c>
      <c r="S47" s="9" t="n">
        <v>24</v>
      </c>
      <c r="T47" s="9" t="n">
        <v>23.5</v>
      </c>
      <c r="U47" s="9">
        <f>Q47+R47+S47+T47</f>
        <v/>
      </c>
      <c r="V47" s="9">
        <f>IF(ISNUMBER(U47),U47,"")</f>
        <v/>
      </c>
      <c r="W47" s="9">
        <f>_xlfn.RANK.EQ(V47,$V$2:$V$1031)</f>
        <v/>
      </c>
      <c r="X47" s="13" t="n">
        <v>1516.05</v>
      </c>
      <c r="Y47" s="13" t="n">
        <v>24.5</v>
      </c>
      <c r="Z47" s="13" t="n">
        <v>21</v>
      </c>
      <c r="AA47" s="13" t="n">
        <v>20</v>
      </c>
      <c r="AB47" s="13">
        <f>IF(ISNUMBER(X47),X47+N(Y47)+N(Z47)+N(AA47),X47)</f>
        <v/>
      </c>
      <c r="AC47" s="13">
        <f>IF(ISNUMBER(AB47),AB47,"")</f>
        <v/>
      </c>
      <c r="AD47" s="13">
        <f>IF(ISNUMBER(AC47),_xlfn.RANK.EQ(AC47,$AC$2:$AC$1031),"")</f>
        <v/>
      </c>
      <c r="AE47" s="15">
        <f>IF(ISNUMBER(AF47),AF47/3630,"")</f>
        <v/>
      </c>
      <c r="AF47" s="14">
        <f>IFERROR(C47+D47+E47+F47+J47+K47+L47+M47+Q47+R47+S47+T47+IF(ISNUMBER(X47),X47,0)+N(Y47)+N(Z47)+N(AA47),"")</f>
        <v/>
      </c>
      <c r="AG47" s="14">
        <f>IF(ISNUMBER(AF47),AF47,"")</f>
        <v/>
      </c>
      <c r="AH47" s="14">
        <f>IF(ISNUMBER(AG47),_xlfn.RANK.EQ(AG47,$AG$2:$AG$1031),"")</f>
        <v/>
      </c>
    </row>
    <row r="48">
      <c r="A48" s="18" t="n">
        <v>101</v>
      </c>
      <c r="B48" s="18" t="inlineStr">
        <is>
          <t>احمد عيد عبدالمقصود محمد جادالله</t>
        </is>
      </c>
      <c r="C48" s="1" t="n">
        <v>609.1</v>
      </c>
      <c r="D48" s="1" t="n">
        <v>24</v>
      </c>
      <c r="E48" s="1" t="n">
        <v>20</v>
      </c>
      <c r="F48" s="1" t="n">
        <v>19</v>
      </c>
      <c r="G48" s="1">
        <f>C48+D48+E48+F48</f>
        <v/>
      </c>
      <c r="H48" s="1">
        <f>IF(ISNUMBER(G48),G48,"")</f>
        <v/>
      </c>
      <c r="I48" s="1">
        <f>_xlfn.RANK.EQ(H48,$H$2:$H$1031)</f>
        <v/>
      </c>
      <c r="J48" s="5" t="n">
        <v>572.5</v>
      </c>
      <c r="K48" s="5" t="n">
        <v>45</v>
      </c>
      <c r="L48" s="5" t="n">
        <v>19</v>
      </c>
      <c r="M48" s="5" t="n">
        <v>17</v>
      </c>
      <c r="N48" s="5">
        <f>J48+K48+L48+M48</f>
        <v/>
      </c>
      <c r="O48" s="5">
        <f>IF(ISNUMBER(N48),N48,"")</f>
        <v/>
      </c>
      <c r="P48" s="5">
        <f>_xlfn.RANK.EQ(O48,$O$2:$O$1031)</f>
        <v/>
      </c>
      <c r="Q48" s="9" t="n">
        <v>243</v>
      </c>
      <c r="R48" s="9" t="n">
        <v>44</v>
      </c>
      <c r="S48" s="9" t="n">
        <v>19</v>
      </c>
      <c r="T48" s="9" t="n">
        <v>24.5</v>
      </c>
      <c r="U48" s="9">
        <f>Q48+R48+S48+T48</f>
        <v/>
      </c>
      <c r="V48" s="9">
        <f>IF(ISNUMBER(U48),U48,"")</f>
        <v/>
      </c>
      <c r="W48" s="9">
        <f>_xlfn.RANK.EQ(V48,$V$2:$V$1031)</f>
        <v/>
      </c>
      <c r="X48" s="13" t="n">
        <v>1454.75</v>
      </c>
      <c r="Y48" s="13" t="n">
        <v>24</v>
      </c>
      <c r="Z48" s="13" t="n">
        <v>25</v>
      </c>
      <c r="AA48" s="13" t="n">
        <v>22</v>
      </c>
      <c r="AB48" s="13">
        <f>IF(ISNUMBER(X48),X48+N(Y48)+N(Z48)+N(AA48),X48)</f>
        <v/>
      </c>
      <c r="AC48" s="13">
        <f>IF(ISNUMBER(AB48),AB48,"")</f>
        <v/>
      </c>
      <c r="AD48" s="13">
        <f>IF(ISNUMBER(AC48),_xlfn.RANK.EQ(AC48,$AC$2:$AC$1031),"")</f>
        <v/>
      </c>
      <c r="AE48" s="15">
        <f>IF(ISNUMBER(AF48),AF48/3630,"")</f>
        <v/>
      </c>
      <c r="AF48" s="14">
        <f>IFERROR(C48+D48+E48+F48+J48+K48+L48+M48+Q48+R48+S48+T48+IF(ISNUMBER(X48),X48,0)+N(Y48)+N(Z48)+N(AA48),"")</f>
        <v/>
      </c>
      <c r="AG48" s="14">
        <f>IF(ISNUMBER(AF48),AF48,"")</f>
        <v/>
      </c>
      <c r="AH48" s="14">
        <f>IF(ISNUMBER(AG48),_xlfn.RANK.EQ(AG48,$AG$2:$AG$1031),"")</f>
        <v/>
      </c>
    </row>
    <row r="49">
      <c r="A49" s="18" t="n">
        <v>107</v>
      </c>
      <c r="B49" s="18" t="inlineStr">
        <is>
          <t>احمد فرج الله خضر احمد عبد العال</t>
        </is>
      </c>
      <c r="C49" s="1" t="n">
        <v>628.6</v>
      </c>
      <c r="D49" s="1" t="n">
        <v>25</v>
      </c>
      <c r="E49" s="1" t="n">
        <v>24</v>
      </c>
      <c r="F49" s="1" t="n">
        <v>25</v>
      </c>
      <c r="G49" s="1">
        <f>C49+D49+E49+F49</f>
        <v/>
      </c>
      <c r="H49" s="1">
        <f>IF(ISNUMBER(G49),G49,"")</f>
        <v/>
      </c>
      <c r="I49" s="1">
        <f>_xlfn.RANK.EQ(H49,$H$2:$H$1031)</f>
        <v/>
      </c>
      <c r="J49" s="5" t="n">
        <v>611.4</v>
      </c>
      <c r="K49" s="5" t="n">
        <v>50</v>
      </c>
      <c r="L49" s="5" t="n">
        <v>21</v>
      </c>
      <c r="M49" s="5" t="n">
        <v>22</v>
      </c>
      <c r="N49" s="5">
        <f>J49+K49+L49+M49</f>
        <v/>
      </c>
      <c r="O49" s="5">
        <f>IF(ISNUMBER(N49),N49,"")</f>
        <v/>
      </c>
      <c r="P49" s="5">
        <f>_xlfn.RANK.EQ(O49,$O$2:$O$1031)</f>
        <v/>
      </c>
      <c r="Q49" s="9" t="n">
        <v>271</v>
      </c>
      <c r="R49" s="9" t="n">
        <v>47.5</v>
      </c>
      <c r="S49" s="9" t="n">
        <v>25</v>
      </c>
      <c r="T49" s="9" t="n">
        <v>24.5</v>
      </c>
      <c r="U49" s="9">
        <f>Q49+R49+S49+T49</f>
        <v/>
      </c>
      <c r="V49" s="9">
        <f>IF(ISNUMBER(U49),U49,"")</f>
        <v/>
      </c>
      <c r="W49" s="9">
        <f>_xlfn.RANK.EQ(V49,$V$2:$V$1031)</f>
        <v/>
      </c>
      <c r="X49" s="13" t="n">
        <v>1485.8458333333</v>
      </c>
      <c r="Y49" s="13" t="n">
        <v>24.5</v>
      </c>
      <c r="Z49" s="13" t="n">
        <v>25</v>
      </c>
      <c r="AA49" s="13" t="n">
        <v>24</v>
      </c>
      <c r="AB49" s="13">
        <f>IF(ISNUMBER(X49),X49+N(Y49)+N(Z49)+N(AA49),X49)</f>
        <v/>
      </c>
      <c r="AC49" s="13">
        <f>IF(ISNUMBER(AB49),AB49,"")</f>
        <v/>
      </c>
      <c r="AD49" s="13">
        <f>IF(ISNUMBER(AC49),_xlfn.RANK.EQ(AC49,$AC$2:$AC$1031),"")</f>
        <v/>
      </c>
      <c r="AE49" s="15">
        <f>IF(ISNUMBER(AF49),AF49/3630,"")</f>
        <v/>
      </c>
      <c r="AF49" s="14">
        <f>IFERROR(C49+D49+E49+F49+J49+K49+L49+M49+Q49+R49+S49+T49+IF(ISNUMBER(X49),X49,0)+N(Y49)+N(Z49)+N(AA49),"")</f>
        <v/>
      </c>
      <c r="AG49" s="14">
        <f>IF(ISNUMBER(AF49),AF49,"")</f>
        <v/>
      </c>
      <c r="AH49" s="14">
        <f>IF(ISNUMBER(AG49),_xlfn.RANK.EQ(AG49,$AG$2:$AG$1031),"")</f>
        <v/>
      </c>
    </row>
    <row r="50">
      <c r="A50" s="18" t="n">
        <v>109</v>
      </c>
      <c r="B50" s="18" t="inlineStr">
        <is>
          <t>احمد كارم محمود السيد الجميعى</t>
        </is>
      </c>
      <c r="C50" s="1" t="n">
        <v>591.1</v>
      </c>
      <c r="D50" s="1" t="n">
        <v>23</v>
      </c>
      <c r="E50" s="1" t="n">
        <v>24</v>
      </c>
      <c r="F50" s="1" t="n">
        <v>21</v>
      </c>
      <c r="G50" s="1">
        <f>C50+D50+E50+F50</f>
        <v/>
      </c>
      <c r="H50" s="1">
        <f>IF(ISNUMBER(G50),G50,"")</f>
        <v/>
      </c>
      <c r="I50" s="1">
        <f>_xlfn.RANK.EQ(H50,$H$2:$H$1031)</f>
        <v/>
      </c>
      <c r="J50" s="5" t="n">
        <v>600.3</v>
      </c>
      <c r="K50" s="5" t="n">
        <v>48</v>
      </c>
      <c r="L50" s="5" t="n">
        <v>22</v>
      </c>
      <c r="M50" s="5" t="n">
        <v>24</v>
      </c>
      <c r="N50" s="5">
        <f>J50+K50+L50+M50</f>
        <v/>
      </c>
      <c r="O50" s="5">
        <f>IF(ISNUMBER(N50),N50,"")</f>
        <v/>
      </c>
      <c r="P50" s="5">
        <f>_xlfn.RANK.EQ(O50,$O$2:$O$1031)</f>
        <v/>
      </c>
      <c r="Q50" s="9" t="n">
        <v>264</v>
      </c>
      <c r="R50" s="9" t="n">
        <v>48</v>
      </c>
      <c r="S50" s="9" t="n">
        <v>23</v>
      </c>
      <c r="T50" s="9" t="n">
        <v>23.5</v>
      </c>
      <c r="U50" s="9">
        <f>Q50+R50+S50+T50</f>
        <v/>
      </c>
      <c r="V50" s="9">
        <f>IF(ISNUMBER(U50),U50,"")</f>
        <v/>
      </c>
      <c r="W50" s="9">
        <f>_xlfn.RANK.EQ(V50,$V$2:$V$1031)</f>
        <v/>
      </c>
      <c r="X50" s="13" t="n">
        <v>1493.0166666667</v>
      </c>
      <c r="Y50" s="13" t="n">
        <v>25</v>
      </c>
      <c r="Z50" s="13" t="n">
        <v>22.5</v>
      </c>
      <c r="AA50" s="13" t="n">
        <v>23</v>
      </c>
      <c r="AB50" s="13">
        <f>IF(ISNUMBER(X50),X50+N(Y50)+N(Z50)+N(AA50),X50)</f>
        <v/>
      </c>
      <c r="AC50" s="13">
        <f>IF(ISNUMBER(AB50),AB50,"")</f>
        <v/>
      </c>
      <c r="AD50" s="13">
        <f>IF(ISNUMBER(AC50),_xlfn.RANK.EQ(AC50,$AC$2:$AC$1031),"")</f>
        <v/>
      </c>
      <c r="AE50" s="15">
        <f>IF(ISNUMBER(AF50),AF50/3630,"")</f>
        <v/>
      </c>
      <c r="AF50" s="14">
        <f>IFERROR(C50+D50+E50+F50+J50+K50+L50+M50+Q50+R50+S50+T50+IF(ISNUMBER(X50),X50,0)+N(Y50)+N(Z50)+N(AA50),"")</f>
        <v/>
      </c>
      <c r="AG50" s="14">
        <f>IF(ISNUMBER(AF50),AF50,"")</f>
        <v/>
      </c>
      <c r="AH50" s="14">
        <f>IF(ISNUMBER(AG50),_xlfn.RANK.EQ(AG50,$AG$2:$AG$1031),"")</f>
        <v/>
      </c>
    </row>
    <row r="51">
      <c r="A51" s="18" t="n">
        <v>110</v>
      </c>
      <c r="B51" s="18" t="inlineStr">
        <is>
          <t>احمد كريم ابراهيم خليل شرشر</t>
        </is>
      </c>
      <c r="C51" s="1" t="n">
        <v>460.25</v>
      </c>
      <c r="D51" s="1" t="n">
        <v>19</v>
      </c>
      <c r="E51" s="1" t="n">
        <v>17</v>
      </c>
      <c r="F51" s="1" t="n">
        <v>23</v>
      </c>
      <c r="G51" s="1">
        <f>C51+D51+E51+F51</f>
        <v/>
      </c>
      <c r="H51" s="1">
        <f>IF(ISNUMBER(G51),G51,"")</f>
        <v/>
      </c>
      <c r="I51" s="1">
        <f>_xlfn.RANK.EQ(H51,$H$2:$H$1031)</f>
        <v/>
      </c>
      <c r="J51" s="5" t="n">
        <v>421.2</v>
      </c>
      <c r="K51" s="5" t="n">
        <v>49</v>
      </c>
      <c r="L51" s="5" t="n">
        <v>20</v>
      </c>
      <c r="M51" s="5" t="n">
        <v>18</v>
      </c>
      <c r="N51" s="5">
        <f>J51+K51+L51+M51</f>
        <v/>
      </c>
      <c r="O51" s="5">
        <f>IF(ISNUMBER(N51),N51,"")</f>
        <v/>
      </c>
      <c r="P51" s="5">
        <f>_xlfn.RANK.EQ(O51,$O$2:$O$1031)</f>
        <v/>
      </c>
      <c r="Q51" s="9" t="n">
        <v>199.75</v>
      </c>
      <c r="R51" s="9" t="n">
        <v>41.5</v>
      </c>
      <c r="S51" s="9" t="n">
        <v>24</v>
      </c>
      <c r="T51" s="9" t="n">
        <v>21.5</v>
      </c>
      <c r="U51" s="9">
        <f>Q51+R51+S51+T51</f>
        <v/>
      </c>
      <c r="V51" s="9">
        <f>IF(ISNUMBER(U51),U51,"")</f>
        <v/>
      </c>
      <c r="W51" s="9">
        <f>_xlfn.RANK.EQ(V51,$V$2:$V$1031)</f>
        <v/>
      </c>
      <c r="X51" s="13" t="inlineStr">
        <is>
          <t>راسب</t>
        </is>
      </c>
      <c r="Y51" s="13" t="n">
        <v>24</v>
      </c>
      <c r="Z51" s="13" t="n">
        <v>22</v>
      </c>
      <c r="AA51" s="13" t="n">
        <v>14</v>
      </c>
      <c r="AB51" s="13">
        <f>IF(ISNUMBER(X51),X51+N(Y51)+N(Z51)+N(AA51),X51)</f>
        <v/>
      </c>
      <c r="AC51" s="13">
        <f>IF(ISNUMBER(AB51),AB51,"")</f>
        <v/>
      </c>
      <c r="AD51" s="13">
        <f>IF(ISNUMBER(AC51),_xlfn.RANK.EQ(AC51,$AC$2:$AC$1031),"")</f>
        <v/>
      </c>
      <c r="AE51" s="15">
        <f>IF(ISNUMBER(AF51),AF51/3630,"")</f>
        <v/>
      </c>
      <c r="AF51" s="14">
        <f>IFERROR(C51+D51+E51+F51+J51+K51+L51+M51+Q51+R51+S51+T51+IF(ISNUMBER(X51),X51,0)+N(Y51)+N(Z51)+N(AA51),"")</f>
        <v/>
      </c>
      <c r="AG51" s="14">
        <f>IF(ISNUMBER(AF51),AF51,"")</f>
        <v/>
      </c>
      <c r="AH51" s="14">
        <f>IF(ISNUMBER(AG51),_xlfn.RANK.EQ(AG51,$AG$2:$AG$1031),"")</f>
        <v/>
      </c>
    </row>
    <row r="52">
      <c r="A52" s="18" t="n">
        <v>112</v>
      </c>
      <c r="B52" s="18" t="inlineStr">
        <is>
          <t>احمد ماهر ابراهيم الدسوقى محمد الشحات</t>
        </is>
      </c>
      <c r="C52" s="1" t="n">
        <v>604.6</v>
      </c>
      <c r="D52" s="1" t="n">
        <v>25</v>
      </c>
      <c r="E52" s="1" t="n">
        <v>25</v>
      </c>
      <c r="F52" s="1" t="n">
        <v>24</v>
      </c>
      <c r="G52" s="1">
        <f>C52+D52+E52+F52</f>
        <v/>
      </c>
      <c r="H52" s="1">
        <f>IF(ISNUMBER(G52),G52,"")</f>
        <v/>
      </c>
      <c r="I52" s="1">
        <f>_xlfn.RANK.EQ(H52,$H$2:$H$1031)</f>
        <v/>
      </c>
      <c r="J52" s="5" t="n">
        <v>604.9</v>
      </c>
      <c r="K52" s="5" t="n">
        <v>48</v>
      </c>
      <c r="L52" s="5" t="n">
        <v>21</v>
      </c>
      <c r="M52" s="5" t="n">
        <v>22</v>
      </c>
      <c r="N52" s="5">
        <f>J52+K52+L52+M52</f>
        <v/>
      </c>
      <c r="O52" s="5">
        <f>IF(ISNUMBER(N52),N52,"")</f>
        <v/>
      </c>
      <c r="P52" s="5">
        <f>_xlfn.RANK.EQ(O52,$O$2:$O$1031)</f>
        <v/>
      </c>
      <c r="Q52" s="9" t="n">
        <v>279</v>
      </c>
      <c r="R52" s="9" t="n">
        <v>48.5</v>
      </c>
      <c r="S52" s="9" t="n">
        <v>25</v>
      </c>
      <c r="T52" s="9" t="n">
        <v>24</v>
      </c>
      <c r="U52" s="9">
        <f>Q52+R52+S52+T52</f>
        <v/>
      </c>
      <c r="V52" s="9">
        <f>IF(ISNUMBER(U52),U52,"")</f>
        <v/>
      </c>
      <c r="W52" s="9">
        <f>_xlfn.RANK.EQ(V52,$V$2:$V$1031)</f>
        <v/>
      </c>
      <c r="X52" s="13" t="n">
        <v>1474.2</v>
      </c>
      <c r="Y52" s="13" t="n">
        <v>25</v>
      </c>
      <c r="Z52" s="13" t="n">
        <v>24</v>
      </c>
      <c r="AA52" s="13" t="n">
        <v>23</v>
      </c>
      <c r="AB52" s="13">
        <f>IF(ISNUMBER(X52),X52+N(Y52)+N(Z52)+N(AA52),X52)</f>
        <v/>
      </c>
      <c r="AC52" s="13">
        <f>IF(ISNUMBER(AB52),AB52,"")</f>
        <v/>
      </c>
      <c r="AD52" s="13">
        <f>IF(ISNUMBER(AC52),_xlfn.RANK.EQ(AC52,$AC$2:$AC$1031),"")</f>
        <v/>
      </c>
      <c r="AE52" s="15">
        <f>IF(ISNUMBER(AF52),AF52/3630,"")</f>
        <v/>
      </c>
      <c r="AF52" s="14">
        <f>IFERROR(C52+D52+E52+F52+J52+K52+L52+M52+Q52+R52+S52+T52+IF(ISNUMBER(X52),X52,0)+N(Y52)+N(Z52)+N(AA52),"")</f>
        <v/>
      </c>
      <c r="AG52" s="14">
        <f>IF(ISNUMBER(AF52),AF52,"")</f>
        <v/>
      </c>
      <c r="AH52" s="14">
        <f>IF(ISNUMBER(AG52),_xlfn.RANK.EQ(AG52,$AG$2:$AG$1031),"")</f>
        <v/>
      </c>
    </row>
    <row r="53">
      <c r="A53" s="18" t="n">
        <v>115</v>
      </c>
      <c r="B53" s="18" t="inlineStr">
        <is>
          <t>احمد متولي  محمد  متولي</t>
        </is>
      </c>
      <c r="C53" s="1" t="n">
        <v>512.9</v>
      </c>
      <c r="D53" s="1" t="n">
        <v>22</v>
      </c>
      <c r="E53" s="1" t="n">
        <v>22</v>
      </c>
      <c r="F53" s="1" t="n">
        <v>22</v>
      </c>
      <c r="G53" s="1">
        <f>C53+D53+E53+F53</f>
        <v/>
      </c>
      <c r="H53" s="1">
        <f>IF(ISNUMBER(G53),G53,"")</f>
        <v/>
      </c>
      <c r="I53" s="1">
        <f>_xlfn.RANK.EQ(H53,$H$2:$H$1031)</f>
        <v/>
      </c>
      <c r="J53" s="5" t="n">
        <v>534.6</v>
      </c>
      <c r="K53" s="5" t="n">
        <v>35</v>
      </c>
      <c r="L53" s="5" t="n">
        <v>23</v>
      </c>
      <c r="M53" s="5" t="n">
        <v>18</v>
      </c>
      <c r="N53" s="5">
        <f>J53+K53+L53+M53</f>
        <v/>
      </c>
      <c r="O53" s="5">
        <f>IF(ISNUMBER(N53),N53,"")</f>
        <v/>
      </c>
      <c r="P53" s="5">
        <f>_xlfn.RANK.EQ(O53,$O$2:$O$1031)</f>
        <v/>
      </c>
      <c r="Q53" s="9" t="n">
        <v>206</v>
      </c>
      <c r="R53" s="9" t="n">
        <v>38</v>
      </c>
      <c r="S53" s="9" t="n">
        <v>21</v>
      </c>
      <c r="T53" s="9" t="n">
        <v>21.5</v>
      </c>
      <c r="U53" s="9">
        <f>Q53+R53+S53+T53</f>
        <v/>
      </c>
      <c r="V53" s="9">
        <f>IF(ISNUMBER(U53),U53,"")</f>
        <v/>
      </c>
      <c r="W53" s="9">
        <f>_xlfn.RANK.EQ(V53,$V$2:$V$1031)</f>
        <v/>
      </c>
      <c r="X53" s="13" t="n">
        <v>1139.2208333333</v>
      </c>
      <c r="Y53" s="13" t="n">
        <v>21</v>
      </c>
      <c r="Z53" s="13" t="n">
        <v>21</v>
      </c>
      <c r="AA53" s="13" t="n">
        <v>18</v>
      </c>
      <c r="AB53" s="13">
        <f>IF(ISNUMBER(X53),X53+N(Y53)+N(Z53)+N(AA53),X53)</f>
        <v/>
      </c>
      <c r="AC53" s="13">
        <f>IF(ISNUMBER(AB53),AB53,"")</f>
        <v/>
      </c>
      <c r="AD53" s="13">
        <f>IF(ISNUMBER(AC53),_xlfn.RANK.EQ(AC53,$AC$2:$AC$1031),"")</f>
        <v/>
      </c>
      <c r="AE53" s="15">
        <f>IF(ISNUMBER(AF53),AF53/3630,"")</f>
        <v/>
      </c>
      <c r="AF53" s="14">
        <f>IFERROR(C53+D53+E53+F53+J53+K53+L53+M53+Q53+R53+S53+T53+IF(ISNUMBER(X53),X53,0)+N(Y53)+N(Z53)+N(AA53),"")</f>
        <v/>
      </c>
      <c r="AG53" s="14">
        <f>IF(ISNUMBER(AF53),AF53,"")</f>
        <v/>
      </c>
      <c r="AH53" s="14">
        <f>IF(ISNUMBER(AG53),_xlfn.RANK.EQ(AG53,$AG$2:$AG$1031),"")</f>
        <v/>
      </c>
    </row>
    <row r="54">
      <c r="A54" s="18" t="n">
        <v>117</v>
      </c>
      <c r="B54" s="18" t="inlineStr">
        <is>
          <t>احمد محمد  محمد  سعد</t>
        </is>
      </c>
      <c r="C54" s="1" t="n">
        <v>614.6</v>
      </c>
      <c r="D54" s="1" t="n">
        <v>23</v>
      </c>
      <c r="E54" s="1" t="n">
        <v>23</v>
      </c>
      <c r="F54" s="1" t="n">
        <v>22</v>
      </c>
      <c r="G54" s="1">
        <f>C54+D54+E54+F54</f>
        <v/>
      </c>
      <c r="H54" s="1">
        <f>IF(ISNUMBER(G54),G54,"")</f>
        <v/>
      </c>
      <c r="I54" s="1">
        <f>_xlfn.RANK.EQ(H54,$H$2:$H$1031)</f>
        <v/>
      </c>
      <c r="J54" s="5" t="n">
        <v>611.7</v>
      </c>
      <c r="K54" s="5" t="n">
        <v>48</v>
      </c>
      <c r="L54" s="5" t="n">
        <v>21</v>
      </c>
      <c r="M54" s="5" t="n">
        <v>23</v>
      </c>
      <c r="N54" s="5">
        <f>J54+K54+L54+M54</f>
        <v/>
      </c>
      <c r="O54" s="5">
        <f>IF(ISNUMBER(N54),N54,"")</f>
        <v/>
      </c>
      <c r="P54" s="5">
        <f>_xlfn.RANK.EQ(O54,$O$2:$O$1031)</f>
        <v/>
      </c>
      <c r="Q54" s="9" t="n">
        <v>265.5</v>
      </c>
      <c r="R54" s="9" t="n">
        <v>47.5</v>
      </c>
      <c r="S54" s="9" t="n">
        <v>25</v>
      </c>
      <c r="T54" s="9" t="n">
        <v>22.5</v>
      </c>
      <c r="U54" s="9">
        <f>Q54+R54+S54+T54</f>
        <v/>
      </c>
      <c r="V54" s="9">
        <f>IF(ISNUMBER(U54),U54,"")</f>
        <v/>
      </c>
      <c r="W54" s="9">
        <f>_xlfn.RANK.EQ(V54,$V$2:$V$1031)</f>
        <v/>
      </c>
      <c r="X54" s="13" t="n">
        <v>1435.9125</v>
      </c>
      <c r="Y54" s="13" t="n">
        <v>24</v>
      </c>
      <c r="Z54" s="13" t="n">
        <v>23</v>
      </c>
      <c r="AA54" s="13" t="n">
        <v>24</v>
      </c>
      <c r="AB54" s="13">
        <f>IF(ISNUMBER(X54),X54+N(Y54)+N(Z54)+N(AA54),X54)</f>
        <v/>
      </c>
      <c r="AC54" s="13">
        <f>IF(ISNUMBER(AB54),AB54,"")</f>
        <v/>
      </c>
      <c r="AD54" s="13">
        <f>IF(ISNUMBER(AC54),_xlfn.RANK.EQ(AC54,$AC$2:$AC$1031),"")</f>
        <v/>
      </c>
      <c r="AE54" s="15">
        <f>IF(ISNUMBER(AF54),AF54/3630,"")</f>
        <v/>
      </c>
      <c r="AF54" s="14">
        <f>IFERROR(C54+D54+E54+F54+J54+K54+L54+M54+Q54+R54+S54+T54+IF(ISNUMBER(X54),X54,0)+N(Y54)+N(Z54)+N(AA54),"")</f>
        <v/>
      </c>
      <c r="AG54" s="14">
        <f>IF(ISNUMBER(AF54),AF54,"")</f>
        <v/>
      </c>
      <c r="AH54" s="14">
        <f>IF(ISNUMBER(AG54),_xlfn.RANK.EQ(AG54,$AG$2:$AG$1031),"")</f>
        <v/>
      </c>
    </row>
    <row r="55">
      <c r="A55" s="18" t="n">
        <v>118</v>
      </c>
      <c r="B55" s="18" t="inlineStr">
        <is>
          <t>احمد محمد ابراهيم شومان</t>
        </is>
      </c>
      <c r="C55" s="1" t="n">
        <v>648.1</v>
      </c>
      <c r="D55" s="1" t="n">
        <v>25</v>
      </c>
      <c r="E55" s="1" t="n">
        <v>24</v>
      </c>
      <c r="F55" s="1" t="n">
        <v>24</v>
      </c>
      <c r="G55" s="1">
        <f>C55+D55+E55+F55</f>
        <v/>
      </c>
      <c r="H55" s="1">
        <f>IF(ISNUMBER(G55),G55,"")</f>
        <v/>
      </c>
      <c r="I55" s="1">
        <f>_xlfn.RANK.EQ(H55,$H$2:$H$1031)</f>
        <v/>
      </c>
      <c r="J55" s="5" t="n">
        <v>631.5</v>
      </c>
      <c r="K55" s="5" t="n">
        <v>47</v>
      </c>
      <c r="L55" s="5" t="n">
        <v>22</v>
      </c>
      <c r="M55" s="5" t="n">
        <v>20</v>
      </c>
      <c r="N55" s="5">
        <f>J55+K55+L55+M55</f>
        <v/>
      </c>
      <c r="O55" s="5">
        <f>IF(ISNUMBER(N55),N55,"")</f>
        <v/>
      </c>
      <c r="P55" s="5">
        <f>_xlfn.RANK.EQ(O55,$O$2:$O$1031)</f>
        <v/>
      </c>
      <c r="Q55" s="9" t="n">
        <v>272</v>
      </c>
      <c r="R55" s="9" t="n">
        <v>46.5</v>
      </c>
      <c r="S55" s="9" t="n">
        <v>24</v>
      </c>
      <c r="T55" s="9" t="n">
        <v>25</v>
      </c>
      <c r="U55" s="9">
        <f>Q55+R55+S55+T55</f>
        <v/>
      </c>
      <c r="V55" s="9">
        <f>IF(ISNUMBER(U55),U55,"")</f>
        <v/>
      </c>
      <c r="W55" s="9">
        <f>_xlfn.RANK.EQ(V55,$V$2:$V$1031)</f>
        <v/>
      </c>
      <c r="X55" s="13" t="n">
        <v>1513.95</v>
      </c>
      <c r="Y55" s="13" t="n">
        <v>24</v>
      </c>
      <c r="Z55" s="13" t="n">
        <v>21.5</v>
      </c>
      <c r="AA55" s="13" t="n">
        <v>25</v>
      </c>
      <c r="AB55" s="13">
        <f>IF(ISNUMBER(X55),X55+N(Y55)+N(Z55)+N(AA55),X55)</f>
        <v/>
      </c>
      <c r="AC55" s="13">
        <f>IF(ISNUMBER(AB55),AB55,"")</f>
        <v/>
      </c>
      <c r="AD55" s="13">
        <f>IF(ISNUMBER(AC55),_xlfn.RANK.EQ(AC55,$AC$2:$AC$1031),"")</f>
        <v/>
      </c>
      <c r="AE55" s="15">
        <f>IF(ISNUMBER(AF55),AF55/3630,"")</f>
        <v/>
      </c>
      <c r="AF55" s="14">
        <f>IFERROR(C55+D55+E55+F55+J55+K55+L55+M55+Q55+R55+S55+T55+IF(ISNUMBER(X55),X55,0)+N(Y55)+N(Z55)+N(AA55),"")</f>
        <v/>
      </c>
      <c r="AG55" s="14">
        <f>IF(ISNUMBER(AF55),AF55,"")</f>
        <v/>
      </c>
      <c r="AH55" s="14">
        <f>IF(ISNUMBER(AG55),_xlfn.RANK.EQ(AG55,$AG$2:$AG$1031),"")</f>
        <v/>
      </c>
    </row>
    <row r="56">
      <c r="A56" s="18" t="n">
        <v>119</v>
      </c>
      <c r="B56" s="18" t="inlineStr">
        <is>
          <t>احمد محمد ابراهيم محمد اسماعيل</t>
        </is>
      </c>
      <c r="C56" s="1" t="inlineStr">
        <is>
          <t>راسب</t>
        </is>
      </c>
      <c r="D56" s="1" t="n"/>
      <c r="E56" s="1" t="n">
        <v>17</v>
      </c>
      <c r="F56" s="1" t="n">
        <v>16.5</v>
      </c>
      <c r="G56" s="1">
        <f>C56+D56+E56+F56</f>
        <v/>
      </c>
      <c r="H56" s="1">
        <f>IF(ISNUMBER(G56),G56,"")</f>
        <v/>
      </c>
      <c r="I56" s="1">
        <f>_xlfn.RANK.EQ(H56,$H$2:$H$1031)</f>
        <v/>
      </c>
      <c r="J56" s="5" t="n">
        <v>415</v>
      </c>
      <c r="K56" s="5" t="n">
        <v>33</v>
      </c>
      <c r="L56" s="5" t="n">
        <v>21</v>
      </c>
      <c r="M56" s="5" t="n">
        <v>22</v>
      </c>
      <c r="N56" s="5">
        <f>J56+K56+L56+M56</f>
        <v/>
      </c>
      <c r="O56" s="5">
        <f>IF(ISNUMBER(N56),N56,"")</f>
        <v/>
      </c>
      <c r="P56" s="5">
        <f>_xlfn.RANK.EQ(O56,$O$2:$O$1031)</f>
        <v/>
      </c>
      <c r="Q56" s="9" t="n">
        <v>82.75</v>
      </c>
      <c r="R56" s="9" t="n">
        <v>38</v>
      </c>
      <c r="S56" s="9" t="n">
        <v>23</v>
      </c>
      <c r="T56" s="9" t="n">
        <v>19.5</v>
      </c>
      <c r="U56" s="9">
        <f>Q56+R56+S56+T56</f>
        <v/>
      </c>
      <c r="V56" s="9">
        <f>IF(ISNUMBER(U56),U56,"")</f>
        <v/>
      </c>
      <c r="W56" s="9">
        <f>_xlfn.RANK.EQ(V56,$V$2:$V$1031)</f>
        <v/>
      </c>
      <c r="X56" s="13" t="inlineStr">
        <is>
          <t>راسب</t>
        </is>
      </c>
      <c r="Y56" s="13" t="n">
        <v>23</v>
      </c>
      <c r="Z56" s="13" t="n">
        <v>9.5</v>
      </c>
      <c r="AA56" s="13" t="n">
        <v>18</v>
      </c>
      <c r="AB56" s="13">
        <f>IF(ISNUMBER(X56),X56+N(Y56)+N(Z56)+N(AA56),X56)</f>
        <v/>
      </c>
      <c r="AC56" s="13">
        <f>IF(ISNUMBER(AB56),AB56,"")</f>
        <v/>
      </c>
      <c r="AD56" s="13">
        <f>IF(ISNUMBER(AC56),_xlfn.RANK.EQ(AC56,$AC$2:$AC$1031),"")</f>
        <v/>
      </c>
      <c r="AE56" s="15">
        <f>IF(ISNUMBER(AF56),AF56/3630,"")</f>
        <v/>
      </c>
      <c r="AF56" s="14">
        <f>IFERROR(C56+D56+E56+F56+J56+K56+L56+M56+Q56+R56+S56+T56+IF(ISNUMBER(X56),X56,0)+N(Y56)+N(Z56)+N(AA56),"")</f>
        <v/>
      </c>
      <c r="AG56" s="14">
        <f>IF(ISNUMBER(AF56),AF56,"")</f>
        <v/>
      </c>
      <c r="AH56" s="14">
        <f>IF(ISNUMBER(AG56),_xlfn.RANK.EQ(AG56,$AG$2:$AG$1031),"")</f>
        <v/>
      </c>
    </row>
    <row r="57">
      <c r="A57" s="18" t="n">
        <v>120</v>
      </c>
      <c r="B57" s="18" t="inlineStr">
        <is>
          <t>احمد محمد احمد الشيخ محمد سعد</t>
        </is>
      </c>
      <c r="C57" s="1" t="n">
        <v>618.7</v>
      </c>
      <c r="D57" s="1" t="n">
        <v>25</v>
      </c>
      <c r="E57" s="1" t="n">
        <v>23</v>
      </c>
      <c r="F57" s="1" t="n">
        <v>22</v>
      </c>
      <c r="G57" s="1">
        <f>C57+D57+E57+F57</f>
        <v/>
      </c>
      <c r="H57" s="1">
        <f>IF(ISNUMBER(G57),G57,"")</f>
        <v/>
      </c>
      <c r="I57" s="1">
        <f>_xlfn.RANK.EQ(H57,$H$2:$H$1031)</f>
        <v/>
      </c>
      <c r="J57" s="5" t="n">
        <v>620.1</v>
      </c>
      <c r="K57" s="5" t="n">
        <v>49</v>
      </c>
      <c r="L57" s="5" t="n">
        <v>22</v>
      </c>
      <c r="M57" s="5" t="n">
        <v>23</v>
      </c>
      <c r="N57" s="5">
        <f>J57+K57+L57+M57</f>
        <v/>
      </c>
      <c r="O57" s="5">
        <f>IF(ISNUMBER(N57),N57,"")</f>
        <v/>
      </c>
      <c r="P57" s="5">
        <f>_xlfn.RANK.EQ(O57,$O$2:$O$1031)</f>
        <v/>
      </c>
      <c r="Q57" s="9" t="n">
        <v>271.5</v>
      </c>
      <c r="R57" s="9" t="n">
        <v>48.5</v>
      </c>
      <c r="S57" s="9" t="n">
        <v>23</v>
      </c>
      <c r="T57" s="9" t="n">
        <v>25</v>
      </c>
      <c r="U57" s="9">
        <f>Q57+R57+S57+T57</f>
        <v/>
      </c>
      <c r="V57" s="9">
        <f>IF(ISNUMBER(U57),U57,"")</f>
        <v/>
      </c>
      <c r="W57" s="9">
        <f>_xlfn.RANK.EQ(V57,$V$2:$V$1031)</f>
        <v/>
      </c>
      <c r="X57" s="13" t="n">
        <v>1556.0416666667</v>
      </c>
      <c r="Y57" s="13" t="n">
        <v>25</v>
      </c>
      <c r="Z57" s="13" t="n">
        <v>24.5</v>
      </c>
      <c r="AA57" s="13" t="n">
        <v>24</v>
      </c>
      <c r="AB57" s="13">
        <f>IF(ISNUMBER(X57),X57+N(Y57)+N(Z57)+N(AA57),X57)</f>
        <v/>
      </c>
      <c r="AC57" s="13">
        <f>IF(ISNUMBER(AB57),AB57,"")</f>
        <v/>
      </c>
      <c r="AD57" s="13">
        <f>IF(ISNUMBER(AC57),_xlfn.RANK.EQ(AC57,$AC$2:$AC$1031),"")</f>
        <v/>
      </c>
      <c r="AE57" s="15">
        <f>IF(ISNUMBER(AF57),AF57/3630,"")</f>
        <v/>
      </c>
      <c r="AF57" s="14">
        <f>IFERROR(C57+D57+E57+F57+J57+K57+L57+M57+Q57+R57+S57+T57+IF(ISNUMBER(X57),X57,0)+N(Y57)+N(Z57)+N(AA57),"")</f>
        <v/>
      </c>
      <c r="AG57" s="14">
        <f>IF(ISNUMBER(AF57),AF57,"")</f>
        <v/>
      </c>
      <c r="AH57" s="14">
        <f>IF(ISNUMBER(AG57),_xlfn.RANK.EQ(AG57,$AG$2:$AG$1031),"")</f>
        <v/>
      </c>
    </row>
    <row r="58">
      <c r="A58" s="18" t="n">
        <v>122</v>
      </c>
      <c r="B58" s="18" t="inlineStr">
        <is>
          <t>احمد محمد احمد عبد الهادى اسماعيل</t>
        </is>
      </c>
      <c r="C58" s="1" t="n">
        <v>647.5</v>
      </c>
      <c r="D58" s="1" t="n">
        <v>24</v>
      </c>
      <c r="E58" s="1" t="n">
        <v>25</v>
      </c>
      <c r="F58" s="1" t="n">
        <v>25</v>
      </c>
      <c r="G58" s="1">
        <f>C58+D58+E58+F58</f>
        <v/>
      </c>
      <c r="H58" s="1">
        <f>IF(ISNUMBER(G58),G58,"")</f>
        <v/>
      </c>
      <c r="I58" s="1">
        <f>_xlfn.RANK.EQ(H58,$H$2:$H$1031)</f>
        <v/>
      </c>
      <c r="J58" s="5" t="n">
        <v>637.6</v>
      </c>
      <c r="K58" s="5" t="n">
        <v>49</v>
      </c>
      <c r="L58" s="5" t="n">
        <v>23</v>
      </c>
      <c r="M58" s="5" t="n">
        <v>23</v>
      </c>
      <c r="N58" s="5">
        <f>J58+K58+L58+M58</f>
        <v/>
      </c>
      <c r="O58" s="5">
        <f>IF(ISNUMBER(N58),N58,"")</f>
        <v/>
      </c>
      <c r="P58" s="5">
        <f>_xlfn.RANK.EQ(O58,$O$2:$O$1031)</f>
        <v/>
      </c>
      <c r="Q58" s="9" t="n">
        <v>288</v>
      </c>
      <c r="R58" s="9" t="n">
        <v>47.5</v>
      </c>
      <c r="S58" s="9" t="n">
        <v>25</v>
      </c>
      <c r="T58" s="9" t="n">
        <v>23</v>
      </c>
      <c r="U58" s="9">
        <f>Q58+R58+S58+T58</f>
        <v/>
      </c>
      <c r="V58" s="9">
        <f>IF(ISNUMBER(U58),U58,"")</f>
        <v/>
      </c>
      <c r="W58" s="9">
        <f>_xlfn.RANK.EQ(V58,$V$2:$V$1031)</f>
        <v/>
      </c>
      <c r="X58" s="13" t="n">
        <v>1592.0833333333</v>
      </c>
      <c r="Y58" s="13" t="n">
        <v>24.5</v>
      </c>
      <c r="Z58" s="13" t="n">
        <v>23.75</v>
      </c>
      <c r="AA58" s="13" t="n">
        <v>25</v>
      </c>
      <c r="AB58" s="13">
        <f>IF(ISNUMBER(X58),X58+N(Y58)+N(Z58)+N(AA58),X58)</f>
        <v/>
      </c>
      <c r="AC58" s="13">
        <f>IF(ISNUMBER(AB58),AB58,"")</f>
        <v/>
      </c>
      <c r="AD58" s="13">
        <f>IF(ISNUMBER(AC58),_xlfn.RANK.EQ(AC58,$AC$2:$AC$1031),"")</f>
        <v/>
      </c>
      <c r="AE58" s="15">
        <f>IF(ISNUMBER(AF58),AF58/3630,"")</f>
        <v/>
      </c>
      <c r="AF58" s="14">
        <f>IFERROR(C58+D58+E58+F58+J58+K58+L58+M58+Q58+R58+S58+T58+IF(ISNUMBER(X58),X58,0)+N(Y58)+N(Z58)+N(AA58),"")</f>
        <v/>
      </c>
      <c r="AG58" s="14">
        <f>IF(ISNUMBER(AF58),AF58,"")</f>
        <v/>
      </c>
      <c r="AH58" s="14">
        <f>IF(ISNUMBER(AG58),_xlfn.RANK.EQ(AG58,$AG$2:$AG$1031),"")</f>
        <v/>
      </c>
    </row>
    <row r="59">
      <c r="A59" s="18" t="n">
        <v>124</v>
      </c>
      <c r="B59" s="18" t="inlineStr">
        <is>
          <t>احمد محمد احمد مبروك زعيتر</t>
        </is>
      </c>
      <c r="C59" s="1" t="n">
        <v>632.1</v>
      </c>
      <c r="D59" s="1" t="n">
        <v>25</v>
      </c>
      <c r="E59" s="1" t="n">
        <v>25</v>
      </c>
      <c r="F59" s="1" t="n">
        <v>25</v>
      </c>
      <c r="G59" s="1">
        <f>C59+D59+E59+F59</f>
        <v/>
      </c>
      <c r="H59" s="1">
        <f>IF(ISNUMBER(G59),G59,"")</f>
        <v/>
      </c>
      <c r="I59" s="1">
        <f>_xlfn.RANK.EQ(H59,$H$2:$H$1031)</f>
        <v/>
      </c>
      <c r="J59" s="5" t="n">
        <v>610.5</v>
      </c>
      <c r="K59" s="5" t="n">
        <v>49</v>
      </c>
      <c r="L59" s="5" t="n">
        <v>22</v>
      </c>
      <c r="M59" s="5" t="n">
        <v>22</v>
      </c>
      <c r="N59" s="5">
        <f>J59+K59+L59+M59</f>
        <v/>
      </c>
      <c r="O59" s="5">
        <f>IF(ISNUMBER(N59),N59,"")</f>
        <v/>
      </c>
      <c r="P59" s="5">
        <f>_xlfn.RANK.EQ(O59,$O$2:$O$1031)</f>
        <v/>
      </c>
      <c r="Q59" s="9" t="n">
        <v>271</v>
      </c>
      <c r="R59" s="9" t="n">
        <v>49.5</v>
      </c>
      <c r="S59" s="9" t="n">
        <v>24</v>
      </c>
      <c r="T59" s="9" t="n">
        <v>24</v>
      </c>
      <c r="U59" s="9">
        <f>Q59+R59+S59+T59</f>
        <v/>
      </c>
      <c r="V59" s="9">
        <f>IF(ISNUMBER(U59),U59,"")</f>
        <v/>
      </c>
      <c r="W59" s="9">
        <f>_xlfn.RANK.EQ(V59,$V$2:$V$1031)</f>
        <v/>
      </c>
      <c r="X59" s="13" t="inlineStr">
        <is>
          <t>غ ب</t>
        </is>
      </c>
      <c r="Y59" s="13" t="n">
        <v>24</v>
      </c>
      <c r="Z59" s="13" t="n">
        <v>24</v>
      </c>
      <c r="AA59" s="13" t="n">
        <v>25</v>
      </c>
      <c r="AB59" s="13">
        <f>IF(ISNUMBER(X59),X59+N(Y59)+N(Z59)+N(AA59),X59)</f>
        <v/>
      </c>
      <c r="AC59" s="13">
        <f>IF(ISNUMBER(AB59),AB59,"")</f>
        <v/>
      </c>
      <c r="AD59" s="13">
        <f>IF(ISNUMBER(AC59),_xlfn.RANK.EQ(AC59,$AC$2:$AC$1031),"")</f>
        <v/>
      </c>
      <c r="AE59" s="15">
        <f>IF(ISNUMBER(AF59),AF59/3630,"")</f>
        <v/>
      </c>
      <c r="AF59" s="14">
        <f>IFERROR(C59+D59+E59+F59+J59+K59+L59+M59+Q59+R59+S59+T59+IF(ISNUMBER(X59),X59,0)+N(Y59)+N(Z59)+N(AA59),"")</f>
        <v/>
      </c>
      <c r="AG59" s="14">
        <f>IF(ISNUMBER(AF59),AF59,"")</f>
        <v/>
      </c>
      <c r="AH59" s="14">
        <f>IF(ISNUMBER(AG59),_xlfn.RANK.EQ(AG59,$AG$2:$AG$1031),"")</f>
        <v/>
      </c>
    </row>
    <row r="60">
      <c r="A60" s="18" t="n">
        <v>130</v>
      </c>
      <c r="B60" s="18" t="inlineStr">
        <is>
          <t>احمد محمد زين عبد الحميد قطب</t>
        </is>
      </c>
      <c r="C60" s="1" t="n">
        <v>638.8</v>
      </c>
      <c r="D60" s="1" t="n">
        <v>23</v>
      </c>
      <c r="E60" s="1" t="n">
        <v>25</v>
      </c>
      <c r="F60" s="1" t="n">
        <v>22</v>
      </c>
      <c r="G60" s="1">
        <f>C60+D60+E60+F60</f>
        <v/>
      </c>
      <c r="H60" s="1">
        <f>IF(ISNUMBER(G60),G60,"")</f>
        <v/>
      </c>
      <c r="I60" s="1">
        <f>_xlfn.RANK.EQ(H60,$H$2:$H$1031)</f>
        <v/>
      </c>
      <c r="J60" s="5" t="n">
        <v>616</v>
      </c>
      <c r="K60" s="5" t="n">
        <v>50</v>
      </c>
      <c r="L60" s="5" t="n">
        <v>23</v>
      </c>
      <c r="M60" s="5" t="n">
        <v>24</v>
      </c>
      <c r="N60" s="5">
        <f>J60+K60+L60+M60</f>
        <v/>
      </c>
      <c r="O60" s="5">
        <f>IF(ISNUMBER(N60),N60,"")</f>
        <v/>
      </c>
      <c r="P60" s="5">
        <f>_xlfn.RANK.EQ(O60,$O$2:$O$1031)</f>
        <v/>
      </c>
      <c r="Q60" s="9" t="n">
        <v>251</v>
      </c>
      <c r="R60" s="9" t="n">
        <v>48</v>
      </c>
      <c r="S60" s="9" t="n">
        <v>25</v>
      </c>
      <c r="T60" s="9" t="n">
        <v>25</v>
      </c>
      <c r="U60" s="9">
        <f>Q60+R60+S60+T60</f>
        <v/>
      </c>
      <c r="V60" s="9">
        <f>IF(ISNUMBER(U60),U60,"")</f>
        <v/>
      </c>
      <c r="W60" s="9">
        <f>_xlfn.RANK.EQ(V60,$V$2:$V$1031)</f>
        <v/>
      </c>
      <c r="X60" s="13" t="n">
        <v>1400.6208333333</v>
      </c>
      <c r="Y60" s="13" t="n">
        <v>25</v>
      </c>
      <c r="Z60" s="13" t="n">
        <v>22.5</v>
      </c>
      <c r="AA60" s="13" t="n">
        <v>25</v>
      </c>
      <c r="AB60" s="13">
        <f>IF(ISNUMBER(X60),X60+N(Y60)+N(Z60)+N(AA60),X60)</f>
        <v/>
      </c>
      <c r="AC60" s="13">
        <f>IF(ISNUMBER(AB60),AB60,"")</f>
        <v/>
      </c>
      <c r="AD60" s="13">
        <f>IF(ISNUMBER(AC60),_xlfn.RANK.EQ(AC60,$AC$2:$AC$1031),"")</f>
        <v/>
      </c>
      <c r="AE60" s="15">
        <f>IF(ISNUMBER(AF60),AF60/3630,"")</f>
        <v/>
      </c>
      <c r="AF60" s="14">
        <f>IFERROR(C60+D60+E60+F60+J60+K60+L60+M60+Q60+R60+S60+T60+IF(ISNUMBER(X60),X60,0)+N(Y60)+N(Z60)+N(AA60),"")</f>
        <v/>
      </c>
      <c r="AG60" s="14">
        <f>IF(ISNUMBER(AF60),AF60,"")</f>
        <v/>
      </c>
      <c r="AH60" s="14">
        <f>IF(ISNUMBER(AG60),_xlfn.RANK.EQ(AG60,$AG$2:$AG$1031),"")</f>
        <v/>
      </c>
    </row>
    <row r="61">
      <c r="A61" s="18" t="n">
        <v>132</v>
      </c>
      <c r="B61" s="18" t="inlineStr">
        <is>
          <t>احمد محمد صلاح الدين عبدالسلام السيد</t>
        </is>
      </c>
      <c r="C61" s="1" t="n">
        <v>640.5</v>
      </c>
      <c r="D61" s="1" t="n">
        <v>25</v>
      </c>
      <c r="E61" s="1" t="n">
        <v>24</v>
      </c>
      <c r="F61" s="1" t="n">
        <v>22</v>
      </c>
      <c r="G61" s="1">
        <f>C61+D61+E61+F61</f>
        <v/>
      </c>
      <c r="H61" s="1">
        <f>IF(ISNUMBER(G61),G61,"")</f>
        <v/>
      </c>
      <c r="I61" s="1">
        <f>_xlfn.RANK.EQ(H61,$H$2:$H$1031)</f>
        <v/>
      </c>
      <c r="J61" s="5" t="n">
        <v>632</v>
      </c>
      <c r="K61" s="5" t="n">
        <v>49</v>
      </c>
      <c r="L61" s="5" t="n">
        <v>22</v>
      </c>
      <c r="M61" s="5" t="n">
        <v>25</v>
      </c>
      <c r="N61" s="5">
        <f>J61+K61+L61+M61</f>
        <v/>
      </c>
      <c r="O61" s="5">
        <f>IF(ISNUMBER(N61),N61,"")</f>
        <v/>
      </c>
      <c r="P61" s="5">
        <f>_xlfn.RANK.EQ(O61,$O$2:$O$1031)</f>
        <v/>
      </c>
      <c r="Q61" s="9" t="n">
        <v>285</v>
      </c>
      <c r="R61" s="9" t="n">
        <v>48</v>
      </c>
      <c r="S61" s="9" t="n">
        <v>25</v>
      </c>
      <c r="T61" s="9" t="n">
        <v>25</v>
      </c>
      <c r="U61" s="9">
        <f>Q61+R61+S61+T61</f>
        <v/>
      </c>
      <c r="V61" s="9">
        <f>IF(ISNUMBER(U61),U61,"")</f>
        <v/>
      </c>
      <c r="W61" s="9">
        <f>_xlfn.RANK.EQ(V61,$V$2:$V$1031)</f>
        <v/>
      </c>
      <c r="X61" s="13" t="n">
        <v>1542.0625</v>
      </c>
      <c r="Y61" s="13" t="n">
        <v>24</v>
      </c>
      <c r="Z61" s="13" t="n">
        <v>24.5</v>
      </c>
      <c r="AA61" s="13" t="n">
        <v>23</v>
      </c>
      <c r="AB61" s="13">
        <f>IF(ISNUMBER(X61),X61+N(Y61)+N(Z61)+N(AA61),X61)</f>
        <v/>
      </c>
      <c r="AC61" s="13">
        <f>IF(ISNUMBER(AB61),AB61,"")</f>
        <v/>
      </c>
      <c r="AD61" s="13">
        <f>IF(ISNUMBER(AC61),_xlfn.RANK.EQ(AC61,$AC$2:$AC$1031),"")</f>
        <v/>
      </c>
      <c r="AE61" s="15">
        <f>IF(ISNUMBER(AF61),AF61/3630,"")</f>
        <v/>
      </c>
      <c r="AF61" s="14">
        <f>IFERROR(C61+D61+E61+F61+J61+K61+L61+M61+Q61+R61+S61+T61+IF(ISNUMBER(X61),X61,0)+N(Y61)+N(Z61)+N(AA61),"")</f>
        <v/>
      </c>
      <c r="AG61" s="14">
        <f>IF(ISNUMBER(AF61),AF61,"")</f>
        <v/>
      </c>
      <c r="AH61" s="14">
        <f>IF(ISNUMBER(AG61),_xlfn.RANK.EQ(AG61,$AG$2:$AG$1031),"")</f>
        <v/>
      </c>
    </row>
    <row r="62">
      <c r="A62" s="18" t="n">
        <v>133</v>
      </c>
      <c r="B62" s="18" t="inlineStr">
        <is>
          <t>احمد محمد عبدالحميد احمد</t>
        </is>
      </c>
      <c r="C62" s="1" t="n">
        <v>531</v>
      </c>
      <c r="D62" s="1" t="n">
        <v>20</v>
      </c>
      <c r="E62" s="1" t="n">
        <v>25</v>
      </c>
      <c r="F62" s="1" t="n">
        <v>23</v>
      </c>
      <c r="G62" s="1">
        <f>C62+D62+E62+F62</f>
        <v/>
      </c>
      <c r="H62" s="1">
        <f>IF(ISNUMBER(G62),G62,"")</f>
        <v/>
      </c>
      <c r="I62" s="1">
        <f>_xlfn.RANK.EQ(H62,$H$2:$H$1031)</f>
        <v/>
      </c>
      <c r="J62" s="5" t="n">
        <v>479.7</v>
      </c>
      <c r="K62" s="5" t="n">
        <v>50</v>
      </c>
      <c r="L62" s="5" t="n">
        <v>21</v>
      </c>
      <c r="M62" s="5" t="n">
        <v>24</v>
      </c>
      <c r="N62" s="5">
        <f>J62+K62+L62+M62</f>
        <v/>
      </c>
      <c r="O62" s="5">
        <f>IF(ISNUMBER(N62),N62,"")</f>
        <v/>
      </c>
      <c r="P62" s="5">
        <f>_xlfn.RANK.EQ(O62,$O$2:$O$1031)</f>
        <v/>
      </c>
      <c r="Q62" s="9" t="n">
        <v>225</v>
      </c>
      <c r="R62" s="9" t="n">
        <v>49.5</v>
      </c>
      <c r="S62" s="9" t="n">
        <v>25</v>
      </c>
      <c r="T62" s="9" t="n">
        <v>25</v>
      </c>
      <c r="U62" s="9">
        <f>Q62+R62+S62+T62</f>
        <v/>
      </c>
      <c r="V62" s="9">
        <f>IF(ISNUMBER(U62),U62,"")</f>
        <v/>
      </c>
      <c r="W62" s="9">
        <f>_xlfn.RANK.EQ(V62,$V$2:$V$1031)</f>
        <v/>
      </c>
      <c r="X62" s="13" t="n">
        <v>1430.2583333333</v>
      </c>
      <c r="Y62" s="13" t="n">
        <v>24</v>
      </c>
      <c r="Z62" s="13" t="n">
        <v>23.25</v>
      </c>
      <c r="AA62" s="13" t="n">
        <v>22</v>
      </c>
      <c r="AB62" s="13">
        <f>IF(ISNUMBER(X62),X62+N(Y62)+N(Z62)+N(AA62),X62)</f>
        <v/>
      </c>
      <c r="AC62" s="13">
        <f>IF(ISNUMBER(AB62),AB62,"")</f>
        <v/>
      </c>
      <c r="AD62" s="13">
        <f>IF(ISNUMBER(AC62),_xlfn.RANK.EQ(AC62,$AC$2:$AC$1031),"")</f>
        <v/>
      </c>
      <c r="AE62" s="15">
        <f>IF(ISNUMBER(AF62),AF62/3630,"")</f>
        <v/>
      </c>
      <c r="AF62" s="14">
        <f>IFERROR(C62+D62+E62+F62+J62+K62+L62+M62+Q62+R62+S62+T62+IF(ISNUMBER(X62),X62,0)+N(Y62)+N(Z62)+N(AA62),"")</f>
        <v/>
      </c>
      <c r="AG62" s="14">
        <f>IF(ISNUMBER(AF62),AF62,"")</f>
        <v/>
      </c>
      <c r="AH62" s="14">
        <f>IF(ISNUMBER(AG62),_xlfn.RANK.EQ(AG62,$AG$2:$AG$1031),"")</f>
        <v/>
      </c>
    </row>
    <row r="63">
      <c r="A63" s="18" t="n">
        <v>135</v>
      </c>
      <c r="B63" s="18" t="inlineStr">
        <is>
          <t>احمد محمد عبدالحميد جادالله قويدر</t>
        </is>
      </c>
      <c r="C63" s="1" t="n">
        <v>614.8</v>
      </c>
      <c r="D63" s="1" t="n"/>
      <c r="E63" s="1" t="n">
        <v>25</v>
      </c>
      <c r="F63" s="1" t="n">
        <v>25</v>
      </c>
      <c r="G63" s="1">
        <f>C63+D63+E63+F63</f>
        <v/>
      </c>
      <c r="H63" s="1">
        <f>IF(ISNUMBER(G63),G63,"")</f>
        <v/>
      </c>
      <c r="I63" s="1">
        <f>_xlfn.RANK.EQ(H63,$H$2:$H$1031)</f>
        <v/>
      </c>
      <c r="J63" s="5" t="n">
        <v>598.5</v>
      </c>
      <c r="K63" s="5" t="n">
        <v>46</v>
      </c>
      <c r="L63" s="5" t="n">
        <v>22</v>
      </c>
      <c r="M63" s="5" t="n">
        <v>22</v>
      </c>
      <c r="N63" s="5">
        <f>J63+K63+L63+M63</f>
        <v/>
      </c>
      <c r="O63" s="5">
        <f>IF(ISNUMBER(N63),N63,"")</f>
        <v/>
      </c>
      <c r="P63" s="5">
        <f>_xlfn.RANK.EQ(O63,$O$2:$O$1031)</f>
        <v/>
      </c>
      <c r="Q63" s="9" t="n">
        <v>228</v>
      </c>
      <c r="R63" s="9" t="n">
        <v>42.5</v>
      </c>
      <c r="S63" s="9" t="n">
        <v>21</v>
      </c>
      <c r="T63" s="9" t="n">
        <v>24</v>
      </c>
      <c r="U63" s="9">
        <f>Q63+R63+S63+T63</f>
        <v/>
      </c>
      <c r="V63" s="9">
        <f>IF(ISNUMBER(U63),U63,"")</f>
        <v/>
      </c>
      <c r="W63" s="9">
        <f>_xlfn.RANK.EQ(V63,$V$2:$V$1031)</f>
        <v/>
      </c>
      <c r="X63" s="13" t="n">
        <v>1269.3041666667</v>
      </c>
      <c r="Y63" s="13" t="n">
        <v>24.5</v>
      </c>
      <c r="Z63" s="13" t="n">
        <v>23</v>
      </c>
      <c r="AA63" s="13" t="n">
        <v>22</v>
      </c>
      <c r="AB63" s="13">
        <f>IF(ISNUMBER(X63),X63+N(Y63)+N(Z63)+N(AA63),X63)</f>
        <v/>
      </c>
      <c r="AC63" s="13">
        <f>IF(ISNUMBER(AB63),AB63,"")</f>
        <v/>
      </c>
      <c r="AD63" s="13">
        <f>IF(ISNUMBER(AC63),_xlfn.RANK.EQ(AC63,$AC$2:$AC$1031),"")</f>
        <v/>
      </c>
      <c r="AE63" s="15">
        <f>IF(ISNUMBER(AF63),AF63/3630,"")</f>
        <v/>
      </c>
      <c r="AF63" s="14">
        <f>IFERROR(C63+D63+E63+F63+J63+K63+L63+M63+Q63+R63+S63+T63+IF(ISNUMBER(X63),X63,0)+N(Y63)+N(Z63)+N(AA63),"")</f>
        <v/>
      </c>
      <c r="AG63" s="14">
        <f>IF(ISNUMBER(AF63),AF63,"")</f>
        <v/>
      </c>
      <c r="AH63" s="14">
        <f>IF(ISNUMBER(AG63),_xlfn.RANK.EQ(AG63,$AG$2:$AG$1031),"")</f>
        <v/>
      </c>
    </row>
    <row r="64">
      <c r="A64" s="18" t="n">
        <v>136</v>
      </c>
      <c r="B64" s="18" t="inlineStr">
        <is>
          <t>احمد محمد عبده خزيمى</t>
        </is>
      </c>
      <c r="C64" s="1" t="n">
        <v>488.1</v>
      </c>
      <c r="D64" s="1" t="n">
        <v>24</v>
      </c>
      <c r="E64" s="1" t="n">
        <v>23</v>
      </c>
      <c r="F64" s="1" t="n">
        <v>23</v>
      </c>
      <c r="G64" s="1">
        <f>C64+D64+E64+F64</f>
        <v/>
      </c>
      <c r="H64" s="1">
        <f>IF(ISNUMBER(G64),G64,"")</f>
        <v/>
      </c>
      <c r="I64" s="1">
        <f>_xlfn.RANK.EQ(H64,$H$2:$H$1031)</f>
        <v/>
      </c>
      <c r="J64" s="5" t="n">
        <v>607</v>
      </c>
      <c r="K64" s="5" t="n">
        <v>46</v>
      </c>
      <c r="L64" s="5" t="n">
        <v>21</v>
      </c>
      <c r="M64" s="5" t="n">
        <v>18</v>
      </c>
      <c r="N64" s="5">
        <f>J64+K64+L64+M64</f>
        <v/>
      </c>
      <c r="O64" s="5">
        <f>IF(ISNUMBER(N64),N64,"")</f>
        <v/>
      </c>
      <c r="P64" s="5">
        <f>_xlfn.RANK.EQ(O64,$O$2:$O$1031)</f>
        <v/>
      </c>
      <c r="Q64" s="9" t="n">
        <v>193.5</v>
      </c>
      <c r="R64" s="9" t="n">
        <v>33</v>
      </c>
      <c r="S64" s="9" t="n">
        <v>22</v>
      </c>
      <c r="T64" s="9" t="n">
        <v>24</v>
      </c>
      <c r="U64" s="9">
        <f>Q64+R64+S64+T64</f>
        <v/>
      </c>
      <c r="V64" s="9">
        <f>IF(ISNUMBER(U64),U64,"")</f>
        <v/>
      </c>
      <c r="W64" s="9">
        <f>_xlfn.RANK.EQ(V64,$V$2:$V$1031)</f>
        <v/>
      </c>
      <c r="X64" s="13" t="inlineStr">
        <is>
          <t>راسب</t>
        </is>
      </c>
      <c r="Y64" s="13" t="n">
        <v>20.5</v>
      </c>
      <c r="Z64" s="13" t="n">
        <v>21</v>
      </c>
      <c r="AA64" s="13" t="n">
        <v>23</v>
      </c>
      <c r="AB64" s="13">
        <f>IF(ISNUMBER(X64),X64+N(Y64)+N(Z64)+N(AA64),X64)</f>
        <v/>
      </c>
      <c r="AC64" s="13">
        <f>IF(ISNUMBER(AB64),AB64,"")</f>
        <v/>
      </c>
      <c r="AD64" s="13">
        <f>IF(ISNUMBER(AC64),_xlfn.RANK.EQ(AC64,$AC$2:$AC$1031),"")</f>
        <v/>
      </c>
      <c r="AE64" s="15">
        <f>IF(ISNUMBER(AF64),AF64/3630,"")</f>
        <v/>
      </c>
      <c r="AF64" s="14">
        <f>IFERROR(C64+D64+E64+F64+J64+K64+L64+M64+Q64+R64+S64+T64+IF(ISNUMBER(X64),X64,0)+N(Y64)+N(Z64)+N(AA64),"")</f>
        <v/>
      </c>
      <c r="AG64" s="14">
        <f>IF(ISNUMBER(AF64),AF64,"")</f>
        <v/>
      </c>
      <c r="AH64" s="14">
        <f>IF(ISNUMBER(AG64),_xlfn.RANK.EQ(AG64,$AG$2:$AG$1031),"")</f>
        <v/>
      </c>
    </row>
    <row r="65">
      <c r="A65" s="18" t="n">
        <v>140</v>
      </c>
      <c r="B65" s="18" t="inlineStr">
        <is>
          <t>احمد محمد فتحي النزهي</t>
        </is>
      </c>
      <c r="C65" s="1" t="n">
        <v>630.3</v>
      </c>
      <c r="D65" s="1" t="n">
        <v>25</v>
      </c>
      <c r="E65" s="1" t="n">
        <v>25</v>
      </c>
      <c r="F65" s="1" t="n">
        <v>23</v>
      </c>
      <c r="G65" s="1">
        <f>C65+D65+E65+F65</f>
        <v/>
      </c>
      <c r="H65" s="1">
        <f>IF(ISNUMBER(G65),G65,"")</f>
        <v/>
      </c>
      <c r="I65" s="1">
        <f>_xlfn.RANK.EQ(H65,$H$2:$H$1031)</f>
        <v/>
      </c>
      <c r="J65" s="5" t="n">
        <v>634.5</v>
      </c>
      <c r="K65" s="5" t="n">
        <v>49</v>
      </c>
      <c r="L65" s="5" t="n">
        <v>23</v>
      </c>
      <c r="M65" s="5" t="n">
        <v>24</v>
      </c>
      <c r="N65" s="5">
        <f>J65+K65+L65+M65</f>
        <v/>
      </c>
      <c r="O65" s="5">
        <f>IF(ISNUMBER(N65),N65,"")</f>
        <v/>
      </c>
      <c r="P65" s="5">
        <f>_xlfn.RANK.EQ(O65,$O$2:$O$1031)</f>
        <v/>
      </c>
      <c r="Q65" s="9" t="n">
        <v>287</v>
      </c>
      <c r="R65" s="9" t="n">
        <v>49.5</v>
      </c>
      <c r="S65" s="9" t="n">
        <v>25</v>
      </c>
      <c r="T65" s="9" t="n">
        <v>25</v>
      </c>
      <c r="U65" s="9">
        <f>Q65+R65+S65+T65</f>
        <v/>
      </c>
      <c r="V65" s="9">
        <f>IF(ISNUMBER(U65),U65,"")</f>
        <v/>
      </c>
      <c r="W65" s="9">
        <f>_xlfn.RANK.EQ(V65,$V$2:$V$1031)</f>
        <v/>
      </c>
      <c r="X65" s="13" t="n">
        <v>1560.7333333333</v>
      </c>
      <c r="Y65" s="13" t="n">
        <v>25</v>
      </c>
      <c r="Z65" s="13" t="n">
        <v>24</v>
      </c>
      <c r="AA65" s="13" t="n">
        <v>24</v>
      </c>
      <c r="AB65" s="13">
        <f>IF(ISNUMBER(X65),X65+N(Y65)+N(Z65)+N(AA65),X65)</f>
        <v/>
      </c>
      <c r="AC65" s="13">
        <f>IF(ISNUMBER(AB65),AB65,"")</f>
        <v/>
      </c>
      <c r="AD65" s="13">
        <f>IF(ISNUMBER(AC65),_xlfn.RANK.EQ(AC65,$AC$2:$AC$1031),"")</f>
        <v/>
      </c>
      <c r="AE65" s="15">
        <f>IF(ISNUMBER(AF65),AF65/3630,"")</f>
        <v/>
      </c>
      <c r="AF65" s="14">
        <f>IFERROR(C65+D65+E65+F65+J65+K65+L65+M65+Q65+R65+S65+T65+IF(ISNUMBER(X65),X65,0)+N(Y65)+N(Z65)+N(AA65),"")</f>
        <v/>
      </c>
      <c r="AG65" s="14">
        <f>IF(ISNUMBER(AF65),AF65,"")</f>
        <v/>
      </c>
      <c r="AH65" s="14">
        <f>IF(ISNUMBER(AG65),_xlfn.RANK.EQ(AG65,$AG$2:$AG$1031),"")</f>
        <v/>
      </c>
    </row>
    <row r="66">
      <c r="A66" s="18" t="n">
        <v>141</v>
      </c>
      <c r="B66" s="18" t="inlineStr">
        <is>
          <t>احمد محمد فريد عبدالرحمن عبد الرحمن ابو هيكل</t>
        </is>
      </c>
      <c r="C66" s="1" t="n">
        <v>645.8</v>
      </c>
      <c r="D66" s="1" t="n">
        <v>25</v>
      </c>
      <c r="E66" s="1" t="n">
        <v>25</v>
      </c>
      <c r="F66" s="1" t="n">
        <v>23</v>
      </c>
      <c r="G66" s="1">
        <f>C66+D66+E66+F66</f>
        <v/>
      </c>
      <c r="H66" s="1">
        <f>IF(ISNUMBER(G66),G66,"")</f>
        <v/>
      </c>
      <c r="I66" s="1">
        <f>_xlfn.RANK.EQ(H66,$H$2:$H$1031)</f>
        <v/>
      </c>
      <c r="J66" s="5" t="n">
        <v>632</v>
      </c>
      <c r="K66" s="5" t="n">
        <v>49</v>
      </c>
      <c r="L66" s="5" t="n">
        <v>22</v>
      </c>
      <c r="M66" s="5" t="n">
        <v>24</v>
      </c>
      <c r="N66" s="5">
        <f>J66+K66+L66+M66</f>
        <v/>
      </c>
      <c r="O66" s="5">
        <f>IF(ISNUMBER(N66),N66,"")</f>
        <v/>
      </c>
      <c r="P66" s="5">
        <f>_xlfn.RANK.EQ(O66,$O$2:$O$1031)</f>
        <v/>
      </c>
      <c r="Q66" s="9" t="n">
        <v>279.5</v>
      </c>
      <c r="R66" s="9" t="n">
        <v>49.5</v>
      </c>
      <c r="S66" s="9" t="n">
        <v>24</v>
      </c>
      <c r="T66" s="9" t="n">
        <v>25</v>
      </c>
      <c r="U66" s="9">
        <f>Q66+R66+S66+T66</f>
        <v/>
      </c>
      <c r="V66" s="9">
        <f>IF(ISNUMBER(U66),U66,"")</f>
        <v/>
      </c>
      <c r="W66" s="9">
        <f>_xlfn.RANK.EQ(V66,$V$2:$V$1031)</f>
        <v/>
      </c>
      <c r="X66" s="13" t="n">
        <v>1572.7541666667</v>
      </c>
      <c r="Y66" s="13" t="n">
        <v>25</v>
      </c>
      <c r="Z66" s="13" t="n">
        <v>25</v>
      </c>
      <c r="AA66" s="13" t="n">
        <v>24</v>
      </c>
      <c r="AB66" s="13">
        <f>IF(ISNUMBER(X66),X66+N(Y66)+N(Z66)+N(AA66),X66)</f>
        <v/>
      </c>
      <c r="AC66" s="13">
        <f>IF(ISNUMBER(AB66),AB66,"")</f>
        <v/>
      </c>
      <c r="AD66" s="13">
        <f>IF(ISNUMBER(AC66),_xlfn.RANK.EQ(AC66,$AC$2:$AC$1031),"")</f>
        <v/>
      </c>
      <c r="AE66" s="15">
        <f>IF(ISNUMBER(AF66),AF66/3630,"")</f>
        <v/>
      </c>
      <c r="AF66" s="14">
        <f>IFERROR(C66+D66+E66+F66+J66+K66+L66+M66+Q66+R66+S66+T66+IF(ISNUMBER(X66),X66,0)+N(Y66)+N(Z66)+N(AA66),"")</f>
        <v/>
      </c>
      <c r="AG66" s="14">
        <f>IF(ISNUMBER(AF66),AF66,"")</f>
        <v/>
      </c>
      <c r="AH66" s="14">
        <f>IF(ISNUMBER(AG66),_xlfn.RANK.EQ(AG66,$AG$2:$AG$1031),"")</f>
        <v/>
      </c>
    </row>
    <row r="67">
      <c r="A67" s="18" t="n">
        <v>142</v>
      </c>
      <c r="B67" s="18" t="inlineStr">
        <is>
          <t>احمد محمد محمد احمد العطار</t>
        </is>
      </c>
      <c r="C67" s="1" t="n">
        <v>528.9</v>
      </c>
      <c r="D67" s="1" t="n">
        <v>22</v>
      </c>
      <c r="E67" s="1" t="n">
        <v>19</v>
      </c>
      <c r="F67" s="1" t="n">
        <v>20</v>
      </c>
      <c r="G67" s="1">
        <f>C67+D67+E67+F67</f>
        <v/>
      </c>
      <c r="H67" s="1">
        <f>IF(ISNUMBER(G67),G67,"")</f>
        <v/>
      </c>
      <c r="I67" s="1">
        <f>_xlfn.RANK.EQ(H67,$H$2:$H$1031)</f>
        <v/>
      </c>
      <c r="J67" s="5" t="n">
        <v>418.3</v>
      </c>
      <c r="K67" s="5" t="n">
        <v>36</v>
      </c>
      <c r="L67" s="5" t="n">
        <v>21</v>
      </c>
      <c r="M67" s="5" t="n">
        <v>21</v>
      </c>
      <c r="N67" s="5">
        <f>J67+K67+L67+M67</f>
        <v/>
      </c>
      <c r="O67" s="5">
        <f>IF(ISNUMBER(N67),N67,"")</f>
        <v/>
      </c>
      <c r="P67" s="5">
        <f>_xlfn.RANK.EQ(O67,$O$2:$O$1031)</f>
        <v/>
      </c>
      <c r="Q67" s="9" t="n">
        <v>159</v>
      </c>
      <c r="R67" s="9" t="n">
        <v>31.5</v>
      </c>
      <c r="S67" s="9" t="n">
        <v>19</v>
      </c>
      <c r="T67" s="9" t="n">
        <v>21.5</v>
      </c>
      <c r="U67" s="9">
        <f>Q67+R67+S67+T67</f>
        <v/>
      </c>
      <c r="V67" s="9">
        <f>IF(ISNUMBER(U67),U67,"")</f>
        <v/>
      </c>
      <c r="W67" s="9">
        <f>_xlfn.RANK.EQ(V67,$V$2:$V$1031)</f>
        <v/>
      </c>
      <c r="X67" s="13" t="inlineStr">
        <is>
          <t>راسب</t>
        </is>
      </c>
      <c r="Y67" s="13" t="n">
        <v>19</v>
      </c>
      <c r="Z67" s="13" t="n">
        <v>19</v>
      </c>
      <c r="AA67" s="13" t="n">
        <v>19</v>
      </c>
      <c r="AB67" s="13">
        <f>IF(ISNUMBER(X67),X67+N(Y67)+N(Z67)+N(AA67),X67)</f>
        <v/>
      </c>
      <c r="AC67" s="13">
        <f>IF(ISNUMBER(AB67),AB67,"")</f>
        <v/>
      </c>
      <c r="AD67" s="13">
        <f>IF(ISNUMBER(AC67),_xlfn.RANK.EQ(AC67,$AC$2:$AC$1031),"")</f>
        <v/>
      </c>
      <c r="AE67" s="15">
        <f>IF(ISNUMBER(AF67),AF67/3630,"")</f>
        <v/>
      </c>
      <c r="AF67" s="14">
        <f>IFERROR(C67+D67+E67+F67+J67+K67+L67+M67+Q67+R67+S67+T67+IF(ISNUMBER(X67),X67,0)+N(Y67)+N(Z67)+N(AA67),"")</f>
        <v/>
      </c>
      <c r="AG67" s="14">
        <f>IF(ISNUMBER(AF67),AF67,"")</f>
        <v/>
      </c>
      <c r="AH67" s="14">
        <f>IF(ISNUMBER(AG67),_xlfn.RANK.EQ(AG67,$AG$2:$AG$1031),"")</f>
        <v/>
      </c>
    </row>
    <row r="68">
      <c r="A68" s="18" t="n">
        <v>143</v>
      </c>
      <c r="B68" s="18" t="inlineStr">
        <is>
          <t>احمد محمد محمود عامر</t>
        </is>
      </c>
      <c r="C68" s="1" t="n">
        <v>529.9</v>
      </c>
      <c r="D68" s="1" t="n">
        <v>22</v>
      </c>
      <c r="E68" s="1" t="n">
        <v>16</v>
      </c>
      <c r="F68" s="1" t="n">
        <v>19</v>
      </c>
      <c r="G68" s="1">
        <f>C68+D68+E68+F68</f>
        <v/>
      </c>
      <c r="H68" s="1">
        <f>IF(ISNUMBER(G68),G68,"")</f>
        <v/>
      </c>
      <c r="I68" s="1">
        <f>_xlfn.RANK.EQ(H68,$H$2:$H$1031)</f>
        <v/>
      </c>
      <c r="J68" s="5" t="n">
        <v>523.3</v>
      </c>
      <c r="K68" s="5" t="n">
        <v>37</v>
      </c>
      <c r="L68" s="5" t="n">
        <v>23</v>
      </c>
      <c r="M68" s="5" t="n">
        <v>23</v>
      </c>
      <c r="N68" s="5">
        <f>J68+K68+L68+M68</f>
        <v/>
      </c>
      <c r="O68" s="5">
        <f>IF(ISNUMBER(N68),N68,"")</f>
        <v/>
      </c>
      <c r="P68" s="5">
        <f>_xlfn.RANK.EQ(O68,$O$2:$O$1031)</f>
        <v/>
      </c>
      <c r="Q68" s="9" t="n">
        <v>218.5</v>
      </c>
      <c r="R68" s="9" t="n">
        <v>41.5</v>
      </c>
      <c r="S68" s="9" t="n">
        <v>25</v>
      </c>
      <c r="T68" s="9" t="n">
        <v>23.5</v>
      </c>
      <c r="U68" s="9">
        <f>Q68+R68+S68+T68</f>
        <v/>
      </c>
      <c r="V68" s="9">
        <f>IF(ISNUMBER(U68),U68,"")</f>
        <v/>
      </c>
      <c r="W68" s="9">
        <f>_xlfn.RANK.EQ(V68,$V$2:$V$1031)</f>
        <v/>
      </c>
      <c r="X68" s="13" t="n">
        <v>1236.8083333333</v>
      </c>
      <c r="Y68" s="13" t="n">
        <v>20</v>
      </c>
      <c r="Z68" s="13" t="n">
        <v>19.75</v>
      </c>
      <c r="AA68" s="13" t="n">
        <v>20</v>
      </c>
      <c r="AB68" s="13">
        <f>IF(ISNUMBER(X68),X68+N(Y68)+N(Z68)+N(AA68),X68)</f>
        <v/>
      </c>
      <c r="AC68" s="13">
        <f>IF(ISNUMBER(AB68),AB68,"")</f>
        <v/>
      </c>
      <c r="AD68" s="13">
        <f>IF(ISNUMBER(AC68),_xlfn.RANK.EQ(AC68,$AC$2:$AC$1031),"")</f>
        <v/>
      </c>
      <c r="AE68" s="15">
        <f>IF(ISNUMBER(AF68),AF68/3630,"")</f>
        <v/>
      </c>
      <c r="AF68" s="14">
        <f>IFERROR(C68+D68+E68+F68+J68+K68+L68+M68+Q68+R68+S68+T68+IF(ISNUMBER(X68),X68,0)+N(Y68)+N(Z68)+N(AA68),"")</f>
        <v/>
      </c>
      <c r="AG68" s="14">
        <f>IF(ISNUMBER(AF68),AF68,"")</f>
        <v/>
      </c>
      <c r="AH68" s="14">
        <f>IF(ISNUMBER(AG68),_xlfn.RANK.EQ(AG68,$AG$2:$AG$1031),"")</f>
        <v/>
      </c>
    </row>
    <row r="69">
      <c r="A69" s="18" t="n">
        <v>144</v>
      </c>
      <c r="B69" s="18" t="inlineStr">
        <is>
          <t>احمد محمد مصطفي محمود العكاوي</t>
        </is>
      </c>
      <c r="C69" s="1" t="n">
        <v>432.5</v>
      </c>
      <c r="D69" s="1" t="n">
        <v>16</v>
      </c>
      <c r="E69" s="1" t="n">
        <v>22</v>
      </c>
      <c r="F69" s="1" t="n">
        <v>19</v>
      </c>
      <c r="G69" s="1">
        <f>C69+D69+E69+F69</f>
        <v/>
      </c>
      <c r="H69" s="1">
        <f>IF(ISNUMBER(G69),G69,"")</f>
        <v/>
      </c>
      <c r="I69" s="1">
        <f>_xlfn.RANK.EQ(H69,$H$2:$H$1031)</f>
        <v/>
      </c>
      <c r="J69" s="5" t="n">
        <v>401.65</v>
      </c>
      <c r="K69" s="5" t="n">
        <v>32</v>
      </c>
      <c r="L69" s="5" t="n">
        <v>20</v>
      </c>
      <c r="M69" s="5" t="n">
        <v>17</v>
      </c>
      <c r="N69" s="5">
        <f>J69+K69+L69+M69</f>
        <v/>
      </c>
      <c r="O69" s="5">
        <f>IF(ISNUMBER(N69),N69,"")</f>
        <v/>
      </c>
      <c r="P69" s="5">
        <f>_xlfn.RANK.EQ(O69,$O$2:$O$1031)</f>
        <v/>
      </c>
      <c r="Q69" s="9" t="inlineStr">
        <is>
          <t>راسب</t>
        </is>
      </c>
      <c r="R69" s="9" t="n">
        <v>36.5</v>
      </c>
      <c r="S69" s="9" t="n">
        <v>25</v>
      </c>
      <c r="T69" s="9" t="n">
        <v>24</v>
      </c>
      <c r="U69" s="9">
        <f>Q69+R69+S69+T69</f>
        <v/>
      </c>
      <c r="V69" s="9">
        <f>IF(ISNUMBER(U69),U69,"")</f>
        <v/>
      </c>
      <c r="W69" s="9">
        <f>_xlfn.RANK.EQ(V69,$V$2:$V$1031)</f>
        <v/>
      </c>
      <c r="X69" s="13" t="n">
        <v>1078.4875</v>
      </c>
      <c r="Y69" s="13" t="n">
        <v>20.5</v>
      </c>
      <c r="Z69" s="13" t="n">
        <v>23</v>
      </c>
      <c r="AA69" s="13" t="n">
        <v>21</v>
      </c>
      <c r="AB69" s="13">
        <f>IF(ISNUMBER(X69),X69+N(Y69)+N(Z69)+N(AA69),X69)</f>
        <v/>
      </c>
      <c r="AC69" s="13">
        <f>IF(ISNUMBER(AB69),AB69,"")</f>
        <v/>
      </c>
      <c r="AD69" s="13">
        <f>IF(ISNUMBER(AC69),_xlfn.RANK.EQ(AC69,$AC$2:$AC$1031),"")</f>
        <v/>
      </c>
      <c r="AE69" s="15">
        <f>IF(ISNUMBER(AF69),AF69/3630,"")</f>
        <v/>
      </c>
      <c r="AF69" s="14">
        <f>IFERROR(C69+D69+E69+F69+J69+K69+L69+M69+Q69+R69+S69+T69+IF(ISNUMBER(X69),X69,0)+N(Y69)+N(Z69)+N(AA69),"")</f>
        <v/>
      </c>
      <c r="AG69" s="14">
        <f>IF(ISNUMBER(AF69),AF69,"")</f>
        <v/>
      </c>
      <c r="AH69" s="14">
        <f>IF(ISNUMBER(AG69),_xlfn.RANK.EQ(AG69,$AG$2:$AG$1031),"")</f>
        <v/>
      </c>
    </row>
    <row r="70">
      <c r="A70" s="18" t="n">
        <v>146</v>
      </c>
      <c r="B70" s="18" t="inlineStr">
        <is>
          <t>احمد محمد مهدى عبدالحميد عشيبة</t>
        </is>
      </c>
      <c r="C70" s="1" t="n">
        <v>535.2</v>
      </c>
      <c r="D70" s="1" t="n">
        <v>24</v>
      </c>
      <c r="E70" s="1" t="n">
        <v>24</v>
      </c>
      <c r="F70" s="1" t="n">
        <v>21</v>
      </c>
      <c r="G70" s="1">
        <f>C70+D70+E70+F70</f>
        <v/>
      </c>
      <c r="H70" s="1">
        <f>IF(ISNUMBER(G70),G70,"")</f>
        <v/>
      </c>
      <c r="I70" s="1">
        <f>_xlfn.RANK.EQ(H70,$H$2:$H$1031)</f>
        <v/>
      </c>
      <c r="J70" s="5" t="n">
        <v>573.3</v>
      </c>
      <c r="K70" s="5" t="n">
        <v>44</v>
      </c>
      <c r="L70" s="5" t="n">
        <v>23</v>
      </c>
      <c r="M70" s="5" t="n">
        <v>24</v>
      </c>
      <c r="N70" s="5">
        <f>J70+K70+L70+M70</f>
        <v/>
      </c>
      <c r="O70" s="5">
        <f>IF(ISNUMBER(N70),N70,"")</f>
        <v/>
      </c>
      <c r="P70" s="5">
        <f>_xlfn.RANK.EQ(O70,$O$2:$O$1031)</f>
        <v/>
      </c>
      <c r="Q70" s="9" t="n">
        <v>240</v>
      </c>
      <c r="R70" s="9" t="n">
        <v>46.5</v>
      </c>
      <c r="S70" s="9" t="n">
        <v>22</v>
      </c>
      <c r="T70" s="9" t="n">
        <v>25</v>
      </c>
      <c r="U70" s="9">
        <f>Q70+R70+S70+T70</f>
        <v/>
      </c>
      <c r="V70" s="9">
        <f>IF(ISNUMBER(U70),U70,"")</f>
        <v/>
      </c>
      <c r="W70" s="9">
        <f>_xlfn.RANK.EQ(V70,$V$2:$V$1031)</f>
        <v/>
      </c>
      <c r="X70" s="13" t="n">
        <v>1330.475</v>
      </c>
      <c r="Y70" s="13" t="n">
        <v>25</v>
      </c>
      <c r="Z70" s="13" t="n">
        <v>25</v>
      </c>
      <c r="AA70" s="13" t="n">
        <v>21</v>
      </c>
      <c r="AB70" s="13">
        <f>IF(ISNUMBER(X70),X70+N(Y70)+N(Z70)+N(AA70),X70)</f>
        <v/>
      </c>
      <c r="AC70" s="13">
        <f>IF(ISNUMBER(AB70),AB70,"")</f>
        <v/>
      </c>
      <c r="AD70" s="13">
        <f>IF(ISNUMBER(AC70),_xlfn.RANK.EQ(AC70,$AC$2:$AC$1031),"")</f>
        <v/>
      </c>
      <c r="AE70" s="15">
        <f>IF(ISNUMBER(AF70),AF70/3630,"")</f>
        <v/>
      </c>
      <c r="AF70" s="14">
        <f>IFERROR(C70+D70+E70+F70+J70+K70+L70+M70+Q70+R70+S70+T70+IF(ISNUMBER(X70),X70,0)+N(Y70)+N(Z70)+N(AA70),"")</f>
        <v/>
      </c>
      <c r="AG70" s="14">
        <f>IF(ISNUMBER(AF70),AF70,"")</f>
        <v/>
      </c>
      <c r="AH70" s="14">
        <f>IF(ISNUMBER(AG70),_xlfn.RANK.EQ(AG70,$AG$2:$AG$1031),"")</f>
        <v/>
      </c>
    </row>
    <row r="71">
      <c r="A71" s="18" t="n">
        <v>148</v>
      </c>
      <c r="B71" s="18" t="inlineStr">
        <is>
          <t>احمد محمود احمد محمود عناني</t>
        </is>
      </c>
      <c r="C71" s="1" t="n">
        <v>560.7</v>
      </c>
      <c r="D71" s="1" t="n">
        <v>23</v>
      </c>
      <c r="E71" s="1" t="n">
        <v>23</v>
      </c>
      <c r="F71" s="1" t="n">
        <v>21</v>
      </c>
      <c r="G71" s="1">
        <f>C71+D71+E71+F71</f>
        <v/>
      </c>
      <c r="H71" s="1">
        <f>IF(ISNUMBER(G71),G71,"")</f>
        <v/>
      </c>
      <c r="I71" s="1">
        <f>_xlfn.RANK.EQ(H71,$H$2:$H$1031)</f>
        <v/>
      </c>
      <c r="J71" s="5" t="n">
        <v>545.3</v>
      </c>
      <c r="K71" s="5" t="n">
        <v>46</v>
      </c>
      <c r="L71" s="5" t="n">
        <v>19</v>
      </c>
      <c r="M71" s="5" t="n">
        <v>20</v>
      </c>
      <c r="N71" s="5">
        <f>J71+K71+L71+M71</f>
        <v/>
      </c>
      <c r="O71" s="5">
        <f>IF(ISNUMBER(N71),N71,"")</f>
        <v/>
      </c>
      <c r="P71" s="5">
        <f>_xlfn.RANK.EQ(O71,$O$2:$O$1031)</f>
        <v/>
      </c>
      <c r="Q71" s="9" t="n">
        <v>233.5</v>
      </c>
      <c r="R71" s="9" t="n">
        <v>44</v>
      </c>
      <c r="S71" s="9" t="n">
        <v>20</v>
      </c>
      <c r="T71" s="9" t="n">
        <v>23</v>
      </c>
      <c r="U71" s="9">
        <f>Q71+R71+S71+T71</f>
        <v/>
      </c>
      <c r="V71" s="9">
        <f>IF(ISNUMBER(U71),U71,"")</f>
        <v/>
      </c>
      <c r="W71" s="9">
        <f>_xlfn.RANK.EQ(V71,$V$2:$V$1031)</f>
        <v/>
      </c>
      <c r="X71" s="13" t="n">
        <v>1369.1375</v>
      </c>
      <c r="Y71" s="13" t="n">
        <v>24.5</v>
      </c>
      <c r="Z71" s="13" t="n">
        <v>23.5</v>
      </c>
      <c r="AA71" s="13" t="n">
        <v>22</v>
      </c>
      <c r="AB71" s="13">
        <f>IF(ISNUMBER(X71),X71+N(Y71)+N(Z71)+N(AA71),X71)</f>
        <v/>
      </c>
      <c r="AC71" s="13">
        <f>IF(ISNUMBER(AB71),AB71,"")</f>
        <v/>
      </c>
      <c r="AD71" s="13">
        <f>IF(ISNUMBER(AC71),_xlfn.RANK.EQ(AC71,$AC$2:$AC$1031),"")</f>
        <v/>
      </c>
      <c r="AE71" s="15">
        <f>IF(ISNUMBER(AF71),AF71/3630,"")</f>
        <v/>
      </c>
      <c r="AF71" s="14">
        <f>IFERROR(C71+D71+E71+F71+J71+K71+L71+M71+Q71+R71+S71+T71+IF(ISNUMBER(X71),X71,0)+N(Y71)+N(Z71)+N(AA71),"")</f>
        <v/>
      </c>
      <c r="AG71" s="14">
        <f>IF(ISNUMBER(AF71),AF71,"")</f>
        <v/>
      </c>
      <c r="AH71" s="14">
        <f>IF(ISNUMBER(AG71),_xlfn.RANK.EQ(AG71,$AG$2:$AG$1031),"")</f>
        <v/>
      </c>
    </row>
    <row r="72">
      <c r="A72" s="18" t="n">
        <v>151</v>
      </c>
      <c r="B72" s="18" t="inlineStr">
        <is>
          <t>احمد محمود سعد عبد المجيد شاهين</t>
        </is>
      </c>
      <c r="C72" s="1" t="n">
        <v>561</v>
      </c>
      <c r="D72" s="1" t="n">
        <v>20</v>
      </c>
      <c r="E72" s="1" t="n">
        <v>22</v>
      </c>
      <c r="F72" s="1" t="n">
        <v>22</v>
      </c>
      <c r="G72" s="1">
        <f>C72+D72+E72+F72</f>
        <v/>
      </c>
      <c r="H72" s="1">
        <f>IF(ISNUMBER(G72),G72,"")</f>
        <v/>
      </c>
      <c r="I72" s="1">
        <f>_xlfn.RANK.EQ(H72,$H$2:$H$1031)</f>
        <v/>
      </c>
      <c r="J72" s="5" t="n">
        <v>550.7</v>
      </c>
      <c r="K72" s="5" t="n">
        <v>42</v>
      </c>
      <c r="L72" s="5" t="n">
        <v>22</v>
      </c>
      <c r="M72" s="5" t="n">
        <v>20</v>
      </c>
      <c r="N72" s="5">
        <f>J72+K72+L72+M72</f>
        <v/>
      </c>
      <c r="O72" s="5">
        <f>IF(ISNUMBER(N72),N72,"")</f>
        <v/>
      </c>
      <c r="P72" s="5">
        <f>_xlfn.RANK.EQ(O72,$O$2:$O$1031)</f>
        <v/>
      </c>
      <c r="Q72" s="9" t="n">
        <v>239</v>
      </c>
      <c r="R72" s="9" t="n">
        <v>49</v>
      </c>
      <c r="S72" s="9" t="n">
        <v>25</v>
      </c>
      <c r="T72" s="9" t="n">
        <v>24</v>
      </c>
      <c r="U72" s="9">
        <f>Q72+R72+S72+T72</f>
        <v/>
      </c>
      <c r="V72" s="9">
        <f>IF(ISNUMBER(U72),U72,"")</f>
        <v/>
      </c>
      <c r="W72" s="9">
        <f>_xlfn.RANK.EQ(V72,$V$2:$V$1031)</f>
        <v/>
      </c>
      <c r="X72" s="13" t="n">
        <v>1421.025</v>
      </c>
      <c r="Y72" s="13" t="n">
        <v>25</v>
      </c>
      <c r="Z72" s="13" t="n">
        <v>25</v>
      </c>
      <c r="AA72" s="13" t="n">
        <v>24</v>
      </c>
      <c r="AB72" s="13">
        <f>IF(ISNUMBER(X72),X72+N(Y72)+N(Z72)+N(AA72),X72)</f>
        <v/>
      </c>
      <c r="AC72" s="13">
        <f>IF(ISNUMBER(AB72),AB72,"")</f>
        <v/>
      </c>
      <c r="AD72" s="13">
        <f>IF(ISNUMBER(AC72),_xlfn.RANK.EQ(AC72,$AC$2:$AC$1031),"")</f>
        <v/>
      </c>
      <c r="AE72" s="15">
        <f>IF(ISNUMBER(AF72),AF72/3630,"")</f>
        <v/>
      </c>
      <c r="AF72" s="14">
        <f>IFERROR(C72+D72+E72+F72+J72+K72+L72+M72+Q72+R72+S72+T72+IF(ISNUMBER(X72),X72,0)+N(Y72)+N(Z72)+N(AA72),"")</f>
        <v/>
      </c>
      <c r="AG72" s="14">
        <f>IF(ISNUMBER(AF72),AF72,"")</f>
        <v/>
      </c>
      <c r="AH72" s="14">
        <f>IF(ISNUMBER(AG72),_xlfn.RANK.EQ(AG72,$AG$2:$AG$1031),"")</f>
        <v/>
      </c>
    </row>
    <row r="73">
      <c r="A73" s="18" t="n">
        <v>152</v>
      </c>
      <c r="B73" s="18" t="inlineStr">
        <is>
          <t>احمد محمود عبد الوكيل سالم</t>
        </is>
      </c>
      <c r="C73" s="1" t="n">
        <v>592.6</v>
      </c>
      <c r="D73" s="1" t="n">
        <v>22</v>
      </c>
      <c r="E73" s="1" t="n">
        <v>22</v>
      </c>
      <c r="F73" s="1" t="n">
        <v>23</v>
      </c>
      <c r="G73" s="1">
        <f>C73+D73+E73+F73</f>
        <v/>
      </c>
      <c r="H73" s="1">
        <f>IF(ISNUMBER(G73),G73,"")</f>
        <v/>
      </c>
      <c r="I73" s="1">
        <f>_xlfn.RANK.EQ(H73,$H$2:$H$1031)</f>
        <v/>
      </c>
      <c r="J73" s="5" t="n">
        <v>594.8</v>
      </c>
      <c r="K73" s="5" t="n">
        <v>47</v>
      </c>
      <c r="L73" s="5" t="n">
        <v>21</v>
      </c>
      <c r="M73" s="5" t="n">
        <v>20</v>
      </c>
      <c r="N73" s="5">
        <f>J73+K73+L73+M73</f>
        <v/>
      </c>
      <c r="O73" s="5">
        <f>IF(ISNUMBER(N73),N73,"")</f>
        <v/>
      </c>
      <c r="P73" s="5">
        <f>_xlfn.RANK.EQ(O73,$O$2:$O$1031)</f>
        <v/>
      </c>
      <c r="Q73" s="9" t="n">
        <v>243.75</v>
      </c>
      <c r="R73" s="9" t="n">
        <v>46</v>
      </c>
      <c r="S73" s="9" t="n">
        <v>22</v>
      </c>
      <c r="T73" s="9" t="n">
        <v>25</v>
      </c>
      <c r="U73" s="9">
        <f>Q73+R73+S73+T73</f>
        <v/>
      </c>
      <c r="V73" s="9">
        <f>IF(ISNUMBER(U73),U73,"")</f>
        <v/>
      </c>
      <c r="W73" s="9">
        <f>_xlfn.RANK.EQ(V73,$V$2:$V$1031)</f>
        <v/>
      </c>
      <c r="X73" s="13" t="n">
        <v>1416.3458333333</v>
      </c>
      <c r="Y73" s="13" t="n">
        <v>24.5</v>
      </c>
      <c r="Z73" s="13" t="n">
        <v>23</v>
      </c>
      <c r="AA73" s="13" t="n">
        <v>23</v>
      </c>
      <c r="AB73" s="13">
        <f>IF(ISNUMBER(X73),X73+N(Y73)+N(Z73)+N(AA73),X73)</f>
        <v/>
      </c>
      <c r="AC73" s="13">
        <f>IF(ISNUMBER(AB73),AB73,"")</f>
        <v/>
      </c>
      <c r="AD73" s="13">
        <f>IF(ISNUMBER(AC73),_xlfn.RANK.EQ(AC73,$AC$2:$AC$1031),"")</f>
        <v/>
      </c>
      <c r="AE73" s="15">
        <f>IF(ISNUMBER(AF73),AF73/3630,"")</f>
        <v/>
      </c>
      <c r="AF73" s="14">
        <f>IFERROR(C73+D73+E73+F73+J73+K73+L73+M73+Q73+R73+S73+T73+IF(ISNUMBER(X73),X73,0)+N(Y73)+N(Z73)+N(AA73),"")</f>
        <v/>
      </c>
      <c r="AG73" s="14">
        <f>IF(ISNUMBER(AF73),AF73,"")</f>
        <v/>
      </c>
      <c r="AH73" s="14">
        <f>IF(ISNUMBER(AG73),_xlfn.RANK.EQ(AG73,$AG$2:$AG$1031),"")</f>
        <v/>
      </c>
    </row>
    <row r="74">
      <c r="A74" s="18" t="n">
        <v>155</v>
      </c>
      <c r="B74" s="18" t="inlineStr">
        <is>
          <t>احمد مصطفى عبد الرحمن السعداوى</t>
        </is>
      </c>
      <c r="C74" s="1" t="n">
        <v>438.95</v>
      </c>
      <c r="D74" s="1" t="n">
        <v>18</v>
      </c>
      <c r="E74" s="1" t="n">
        <v>20</v>
      </c>
      <c r="F74" s="1" t="n">
        <v>23</v>
      </c>
      <c r="G74" s="1">
        <f>C74+D74+E74+F74</f>
        <v/>
      </c>
      <c r="H74" s="1">
        <f>IF(ISNUMBER(G74),G74,"")</f>
        <v/>
      </c>
      <c r="I74" s="1">
        <f>_xlfn.RANK.EQ(H74,$H$2:$H$1031)</f>
        <v/>
      </c>
      <c r="J74" s="5" t="n">
        <v>511.4</v>
      </c>
      <c r="K74" s="5" t="n">
        <v>40</v>
      </c>
      <c r="L74" s="5" t="n">
        <v>20</v>
      </c>
      <c r="M74" s="5" t="n">
        <v>22</v>
      </c>
      <c r="N74" s="5">
        <f>J74+K74+L74+M74</f>
        <v/>
      </c>
      <c r="O74" s="5">
        <f>IF(ISNUMBER(N74),N74,"")</f>
        <v/>
      </c>
      <c r="P74" s="5">
        <f>_xlfn.RANK.EQ(O74,$O$2:$O$1031)</f>
        <v/>
      </c>
      <c r="Q74" s="9" t="n">
        <v>185</v>
      </c>
      <c r="R74" s="9" t="n">
        <v>48</v>
      </c>
      <c r="S74" s="9" t="n">
        <v>25</v>
      </c>
      <c r="T74" s="9" t="n">
        <v>24</v>
      </c>
      <c r="U74" s="9">
        <f>Q74+R74+S74+T74</f>
        <v/>
      </c>
      <c r="V74" s="9">
        <f>IF(ISNUMBER(U74),U74,"")</f>
        <v/>
      </c>
      <c r="W74" s="9">
        <f>_xlfn.RANK.EQ(V74,$V$2:$V$1031)</f>
        <v/>
      </c>
      <c r="X74" s="13" t="inlineStr">
        <is>
          <t>راسب</t>
        </is>
      </c>
      <c r="Y74" s="13" t="n">
        <v>24</v>
      </c>
      <c r="Z74" s="13" t="n">
        <v>18</v>
      </c>
      <c r="AA74" s="13" t="n">
        <v>18</v>
      </c>
      <c r="AB74" s="13">
        <f>IF(ISNUMBER(X74),X74+N(Y74)+N(Z74)+N(AA74),X74)</f>
        <v/>
      </c>
      <c r="AC74" s="13">
        <f>IF(ISNUMBER(AB74),AB74,"")</f>
        <v/>
      </c>
      <c r="AD74" s="13">
        <f>IF(ISNUMBER(AC74),_xlfn.RANK.EQ(AC74,$AC$2:$AC$1031),"")</f>
        <v/>
      </c>
      <c r="AE74" s="15">
        <f>IF(ISNUMBER(AF74),AF74/3630,"")</f>
        <v/>
      </c>
      <c r="AF74" s="14">
        <f>IFERROR(C74+D74+E74+F74+J74+K74+L74+M74+Q74+R74+S74+T74+IF(ISNUMBER(X74),X74,0)+N(Y74)+N(Z74)+N(AA74),"")</f>
        <v/>
      </c>
      <c r="AG74" s="14">
        <f>IF(ISNUMBER(AF74),AF74,"")</f>
        <v/>
      </c>
      <c r="AH74" s="14">
        <f>IF(ISNUMBER(AG74),_xlfn.RANK.EQ(AG74,$AG$2:$AG$1031),"")</f>
        <v/>
      </c>
    </row>
    <row r="75">
      <c r="A75" s="18" t="n">
        <v>156</v>
      </c>
      <c r="B75" s="18" t="inlineStr">
        <is>
          <t>احمد معتز عبد المالك عبد الرحمن</t>
        </is>
      </c>
      <c r="C75" s="1" t="n">
        <v>643.6</v>
      </c>
      <c r="D75" s="1" t="n">
        <v>25</v>
      </c>
      <c r="E75" s="1" t="n">
        <v>25</v>
      </c>
      <c r="F75" s="1" t="n">
        <v>24</v>
      </c>
      <c r="G75" s="1">
        <f>C75+D75+E75+F75</f>
        <v/>
      </c>
      <c r="H75" s="1">
        <f>IF(ISNUMBER(G75),G75,"")</f>
        <v/>
      </c>
      <c r="I75" s="1">
        <f>_xlfn.RANK.EQ(H75,$H$2:$H$1031)</f>
        <v/>
      </c>
      <c r="J75" s="5" t="n">
        <v>631.8</v>
      </c>
      <c r="K75" s="5" t="n">
        <v>49</v>
      </c>
      <c r="L75" s="5" t="n">
        <v>22</v>
      </c>
      <c r="M75" s="5" t="n">
        <v>24</v>
      </c>
      <c r="N75" s="5">
        <f>J75+K75+L75+M75</f>
        <v/>
      </c>
      <c r="O75" s="5">
        <f>IF(ISNUMBER(N75),N75,"")</f>
        <v/>
      </c>
      <c r="P75" s="5">
        <f>_xlfn.RANK.EQ(O75,$O$2:$O$1031)</f>
        <v/>
      </c>
      <c r="Q75" s="9" t="n">
        <v>290</v>
      </c>
      <c r="R75" s="9" t="n">
        <v>48</v>
      </c>
      <c r="S75" s="9" t="n">
        <v>25</v>
      </c>
      <c r="T75" s="9" t="n">
        <v>25</v>
      </c>
      <c r="U75" s="9">
        <f>Q75+R75+S75+T75</f>
        <v/>
      </c>
      <c r="V75" s="9">
        <f>IF(ISNUMBER(U75),U75,"")</f>
        <v/>
      </c>
      <c r="W75" s="9">
        <f>_xlfn.RANK.EQ(V75,$V$2:$V$1031)</f>
        <v/>
      </c>
      <c r="X75" s="13" t="n">
        <v>1517.4166666667</v>
      </c>
      <c r="Y75" s="13" t="n">
        <v>24</v>
      </c>
      <c r="Z75" s="13" t="n">
        <v>24</v>
      </c>
      <c r="AA75" s="13" t="n">
        <v>25</v>
      </c>
      <c r="AB75" s="13">
        <f>IF(ISNUMBER(X75),X75+N(Y75)+N(Z75)+N(AA75),X75)</f>
        <v/>
      </c>
      <c r="AC75" s="13">
        <f>IF(ISNUMBER(AB75),AB75,"")</f>
        <v/>
      </c>
      <c r="AD75" s="13">
        <f>IF(ISNUMBER(AC75),_xlfn.RANK.EQ(AC75,$AC$2:$AC$1031),"")</f>
        <v/>
      </c>
      <c r="AE75" s="15">
        <f>IF(ISNUMBER(AF75),AF75/3630,"")</f>
        <v/>
      </c>
      <c r="AF75" s="14">
        <f>IFERROR(C75+D75+E75+F75+J75+K75+L75+M75+Q75+R75+S75+T75+IF(ISNUMBER(X75),X75,0)+N(Y75)+N(Z75)+N(AA75),"")</f>
        <v/>
      </c>
      <c r="AG75" s="14">
        <f>IF(ISNUMBER(AF75),AF75,"")</f>
        <v/>
      </c>
      <c r="AH75" s="14">
        <f>IF(ISNUMBER(AG75),_xlfn.RANK.EQ(AG75,$AG$2:$AG$1031),"")</f>
        <v/>
      </c>
    </row>
    <row r="76">
      <c r="A76" s="18" t="n">
        <v>157</v>
      </c>
      <c r="B76" s="18" t="inlineStr">
        <is>
          <t>احمد ممدوح حامد سويطى</t>
        </is>
      </c>
      <c r="C76" s="1" t="n">
        <v>454</v>
      </c>
      <c r="D76" s="1" t="n">
        <v>18</v>
      </c>
      <c r="E76" s="1" t="n">
        <v>15</v>
      </c>
      <c r="F76" s="1" t="n">
        <v>20</v>
      </c>
      <c r="G76" s="1">
        <f>C76+D76+E76+F76</f>
        <v/>
      </c>
      <c r="H76" s="1">
        <f>IF(ISNUMBER(G76),G76,"")</f>
        <v/>
      </c>
      <c r="I76" s="1">
        <f>_xlfn.RANK.EQ(H76,$H$2:$H$1031)</f>
        <v/>
      </c>
      <c r="J76" s="5" t="n">
        <v>455.95</v>
      </c>
      <c r="K76" s="5" t="n">
        <v>47</v>
      </c>
      <c r="L76" s="5" t="n">
        <v>18</v>
      </c>
      <c r="M76" s="5" t="n">
        <v>23</v>
      </c>
      <c r="N76" s="5">
        <f>J76+K76+L76+M76</f>
        <v/>
      </c>
      <c r="O76" s="5">
        <f>IF(ISNUMBER(N76),N76,"")</f>
        <v/>
      </c>
      <c r="P76" s="5">
        <f>_xlfn.RANK.EQ(O76,$O$2:$O$1031)</f>
        <v/>
      </c>
      <c r="Q76" s="9" t="inlineStr">
        <is>
          <t>راسب</t>
        </is>
      </c>
      <c r="R76" s="9" t="n">
        <v>47.5</v>
      </c>
      <c r="S76" s="9" t="n">
        <v>25</v>
      </c>
      <c r="T76" s="9" t="n">
        <v>25</v>
      </c>
      <c r="U76" s="9">
        <f>Q76+R76+S76+T76</f>
        <v/>
      </c>
      <c r="V76" s="9">
        <f>IF(ISNUMBER(U76),U76,"")</f>
        <v/>
      </c>
      <c r="W76" s="9">
        <f>_xlfn.RANK.EQ(V76,$V$2:$V$1031)</f>
        <v/>
      </c>
      <c r="X76" s="13" t="inlineStr">
        <is>
          <t>راسب</t>
        </is>
      </c>
      <c r="Y76" s="13" t="n">
        <v>18</v>
      </c>
      <c r="Z76" s="13" t="n">
        <v>23</v>
      </c>
      <c r="AA76" s="13" t="n">
        <v>11</v>
      </c>
      <c r="AB76" s="13">
        <f>IF(ISNUMBER(X76),X76+N(Y76)+N(Z76)+N(AA76),X76)</f>
        <v/>
      </c>
      <c r="AC76" s="13">
        <f>IF(ISNUMBER(AB76),AB76,"")</f>
        <v/>
      </c>
      <c r="AD76" s="13">
        <f>IF(ISNUMBER(AC76),_xlfn.RANK.EQ(AC76,$AC$2:$AC$1031),"")</f>
        <v/>
      </c>
      <c r="AE76" s="15">
        <f>IF(ISNUMBER(AF76),AF76/3630,"")</f>
        <v/>
      </c>
      <c r="AF76" s="14">
        <f>IFERROR(C76+D76+E76+F76+J76+K76+L76+M76+Q76+R76+S76+T76+IF(ISNUMBER(X76),X76,0)+N(Y76)+N(Z76)+N(AA76),"")</f>
        <v/>
      </c>
      <c r="AG76" s="14">
        <f>IF(ISNUMBER(AF76),AF76,"")</f>
        <v/>
      </c>
      <c r="AH76" s="14">
        <f>IF(ISNUMBER(AG76),_xlfn.RANK.EQ(AG76,$AG$2:$AG$1031),"")</f>
        <v/>
      </c>
    </row>
    <row r="77">
      <c r="A77" s="18" t="n">
        <v>160</v>
      </c>
      <c r="B77" s="18" t="inlineStr">
        <is>
          <t>احمد ناصر فتحي السيد</t>
        </is>
      </c>
      <c r="C77" s="1" t="n">
        <v>530.6</v>
      </c>
      <c r="D77" s="1" t="n"/>
      <c r="E77" s="1" t="n">
        <v>21</v>
      </c>
      <c r="F77" s="1" t="n">
        <v>19</v>
      </c>
      <c r="G77" s="1">
        <f>C77+D77+E77+F77</f>
        <v/>
      </c>
      <c r="H77" s="1">
        <f>IF(ISNUMBER(G77),G77,"")</f>
        <v/>
      </c>
      <c r="I77" s="1">
        <f>_xlfn.RANK.EQ(H77,$H$2:$H$1031)</f>
        <v/>
      </c>
      <c r="J77" s="5" t="n">
        <v>523</v>
      </c>
      <c r="K77" s="5" t="n">
        <v>42</v>
      </c>
      <c r="L77" s="5" t="n">
        <v>20</v>
      </c>
      <c r="M77" s="5" t="n">
        <v>15</v>
      </c>
      <c r="N77" s="5">
        <f>J77+K77+L77+M77</f>
        <v/>
      </c>
      <c r="O77" s="5">
        <f>IF(ISNUMBER(N77),N77,"")</f>
        <v/>
      </c>
      <c r="P77" s="5">
        <f>_xlfn.RANK.EQ(O77,$O$2:$O$1031)</f>
        <v/>
      </c>
      <c r="Q77" s="9" t="n">
        <v>202.5</v>
      </c>
      <c r="R77" s="9" t="n">
        <v>44.5</v>
      </c>
      <c r="S77" s="9" t="n">
        <v>25</v>
      </c>
      <c r="T77" s="9" t="n">
        <v>24</v>
      </c>
      <c r="U77" s="9">
        <f>Q77+R77+S77+T77</f>
        <v/>
      </c>
      <c r="V77" s="9">
        <f>IF(ISNUMBER(U77),U77,"")</f>
        <v/>
      </c>
      <c r="W77" s="9">
        <f>_xlfn.RANK.EQ(V77,$V$2:$V$1031)</f>
        <v/>
      </c>
      <c r="X77" s="13" t="n">
        <v>1326.4125</v>
      </c>
      <c r="Y77" s="13" t="n">
        <v>25</v>
      </c>
      <c r="Z77" s="13" t="n">
        <v>24</v>
      </c>
      <c r="AA77" s="13" t="n">
        <v>22</v>
      </c>
      <c r="AB77" s="13">
        <f>IF(ISNUMBER(X77),X77+N(Y77)+N(Z77)+N(AA77),X77)</f>
        <v/>
      </c>
      <c r="AC77" s="13">
        <f>IF(ISNUMBER(AB77),AB77,"")</f>
        <v/>
      </c>
      <c r="AD77" s="13">
        <f>IF(ISNUMBER(AC77),_xlfn.RANK.EQ(AC77,$AC$2:$AC$1031),"")</f>
        <v/>
      </c>
      <c r="AE77" s="15">
        <f>IF(ISNUMBER(AF77),AF77/3630,"")</f>
        <v/>
      </c>
      <c r="AF77" s="14">
        <f>IFERROR(C77+D77+E77+F77+J77+K77+L77+M77+Q77+R77+S77+T77+IF(ISNUMBER(X77),X77,0)+N(Y77)+N(Z77)+N(AA77),"")</f>
        <v/>
      </c>
      <c r="AG77" s="14">
        <f>IF(ISNUMBER(AF77),AF77,"")</f>
        <v/>
      </c>
      <c r="AH77" s="14">
        <f>IF(ISNUMBER(AG77),_xlfn.RANK.EQ(AG77,$AG$2:$AG$1031),"")</f>
        <v/>
      </c>
    </row>
    <row r="78">
      <c r="A78" s="18" t="n">
        <v>162</v>
      </c>
      <c r="B78" s="18" t="inlineStr">
        <is>
          <t>احمد نبيل فرج السعداوى محمود</t>
        </is>
      </c>
      <c r="C78" s="1" t="n">
        <v>494.8</v>
      </c>
      <c r="D78" s="1" t="n">
        <v>24</v>
      </c>
      <c r="E78" s="1" t="n">
        <v>17</v>
      </c>
      <c r="F78" s="1" t="n">
        <v>23</v>
      </c>
      <c r="G78" s="1">
        <f>C78+D78+E78+F78</f>
        <v/>
      </c>
      <c r="H78" s="1">
        <f>IF(ISNUMBER(G78),G78,"")</f>
        <v/>
      </c>
      <c r="I78" s="1">
        <f>_xlfn.RANK.EQ(H78,$H$2:$H$1031)</f>
        <v/>
      </c>
      <c r="J78" s="5" t="n">
        <v>473</v>
      </c>
      <c r="K78" s="5" t="n">
        <v>38</v>
      </c>
      <c r="L78" s="5" t="n">
        <v>22</v>
      </c>
      <c r="M78" s="5" t="n">
        <v>21</v>
      </c>
      <c r="N78" s="5">
        <f>J78+K78+L78+M78</f>
        <v/>
      </c>
      <c r="O78" s="5">
        <f>IF(ISNUMBER(N78),N78,"")</f>
        <v/>
      </c>
      <c r="P78" s="5">
        <f>_xlfn.RANK.EQ(O78,$O$2:$O$1031)</f>
        <v/>
      </c>
      <c r="Q78" s="9" t="n">
        <v>232.5</v>
      </c>
      <c r="R78" s="9" t="n">
        <v>45</v>
      </c>
      <c r="S78" s="9" t="n">
        <v>24</v>
      </c>
      <c r="T78" s="9" t="n">
        <v>25</v>
      </c>
      <c r="U78" s="9">
        <f>Q78+R78+S78+T78</f>
        <v/>
      </c>
      <c r="V78" s="9">
        <f>IF(ISNUMBER(U78),U78,"")</f>
        <v/>
      </c>
      <c r="W78" s="9">
        <f>_xlfn.RANK.EQ(V78,$V$2:$V$1031)</f>
        <v/>
      </c>
      <c r="X78" s="13" t="n">
        <v>1292.1875</v>
      </c>
      <c r="Y78" s="13" t="n">
        <v>22</v>
      </c>
      <c r="Z78" s="13" t="n">
        <v>23</v>
      </c>
      <c r="AA78" s="13" t="n">
        <v>21</v>
      </c>
      <c r="AB78" s="13">
        <f>IF(ISNUMBER(X78),X78+N(Y78)+N(Z78)+N(AA78),X78)</f>
        <v/>
      </c>
      <c r="AC78" s="13">
        <f>IF(ISNUMBER(AB78),AB78,"")</f>
        <v/>
      </c>
      <c r="AD78" s="13">
        <f>IF(ISNUMBER(AC78),_xlfn.RANK.EQ(AC78,$AC$2:$AC$1031),"")</f>
        <v/>
      </c>
      <c r="AE78" s="15">
        <f>IF(ISNUMBER(AF78),AF78/3630,"")</f>
        <v/>
      </c>
      <c r="AF78" s="14">
        <f>IFERROR(C78+D78+E78+F78+J78+K78+L78+M78+Q78+R78+S78+T78+IF(ISNUMBER(X78),X78,0)+N(Y78)+N(Z78)+N(AA78),"")</f>
        <v/>
      </c>
      <c r="AG78" s="14">
        <f>IF(ISNUMBER(AF78),AF78,"")</f>
        <v/>
      </c>
      <c r="AH78" s="14">
        <f>IF(ISNUMBER(AG78),_xlfn.RANK.EQ(AG78,$AG$2:$AG$1031),"")</f>
        <v/>
      </c>
    </row>
    <row r="79">
      <c r="A79" s="18" t="n">
        <v>163</v>
      </c>
      <c r="B79" s="18" t="inlineStr">
        <is>
          <t>احمد نبيل محمود عطاالله</t>
        </is>
      </c>
      <c r="C79" s="1" t="n">
        <v>629.1</v>
      </c>
      <c r="D79" s="1" t="n">
        <v>25</v>
      </c>
      <c r="E79" s="1" t="n">
        <v>25</v>
      </c>
      <c r="F79" s="1" t="n">
        <v>24</v>
      </c>
      <c r="G79" s="1">
        <f>C79+D79+E79+F79</f>
        <v/>
      </c>
      <c r="H79" s="1">
        <f>IF(ISNUMBER(G79),G79,"")</f>
        <v/>
      </c>
      <c r="I79" s="1">
        <f>_xlfn.RANK.EQ(H79,$H$2:$H$1031)</f>
        <v/>
      </c>
      <c r="J79" s="5" t="n">
        <v>626.5</v>
      </c>
      <c r="K79" s="5" t="n">
        <v>49</v>
      </c>
      <c r="L79" s="5" t="n">
        <v>22</v>
      </c>
      <c r="M79" s="5" t="n">
        <v>23</v>
      </c>
      <c r="N79" s="5">
        <f>J79+K79+L79+M79</f>
        <v/>
      </c>
      <c r="O79" s="5">
        <f>IF(ISNUMBER(N79),N79,"")</f>
        <v/>
      </c>
      <c r="P79" s="5">
        <f>_xlfn.RANK.EQ(O79,$O$2:$O$1031)</f>
        <v/>
      </c>
      <c r="Q79" s="9" t="n">
        <v>272</v>
      </c>
      <c r="R79" s="9" t="n">
        <v>48.5</v>
      </c>
      <c r="S79" s="9" t="n">
        <v>24</v>
      </c>
      <c r="T79" s="9" t="n">
        <v>24.5</v>
      </c>
      <c r="U79" s="9">
        <f>Q79+R79+S79+T79</f>
        <v/>
      </c>
      <c r="V79" s="9">
        <f>IF(ISNUMBER(U79),U79,"")</f>
        <v/>
      </c>
      <c r="W79" s="9">
        <f>_xlfn.RANK.EQ(V79,$V$2:$V$1031)</f>
        <v/>
      </c>
      <c r="X79" s="13" t="n">
        <v>1456.8791666667</v>
      </c>
      <c r="Y79" s="13" t="n">
        <v>25</v>
      </c>
      <c r="Z79" s="13" t="n">
        <v>19</v>
      </c>
      <c r="AA79" s="13" t="n">
        <v>23</v>
      </c>
      <c r="AB79" s="13">
        <f>IF(ISNUMBER(X79),X79+N(Y79)+N(Z79)+N(AA79),X79)</f>
        <v/>
      </c>
      <c r="AC79" s="13">
        <f>IF(ISNUMBER(AB79),AB79,"")</f>
        <v/>
      </c>
      <c r="AD79" s="13">
        <f>IF(ISNUMBER(AC79),_xlfn.RANK.EQ(AC79,$AC$2:$AC$1031),"")</f>
        <v/>
      </c>
      <c r="AE79" s="15">
        <f>IF(ISNUMBER(AF79),AF79/3630,"")</f>
        <v/>
      </c>
      <c r="AF79" s="14">
        <f>IFERROR(C79+D79+E79+F79+J79+K79+L79+M79+Q79+R79+S79+T79+IF(ISNUMBER(X79),X79,0)+N(Y79)+N(Z79)+N(AA79),"")</f>
        <v/>
      </c>
      <c r="AG79" s="14">
        <f>IF(ISNUMBER(AF79),AF79,"")</f>
        <v/>
      </c>
      <c r="AH79" s="14">
        <f>IF(ISNUMBER(AG79),_xlfn.RANK.EQ(AG79,$AG$2:$AG$1031),"")</f>
        <v/>
      </c>
    </row>
    <row r="80">
      <c r="A80" s="18" t="n">
        <v>164</v>
      </c>
      <c r="B80" s="18" t="inlineStr">
        <is>
          <t>احمد نصر عبدالبارى مطاوع</t>
        </is>
      </c>
      <c r="C80" s="1" t="e">
        <v>#N/A</v>
      </c>
      <c r="D80" s="1" t="n">
        <v>23</v>
      </c>
      <c r="E80" s="1" t="n">
        <v>22</v>
      </c>
      <c r="F80" s="1" t="n">
        <v>17</v>
      </c>
      <c r="G80" s="1">
        <f>C80+D80+E80+F80</f>
        <v/>
      </c>
      <c r="H80" s="1">
        <f>IF(ISNUMBER(G80),G80,"")</f>
        <v/>
      </c>
      <c r="I80" s="1">
        <f>_xlfn.RANK.EQ(H80,$H$2:$H$1031)</f>
        <v/>
      </c>
      <c r="J80" s="5" t="n">
        <v>523</v>
      </c>
      <c r="K80" s="5" t="n">
        <v>49</v>
      </c>
      <c r="L80" s="5" t="n">
        <v>21</v>
      </c>
      <c r="M80" s="5" t="n">
        <v>22</v>
      </c>
      <c r="N80" s="5">
        <f>J80+K80+L80+M80</f>
        <v/>
      </c>
      <c r="O80" s="5">
        <f>IF(ISNUMBER(N80),N80,"")</f>
        <v/>
      </c>
      <c r="P80" s="5">
        <f>_xlfn.RANK.EQ(O80,$O$2:$O$1031)</f>
        <v/>
      </c>
      <c r="Q80" s="9" t="n">
        <v>138</v>
      </c>
      <c r="R80" s="9" t="n">
        <v>36.5</v>
      </c>
      <c r="S80" s="9" t="n">
        <v>23</v>
      </c>
      <c r="T80" s="9" t="n">
        <v>22</v>
      </c>
      <c r="U80" s="9">
        <f>Q80+R80+S80+T80</f>
        <v/>
      </c>
      <c r="V80" s="9">
        <f>IF(ISNUMBER(U80),U80,"")</f>
        <v/>
      </c>
      <c r="W80" s="9">
        <f>_xlfn.RANK.EQ(V80,$V$2:$V$1031)</f>
        <v/>
      </c>
      <c r="X80" s="13" t="inlineStr">
        <is>
          <t>راسب</t>
        </is>
      </c>
      <c r="Y80" s="13" t="n">
        <v>23</v>
      </c>
      <c r="Z80" s="13" t="n">
        <v>24</v>
      </c>
      <c r="AA80" s="13" t="n">
        <v>20</v>
      </c>
      <c r="AB80" s="13">
        <f>IF(ISNUMBER(X80),X80+N(Y80)+N(Z80)+N(AA80),X80)</f>
        <v/>
      </c>
      <c r="AC80" s="13">
        <f>IF(ISNUMBER(AB80),AB80,"")</f>
        <v/>
      </c>
      <c r="AD80" s="13">
        <f>IF(ISNUMBER(AC80),_xlfn.RANK.EQ(AC80,$AC$2:$AC$1031),"")</f>
        <v/>
      </c>
      <c r="AE80" s="15">
        <f>IF(ISNUMBER(AF80),AF80/3630,"")</f>
        <v/>
      </c>
      <c r="AF80" s="14">
        <f>IFERROR(C80+D80+E80+F80+J80+K80+L80+M80+Q80+R80+S80+T80+IF(ISNUMBER(X80),X80,0)+N(Y80)+N(Z80)+N(AA80),"")</f>
        <v/>
      </c>
      <c r="AG80" s="14">
        <f>IF(ISNUMBER(AF80),AF80,"")</f>
        <v/>
      </c>
      <c r="AH80" s="14">
        <f>IF(ISNUMBER(AG80),_xlfn.RANK.EQ(AG80,$AG$2:$AG$1031),"")</f>
        <v/>
      </c>
    </row>
    <row r="81">
      <c r="A81" s="18" t="n">
        <v>166</v>
      </c>
      <c r="B81" s="18" t="inlineStr">
        <is>
          <t>احمد نورالدين محمد اسماعيل</t>
        </is>
      </c>
      <c r="C81" s="1" t="n">
        <v>522.4</v>
      </c>
      <c r="D81" s="1" t="n">
        <v>21</v>
      </c>
      <c r="E81" s="1" t="n">
        <v>20</v>
      </c>
      <c r="F81" s="1" t="n">
        <v>18</v>
      </c>
      <c r="G81" s="1">
        <f>C81+D81+E81+F81</f>
        <v/>
      </c>
      <c r="H81" s="1">
        <f>IF(ISNUMBER(G81),G81,"")</f>
        <v/>
      </c>
      <c r="I81" s="1">
        <f>_xlfn.RANK.EQ(H81,$H$2:$H$1031)</f>
        <v/>
      </c>
      <c r="J81" s="5" t="n">
        <v>472.3</v>
      </c>
      <c r="K81" s="5" t="n">
        <v>36</v>
      </c>
      <c r="L81" s="5" t="n">
        <v>23</v>
      </c>
      <c r="M81" s="5" t="n">
        <v>19</v>
      </c>
      <c r="N81" s="5">
        <f>J81+K81+L81+M81</f>
        <v/>
      </c>
      <c r="O81" s="5">
        <f>IF(ISNUMBER(N81),N81,"")</f>
        <v/>
      </c>
      <c r="P81" s="5">
        <f>_xlfn.RANK.EQ(O81,$O$2:$O$1031)</f>
        <v/>
      </c>
      <c r="Q81" s="9" t="n">
        <v>253.5</v>
      </c>
      <c r="R81" s="9" t="n">
        <v>44</v>
      </c>
      <c r="S81" s="9" t="n">
        <v>24</v>
      </c>
      <c r="T81" s="9" t="n">
        <v>23</v>
      </c>
      <c r="U81" s="9">
        <f>Q81+R81+S81+T81</f>
        <v/>
      </c>
      <c r="V81" s="9">
        <f>IF(ISNUMBER(U81),U81,"")</f>
        <v/>
      </c>
      <c r="W81" s="9">
        <f>_xlfn.RANK.EQ(V81,$V$2:$V$1031)</f>
        <v/>
      </c>
      <c r="X81" s="13" t="inlineStr">
        <is>
          <t>راسب</t>
        </is>
      </c>
      <c r="Y81" s="13" t="n">
        <v>15</v>
      </c>
      <c r="Z81" s="13" t="n">
        <v>22</v>
      </c>
      <c r="AA81" s="13" t="n">
        <v>21</v>
      </c>
      <c r="AB81" s="13">
        <f>IF(ISNUMBER(X81),X81+N(Y81)+N(Z81)+N(AA81),X81)</f>
        <v/>
      </c>
      <c r="AC81" s="13">
        <f>IF(ISNUMBER(AB81),AB81,"")</f>
        <v/>
      </c>
      <c r="AD81" s="13">
        <f>IF(ISNUMBER(AC81),_xlfn.RANK.EQ(AC81,$AC$2:$AC$1031),"")</f>
        <v/>
      </c>
      <c r="AE81" s="15">
        <f>IF(ISNUMBER(AF81),AF81/3630,"")</f>
        <v/>
      </c>
      <c r="AF81" s="14">
        <f>IFERROR(C81+D81+E81+F81+J81+K81+L81+M81+Q81+R81+S81+T81+IF(ISNUMBER(X81),X81,0)+N(Y81)+N(Z81)+N(AA81),"")</f>
        <v/>
      </c>
      <c r="AG81" s="14">
        <f>IF(ISNUMBER(AF81),AF81,"")</f>
        <v/>
      </c>
      <c r="AH81" s="14">
        <f>IF(ISNUMBER(AG81),_xlfn.RANK.EQ(AG81,$AG$2:$AG$1031),"")</f>
        <v/>
      </c>
    </row>
    <row r="82">
      <c r="A82" s="18" t="n">
        <v>167</v>
      </c>
      <c r="B82" s="18" t="inlineStr">
        <is>
          <t>احمد هاشم عوض محمود</t>
        </is>
      </c>
      <c r="C82" s="1" t="n">
        <v>524.9</v>
      </c>
      <c r="D82" s="1" t="n">
        <v>19</v>
      </c>
      <c r="E82" s="1" t="n">
        <v>10</v>
      </c>
      <c r="F82" s="1" t="n">
        <v>16</v>
      </c>
      <c r="G82" s="1">
        <f>C82+D82+E82+F82</f>
        <v/>
      </c>
      <c r="H82" s="1">
        <f>IF(ISNUMBER(G82),G82,"")</f>
        <v/>
      </c>
      <c r="I82" s="1">
        <f>_xlfn.RANK.EQ(H82,$H$2:$H$1031)</f>
        <v/>
      </c>
      <c r="J82" s="5" t="n">
        <v>466</v>
      </c>
      <c r="K82" s="5" t="n">
        <v>27</v>
      </c>
      <c r="L82" s="5" t="n">
        <v>18</v>
      </c>
      <c r="M82" s="5" t="n">
        <v>11</v>
      </c>
      <c r="N82" s="5">
        <f>J82+K82+L82+M82</f>
        <v/>
      </c>
      <c r="O82" s="5">
        <f>IF(ISNUMBER(N82),N82,"")</f>
        <v/>
      </c>
      <c r="P82" s="5">
        <f>_xlfn.RANK.EQ(O82,$O$2:$O$1031)</f>
        <v/>
      </c>
      <c r="Q82" s="9" t="n">
        <v>206</v>
      </c>
      <c r="R82" s="9" t="n">
        <v>34</v>
      </c>
      <c r="S82" s="9" t="n">
        <v>22</v>
      </c>
      <c r="T82" s="9" t="n">
        <v>23.5</v>
      </c>
      <c r="U82" s="9">
        <f>Q82+R82+S82+T82</f>
        <v/>
      </c>
      <c r="V82" s="9">
        <f>IF(ISNUMBER(U82),U82,"")</f>
        <v/>
      </c>
      <c r="W82" s="9">
        <f>_xlfn.RANK.EQ(V82,$V$2:$V$1031)</f>
        <v/>
      </c>
      <c r="X82" s="13" t="inlineStr">
        <is>
          <t>راسب</t>
        </is>
      </c>
      <c r="Y82" s="13" t="n">
        <v>19</v>
      </c>
      <c r="Z82" s="13" t="n">
        <v>19</v>
      </c>
      <c r="AA82" s="13" t="n">
        <v>15</v>
      </c>
      <c r="AB82" s="13">
        <f>IF(ISNUMBER(X82),X82+N(Y82)+N(Z82)+N(AA82),X82)</f>
        <v/>
      </c>
      <c r="AC82" s="13">
        <f>IF(ISNUMBER(AB82),AB82,"")</f>
        <v/>
      </c>
      <c r="AD82" s="13">
        <f>IF(ISNUMBER(AC82),_xlfn.RANK.EQ(AC82,$AC$2:$AC$1031),"")</f>
        <v/>
      </c>
      <c r="AE82" s="15">
        <f>IF(ISNUMBER(AF82),AF82/3630,"")</f>
        <v/>
      </c>
      <c r="AF82" s="14">
        <f>IFERROR(C82+D82+E82+F82+J82+K82+L82+M82+Q82+R82+S82+T82+IF(ISNUMBER(X82),X82,0)+N(Y82)+N(Z82)+N(AA82),"")</f>
        <v/>
      </c>
      <c r="AG82" s="14">
        <f>IF(ISNUMBER(AF82),AF82,"")</f>
        <v/>
      </c>
      <c r="AH82" s="14">
        <f>IF(ISNUMBER(AG82),_xlfn.RANK.EQ(AG82,$AG$2:$AG$1031),"")</f>
        <v/>
      </c>
    </row>
    <row r="83">
      <c r="A83" s="18" t="n">
        <v>168</v>
      </c>
      <c r="B83" s="18" t="inlineStr">
        <is>
          <t>احمد هانى رافت محمود عيسى</t>
        </is>
      </c>
      <c r="C83" s="1" t="n">
        <v>604.1</v>
      </c>
      <c r="D83" s="1" t="n">
        <v>24</v>
      </c>
      <c r="E83" s="1" t="n">
        <v>25</v>
      </c>
      <c r="F83" s="1" t="n">
        <v>23</v>
      </c>
      <c r="G83" s="1">
        <f>C83+D83+E83+F83</f>
        <v/>
      </c>
      <c r="H83" s="1">
        <f>IF(ISNUMBER(G83),G83,"")</f>
        <v/>
      </c>
      <c r="I83" s="1">
        <f>_xlfn.RANK.EQ(H83,$H$2:$H$1031)</f>
        <v/>
      </c>
      <c r="J83" s="5" t="n">
        <v>575.5</v>
      </c>
      <c r="K83" s="5" t="n">
        <v>47</v>
      </c>
      <c r="L83" s="5" t="n">
        <v>21</v>
      </c>
      <c r="M83" s="5" t="n">
        <v>21</v>
      </c>
      <c r="N83" s="5">
        <f>J83+K83+L83+M83</f>
        <v/>
      </c>
      <c r="O83" s="5">
        <f>IF(ISNUMBER(N83),N83,"")</f>
        <v/>
      </c>
      <c r="P83" s="5">
        <f>_xlfn.RANK.EQ(O83,$O$2:$O$1031)</f>
        <v/>
      </c>
      <c r="Q83" s="9" t="n">
        <v>242</v>
      </c>
      <c r="R83" s="9" t="n">
        <v>41</v>
      </c>
      <c r="S83" s="9" t="n">
        <v>21</v>
      </c>
      <c r="T83" s="9" t="n">
        <v>25</v>
      </c>
      <c r="U83" s="9">
        <f>Q83+R83+S83+T83</f>
        <v/>
      </c>
      <c r="V83" s="9">
        <f>IF(ISNUMBER(U83),U83,"")</f>
        <v/>
      </c>
      <c r="W83" s="9">
        <f>_xlfn.RANK.EQ(V83,$V$2:$V$1031)</f>
        <v/>
      </c>
      <c r="X83" s="13" t="n">
        <v>1178.9041666667</v>
      </c>
      <c r="Y83" s="13" t="n">
        <v>25</v>
      </c>
      <c r="Z83" s="13" t="n">
        <v>22</v>
      </c>
      <c r="AA83" s="13" t="n">
        <v>23</v>
      </c>
      <c r="AB83" s="13">
        <f>IF(ISNUMBER(X83),X83+N(Y83)+N(Z83)+N(AA83),X83)</f>
        <v/>
      </c>
      <c r="AC83" s="13">
        <f>IF(ISNUMBER(AB83),AB83,"")</f>
        <v/>
      </c>
      <c r="AD83" s="13">
        <f>IF(ISNUMBER(AC83),_xlfn.RANK.EQ(AC83,$AC$2:$AC$1031),"")</f>
        <v/>
      </c>
      <c r="AE83" s="15">
        <f>IF(ISNUMBER(AF83),AF83/3630,"")</f>
        <v/>
      </c>
      <c r="AF83" s="14">
        <f>IFERROR(C83+D83+E83+F83+J83+K83+L83+M83+Q83+R83+S83+T83+IF(ISNUMBER(X83),X83,0)+N(Y83)+N(Z83)+N(AA83),"")</f>
        <v/>
      </c>
      <c r="AG83" s="14">
        <f>IF(ISNUMBER(AF83),AF83,"")</f>
        <v/>
      </c>
      <c r="AH83" s="14">
        <f>IF(ISNUMBER(AG83),_xlfn.RANK.EQ(AG83,$AG$2:$AG$1031),"")</f>
        <v/>
      </c>
    </row>
    <row r="84">
      <c r="A84" s="18" t="n">
        <v>171</v>
      </c>
      <c r="B84" s="18" t="inlineStr">
        <is>
          <t>احمد هشام رشاد عاشور</t>
        </is>
      </c>
      <c r="C84" s="1" t="n">
        <v>637.3</v>
      </c>
      <c r="D84" s="1" t="n">
        <v>25</v>
      </c>
      <c r="E84" s="1" t="n">
        <v>24</v>
      </c>
      <c r="F84" s="1" t="n">
        <v>5</v>
      </c>
      <c r="G84" s="1">
        <f>C84+D84+E84+F84</f>
        <v/>
      </c>
      <c r="H84" s="1">
        <f>IF(ISNUMBER(G84),G84,"")</f>
        <v/>
      </c>
      <c r="I84" s="1">
        <f>_xlfn.RANK.EQ(H84,$H$2:$H$1031)</f>
        <v/>
      </c>
      <c r="J84" s="5" t="n">
        <v>634</v>
      </c>
      <c r="K84" s="5" t="n">
        <v>50</v>
      </c>
      <c r="L84" s="5" t="n">
        <v>24</v>
      </c>
      <c r="M84" s="5" t="n">
        <v>25</v>
      </c>
      <c r="N84" s="5">
        <f>J84+K84+L84+M84</f>
        <v/>
      </c>
      <c r="O84" s="5">
        <f>IF(ISNUMBER(N84),N84,"")</f>
        <v/>
      </c>
      <c r="P84" s="5">
        <f>_xlfn.RANK.EQ(O84,$O$2:$O$1031)</f>
        <v/>
      </c>
      <c r="Q84" s="9" t="n">
        <v>276</v>
      </c>
      <c r="R84" s="9" t="n">
        <v>48</v>
      </c>
      <c r="S84" s="9" t="n">
        <v>25</v>
      </c>
      <c r="T84" s="9" t="n">
        <v>25</v>
      </c>
      <c r="U84" s="9">
        <f>Q84+R84+S84+T84</f>
        <v/>
      </c>
      <c r="V84" s="9">
        <f>IF(ISNUMBER(U84),U84,"")</f>
        <v/>
      </c>
      <c r="W84" s="9">
        <f>_xlfn.RANK.EQ(V84,$V$2:$V$1031)</f>
        <v/>
      </c>
      <c r="X84" s="13" t="n">
        <v>1547.4791666667</v>
      </c>
      <c r="Y84" s="13" t="n">
        <v>25</v>
      </c>
      <c r="Z84" s="13" t="n">
        <v>23</v>
      </c>
      <c r="AA84" s="13" t="n">
        <v>23</v>
      </c>
      <c r="AB84" s="13">
        <f>IF(ISNUMBER(X84),X84+N(Y84)+N(Z84)+N(AA84),X84)</f>
        <v/>
      </c>
      <c r="AC84" s="13">
        <f>IF(ISNUMBER(AB84),AB84,"")</f>
        <v/>
      </c>
      <c r="AD84" s="13">
        <f>IF(ISNUMBER(AC84),_xlfn.RANK.EQ(AC84,$AC$2:$AC$1031),"")</f>
        <v/>
      </c>
      <c r="AE84" s="15">
        <f>IF(ISNUMBER(AF84),AF84/3630,"")</f>
        <v/>
      </c>
      <c r="AF84" s="14">
        <f>IFERROR(C84+D84+E84+F84+J84+K84+L84+M84+Q84+R84+S84+T84+IF(ISNUMBER(X84),X84,0)+N(Y84)+N(Z84)+N(AA84),"")</f>
        <v/>
      </c>
      <c r="AG84" s="14">
        <f>IF(ISNUMBER(AF84),AF84,"")</f>
        <v/>
      </c>
      <c r="AH84" s="14">
        <f>IF(ISNUMBER(AG84),_xlfn.RANK.EQ(AG84,$AG$2:$AG$1031),"")</f>
        <v/>
      </c>
    </row>
    <row r="85">
      <c r="A85" s="18" t="n">
        <v>174</v>
      </c>
      <c r="B85" s="18" t="inlineStr">
        <is>
          <t>احمد وليد ثروت هاشم الاتربى</t>
        </is>
      </c>
      <c r="C85" s="1" t="n">
        <v>613.8</v>
      </c>
      <c r="D85" s="1" t="n">
        <v>25</v>
      </c>
      <c r="E85" s="1" t="n">
        <v>22</v>
      </c>
      <c r="F85" s="1" t="n">
        <v>21</v>
      </c>
      <c r="G85" s="1">
        <f>C85+D85+E85+F85</f>
        <v/>
      </c>
      <c r="H85" s="1">
        <f>IF(ISNUMBER(G85),G85,"")</f>
        <v/>
      </c>
      <c r="I85" s="1">
        <f>_xlfn.RANK.EQ(H85,$H$2:$H$1031)</f>
        <v/>
      </c>
      <c r="J85" s="5" t="n">
        <v>606</v>
      </c>
      <c r="K85" s="5" t="n">
        <v>49</v>
      </c>
      <c r="L85" s="5" t="n">
        <v>23</v>
      </c>
      <c r="M85" s="5" t="n">
        <v>25</v>
      </c>
      <c r="N85" s="5">
        <f>J85+K85+L85+M85</f>
        <v/>
      </c>
      <c r="O85" s="5">
        <f>IF(ISNUMBER(N85),N85,"")</f>
        <v/>
      </c>
      <c r="P85" s="5">
        <f>_xlfn.RANK.EQ(O85,$O$2:$O$1031)</f>
        <v/>
      </c>
      <c r="Q85" s="9" t="n">
        <v>242</v>
      </c>
      <c r="R85" s="9" t="n">
        <v>48.5</v>
      </c>
      <c r="S85" s="9" t="n">
        <v>25</v>
      </c>
      <c r="T85" s="9" t="n">
        <v>25</v>
      </c>
      <c r="U85" s="9">
        <f>Q85+R85+S85+T85</f>
        <v/>
      </c>
      <c r="V85" s="9">
        <f>IF(ISNUMBER(U85),U85,"")</f>
        <v/>
      </c>
      <c r="W85" s="9">
        <f>_xlfn.RANK.EQ(V85,$V$2:$V$1031)</f>
        <v/>
      </c>
      <c r="X85" s="13" t="n">
        <v>1437.6916666667</v>
      </c>
      <c r="Y85" s="13" t="n">
        <v>25</v>
      </c>
      <c r="Z85" s="13" t="n">
        <v>25</v>
      </c>
      <c r="AA85" s="13" t="n">
        <v>25</v>
      </c>
      <c r="AB85" s="13">
        <f>IF(ISNUMBER(X85),X85+N(Y85)+N(Z85)+N(AA85),X85)</f>
        <v/>
      </c>
      <c r="AC85" s="13">
        <f>IF(ISNUMBER(AB85),AB85,"")</f>
        <v/>
      </c>
      <c r="AD85" s="13">
        <f>IF(ISNUMBER(AC85),_xlfn.RANK.EQ(AC85,$AC$2:$AC$1031),"")</f>
        <v/>
      </c>
      <c r="AE85" s="15">
        <f>IF(ISNUMBER(AF85),AF85/3630,"")</f>
        <v/>
      </c>
      <c r="AF85" s="14">
        <f>IFERROR(C85+D85+E85+F85+J85+K85+L85+M85+Q85+R85+S85+T85+IF(ISNUMBER(X85),X85,0)+N(Y85)+N(Z85)+N(AA85),"")</f>
        <v/>
      </c>
      <c r="AG85" s="14">
        <f>IF(ISNUMBER(AF85),AF85,"")</f>
        <v/>
      </c>
      <c r="AH85" s="14">
        <f>IF(ISNUMBER(AG85),_xlfn.RANK.EQ(AG85,$AG$2:$AG$1031),"")</f>
        <v/>
      </c>
    </row>
    <row r="86">
      <c r="A86" s="18" t="n">
        <v>175</v>
      </c>
      <c r="B86" s="18" t="inlineStr">
        <is>
          <t>احمد وليد محمد اللقاني</t>
        </is>
      </c>
      <c r="C86" s="1" t="n">
        <v>543.2</v>
      </c>
      <c r="D86" s="1" t="n">
        <v>24</v>
      </c>
      <c r="E86" s="1" t="n">
        <v>22</v>
      </c>
      <c r="F86" s="1" t="n">
        <v>21</v>
      </c>
      <c r="G86" s="1">
        <f>C86+D86+E86+F86</f>
        <v/>
      </c>
      <c r="H86" s="1">
        <f>IF(ISNUMBER(G86),G86,"")</f>
        <v/>
      </c>
      <c r="I86" s="1">
        <f>_xlfn.RANK.EQ(H86,$H$2:$H$1031)</f>
        <v/>
      </c>
      <c r="J86" s="5" t="n">
        <v>495.1</v>
      </c>
      <c r="K86" s="5" t="n">
        <v>47</v>
      </c>
      <c r="L86" s="5" t="n">
        <v>21</v>
      </c>
      <c r="M86" s="5" t="n">
        <v>21</v>
      </c>
      <c r="N86" s="5">
        <f>J86+K86+L86+M86</f>
        <v/>
      </c>
      <c r="O86" s="5">
        <f>IF(ISNUMBER(N86),N86,"")</f>
        <v/>
      </c>
      <c r="P86" s="5">
        <f>_xlfn.RANK.EQ(O86,$O$2:$O$1031)</f>
        <v/>
      </c>
      <c r="Q86" s="9" t="n">
        <v>183</v>
      </c>
      <c r="R86" s="9" t="n">
        <v>45.5</v>
      </c>
      <c r="S86" s="9" t="n">
        <v>23</v>
      </c>
      <c r="T86" s="9" t="n">
        <v>24</v>
      </c>
      <c r="U86" s="9">
        <f>Q86+R86+S86+T86</f>
        <v/>
      </c>
      <c r="V86" s="9">
        <f>IF(ISNUMBER(U86),U86,"")</f>
        <v/>
      </c>
      <c r="W86" s="9">
        <f>_xlfn.RANK.EQ(V86,$V$2:$V$1031)</f>
        <v/>
      </c>
      <c r="X86" s="13" t="inlineStr">
        <is>
          <t>راسب</t>
        </is>
      </c>
      <c r="Y86" s="13" t="n">
        <v>20</v>
      </c>
      <c r="Z86" s="13" t="n">
        <v>22</v>
      </c>
      <c r="AA86" s="13" t="n">
        <v>22</v>
      </c>
      <c r="AB86" s="13">
        <f>IF(ISNUMBER(X86),X86+N(Y86)+N(Z86)+N(AA86),X86)</f>
        <v/>
      </c>
      <c r="AC86" s="13">
        <f>IF(ISNUMBER(AB86),AB86,"")</f>
        <v/>
      </c>
      <c r="AD86" s="13">
        <f>IF(ISNUMBER(AC86),_xlfn.RANK.EQ(AC86,$AC$2:$AC$1031),"")</f>
        <v/>
      </c>
      <c r="AE86" s="15">
        <f>IF(ISNUMBER(AF86),AF86/3630,"")</f>
        <v/>
      </c>
      <c r="AF86" s="14">
        <f>IFERROR(C86+D86+E86+F86+J86+K86+L86+M86+Q86+R86+S86+T86+IF(ISNUMBER(X86),X86,0)+N(Y86)+N(Z86)+N(AA86),"")</f>
        <v/>
      </c>
      <c r="AG86" s="14">
        <f>IF(ISNUMBER(AF86),AF86,"")</f>
        <v/>
      </c>
      <c r="AH86" s="14">
        <f>IF(ISNUMBER(AG86),_xlfn.RANK.EQ(AG86,$AG$2:$AG$1031),"")</f>
        <v/>
      </c>
    </row>
    <row r="87">
      <c r="A87" s="18" t="n">
        <v>176</v>
      </c>
      <c r="B87" s="18" t="inlineStr">
        <is>
          <t>احمد وليد محمد بكر محمود</t>
        </is>
      </c>
      <c r="C87" s="1" t="n">
        <v>513.3</v>
      </c>
      <c r="D87" s="1" t="n">
        <v>19</v>
      </c>
      <c r="E87" s="1" t="n">
        <v>24</v>
      </c>
      <c r="F87" s="1" t="n">
        <v>20</v>
      </c>
      <c r="G87" s="1">
        <f>C87+D87+E87+F87</f>
        <v/>
      </c>
      <c r="H87" s="1">
        <f>IF(ISNUMBER(G87),G87,"")</f>
        <v/>
      </c>
      <c r="I87" s="1">
        <f>_xlfn.RANK.EQ(H87,$H$2:$H$1031)</f>
        <v/>
      </c>
      <c r="J87" s="5" t="n">
        <v>517.1</v>
      </c>
      <c r="K87" s="5" t="n">
        <v>47</v>
      </c>
      <c r="L87" s="5" t="n">
        <v>22</v>
      </c>
      <c r="M87" s="5" t="n">
        <v>22</v>
      </c>
      <c r="N87" s="5">
        <f>J87+K87+L87+M87</f>
        <v/>
      </c>
      <c r="O87" s="5">
        <f>IF(ISNUMBER(N87),N87,"")</f>
        <v/>
      </c>
      <c r="P87" s="5">
        <f>_xlfn.RANK.EQ(O87,$O$2:$O$1031)</f>
        <v/>
      </c>
      <c r="Q87" s="9" t="n">
        <v>233</v>
      </c>
      <c r="R87" s="9" t="n">
        <v>45.5</v>
      </c>
      <c r="S87" s="9" t="n">
        <v>25</v>
      </c>
      <c r="T87" s="9" t="n">
        <v>24.5</v>
      </c>
      <c r="U87" s="9">
        <f>Q87+R87+S87+T87</f>
        <v/>
      </c>
      <c r="V87" s="9">
        <f>IF(ISNUMBER(U87),U87,"")</f>
        <v/>
      </c>
      <c r="W87" s="9">
        <f>_xlfn.RANK.EQ(V87,$V$2:$V$1031)</f>
        <v/>
      </c>
      <c r="X87" s="13" t="n">
        <v>1400.7291666667</v>
      </c>
      <c r="Y87" s="13" t="n">
        <v>25</v>
      </c>
      <c r="Z87" s="13" t="n">
        <v>25</v>
      </c>
      <c r="AA87" s="13" t="n">
        <v>22</v>
      </c>
      <c r="AB87" s="13">
        <f>IF(ISNUMBER(X87),X87+N(Y87)+N(Z87)+N(AA87),X87)</f>
        <v/>
      </c>
      <c r="AC87" s="13">
        <f>IF(ISNUMBER(AB87),AB87,"")</f>
        <v/>
      </c>
      <c r="AD87" s="13">
        <f>IF(ISNUMBER(AC87),_xlfn.RANK.EQ(AC87,$AC$2:$AC$1031),"")</f>
        <v/>
      </c>
      <c r="AE87" s="15">
        <f>IF(ISNUMBER(AF87),AF87/3630,"")</f>
        <v/>
      </c>
      <c r="AF87" s="14">
        <f>IFERROR(C87+D87+E87+F87+J87+K87+L87+M87+Q87+R87+S87+T87+IF(ISNUMBER(X87),X87,0)+N(Y87)+N(Z87)+N(AA87),"")</f>
        <v/>
      </c>
      <c r="AG87" s="14">
        <f>IF(ISNUMBER(AF87),AF87,"")</f>
        <v/>
      </c>
      <c r="AH87" s="14">
        <f>IF(ISNUMBER(AG87),_xlfn.RANK.EQ(AG87,$AG$2:$AG$1031),"")</f>
        <v/>
      </c>
    </row>
    <row r="88">
      <c r="A88" s="18" t="n">
        <v>178</v>
      </c>
      <c r="B88" s="18" t="inlineStr">
        <is>
          <t>احمد يوسف طايل عبدالعاطى</t>
        </is>
      </c>
      <c r="C88" s="1" t="n">
        <v>429.7</v>
      </c>
      <c r="D88" s="1" t="n">
        <v>10</v>
      </c>
      <c r="E88" s="1" t="n">
        <v>6</v>
      </c>
      <c r="F88" s="1" t="n">
        <v>13</v>
      </c>
      <c r="G88" s="1">
        <f>C88+D88+E88+F88</f>
        <v/>
      </c>
      <c r="H88" s="1">
        <f>IF(ISNUMBER(G88),G88,"")</f>
        <v/>
      </c>
      <c r="I88" s="1">
        <f>_xlfn.RANK.EQ(H88,$H$2:$H$1031)</f>
        <v/>
      </c>
      <c r="J88" s="5" t="n">
        <v>390</v>
      </c>
      <c r="K88" s="5" t="n">
        <v>29</v>
      </c>
      <c r="L88" s="5" t="n">
        <v>20</v>
      </c>
      <c r="M88" s="5" t="n">
        <v>12</v>
      </c>
      <c r="N88" s="5">
        <f>J88+K88+L88+M88</f>
        <v/>
      </c>
      <c r="O88" s="5">
        <f>IF(ISNUMBER(N88),N88,"")</f>
        <v/>
      </c>
      <c r="P88" s="5">
        <f>_xlfn.RANK.EQ(O88,$O$2:$O$1031)</f>
        <v/>
      </c>
      <c r="Q88" s="9" t="n">
        <v>174.75</v>
      </c>
      <c r="R88" s="9" t="n">
        <v>44</v>
      </c>
      <c r="S88" s="9" t="n">
        <v>25</v>
      </c>
      <c r="T88" s="9" t="n">
        <v>25</v>
      </c>
      <c r="U88" s="9">
        <f>Q88+R88+S88+T88</f>
        <v/>
      </c>
      <c r="V88" s="9">
        <f>IF(ISNUMBER(U88),U88,"")</f>
        <v/>
      </c>
      <c r="W88" s="9">
        <f>_xlfn.RANK.EQ(V88,$V$2:$V$1031)</f>
        <v/>
      </c>
      <c r="X88" s="13" t="n">
        <v>1216.9208333333</v>
      </c>
      <c r="Y88" s="13" t="n">
        <v>25</v>
      </c>
      <c r="Z88" s="13" t="n">
        <v>22</v>
      </c>
      <c r="AA88" s="13" t="n">
        <v>23</v>
      </c>
      <c r="AB88" s="13">
        <f>IF(ISNUMBER(X88),X88+N(Y88)+N(Z88)+N(AA88),X88)</f>
        <v/>
      </c>
      <c r="AC88" s="13">
        <f>IF(ISNUMBER(AB88),AB88,"")</f>
        <v/>
      </c>
      <c r="AD88" s="13">
        <f>IF(ISNUMBER(AC88),_xlfn.RANK.EQ(AC88,$AC$2:$AC$1031),"")</f>
        <v/>
      </c>
      <c r="AE88" s="15">
        <f>IF(ISNUMBER(AF88),AF88/3630,"")</f>
        <v/>
      </c>
      <c r="AF88" s="14">
        <f>IFERROR(C88+D88+E88+F88+J88+K88+L88+M88+Q88+R88+S88+T88+IF(ISNUMBER(X88),X88,0)+N(Y88)+N(Z88)+N(AA88),"")</f>
        <v/>
      </c>
      <c r="AG88" s="14">
        <f>IF(ISNUMBER(AF88),AF88,"")</f>
        <v/>
      </c>
      <c r="AH88" s="14">
        <f>IF(ISNUMBER(AG88),_xlfn.RANK.EQ(AG88,$AG$2:$AG$1031),"")</f>
        <v/>
      </c>
    </row>
    <row r="89">
      <c r="A89" s="18" t="n">
        <v>182</v>
      </c>
      <c r="B89" s="18" t="inlineStr">
        <is>
          <t>ادم احمد زكريا محمد عبدالحميد محفوظ</t>
        </is>
      </c>
      <c r="C89" s="1" t="n">
        <v>549.3</v>
      </c>
      <c r="D89" s="1" t="n">
        <v>20</v>
      </c>
      <c r="E89" s="1" t="n">
        <v>22</v>
      </c>
      <c r="F89" s="1" t="n">
        <v>19</v>
      </c>
      <c r="G89" s="1">
        <f>C89+D89+E89+F89</f>
        <v/>
      </c>
      <c r="H89" s="1">
        <f>IF(ISNUMBER(G89),G89,"")</f>
        <v/>
      </c>
      <c r="I89" s="1">
        <f>_xlfn.RANK.EQ(H89,$H$2:$H$1031)</f>
        <v/>
      </c>
      <c r="J89" s="5" t="n">
        <v>539</v>
      </c>
      <c r="K89" s="5" t="n">
        <v>44</v>
      </c>
      <c r="L89" s="5" t="n">
        <v>21</v>
      </c>
      <c r="M89" s="5" t="n">
        <v>23</v>
      </c>
      <c r="N89" s="5">
        <f>J89+K89+L89+M89</f>
        <v/>
      </c>
      <c r="O89" s="5">
        <f>IF(ISNUMBER(N89),N89,"")</f>
        <v/>
      </c>
      <c r="P89" s="5">
        <f>_xlfn.RANK.EQ(O89,$O$2:$O$1031)</f>
        <v/>
      </c>
      <c r="Q89" s="9" t="n">
        <v>238.5</v>
      </c>
      <c r="R89" s="9" t="n">
        <v>40.5</v>
      </c>
      <c r="S89" s="9" t="n">
        <v>23</v>
      </c>
      <c r="T89" s="9" t="n">
        <v>24</v>
      </c>
      <c r="U89" s="9">
        <f>Q89+R89+S89+T89</f>
        <v/>
      </c>
      <c r="V89" s="9">
        <f>IF(ISNUMBER(U89),U89,"")</f>
        <v/>
      </c>
      <c r="W89" s="9">
        <f>_xlfn.RANK.EQ(V89,$V$2:$V$1031)</f>
        <v/>
      </c>
      <c r="X89" s="13" t="n">
        <v>1317.0541666667</v>
      </c>
      <c r="Y89" s="13" t="n">
        <v>24.5</v>
      </c>
      <c r="Z89" s="13" t="n">
        <v>22</v>
      </c>
      <c r="AA89" s="13" t="n">
        <v>23</v>
      </c>
      <c r="AB89" s="13">
        <f>IF(ISNUMBER(X89),X89+N(Y89)+N(Z89)+N(AA89),X89)</f>
        <v/>
      </c>
      <c r="AC89" s="13">
        <f>IF(ISNUMBER(AB89),AB89,"")</f>
        <v/>
      </c>
      <c r="AD89" s="13">
        <f>IF(ISNUMBER(AC89),_xlfn.RANK.EQ(AC89,$AC$2:$AC$1031),"")</f>
        <v/>
      </c>
      <c r="AE89" s="15">
        <f>IF(ISNUMBER(AF89),AF89/3630,"")</f>
        <v/>
      </c>
      <c r="AF89" s="14">
        <f>IFERROR(C89+D89+E89+F89+J89+K89+L89+M89+Q89+R89+S89+T89+IF(ISNUMBER(X89),X89,0)+N(Y89)+N(Z89)+N(AA89),"")</f>
        <v/>
      </c>
      <c r="AG89" s="14">
        <f>IF(ISNUMBER(AF89),AF89,"")</f>
        <v/>
      </c>
      <c r="AH89" s="14">
        <f>IF(ISNUMBER(AG89),_xlfn.RANK.EQ(AG89,$AG$2:$AG$1031),"")</f>
        <v/>
      </c>
    </row>
    <row r="90">
      <c r="A90" s="18" t="n">
        <v>183</v>
      </c>
      <c r="B90" s="18" t="inlineStr">
        <is>
          <t>ادهم أحمد محمد محمد ماضى</t>
        </is>
      </c>
      <c r="C90" s="1" t="n">
        <v>603.1</v>
      </c>
      <c r="D90" s="1" t="n">
        <v>22</v>
      </c>
      <c r="E90" s="1" t="n">
        <v>24</v>
      </c>
      <c r="F90" s="1" t="n">
        <v>22</v>
      </c>
      <c r="G90" s="1">
        <f>C90+D90+E90+F90</f>
        <v/>
      </c>
      <c r="H90" s="1">
        <f>IF(ISNUMBER(G90),G90,"")</f>
        <v/>
      </c>
      <c r="I90" s="1">
        <f>_xlfn.RANK.EQ(H90,$H$2:$H$1031)</f>
        <v/>
      </c>
      <c r="J90" s="5" t="n">
        <v>576.75</v>
      </c>
      <c r="K90" s="5" t="n">
        <v>46</v>
      </c>
      <c r="L90" s="5" t="n">
        <v>22</v>
      </c>
      <c r="M90" s="5" t="n">
        <v>22</v>
      </c>
      <c r="N90" s="5">
        <f>J90+K90+L90+M90</f>
        <v/>
      </c>
      <c r="O90" s="5">
        <f>IF(ISNUMBER(N90),N90,"")</f>
        <v/>
      </c>
      <c r="P90" s="5">
        <f>_xlfn.RANK.EQ(O90,$O$2:$O$1031)</f>
        <v/>
      </c>
      <c r="Q90" s="9" t="n">
        <v>245.5</v>
      </c>
      <c r="R90" s="9" t="n">
        <v>40.5</v>
      </c>
      <c r="S90" s="9" t="n">
        <v>23</v>
      </c>
      <c r="T90" s="9" t="n">
        <v>24</v>
      </c>
      <c r="U90" s="9">
        <f>Q90+R90+S90+T90</f>
        <v/>
      </c>
      <c r="V90" s="9">
        <f>IF(ISNUMBER(U90),U90,"")</f>
        <v/>
      </c>
      <c r="W90" s="9">
        <f>_xlfn.RANK.EQ(V90,$V$2:$V$1031)</f>
        <v/>
      </c>
      <c r="X90" s="13" t="n">
        <v>1362.1333333333</v>
      </c>
      <c r="Y90" s="13" t="n">
        <v>24</v>
      </c>
      <c r="Z90" s="13" t="n">
        <v>22</v>
      </c>
      <c r="AA90" s="13" t="n">
        <v>22</v>
      </c>
      <c r="AB90" s="13">
        <f>IF(ISNUMBER(X90),X90+N(Y90)+N(Z90)+N(AA90),X90)</f>
        <v/>
      </c>
      <c r="AC90" s="13">
        <f>IF(ISNUMBER(AB90),AB90,"")</f>
        <v/>
      </c>
      <c r="AD90" s="13">
        <f>IF(ISNUMBER(AC90),_xlfn.RANK.EQ(AC90,$AC$2:$AC$1031),"")</f>
        <v/>
      </c>
      <c r="AE90" s="15">
        <f>IF(ISNUMBER(AF90),AF90/3630,"")</f>
        <v/>
      </c>
      <c r="AF90" s="14">
        <f>IFERROR(C90+D90+E90+F90+J90+K90+L90+M90+Q90+R90+S90+T90+IF(ISNUMBER(X90),X90,0)+N(Y90)+N(Z90)+N(AA90),"")</f>
        <v/>
      </c>
      <c r="AG90" s="14">
        <f>IF(ISNUMBER(AF90),AF90,"")</f>
        <v/>
      </c>
      <c r="AH90" s="14">
        <f>IF(ISNUMBER(AG90),_xlfn.RANK.EQ(AG90,$AG$2:$AG$1031),"")</f>
        <v/>
      </c>
    </row>
    <row r="91">
      <c r="A91" s="18" t="n">
        <v>184</v>
      </c>
      <c r="B91" s="18" t="inlineStr">
        <is>
          <t>ادهم طارق هاشم  الفولي</t>
        </is>
      </c>
      <c r="C91" s="1" t="n">
        <v>611.3</v>
      </c>
      <c r="D91" s="1" t="n">
        <v>25</v>
      </c>
      <c r="E91" s="1" t="n">
        <v>22</v>
      </c>
      <c r="F91" s="1" t="n">
        <v>20</v>
      </c>
      <c r="G91" s="1">
        <f>C91+D91+E91+F91</f>
        <v/>
      </c>
      <c r="H91" s="1">
        <f>IF(ISNUMBER(G91),G91,"")</f>
        <v/>
      </c>
      <c r="I91" s="1">
        <f>_xlfn.RANK.EQ(H91,$H$2:$H$1031)</f>
        <v/>
      </c>
      <c r="J91" s="5" t="n">
        <v>610.25</v>
      </c>
      <c r="K91" s="5" t="n">
        <v>48</v>
      </c>
      <c r="L91" s="5" t="n">
        <v>22</v>
      </c>
      <c r="M91" s="5" t="n">
        <v>23</v>
      </c>
      <c r="N91" s="5">
        <f>J91+K91+L91+M91</f>
        <v/>
      </c>
      <c r="O91" s="5">
        <f>IF(ISNUMBER(N91),N91,"")</f>
        <v/>
      </c>
      <c r="P91" s="5">
        <f>_xlfn.RANK.EQ(O91,$O$2:$O$1031)</f>
        <v/>
      </c>
      <c r="Q91" s="9" t="n">
        <v>260.5</v>
      </c>
      <c r="R91" s="9" t="n">
        <v>44.5</v>
      </c>
      <c r="S91" s="9" t="n">
        <v>25</v>
      </c>
      <c r="T91" s="9" t="n">
        <v>25</v>
      </c>
      <c r="U91" s="9">
        <f>Q91+R91+S91+T91</f>
        <v/>
      </c>
      <c r="V91" s="9">
        <f>IF(ISNUMBER(U91),U91,"")</f>
        <v/>
      </c>
      <c r="W91" s="9">
        <f>_xlfn.RANK.EQ(V91,$V$2:$V$1031)</f>
        <v/>
      </c>
      <c r="X91" s="13" t="inlineStr">
        <is>
          <t>غ</t>
        </is>
      </c>
      <c r="Y91" s="13" t="n">
        <v>14.5</v>
      </c>
      <c r="Z91" s="13" t="inlineStr">
        <is>
          <t>غ</t>
        </is>
      </c>
      <c r="AA91" s="13" t="n"/>
      <c r="AB91" s="13">
        <f>IF(ISNUMBER(X91),X91+N(Y91)+N(Z91)+N(AA91),X91)</f>
        <v/>
      </c>
      <c r="AC91" s="13">
        <f>IF(ISNUMBER(AB91),AB91,"")</f>
        <v/>
      </c>
      <c r="AD91" s="13">
        <f>IF(ISNUMBER(AC91),_xlfn.RANK.EQ(AC91,$AC$2:$AC$1031),"")</f>
        <v/>
      </c>
      <c r="AE91" s="15">
        <f>IF(ISNUMBER(AF91),AF91/3630,"")</f>
        <v/>
      </c>
      <c r="AF91" s="14">
        <f>IFERROR(C91+D91+E91+F91+J91+K91+L91+M91+Q91+R91+S91+T91+IF(ISNUMBER(X91),X91,0)+N(Y91)+N(Z91)+N(AA91),"")</f>
        <v/>
      </c>
      <c r="AG91" s="14">
        <f>IF(ISNUMBER(AF91),AF91,"")</f>
        <v/>
      </c>
      <c r="AH91" s="14">
        <f>IF(ISNUMBER(AG91),_xlfn.RANK.EQ(AG91,$AG$2:$AG$1031),"")</f>
        <v/>
      </c>
    </row>
    <row r="92">
      <c r="A92" s="18" t="n">
        <v>185</v>
      </c>
      <c r="B92" s="18" t="inlineStr">
        <is>
          <t>ادهم محمد على مرشدى على عبد الله</t>
        </is>
      </c>
      <c r="C92" s="1" t="n">
        <v>635.1</v>
      </c>
      <c r="D92" s="1" t="n">
        <v>20</v>
      </c>
      <c r="E92" s="1" t="n">
        <v>25</v>
      </c>
      <c r="F92" s="1" t="n">
        <v>23</v>
      </c>
      <c r="G92" s="1">
        <f>C92+D92+E92+F92</f>
        <v/>
      </c>
      <c r="H92" s="1">
        <f>IF(ISNUMBER(G92),G92,"")</f>
        <v/>
      </c>
      <c r="I92" s="1">
        <f>_xlfn.RANK.EQ(H92,$H$2:$H$1031)</f>
        <v/>
      </c>
      <c r="J92" s="5" t="n">
        <v>634.25</v>
      </c>
      <c r="K92" s="5" t="n">
        <v>47</v>
      </c>
      <c r="L92" s="5" t="n">
        <v>23</v>
      </c>
      <c r="M92" s="5" t="n">
        <v>24</v>
      </c>
      <c r="N92" s="5">
        <f>J92+K92+L92+M92</f>
        <v/>
      </c>
      <c r="O92" s="5">
        <f>IF(ISNUMBER(N92),N92,"")</f>
        <v/>
      </c>
      <c r="P92" s="5">
        <f>_xlfn.RANK.EQ(O92,$O$2:$O$1031)</f>
        <v/>
      </c>
      <c r="Q92" s="9" t="n">
        <v>289</v>
      </c>
      <c r="R92" s="9" t="n">
        <v>48.5</v>
      </c>
      <c r="S92" s="9" t="n">
        <v>25</v>
      </c>
      <c r="T92" s="9" t="n">
        <v>24.5</v>
      </c>
      <c r="U92" s="9">
        <f>Q92+R92+S92+T92</f>
        <v/>
      </c>
      <c r="V92" s="9">
        <f>IF(ISNUMBER(U92),U92,"")</f>
        <v/>
      </c>
      <c r="W92" s="9">
        <f>_xlfn.RANK.EQ(V92,$V$2:$V$1031)</f>
        <v/>
      </c>
      <c r="X92" s="13" t="n">
        <v>1573.0875</v>
      </c>
      <c r="Y92" s="13" t="n">
        <v>25</v>
      </c>
      <c r="Z92" s="13" t="n">
        <v>24</v>
      </c>
      <c r="AA92" s="13" t="n">
        <v>24</v>
      </c>
      <c r="AB92" s="13">
        <f>IF(ISNUMBER(X92),X92+N(Y92)+N(Z92)+N(AA92),X92)</f>
        <v/>
      </c>
      <c r="AC92" s="13">
        <f>IF(ISNUMBER(AB92),AB92,"")</f>
        <v/>
      </c>
      <c r="AD92" s="13">
        <f>IF(ISNUMBER(AC92),_xlfn.RANK.EQ(AC92,$AC$2:$AC$1031),"")</f>
        <v/>
      </c>
      <c r="AE92" s="15">
        <f>IF(ISNUMBER(AF92),AF92/3630,"")</f>
        <v/>
      </c>
      <c r="AF92" s="14">
        <f>IFERROR(C92+D92+E92+F92+J92+K92+L92+M92+Q92+R92+S92+T92+IF(ISNUMBER(X92),X92,0)+N(Y92)+N(Z92)+N(AA92),"")</f>
        <v/>
      </c>
      <c r="AG92" s="14">
        <f>IF(ISNUMBER(AF92),AF92,"")</f>
        <v/>
      </c>
      <c r="AH92" s="14">
        <f>IF(ISNUMBER(AG92),_xlfn.RANK.EQ(AG92,$AG$2:$AG$1031),"")</f>
        <v/>
      </c>
    </row>
    <row r="93">
      <c r="A93" s="18" t="n">
        <v>186</v>
      </c>
      <c r="B93" s="18" t="inlineStr">
        <is>
          <t>اروا عشرى فريج جويده</t>
        </is>
      </c>
      <c r="C93" s="1" t="n">
        <v>562.9</v>
      </c>
      <c r="D93" s="1" t="n">
        <v>25</v>
      </c>
      <c r="E93" s="1" t="n">
        <v>25</v>
      </c>
      <c r="F93" s="1" t="n">
        <v>22</v>
      </c>
      <c r="G93" s="1">
        <f>C93+D93+E93+F93</f>
        <v/>
      </c>
      <c r="H93" s="1">
        <f>IF(ISNUMBER(G93),G93,"")</f>
        <v/>
      </c>
      <c r="I93" s="1">
        <f>_xlfn.RANK.EQ(H93,$H$2:$H$1031)</f>
        <v/>
      </c>
      <c r="J93" s="5" t="n">
        <v>512.25</v>
      </c>
      <c r="K93" s="5" t="n">
        <v>41</v>
      </c>
      <c r="L93" s="5" t="n">
        <v>19</v>
      </c>
      <c r="M93" s="5" t="n">
        <v>19</v>
      </c>
      <c r="N93" s="5">
        <f>J93+K93+L93+M93</f>
        <v/>
      </c>
      <c r="O93" s="5">
        <f>IF(ISNUMBER(N93),N93,"")</f>
        <v/>
      </c>
      <c r="P93" s="5">
        <f>_xlfn.RANK.EQ(O93,$O$2:$O$1031)</f>
        <v/>
      </c>
      <c r="Q93" s="9" t="n">
        <v>222.5</v>
      </c>
      <c r="R93" s="9" t="n">
        <v>43.5</v>
      </c>
      <c r="S93" s="9" t="n">
        <v>23</v>
      </c>
      <c r="T93" s="9" t="n">
        <v>22.5</v>
      </c>
      <c r="U93" s="9">
        <f>Q93+R93+S93+T93</f>
        <v/>
      </c>
      <c r="V93" s="9">
        <f>IF(ISNUMBER(U93),U93,"")</f>
        <v/>
      </c>
      <c r="W93" s="9">
        <f>_xlfn.RANK.EQ(V93,$V$2:$V$1031)</f>
        <v/>
      </c>
      <c r="X93" s="13" t="n">
        <v>1134.3375</v>
      </c>
      <c r="Y93" s="13" t="n">
        <v>24</v>
      </c>
      <c r="Z93" s="13" t="n">
        <v>23</v>
      </c>
      <c r="AA93" s="13" t="n">
        <v>24</v>
      </c>
      <c r="AB93" s="13">
        <f>IF(ISNUMBER(X93),X93+N(Y93)+N(Z93)+N(AA93),X93)</f>
        <v/>
      </c>
      <c r="AC93" s="13">
        <f>IF(ISNUMBER(AB93),AB93,"")</f>
        <v/>
      </c>
      <c r="AD93" s="13">
        <f>IF(ISNUMBER(AC93),_xlfn.RANK.EQ(AC93,$AC$2:$AC$1031),"")</f>
        <v/>
      </c>
      <c r="AE93" s="15">
        <f>IF(ISNUMBER(AF93),AF93/3630,"")</f>
        <v/>
      </c>
      <c r="AF93" s="14">
        <f>IFERROR(C93+D93+E93+F93+J93+K93+L93+M93+Q93+R93+S93+T93+IF(ISNUMBER(X93),X93,0)+N(Y93)+N(Z93)+N(AA93),"")</f>
        <v/>
      </c>
      <c r="AG93" s="14">
        <f>IF(ISNUMBER(AF93),AF93,"")</f>
        <v/>
      </c>
      <c r="AH93" s="14">
        <f>IF(ISNUMBER(AG93),_xlfn.RANK.EQ(AG93,$AG$2:$AG$1031),"")</f>
        <v/>
      </c>
    </row>
    <row r="94">
      <c r="A94" s="18" t="n">
        <v>187</v>
      </c>
      <c r="B94" s="18" t="inlineStr">
        <is>
          <t>اروى السيد أحمد محمد ابو الوفا محمود</t>
        </is>
      </c>
      <c r="C94" s="1" t="n">
        <v>500.1</v>
      </c>
      <c r="D94" s="1" t="n">
        <v>24</v>
      </c>
      <c r="E94" s="1" t="n">
        <v>21</v>
      </c>
      <c r="F94" s="1" t="n">
        <v>22</v>
      </c>
      <c r="G94" s="1">
        <f>C94+D94+E94+F94</f>
        <v/>
      </c>
      <c r="H94" s="1">
        <f>IF(ISNUMBER(G94),G94,"")</f>
        <v/>
      </c>
      <c r="I94" s="1">
        <f>_xlfn.RANK.EQ(H94,$H$2:$H$1031)</f>
        <v/>
      </c>
      <c r="J94" s="5" t="n">
        <v>428</v>
      </c>
      <c r="K94" s="5" t="n">
        <v>39</v>
      </c>
      <c r="L94" s="5" t="n">
        <v>21</v>
      </c>
      <c r="M94" s="5" t="n">
        <v>17</v>
      </c>
      <c r="N94" s="5">
        <f>J94+K94+L94+M94</f>
        <v/>
      </c>
      <c r="O94" s="5">
        <f>IF(ISNUMBER(N94),N94,"")</f>
        <v/>
      </c>
      <c r="P94" s="5">
        <f>_xlfn.RANK.EQ(O94,$O$2:$O$1031)</f>
        <v/>
      </c>
      <c r="Q94" s="9" t="n">
        <v>195.5</v>
      </c>
      <c r="R94" s="9" t="n">
        <v>36.5</v>
      </c>
      <c r="S94" s="9" t="n">
        <v>24</v>
      </c>
      <c r="T94" s="9" t="n">
        <v>23</v>
      </c>
      <c r="U94" s="9">
        <f>Q94+R94+S94+T94</f>
        <v/>
      </c>
      <c r="V94" s="9">
        <f>IF(ISNUMBER(U94),U94,"")</f>
        <v/>
      </c>
      <c r="W94" s="9">
        <f>_xlfn.RANK.EQ(V94,$V$2:$V$1031)</f>
        <v/>
      </c>
      <c r="X94" s="13" t="n">
        <v>1175.1166666667</v>
      </c>
      <c r="Y94" s="13" t="n">
        <v>24</v>
      </c>
      <c r="Z94" s="13" t="n">
        <v>20</v>
      </c>
      <c r="AA94" s="13" t="n">
        <v>23</v>
      </c>
      <c r="AB94" s="13">
        <f>IF(ISNUMBER(X94),X94+N(Y94)+N(Z94)+N(AA94),X94)</f>
        <v/>
      </c>
      <c r="AC94" s="13">
        <f>IF(ISNUMBER(AB94),AB94,"")</f>
        <v/>
      </c>
      <c r="AD94" s="13">
        <f>IF(ISNUMBER(AC94),_xlfn.RANK.EQ(AC94,$AC$2:$AC$1031),"")</f>
        <v/>
      </c>
      <c r="AE94" s="15">
        <f>IF(ISNUMBER(AF94),AF94/3630,"")</f>
        <v/>
      </c>
      <c r="AF94" s="14">
        <f>IFERROR(C94+D94+E94+F94+J94+K94+L94+M94+Q94+R94+S94+T94+IF(ISNUMBER(X94),X94,0)+N(Y94)+N(Z94)+N(AA94),"")</f>
        <v/>
      </c>
      <c r="AG94" s="14">
        <f>IF(ISNUMBER(AF94),AF94,"")</f>
        <v/>
      </c>
      <c r="AH94" s="14">
        <f>IF(ISNUMBER(AG94),_xlfn.RANK.EQ(AG94,$AG$2:$AG$1031),"")</f>
        <v/>
      </c>
    </row>
    <row r="95">
      <c r="A95" s="18" t="n">
        <v>189</v>
      </c>
      <c r="B95" s="18" t="inlineStr">
        <is>
          <t>اروى ضياء الدين علي الرحماني</t>
        </is>
      </c>
      <c r="C95" s="1" t="n">
        <v>611.7</v>
      </c>
      <c r="D95" s="1" t="n">
        <v>25</v>
      </c>
      <c r="E95" s="1" t="n">
        <v>23</v>
      </c>
      <c r="F95" s="1" t="n">
        <v>25</v>
      </c>
      <c r="G95" s="1">
        <f>C95+D95+E95+F95</f>
        <v/>
      </c>
      <c r="H95" s="1">
        <f>IF(ISNUMBER(G95),G95,"")</f>
        <v/>
      </c>
      <c r="I95" s="1">
        <f>_xlfn.RANK.EQ(H95,$H$2:$H$1031)</f>
        <v/>
      </c>
      <c r="J95" s="5" t="n">
        <v>621.25</v>
      </c>
      <c r="K95" s="5" t="n">
        <v>46</v>
      </c>
      <c r="L95" s="5" t="n">
        <v>22</v>
      </c>
      <c r="M95" s="5" t="n">
        <v>23</v>
      </c>
      <c r="N95" s="5">
        <f>J95+K95+L95+M95</f>
        <v/>
      </c>
      <c r="O95" s="5">
        <f>IF(ISNUMBER(N95),N95,"")</f>
        <v/>
      </c>
      <c r="P95" s="5">
        <f>_xlfn.RANK.EQ(O95,$O$2:$O$1031)</f>
        <v/>
      </c>
      <c r="Q95" s="9" t="n">
        <v>255</v>
      </c>
      <c r="R95" s="9" t="n">
        <v>47.5</v>
      </c>
      <c r="S95" s="9" t="n">
        <v>23</v>
      </c>
      <c r="T95" s="9" t="n">
        <v>23</v>
      </c>
      <c r="U95" s="9">
        <f>Q95+R95+S95+T95</f>
        <v/>
      </c>
      <c r="V95" s="9">
        <f>IF(ISNUMBER(U95),U95,"")</f>
        <v/>
      </c>
      <c r="W95" s="9">
        <f>_xlfn.RANK.EQ(V95,$V$2:$V$1031)</f>
        <v/>
      </c>
      <c r="X95" s="13" t="n">
        <v>1378.675</v>
      </c>
      <c r="Y95" s="13" t="n">
        <v>25</v>
      </c>
      <c r="Z95" s="13" t="n">
        <v>24</v>
      </c>
      <c r="AA95" s="13" t="n">
        <v>20</v>
      </c>
      <c r="AB95" s="13">
        <f>IF(ISNUMBER(X95),X95+N(Y95)+N(Z95)+N(AA95),X95)</f>
        <v/>
      </c>
      <c r="AC95" s="13">
        <f>IF(ISNUMBER(AB95),AB95,"")</f>
        <v/>
      </c>
      <c r="AD95" s="13">
        <f>IF(ISNUMBER(AC95),_xlfn.RANK.EQ(AC95,$AC$2:$AC$1031),"")</f>
        <v/>
      </c>
      <c r="AE95" s="15">
        <f>IF(ISNUMBER(AF95),AF95/3630,"")</f>
        <v/>
      </c>
      <c r="AF95" s="14">
        <f>IFERROR(C95+D95+E95+F95+J95+K95+L95+M95+Q95+R95+S95+T95+IF(ISNUMBER(X95),X95,0)+N(Y95)+N(Z95)+N(AA95),"")</f>
        <v/>
      </c>
      <c r="AG95" s="14">
        <f>IF(ISNUMBER(AF95),AF95,"")</f>
        <v/>
      </c>
      <c r="AH95" s="14">
        <f>IF(ISNUMBER(AG95),_xlfn.RANK.EQ(AG95,$AG$2:$AG$1031),"")</f>
        <v/>
      </c>
    </row>
    <row r="96">
      <c r="A96" s="18" t="n">
        <v>191</v>
      </c>
      <c r="B96" s="18" t="inlineStr">
        <is>
          <t>اروى عبد المنعم بسيونى أحمد بسيونى</t>
        </is>
      </c>
      <c r="C96" s="1" t="n">
        <v>566.9</v>
      </c>
      <c r="D96" s="1" t="n">
        <v>23</v>
      </c>
      <c r="E96" s="1" t="n">
        <v>20</v>
      </c>
      <c r="F96" s="1" t="n">
        <v>18</v>
      </c>
      <c r="G96" s="1">
        <f>C96+D96+E96+F96</f>
        <v/>
      </c>
      <c r="H96" s="1">
        <f>IF(ISNUMBER(G96),G96,"")</f>
        <v/>
      </c>
      <c r="I96" s="1">
        <f>_xlfn.RANK.EQ(H96,$H$2:$H$1031)</f>
        <v/>
      </c>
      <c r="J96" s="5" t="n">
        <v>485.75</v>
      </c>
      <c r="K96" s="5" t="n">
        <v>34</v>
      </c>
      <c r="L96" s="5" t="n">
        <v>15</v>
      </c>
      <c r="M96" s="5" t="n">
        <v>16</v>
      </c>
      <c r="N96" s="5">
        <f>J96+K96+L96+M96</f>
        <v/>
      </c>
      <c r="O96" s="5">
        <f>IF(ISNUMBER(N96),N96,"")</f>
        <v/>
      </c>
      <c r="P96" s="5">
        <f>_xlfn.RANK.EQ(O96,$O$2:$O$1031)</f>
        <v/>
      </c>
      <c r="Q96" s="9" t="n">
        <v>211.5</v>
      </c>
      <c r="R96" s="9" t="n">
        <v>44.5</v>
      </c>
      <c r="S96" s="9" t="n">
        <v>25</v>
      </c>
      <c r="T96" s="9" t="n">
        <v>24</v>
      </c>
      <c r="U96" s="9">
        <f>Q96+R96+S96+T96</f>
        <v/>
      </c>
      <c r="V96" s="9">
        <f>IF(ISNUMBER(U96),U96,"")</f>
        <v/>
      </c>
      <c r="W96" s="9">
        <f>_xlfn.RANK.EQ(V96,$V$2:$V$1031)</f>
        <v/>
      </c>
      <c r="X96" s="13" t="n">
        <v>1298.2208333333</v>
      </c>
      <c r="Y96" s="13" t="n">
        <v>24.5</v>
      </c>
      <c r="Z96" s="13" t="n">
        <v>24</v>
      </c>
      <c r="AA96" s="13" t="n">
        <v>25</v>
      </c>
      <c r="AB96" s="13">
        <f>IF(ISNUMBER(X96),X96+N(Y96)+N(Z96)+N(AA96),X96)</f>
        <v/>
      </c>
      <c r="AC96" s="13">
        <f>IF(ISNUMBER(AB96),AB96,"")</f>
        <v/>
      </c>
      <c r="AD96" s="13">
        <f>IF(ISNUMBER(AC96),_xlfn.RANK.EQ(AC96,$AC$2:$AC$1031),"")</f>
        <v/>
      </c>
      <c r="AE96" s="15">
        <f>IF(ISNUMBER(AF96),AF96/3630,"")</f>
        <v/>
      </c>
      <c r="AF96" s="14">
        <f>IFERROR(C96+D96+E96+F96+J96+K96+L96+M96+Q96+R96+S96+T96+IF(ISNUMBER(X96),X96,0)+N(Y96)+N(Z96)+N(AA96),"")</f>
        <v/>
      </c>
      <c r="AG96" s="14">
        <f>IF(ISNUMBER(AF96),AF96,"")</f>
        <v/>
      </c>
      <c r="AH96" s="14">
        <f>IF(ISNUMBER(AG96),_xlfn.RANK.EQ(AG96,$AG$2:$AG$1031),"")</f>
        <v/>
      </c>
    </row>
    <row r="97">
      <c r="A97" s="18" t="n">
        <v>192</v>
      </c>
      <c r="B97" s="18" t="inlineStr">
        <is>
          <t>اروى محمود ابراهيم مرعي</t>
        </is>
      </c>
      <c r="C97" s="1" t="n">
        <v>643.6</v>
      </c>
      <c r="D97" s="1" t="n">
        <v>24</v>
      </c>
      <c r="E97" s="1" t="n">
        <v>24</v>
      </c>
      <c r="F97" s="1" t="n">
        <v>25</v>
      </c>
      <c r="G97" s="1">
        <f>C97+D97+E97+F97</f>
        <v/>
      </c>
      <c r="H97" s="1">
        <f>IF(ISNUMBER(G97),G97,"")</f>
        <v/>
      </c>
      <c r="I97" s="1">
        <f>_xlfn.RANK.EQ(H97,$H$2:$H$1031)</f>
        <v/>
      </c>
      <c r="J97" s="5" t="n">
        <v>637</v>
      </c>
      <c r="K97" s="5" t="n">
        <v>48</v>
      </c>
      <c r="L97" s="5" t="n">
        <v>23</v>
      </c>
      <c r="M97" s="5" t="n">
        <v>24</v>
      </c>
      <c r="N97" s="5">
        <f>J97+K97+L97+M97</f>
        <v/>
      </c>
      <c r="O97" s="5">
        <f>IF(ISNUMBER(N97),N97,"")</f>
        <v/>
      </c>
      <c r="P97" s="5">
        <f>_xlfn.RANK.EQ(O97,$O$2:$O$1031)</f>
        <v/>
      </c>
      <c r="Q97" s="9" t="n">
        <v>289</v>
      </c>
      <c r="R97" s="9" t="n">
        <v>48.5</v>
      </c>
      <c r="S97" s="9" t="n">
        <v>25</v>
      </c>
      <c r="T97" s="9" t="n">
        <v>25</v>
      </c>
      <c r="U97" s="9">
        <f>Q97+R97+S97+T97</f>
        <v/>
      </c>
      <c r="V97" s="9">
        <f>IF(ISNUMBER(U97),U97,"")</f>
        <v/>
      </c>
      <c r="W97" s="9">
        <f>_xlfn.RANK.EQ(V97,$V$2:$V$1031)</f>
        <v/>
      </c>
      <c r="X97" s="13" t="n">
        <v>1460.2166666667</v>
      </c>
      <c r="Y97" s="13" t="n">
        <v>25</v>
      </c>
      <c r="Z97" s="13" t="n">
        <v>24</v>
      </c>
      <c r="AA97" s="13" t="n">
        <v>25</v>
      </c>
      <c r="AB97" s="13">
        <f>IF(ISNUMBER(X97),X97+N(Y97)+N(Z97)+N(AA97),X97)</f>
        <v/>
      </c>
      <c r="AC97" s="13">
        <f>IF(ISNUMBER(AB97),AB97,"")</f>
        <v/>
      </c>
      <c r="AD97" s="13">
        <f>IF(ISNUMBER(AC97),_xlfn.RANK.EQ(AC97,$AC$2:$AC$1031),"")</f>
        <v/>
      </c>
      <c r="AE97" s="15">
        <f>IF(ISNUMBER(AF97),AF97/3630,"")</f>
        <v/>
      </c>
      <c r="AF97" s="14">
        <f>IFERROR(C97+D97+E97+F97+J97+K97+L97+M97+Q97+R97+S97+T97+IF(ISNUMBER(X97),X97,0)+N(Y97)+N(Z97)+N(AA97),"")</f>
        <v/>
      </c>
      <c r="AG97" s="14">
        <f>IF(ISNUMBER(AF97),AF97,"")</f>
        <v/>
      </c>
      <c r="AH97" s="14">
        <f>IF(ISNUMBER(AG97),_xlfn.RANK.EQ(AG97,$AG$2:$AG$1031),"")</f>
        <v/>
      </c>
    </row>
    <row r="98">
      <c r="A98" s="18" t="n">
        <v>196</v>
      </c>
      <c r="B98" s="18" t="inlineStr">
        <is>
          <t>اسامه امام حسن امام عماره</t>
        </is>
      </c>
      <c r="C98" s="1" t="n">
        <v>649</v>
      </c>
      <c r="D98" s="1" t="n">
        <v>23</v>
      </c>
      <c r="E98" s="1" t="n">
        <v>23</v>
      </c>
      <c r="F98" s="1" t="n">
        <v>22</v>
      </c>
      <c r="G98" s="1">
        <f>C98+D98+E98+F98</f>
        <v/>
      </c>
      <c r="H98" s="1">
        <f>IF(ISNUMBER(G98),G98,"")</f>
        <v/>
      </c>
      <c r="I98" s="1">
        <f>_xlfn.RANK.EQ(H98,$H$2:$H$1031)</f>
        <v/>
      </c>
      <c r="J98" s="5" t="n">
        <v>636</v>
      </c>
      <c r="K98" s="5" t="n">
        <v>46</v>
      </c>
      <c r="L98" s="5" t="n">
        <v>22</v>
      </c>
      <c r="M98" s="5" t="n">
        <v>22</v>
      </c>
      <c r="N98" s="5">
        <f>J98+K98+L98+M98</f>
        <v/>
      </c>
      <c r="O98" s="5">
        <f>IF(ISNUMBER(N98),N98,"")</f>
        <v/>
      </c>
      <c r="P98" s="5">
        <f>_xlfn.RANK.EQ(O98,$O$2:$O$1031)</f>
        <v/>
      </c>
      <c r="Q98" s="9" t="n">
        <v>277</v>
      </c>
      <c r="R98" s="9" t="n">
        <v>44.5</v>
      </c>
      <c r="S98" s="9" t="n">
        <v>24</v>
      </c>
      <c r="T98" s="9" t="n">
        <v>25</v>
      </c>
      <c r="U98" s="9">
        <f>Q98+R98+S98+T98</f>
        <v/>
      </c>
      <c r="V98" s="9">
        <f>IF(ISNUMBER(U98),U98,"")</f>
        <v/>
      </c>
      <c r="W98" s="9">
        <f>_xlfn.RANK.EQ(V98,$V$2:$V$1031)</f>
        <v/>
      </c>
      <c r="X98" s="13" t="n">
        <v>1498.6583333333</v>
      </c>
      <c r="Y98" s="13" t="n">
        <v>24</v>
      </c>
      <c r="Z98" s="13" t="n">
        <v>24</v>
      </c>
      <c r="AA98" s="13" t="n">
        <v>23</v>
      </c>
      <c r="AB98" s="13">
        <f>IF(ISNUMBER(X98),X98+N(Y98)+N(Z98)+N(AA98),X98)</f>
        <v/>
      </c>
      <c r="AC98" s="13">
        <f>IF(ISNUMBER(AB98),AB98,"")</f>
        <v/>
      </c>
      <c r="AD98" s="13">
        <f>IF(ISNUMBER(AC98),_xlfn.RANK.EQ(AC98,$AC$2:$AC$1031),"")</f>
        <v/>
      </c>
      <c r="AE98" s="15">
        <f>IF(ISNUMBER(AF98),AF98/3630,"")</f>
        <v/>
      </c>
      <c r="AF98" s="14">
        <f>IFERROR(C98+D98+E98+F98+J98+K98+L98+M98+Q98+R98+S98+T98+IF(ISNUMBER(X98),X98,0)+N(Y98)+N(Z98)+N(AA98),"")</f>
        <v/>
      </c>
      <c r="AG98" s="14">
        <f>IF(ISNUMBER(AF98),AF98,"")</f>
        <v/>
      </c>
      <c r="AH98" s="14">
        <f>IF(ISNUMBER(AG98),_xlfn.RANK.EQ(AG98,$AG$2:$AG$1031),"")</f>
        <v/>
      </c>
    </row>
    <row r="99">
      <c r="A99" s="18" t="n">
        <v>198</v>
      </c>
      <c r="B99" s="18" t="inlineStr">
        <is>
          <t>اسامه حمدالله مصري عوض عبدالرازق</t>
        </is>
      </c>
      <c r="C99" s="1" t="inlineStr">
        <is>
          <t>راسب</t>
        </is>
      </c>
      <c r="D99" s="1" t="n">
        <v>22</v>
      </c>
      <c r="E99" s="1" t="n">
        <v>16</v>
      </c>
      <c r="F99" s="1" t="n">
        <v>16</v>
      </c>
      <c r="G99" s="1">
        <f>C99+D99+E99+F99</f>
        <v/>
      </c>
      <c r="H99" s="1">
        <f>IF(ISNUMBER(G99),G99,"")</f>
        <v/>
      </c>
      <c r="I99" s="1">
        <f>_xlfn.RANK.EQ(H99,$H$2:$H$1031)</f>
        <v/>
      </c>
      <c r="J99" s="5" t="n">
        <v>396</v>
      </c>
      <c r="K99" s="5" t="n">
        <v>32</v>
      </c>
      <c r="L99" s="5" t="n">
        <v>17</v>
      </c>
      <c r="M99" s="5" t="n">
        <v>14</v>
      </c>
      <c r="N99" s="5">
        <f>J99+K99+L99+M99</f>
        <v/>
      </c>
      <c r="O99" s="5">
        <f>IF(ISNUMBER(N99),N99,"")</f>
        <v/>
      </c>
      <c r="P99" s="5">
        <f>_xlfn.RANK.EQ(O99,$O$2:$O$1031)</f>
        <v/>
      </c>
      <c r="Q99" s="9" t="n">
        <v>116</v>
      </c>
      <c r="R99" s="9" t="n">
        <v>20.5</v>
      </c>
      <c r="S99" s="9" t="n">
        <v>16</v>
      </c>
      <c r="T99" s="9" t="n">
        <v>20</v>
      </c>
      <c r="U99" s="9">
        <f>Q99+R99+S99+T99</f>
        <v/>
      </c>
      <c r="V99" s="9">
        <f>IF(ISNUMBER(U99),U99,"")</f>
        <v/>
      </c>
      <c r="W99" s="9">
        <f>_xlfn.RANK.EQ(V99,$V$2:$V$1031)</f>
        <v/>
      </c>
      <c r="X99" s="13" t="inlineStr">
        <is>
          <t>راسب</t>
        </is>
      </c>
      <c r="Y99" s="13" t="n">
        <v>7</v>
      </c>
      <c r="Z99" s="13" t="n">
        <v>15</v>
      </c>
      <c r="AA99" s="13" t="n">
        <v>13</v>
      </c>
      <c r="AB99" s="13">
        <f>IF(ISNUMBER(X99),X99+N(Y99)+N(Z99)+N(AA99),X99)</f>
        <v/>
      </c>
      <c r="AC99" s="13">
        <f>IF(ISNUMBER(AB99),AB99,"")</f>
        <v/>
      </c>
      <c r="AD99" s="13">
        <f>IF(ISNUMBER(AC99),_xlfn.RANK.EQ(AC99,$AC$2:$AC$1031),"")</f>
        <v/>
      </c>
      <c r="AE99" s="15">
        <f>IF(ISNUMBER(AF99),AF99/3630,"")</f>
        <v/>
      </c>
      <c r="AF99" s="14">
        <f>IFERROR(C99+D99+E99+F99+J99+K99+L99+M99+Q99+R99+S99+T99+IF(ISNUMBER(X99),X99,0)+N(Y99)+N(Z99)+N(AA99),"")</f>
        <v/>
      </c>
      <c r="AG99" s="14">
        <f>IF(ISNUMBER(AF99),AF99,"")</f>
        <v/>
      </c>
      <c r="AH99" s="14">
        <f>IF(ISNUMBER(AG99),_xlfn.RANK.EQ(AG99,$AG$2:$AG$1031),"")</f>
        <v/>
      </c>
    </row>
    <row r="100">
      <c r="A100" s="18" t="n">
        <v>200</v>
      </c>
      <c r="B100" s="18" t="inlineStr">
        <is>
          <t>اسامه عبد الناصر جابر محمد البسيونى</t>
        </is>
      </c>
      <c r="C100" s="1" t="n">
        <v>614.1</v>
      </c>
      <c r="D100" s="1" t="n">
        <v>25</v>
      </c>
      <c r="E100" s="1" t="n">
        <v>24</v>
      </c>
      <c r="F100" s="1" t="n">
        <v>21</v>
      </c>
      <c r="G100" s="1">
        <f>C100+D100+E100+F100</f>
        <v/>
      </c>
      <c r="H100" s="1">
        <f>IF(ISNUMBER(G100),G100,"")</f>
        <v/>
      </c>
      <c r="I100" s="1">
        <f>_xlfn.RANK.EQ(H100,$H$2:$H$1031)</f>
        <v/>
      </c>
      <c r="J100" s="5" t="n">
        <v>610.75</v>
      </c>
      <c r="K100" s="5" t="n">
        <v>48</v>
      </c>
      <c r="L100" s="5" t="n">
        <v>22</v>
      </c>
      <c r="M100" s="5" t="n">
        <v>23</v>
      </c>
      <c r="N100" s="5">
        <f>J100+K100+L100+M100</f>
        <v/>
      </c>
      <c r="O100" s="5">
        <f>IF(ISNUMBER(N100),N100,"")</f>
        <v/>
      </c>
      <c r="P100" s="5">
        <f>_xlfn.RANK.EQ(O100,$O$2:$O$1031)</f>
        <v/>
      </c>
      <c r="Q100" s="9" t="n">
        <v>267</v>
      </c>
      <c r="R100" s="9" t="n">
        <v>49.5</v>
      </c>
      <c r="S100" s="9" t="n">
        <v>24</v>
      </c>
      <c r="T100" s="9" t="n">
        <v>24.5</v>
      </c>
      <c r="U100" s="9">
        <f>Q100+R100+S100+T100</f>
        <v/>
      </c>
      <c r="V100" s="9">
        <f>IF(ISNUMBER(U100),U100,"")</f>
        <v/>
      </c>
      <c r="W100" s="9">
        <f>_xlfn.RANK.EQ(V100,$V$2:$V$1031)</f>
        <v/>
      </c>
      <c r="X100" s="13" t="n">
        <v>1463.6583333333</v>
      </c>
      <c r="Y100" s="13" t="n">
        <v>20</v>
      </c>
      <c r="Z100" s="13" t="n">
        <v>25</v>
      </c>
      <c r="AA100" s="13" t="n">
        <v>23</v>
      </c>
      <c r="AB100" s="13">
        <f>IF(ISNUMBER(X100),X100+N(Y100)+N(Z100)+N(AA100),X100)</f>
        <v/>
      </c>
      <c r="AC100" s="13">
        <f>IF(ISNUMBER(AB100),AB100,"")</f>
        <v/>
      </c>
      <c r="AD100" s="13">
        <f>IF(ISNUMBER(AC100),_xlfn.RANK.EQ(AC100,$AC$2:$AC$1031),"")</f>
        <v/>
      </c>
      <c r="AE100" s="15">
        <f>IF(ISNUMBER(AF100),AF100/3630,"")</f>
        <v/>
      </c>
      <c r="AF100" s="14">
        <f>IFERROR(C100+D100+E100+F100+J100+K100+L100+M100+Q100+R100+S100+T100+IF(ISNUMBER(X100),X100,0)+N(Y100)+N(Z100)+N(AA100),"")</f>
        <v/>
      </c>
      <c r="AG100" s="14">
        <f>IF(ISNUMBER(AF100),AF100,"")</f>
        <v/>
      </c>
      <c r="AH100" s="14">
        <f>IF(ISNUMBER(AG100),_xlfn.RANK.EQ(AG100,$AG$2:$AG$1031),"")</f>
        <v/>
      </c>
    </row>
    <row r="101">
      <c r="A101" s="18" t="n">
        <v>201</v>
      </c>
      <c r="B101" s="18" t="inlineStr">
        <is>
          <t>اسامه عبدالسلام رمضان إسماعيل سلامه</t>
        </is>
      </c>
      <c r="C101" s="1" t="n">
        <v>598.2</v>
      </c>
      <c r="D101" s="1" t="n">
        <v>24</v>
      </c>
      <c r="E101" s="1" t="n">
        <v>22</v>
      </c>
      <c r="F101" s="1" t="n">
        <v>23</v>
      </c>
      <c r="G101" s="1">
        <f>C101+D101+E101+F101</f>
        <v/>
      </c>
      <c r="H101" s="1">
        <f>IF(ISNUMBER(G101),G101,"")</f>
        <v/>
      </c>
      <c r="I101" s="1">
        <f>_xlfn.RANK.EQ(H101,$H$2:$H$1031)</f>
        <v/>
      </c>
      <c r="J101" s="5" t="n">
        <v>602</v>
      </c>
      <c r="K101" s="5" t="n">
        <v>46</v>
      </c>
      <c r="L101" s="5" t="n">
        <v>25</v>
      </c>
      <c r="M101" s="5" t="n">
        <v>22</v>
      </c>
      <c r="N101" s="5">
        <f>J101+K101+L101+M101</f>
        <v/>
      </c>
      <c r="O101" s="5">
        <f>IF(ISNUMBER(N101),N101,"")</f>
        <v/>
      </c>
      <c r="P101" s="5">
        <f>_xlfn.RANK.EQ(O101,$O$2:$O$1031)</f>
        <v/>
      </c>
      <c r="Q101" s="9" t="n">
        <v>263</v>
      </c>
      <c r="R101" s="9" t="n">
        <v>47.5</v>
      </c>
      <c r="S101" s="9" t="n">
        <v>22</v>
      </c>
      <c r="T101" s="9" t="n">
        <v>25</v>
      </c>
      <c r="U101" s="9">
        <f>Q101+R101+S101+T101</f>
        <v/>
      </c>
      <c r="V101" s="9">
        <f>IF(ISNUMBER(U101),U101,"")</f>
        <v/>
      </c>
      <c r="W101" s="9">
        <f>_xlfn.RANK.EQ(V101,$V$2:$V$1031)</f>
        <v/>
      </c>
      <c r="X101" s="13" t="n">
        <v>1487.4083333333</v>
      </c>
      <c r="Y101" s="13" t="n">
        <v>24</v>
      </c>
      <c r="Z101" s="13" t="n">
        <v>25</v>
      </c>
      <c r="AA101" s="13" t="n">
        <v>22</v>
      </c>
      <c r="AB101" s="13">
        <f>IF(ISNUMBER(X101),X101+N(Y101)+N(Z101)+N(AA101),X101)</f>
        <v/>
      </c>
      <c r="AC101" s="13">
        <f>IF(ISNUMBER(AB101),AB101,"")</f>
        <v/>
      </c>
      <c r="AD101" s="13">
        <f>IF(ISNUMBER(AC101),_xlfn.RANK.EQ(AC101,$AC$2:$AC$1031),"")</f>
        <v/>
      </c>
      <c r="AE101" s="15">
        <f>IF(ISNUMBER(AF101),AF101/3630,"")</f>
        <v/>
      </c>
      <c r="AF101" s="14">
        <f>IFERROR(C101+D101+E101+F101+J101+K101+L101+M101+Q101+R101+S101+T101+IF(ISNUMBER(X101),X101,0)+N(Y101)+N(Z101)+N(AA101),"")</f>
        <v/>
      </c>
      <c r="AG101" s="14">
        <f>IF(ISNUMBER(AF101),AF101,"")</f>
        <v/>
      </c>
      <c r="AH101" s="14">
        <f>IF(ISNUMBER(AG101),_xlfn.RANK.EQ(AG101,$AG$2:$AG$1031),"")</f>
        <v/>
      </c>
    </row>
    <row r="102">
      <c r="A102" s="18" t="n">
        <v>205</v>
      </c>
      <c r="B102" s="18" t="inlineStr">
        <is>
          <t>اسامه مبروك محمد سويف</t>
        </is>
      </c>
      <c r="C102" s="1" t="n">
        <v>529.4</v>
      </c>
      <c r="D102" s="1" t="n">
        <v>24</v>
      </c>
      <c r="E102" s="1" t="n">
        <v>15</v>
      </c>
      <c r="F102" s="1" t="n">
        <v>20</v>
      </c>
      <c r="G102" s="1">
        <f>C102+D102+E102+F102</f>
        <v/>
      </c>
      <c r="H102" s="1">
        <f>IF(ISNUMBER(G102),G102,"")</f>
        <v/>
      </c>
      <c r="I102" s="1">
        <f>_xlfn.RANK.EQ(H102,$H$2:$H$1031)</f>
        <v/>
      </c>
      <c r="J102" s="5" t="n">
        <v>547.5</v>
      </c>
      <c r="K102" s="5" t="n">
        <v>47</v>
      </c>
      <c r="L102" s="5" t="n">
        <v>22</v>
      </c>
      <c r="M102" s="5" t="n">
        <v>14</v>
      </c>
      <c r="N102" s="5">
        <f>J102+K102+L102+M102</f>
        <v/>
      </c>
      <c r="O102" s="5">
        <f>IF(ISNUMBER(N102),N102,"")</f>
        <v/>
      </c>
      <c r="P102" s="5">
        <f>_xlfn.RANK.EQ(O102,$O$2:$O$1031)</f>
        <v/>
      </c>
      <c r="Q102" s="9" t="n">
        <v>230</v>
      </c>
      <c r="R102" s="9" t="n">
        <v>42.5</v>
      </c>
      <c r="S102" s="9" t="n">
        <v>23</v>
      </c>
      <c r="T102" s="9" t="n">
        <v>24.5</v>
      </c>
      <c r="U102" s="9">
        <f>Q102+R102+S102+T102</f>
        <v/>
      </c>
      <c r="V102" s="9">
        <f>IF(ISNUMBER(U102),U102,"")</f>
        <v/>
      </c>
      <c r="W102" s="9">
        <f>_xlfn.RANK.EQ(V102,$V$2:$V$1031)</f>
        <v/>
      </c>
      <c r="X102" s="13" t="n">
        <v>1293.4583333333</v>
      </c>
      <c r="Y102" s="13" t="n">
        <v>21</v>
      </c>
      <c r="Z102" s="13" t="n">
        <v>20</v>
      </c>
      <c r="AA102" s="13" t="n">
        <v>23</v>
      </c>
      <c r="AB102" s="13">
        <f>IF(ISNUMBER(X102),X102+N(Y102)+N(Z102)+N(AA102),X102)</f>
        <v/>
      </c>
      <c r="AC102" s="13">
        <f>IF(ISNUMBER(AB102),AB102,"")</f>
        <v/>
      </c>
      <c r="AD102" s="13">
        <f>IF(ISNUMBER(AC102),_xlfn.RANK.EQ(AC102,$AC$2:$AC$1031),"")</f>
        <v/>
      </c>
      <c r="AE102" s="15">
        <f>IF(ISNUMBER(AF102),AF102/3630,"")</f>
        <v/>
      </c>
      <c r="AF102" s="14">
        <f>IFERROR(C102+D102+E102+F102+J102+K102+L102+M102+Q102+R102+S102+T102+IF(ISNUMBER(X102),X102,0)+N(Y102)+N(Z102)+N(AA102),"")</f>
        <v/>
      </c>
      <c r="AG102" s="14">
        <f>IF(ISNUMBER(AF102),AF102,"")</f>
        <v/>
      </c>
      <c r="AH102" s="14">
        <f>IF(ISNUMBER(AG102),_xlfn.RANK.EQ(AG102,$AG$2:$AG$1031),"")</f>
        <v/>
      </c>
    </row>
    <row r="103">
      <c r="A103" s="18" t="n">
        <v>208</v>
      </c>
      <c r="B103" s="18" t="inlineStr">
        <is>
          <t>اسامه محمد محمد غزى</t>
        </is>
      </c>
      <c r="C103" s="1" t="n">
        <v>641.1</v>
      </c>
      <c r="D103" s="1" t="n">
        <v>25</v>
      </c>
      <c r="E103" s="1" t="n">
        <v>25</v>
      </c>
      <c r="F103" s="1" t="n">
        <v>24</v>
      </c>
      <c r="G103" s="1">
        <f>C103+D103+E103+F103</f>
        <v/>
      </c>
      <c r="H103" s="1">
        <f>IF(ISNUMBER(G103),G103,"")</f>
        <v/>
      </c>
      <c r="I103" s="1">
        <f>_xlfn.RANK.EQ(H103,$H$2:$H$1031)</f>
        <v/>
      </c>
      <c r="J103" s="5" t="n">
        <v>631.75</v>
      </c>
      <c r="K103" s="5" t="n">
        <v>49</v>
      </c>
      <c r="L103" s="5" t="n">
        <v>23</v>
      </c>
      <c r="M103" s="5" t="n">
        <v>24</v>
      </c>
      <c r="N103" s="5">
        <f>J103+K103+L103+M103</f>
        <v/>
      </c>
      <c r="O103" s="5">
        <f>IF(ISNUMBER(N103),N103,"")</f>
        <v/>
      </c>
      <c r="P103" s="5">
        <f>_xlfn.RANK.EQ(O103,$O$2:$O$1031)</f>
        <v/>
      </c>
      <c r="Q103" s="9" t="n">
        <v>275</v>
      </c>
      <c r="R103" s="9" t="n">
        <v>49</v>
      </c>
      <c r="S103" s="9" t="n">
        <v>24</v>
      </c>
      <c r="T103" s="9" t="n">
        <v>24</v>
      </c>
      <c r="U103" s="9">
        <f>Q103+R103+S103+T103</f>
        <v/>
      </c>
      <c r="V103" s="9">
        <f>IF(ISNUMBER(U103),U103,"")</f>
        <v/>
      </c>
      <c r="W103" s="9">
        <f>_xlfn.RANK.EQ(V103,$V$2:$V$1031)</f>
        <v/>
      </c>
      <c r="X103" s="13" t="n">
        <v>1429.7833333333</v>
      </c>
      <c r="Y103" s="13" t="n">
        <v>25</v>
      </c>
      <c r="Z103" s="13" t="n">
        <v>23</v>
      </c>
      <c r="AA103" s="13" t="n">
        <v>24</v>
      </c>
      <c r="AB103" s="13">
        <f>IF(ISNUMBER(X103),X103+N(Y103)+N(Z103)+N(AA103),X103)</f>
        <v/>
      </c>
      <c r="AC103" s="13">
        <f>IF(ISNUMBER(AB103),AB103,"")</f>
        <v/>
      </c>
      <c r="AD103" s="13">
        <f>IF(ISNUMBER(AC103),_xlfn.RANK.EQ(AC103,$AC$2:$AC$1031),"")</f>
        <v/>
      </c>
      <c r="AE103" s="15">
        <f>IF(ISNUMBER(AF103),AF103/3630,"")</f>
        <v/>
      </c>
      <c r="AF103" s="14">
        <f>IFERROR(C103+D103+E103+F103+J103+K103+L103+M103+Q103+R103+S103+T103+IF(ISNUMBER(X103),X103,0)+N(Y103)+N(Z103)+N(AA103),"")</f>
        <v/>
      </c>
      <c r="AG103" s="14">
        <f>IF(ISNUMBER(AF103),AF103,"")</f>
        <v/>
      </c>
      <c r="AH103" s="14">
        <f>IF(ISNUMBER(AG103),_xlfn.RANK.EQ(AG103,$AG$2:$AG$1031),"")</f>
        <v/>
      </c>
    </row>
    <row r="104">
      <c r="A104" s="18" t="n">
        <v>210</v>
      </c>
      <c r="B104" s="18" t="inlineStr">
        <is>
          <t>اسامه محمد مصطفى محمد</t>
        </is>
      </c>
      <c r="C104" s="1" t="n">
        <v>604.9</v>
      </c>
      <c r="D104" s="1" t="n">
        <v>21</v>
      </c>
      <c r="E104" s="1" t="n">
        <v>24</v>
      </c>
      <c r="F104" s="1" t="n">
        <v>22</v>
      </c>
      <c r="G104" s="1">
        <f>C104+D104+E104+F104</f>
        <v/>
      </c>
      <c r="H104" s="1">
        <f>IF(ISNUMBER(G104),G104,"")</f>
        <v/>
      </c>
      <c r="I104" s="1">
        <f>_xlfn.RANK.EQ(H104,$H$2:$H$1031)</f>
        <v/>
      </c>
      <c r="J104" s="5" t="n">
        <v>611.75</v>
      </c>
      <c r="K104" s="5" t="n">
        <v>47</v>
      </c>
      <c r="L104" s="5" t="n">
        <v>21</v>
      </c>
      <c r="M104" s="5" t="n">
        <v>22</v>
      </c>
      <c r="N104" s="5">
        <f>J104+K104+L104+M104</f>
        <v/>
      </c>
      <c r="O104" s="5">
        <f>IF(ISNUMBER(N104),N104,"")</f>
        <v/>
      </c>
      <c r="P104" s="5">
        <f>_xlfn.RANK.EQ(O104,$O$2:$O$1031)</f>
        <v/>
      </c>
      <c r="Q104" s="9" t="n">
        <v>258.5</v>
      </c>
      <c r="R104" s="9" t="n">
        <v>46.5</v>
      </c>
      <c r="S104" s="9" t="n">
        <v>24</v>
      </c>
      <c r="T104" s="9" t="n">
        <v>24</v>
      </c>
      <c r="U104" s="9">
        <f>Q104+R104+S104+T104</f>
        <v/>
      </c>
      <c r="V104" s="9">
        <f>IF(ISNUMBER(U104),U104,"")</f>
        <v/>
      </c>
      <c r="W104" s="9">
        <f>_xlfn.RANK.EQ(V104,$V$2:$V$1031)</f>
        <v/>
      </c>
      <c r="X104" s="13" t="n">
        <v>1485.225</v>
      </c>
      <c r="Y104" s="13" t="n">
        <v>25</v>
      </c>
      <c r="Z104" s="13" t="n">
        <v>22</v>
      </c>
      <c r="AA104" s="13" t="n">
        <v>22</v>
      </c>
      <c r="AB104" s="13">
        <f>IF(ISNUMBER(X104),X104+N(Y104)+N(Z104)+N(AA104),X104)</f>
        <v/>
      </c>
      <c r="AC104" s="13">
        <f>IF(ISNUMBER(AB104),AB104,"")</f>
        <v/>
      </c>
      <c r="AD104" s="13">
        <f>IF(ISNUMBER(AC104),_xlfn.RANK.EQ(AC104,$AC$2:$AC$1031),"")</f>
        <v/>
      </c>
      <c r="AE104" s="15">
        <f>IF(ISNUMBER(AF104),AF104/3630,"")</f>
        <v/>
      </c>
      <c r="AF104" s="14">
        <f>IFERROR(C104+D104+E104+F104+J104+K104+L104+M104+Q104+R104+S104+T104+IF(ISNUMBER(X104),X104,0)+N(Y104)+N(Z104)+N(AA104),"")</f>
        <v/>
      </c>
      <c r="AG104" s="14">
        <f>IF(ISNUMBER(AF104),AF104,"")</f>
        <v/>
      </c>
      <c r="AH104" s="14">
        <f>IF(ISNUMBER(AG104),_xlfn.RANK.EQ(AG104,$AG$2:$AG$1031),"")</f>
        <v/>
      </c>
    </row>
    <row r="105">
      <c r="A105" s="18" t="n">
        <v>211</v>
      </c>
      <c r="B105" s="18" t="inlineStr">
        <is>
          <t>اسر محمد اسامه موسي</t>
        </is>
      </c>
      <c r="C105" s="1" t="n">
        <v>494</v>
      </c>
      <c r="D105" s="1" t="n">
        <v>18</v>
      </c>
      <c r="E105" s="1" t="n">
        <v>19</v>
      </c>
      <c r="F105" s="1" t="n">
        <v>20</v>
      </c>
      <c r="G105" s="1">
        <f>C105+D105+E105+F105</f>
        <v/>
      </c>
      <c r="H105" s="1">
        <f>IF(ISNUMBER(G105),G105,"")</f>
        <v/>
      </c>
      <c r="I105" s="1">
        <f>_xlfn.RANK.EQ(H105,$H$2:$H$1031)</f>
        <v/>
      </c>
      <c r="J105" s="5" t="n">
        <v>495.25</v>
      </c>
      <c r="K105" s="5" t="n">
        <v>36</v>
      </c>
      <c r="L105" s="5" t="n">
        <v>22</v>
      </c>
      <c r="M105" s="5" t="n">
        <v>15</v>
      </c>
      <c r="N105" s="5">
        <f>J105+K105+L105+M105</f>
        <v/>
      </c>
      <c r="O105" s="5">
        <f>IF(ISNUMBER(N105),N105,"")</f>
        <v/>
      </c>
      <c r="P105" s="5">
        <f>_xlfn.RANK.EQ(O105,$O$2:$O$1031)</f>
        <v/>
      </c>
      <c r="Q105" s="9" t="n">
        <v>225</v>
      </c>
      <c r="R105" s="9" t="n">
        <v>31</v>
      </c>
      <c r="S105" s="9" t="n">
        <v>25</v>
      </c>
      <c r="T105" s="9" t="n">
        <v>25</v>
      </c>
      <c r="U105" s="9">
        <f>Q105+R105+S105+T105</f>
        <v/>
      </c>
      <c r="V105" s="9">
        <f>IF(ISNUMBER(U105),U105,"")</f>
        <v/>
      </c>
      <c r="W105" s="9">
        <f>_xlfn.RANK.EQ(V105,$V$2:$V$1031)</f>
        <v/>
      </c>
      <c r="X105" s="13" t="inlineStr">
        <is>
          <t>راسب</t>
        </is>
      </c>
      <c r="Y105" s="13" t="n">
        <v>24.5</v>
      </c>
      <c r="Z105" s="13" t="n">
        <v>23</v>
      </c>
      <c r="AA105" s="13" t="n">
        <v>20</v>
      </c>
      <c r="AB105" s="13">
        <f>IF(ISNUMBER(X105),X105+N(Y105)+N(Z105)+N(AA105),X105)</f>
        <v/>
      </c>
      <c r="AC105" s="13">
        <f>IF(ISNUMBER(AB105),AB105,"")</f>
        <v/>
      </c>
      <c r="AD105" s="13">
        <f>IF(ISNUMBER(AC105),_xlfn.RANK.EQ(AC105,$AC$2:$AC$1031),"")</f>
        <v/>
      </c>
      <c r="AE105" s="15">
        <f>IF(ISNUMBER(AF105),AF105/3630,"")</f>
        <v/>
      </c>
      <c r="AF105" s="14">
        <f>IFERROR(C105+D105+E105+F105+J105+K105+L105+M105+Q105+R105+S105+T105+IF(ISNUMBER(X105),X105,0)+N(Y105)+N(Z105)+N(AA105),"")</f>
        <v/>
      </c>
      <c r="AG105" s="14">
        <f>IF(ISNUMBER(AF105),AF105,"")</f>
        <v/>
      </c>
      <c r="AH105" s="14">
        <f>IF(ISNUMBER(AG105),_xlfn.RANK.EQ(AG105,$AG$2:$AG$1031),"")</f>
        <v/>
      </c>
    </row>
    <row r="106">
      <c r="A106" s="18" t="n">
        <v>212</v>
      </c>
      <c r="B106" s="18" t="inlineStr">
        <is>
          <t>اسراء ابراهيم محمد احمد</t>
        </is>
      </c>
      <c r="C106" s="1" t="n">
        <v>558.2</v>
      </c>
      <c r="D106" s="1" t="n">
        <v>24</v>
      </c>
      <c r="E106" s="1" t="n">
        <v>24</v>
      </c>
      <c r="F106" s="1" t="n">
        <v>22</v>
      </c>
      <c r="G106" s="1">
        <f>C106+D106+E106+F106</f>
        <v/>
      </c>
      <c r="H106" s="1">
        <f>IF(ISNUMBER(G106),G106,"")</f>
        <v/>
      </c>
      <c r="I106" s="1">
        <f>_xlfn.RANK.EQ(H106,$H$2:$H$1031)</f>
        <v/>
      </c>
      <c r="J106" s="5" t="n">
        <v>513.95</v>
      </c>
      <c r="K106" s="5" t="n">
        <v>37</v>
      </c>
      <c r="L106" s="5" t="n">
        <v>22</v>
      </c>
      <c r="M106" s="5" t="n">
        <v>20</v>
      </c>
      <c r="N106" s="5">
        <f>J106+K106+L106+M106</f>
        <v/>
      </c>
      <c r="O106" s="5">
        <f>IF(ISNUMBER(N106),N106,"")</f>
        <v/>
      </c>
      <c r="P106" s="5">
        <f>_xlfn.RANK.EQ(O106,$O$2:$O$1031)</f>
        <v/>
      </c>
      <c r="Q106" s="9" t="n">
        <v>204.5</v>
      </c>
      <c r="R106" s="9" t="n">
        <v>40.5</v>
      </c>
      <c r="S106" s="9" t="n">
        <v>21</v>
      </c>
      <c r="T106" s="9" t="n">
        <v>23</v>
      </c>
      <c r="U106" s="9">
        <f>Q106+R106+S106+T106</f>
        <v/>
      </c>
      <c r="V106" s="9">
        <f>IF(ISNUMBER(U106),U106,"")</f>
        <v/>
      </c>
      <c r="W106" s="9">
        <f>_xlfn.RANK.EQ(V106,$V$2:$V$1031)</f>
        <v/>
      </c>
      <c r="X106" s="13" t="inlineStr">
        <is>
          <t>راسب</t>
        </is>
      </c>
      <c r="Y106" s="13" t="n">
        <v>21</v>
      </c>
      <c r="Z106" s="13" t="n">
        <v>22</v>
      </c>
      <c r="AA106" s="13" t="n">
        <v>23</v>
      </c>
      <c r="AB106" s="13">
        <f>IF(ISNUMBER(X106),X106+N(Y106)+N(Z106)+N(AA106),X106)</f>
        <v/>
      </c>
      <c r="AC106" s="13">
        <f>IF(ISNUMBER(AB106),AB106,"")</f>
        <v/>
      </c>
      <c r="AD106" s="13">
        <f>IF(ISNUMBER(AC106),_xlfn.RANK.EQ(AC106,$AC$2:$AC$1031),"")</f>
        <v/>
      </c>
      <c r="AE106" s="15">
        <f>IF(ISNUMBER(AF106),AF106/3630,"")</f>
        <v/>
      </c>
      <c r="AF106" s="14">
        <f>IFERROR(C106+D106+E106+F106+J106+K106+L106+M106+Q106+R106+S106+T106+IF(ISNUMBER(X106),X106,0)+N(Y106)+N(Z106)+N(AA106),"")</f>
        <v/>
      </c>
      <c r="AG106" s="14">
        <f>IF(ISNUMBER(AF106),AF106,"")</f>
        <v/>
      </c>
      <c r="AH106" s="14">
        <f>IF(ISNUMBER(AG106),_xlfn.RANK.EQ(AG106,$AG$2:$AG$1031),"")</f>
        <v/>
      </c>
    </row>
    <row r="107">
      <c r="A107" s="18" t="n">
        <v>215</v>
      </c>
      <c r="B107" s="18" t="inlineStr">
        <is>
          <t>اسراء سامح سيف النصر محمود</t>
        </is>
      </c>
      <c r="C107" s="1" t="n">
        <v>542.5</v>
      </c>
      <c r="D107" s="1" t="n">
        <v>20</v>
      </c>
      <c r="E107" s="1" t="n">
        <v>20</v>
      </c>
      <c r="F107" s="1" t="n">
        <v>20</v>
      </c>
      <c r="G107" s="1">
        <f>C107+D107+E107+F107</f>
        <v/>
      </c>
      <c r="H107" s="1">
        <f>IF(ISNUMBER(G107),G107,"")</f>
        <v/>
      </c>
      <c r="I107" s="1">
        <f>_xlfn.RANK.EQ(H107,$H$2:$H$1031)</f>
        <v/>
      </c>
      <c r="J107" s="5" t="n">
        <v>566.95</v>
      </c>
      <c r="K107" s="5" t="n">
        <v>44</v>
      </c>
      <c r="L107" s="5" t="n">
        <v>19</v>
      </c>
      <c r="M107" s="5" t="n">
        <v>24</v>
      </c>
      <c r="N107" s="5">
        <f>J107+K107+L107+M107</f>
        <v/>
      </c>
      <c r="O107" s="5">
        <f>IF(ISNUMBER(N107),N107,"")</f>
        <v/>
      </c>
      <c r="P107" s="5">
        <f>_xlfn.RANK.EQ(O107,$O$2:$O$1031)</f>
        <v/>
      </c>
      <c r="Q107" s="9" t="n">
        <v>225</v>
      </c>
      <c r="R107" s="9" t="n">
        <v>42</v>
      </c>
      <c r="S107" s="9" t="n">
        <v>22</v>
      </c>
      <c r="T107" s="9" t="n">
        <v>23</v>
      </c>
      <c r="U107" s="9">
        <f>Q107+R107+S107+T107</f>
        <v/>
      </c>
      <c r="V107" s="9">
        <f>IF(ISNUMBER(U107),U107,"")</f>
        <v/>
      </c>
      <c r="W107" s="9">
        <f>_xlfn.RANK.EQ(V107,$V$2:$V$1031)</f>
        <v/>
      </c>
      <c r="X107" s="13" t="n">
        <v>1228.1791666667</v>
      </c>
      <c r="Y107" s="13" t="n">
        <v>22</v>
      </c>
      <c r="Z107" s="13" t="n">
        <v>20</v>
      </c>
      <c r="AA107" s="13" t="n">
        <v>21</v>
      </c>
      <c r="AB107" s="13">
        <f>IF(ISNUMBER(X107),X107+N(Y107)+N(Z107)+N(AA107),X107)</f>
        <v/>
      </c>
      <c r="AC107" s="13">
        <f>IF(ISNUMBER(AB107),AB107,"")</f>
        <v/>
      </c>
      <c r="AD107" s="13">
        <f>IF(ISNUMBER(AC107),_xlfn.RANK.EQ(AC107,$AC$2:$AC$1031),"")</f>
        <v/>
      </c>
      <c r="AE107" s="15">
        <f>IF(ISNUMBER(AF107),AF107/3630,"")</f>
        <v/>
      </c>
      <c r="AF107" s="14">
        <f>IFERROR(C107+D107+E107+F107+J107+K107+L107+M107+Q107+R107+S107+T107+IF(ISNUMBER(X107),X107,0)+N(Y107)+N(Z107)+N(AA107),"")</f>
        <v/>
      </c>
      <c r="AG107" s="14">
        <f>IF(ISNUMBER(AF107),AF107,"")</f>
        <v/>
      </c>
      <c r="AH107" s="14">
        <f>IF(ISNUMBER(AG107),_xlfn.RANK.EQ(AG107,$AG$2:$AG$1031),"")</f>
        <v/>
      </c>
    </row>
    <row r="108">
      <c r="A108" s="18" t="n">
        <v>216</v>
      </c>
      <c r="B108" s="18" t="inlineStr">
        <is>
          <t>اسراء سامي السيد رمضان عبد الموجود</t>
        </is>
      </c>
      <c r="C108" s="1" t="e">
        <v>#N/A</v>
      </c>
      <c r="D108" s="1" t="n"/>
      <c r="E108" s="1" t="n"/>
      <c r="F108" s="1" t="n">
        <v>24</v>
      </c>
      <c r="G108" s="1">
        <f>C108+D108+E108+F108</f>
        <v/>
      </c>
      <c r="H108" s="1">
        <f>IF(ISNUMBER(G108),G108,"")</f>
        <v/>
      </c>
      <c r="I108" s="1">
        <f>_xlfn.RANK.EQ(H108,$H$2:$H$1031)</f>
        <v/>
      </c>
      <c r="J108" s="5" t="n">
        <v>608.05</v>
      </c>
      <c r="K108" s="5" t="n">
        <v>42</v>
      </c>
      <c r="L108" s="5" t="n">
        <v>22</v>
      </c>
      <c r="M108" s="5" t="n">
        <v>22</v>
      </c>
      <c r="N108" s="5">
        <f>J108+K108+L108+M108</f>
        <v/>
      </c>
      <c r="O108" s="5">
        <f>IF(ISNUMBER(N108),N108,"")</f>
        <v/>
      </c>
      <c r="P108" s="5">
        <f>_xlfn.RANK.EQ(O108,$O$2:$O$1031)</f>
        <v/>
      </c>
      <c r="Q108" s="9" t="n">
        <v>264.5</v>
      </c>
      <c r="R108" s="9" t="n">
        <v>44</v>
      </c>
      <c r="S108" s="9" t="n">
        <v>21</v>
      </c>
      <c r="T108" s="9" t="n">
        <v>24</v>
      </c>
      <c r="U108" s="9">
        <f>Q108+R108+S108+T108</f>
        <v/>
      </c>
      <c r="V108" s="9">
        <f>IF(ISNUMBER(U108),U108,"")</f>
        <v/>
      </c>
      <c r="W108" s="9">
        <f>_xlfn.RANK.EQ(V108,$V$2:$V$1031)</f>
        <v/>
      </c>
      <c r="X108" s="13" t="n">
        <v>1403.5083333333</v>
      </c>
      <c r="Y108" s="13" t="n">
        <v>20</v>
      </c>
      <c r="Z108" s="13" t="n">
        <v>23</v>
      </c>
      <c r="AA108" s="13" t="n">
        <v>18</v>
      </c>
      <c r="AB108" s="13">
        <f>IF(ISNUMBER(X108),X108+N(Y108)+N(Z108)+N(AA108),X108)</f>
        <v/>
      </c>
      <c r="AC108" s="13">
        <f>IF(ISNUMBER(AB108),AB108,"")</f>
        <v/>
      </c>
      <c r="AD108" s="13">
        <f>IF(ISNUMBER(AC108),_xlfn.RANK.EQ(AC108,$AC$2:$AC$1031),"")</f>
        <v/>
      </c>
      <c r="AE108" s="15">
        <f>IF(ISNUMBER(AF108),AF108/3630,"")</f>
        <v/>
      </c>
      <c r="AF108" s="14">
        <f>IFERROR(C108+D108+E108+F108+J108+K108+L108+M108+Q108+R108+S108+T108+IF(ISNUMBER(X108),X108,0)+N(Y108)+N(Z108)+N(AA108),"")</f>
        <v/>
      </c>
      <c r="AG108" s="14">
        <f>IF(ISNUMBER(AF108),AF108,"")</f>
        <v/>
      </c>
      <c r="AH108" s="14">
        <f>IF(ISNUMBER(AG108),_xlfn.RANK.EQ(AG108,$AG$2:$AG$1031),"")</f>
        <v/>
      </c>
    </row>
    <row r="109">
      <c r="A109" s="18" t="n">
        <v>217</v>
      </c>
      <c r="B109" s="18" t="inlineStr">
        <is>
          <t>اسراء عادل خميس عبد المحسن محمود</t>
        </is>
      </c>
      <c r="C109" s="1" t="n">
        <v>478.2</v>
      </c>
      <c r="D109" s="1" t="n">
        <v>24</v>
      </c>
      <c r="E109" s="1" t="n">
        <v>22</v>
      </c>
      <c r="F109" s="1" t="n">
        <v>21</v>
      </c>
      <c r="G109" s="1">
        <f>C109+D109+E109+F109</f>
        <v/>
      </c>
      <c r="H109" s="1">
        <f>IF(ISNUMBER(G109),G109,"")</f>
        <v/>
      </c>
      <c r="I109" s="1">
        <f>_xlfn.RANK.EQ(H109,$H$2:$H$1031)</f>
        <v/>
      </c>
      <c r="J109" s="5" t="n">
        <v>479.9</v>
      </c>
      <c r="K109" s="5" t="n">
        <v>47</v>
      </c>
      <c r="L109" s="5" t="n">
        <v>24</v>
      </c>
      <c r="M109" s="5" t="n">
        <v>20</v>
      </c>
      <c r="N109" s="5">
        <f>J109+K109+L109+M109</f>
        <v/>
      </c>
      <c r="O109" s="5">
        <f>IF(ISNUMBER(N109),N109,"")</f>
        <v/>
      </c>
      <c r="P109" s="5">
        <f>_xlfn.RANK.EQ(O109,$O$2:$O$1031)</f>
        <v/>
      </c>
      <c r="Q109" s="9" t="n">
        <v>202.5</v>
      </c>
      <c r="R109" s="9" t="n">
        <v>46.5</v>
      </c>
      <c r="S109" s="9" t="n">
        <v>25</v>
      </c>
      <c r="T109" s="9" t="n">
        <v>24</v>
      </c>
      <c r="U109" s="9">
        <f>Q109+R109+S109+T109</f>
        <v/>
      </c>
      <c r="V109" s="9">
        <f>IF(ISNUMBER(U109),U109,"")</f>
        <v/>
      </c>
      <c r="W109" s="9">
        <f>_xlfn.RANK.EQ(V109,$V$2:$V$1031)</f>
        <v/>
      </c>
      <c r="X109" s="13" t="n">
        <v>1304.9583333333</v>
      </c>
      <c r="Y109" s="13" t="n">
        <v>25</v>
      </c>
      <c r="Z109" s="13" t="n">
        <v>24</v>
      </c>
      <c r="AA109" s="13" t="n">
        <v>24</v>
      </c>
      <c r="AB109" s="13">
        <f>IF(ISNUMBER(X109),X109+N(Y109)+N(Z109)+N(AA109),X109)</f>
        <v/>
      </c>
      <c r="AC109" s="13">
        <f>IF(ISNUMBER(AB109),AB109,"")</f>
        <v/>
      </c>
      <c r="AD109" s="13">
        <f>IF(ISNUMBER(AC109),_xlfn.RANK.EQ(AC109,$AC$2:$AC$1031),"")</f>
        <v/>
      </c>
      <c r="AE109" s="15">
        <f>IF(ISNUMBER(AF109),AF109/3630,"")</f>
        <v/>
      </c>
      <c r="AF109" s="14">
        <f>IFERROR(C109+D109+E109+F109+J109+K109+L109+M109+Q109+R109+S109+T109+IF(ISNUMBER(X109),X109,0)+N(Y109)+N(Z109)+N(AA109),"")</f>
        <v/>
      </c>
      <c r="AG109" s="14">
        <f>IF(ISNUMBER(AF109),AF109,"")</f>
        <v/>
      </c>
      <c r="AH109" s="14">
        <f>IF(ISNUMBER(AG109),_xlfn.RANK.EQ(AG109,$AG$2:$AG$1031),"")</f>
        <v/>
      </c>
    </row>
    <row r="110">
      <c r="A110" s="18" t="n">
        <v>219</v>
      </c>
      <c r="B110" s="18" t="inlineStr">
        <is>
          <t>اسراء محمد عبدالعال بسيونى</t>
        </is>
      </c>
      <c r="C110" s="1" t="n">
        <v>540.5</v>
      </c>
      <c r="D110" s="1" t="n">
        <v>21</v>
      </c>
      <c r="E110" s="1" t="n">
        <v>19</v>
      </c>
      <c r="F110" s="1" t="n">
        <v>19</v>
      </c>
      <c r="G110" s="1">
        <f>C110+D110+E110+F110</f>
        <v/>
      </c>
      <c r="H110" s="1">
        <f>IF(ISNUMBER(G110),G110,"")</f>
        <v/>
      </c>
      <c r="I110" s="1">
        <f>_xlfn.RANK.EQ(H110,$H$2:$H$1031)</f>
        <v/>
      </c>
      <c r="J110" s="5" t="n">
        <v>528.5</v>
      </c>
      <c r="K110" s="5" t="n">
        <v>42</v>
      </c>
      <c r="L110" s="5" t="n">
        <v>20</v>
      </c>
      <c r="M110" s="5" t="n">
        <v>18</v>
      </c>
      <c r="N110" s="5">
        <f>J110+K110+L110+M110</f>
        <v/>
      </c>
      <c r="O110" s="5">
        <f>IF(ISNUMBER(N110),N110,"")</f>
        <v/>
      </c>
      <c r="P110" s="5">
        <f>_xlfn.RANK.EQ(O110,$O$2:$O$1031)</f>
        <v/>
      </c>
      <c r="Q110" s="9" t="n">
        <v>207</v>
      </c>
      <c r="R110" s="9" t="n">
        <v>34.5</v>
      </c>
      <c r="S110" s="9" t="n">
        <v>20</v>
      </c>
      <c r="T110" s="9" t="n">
        <v>24</v>
      </c>
      <c r="U110" s="9">
        <f>Q110+R110+S110+T110</f>
        <v/>
      </c>
      <c r="V110" s="9">
        <f>IF(ISNUMBER(U110),U110,"")</f>
        <v/>
      </c>
      <c r="W110" s="9">
        <f>_xlfn.RANK.EQ(V110,$V$2:$V$1031)</f>
        <v/>
      </c>
      <c r="X110" s="13" t="n">
        <v>1261.3666666667</v>
      </c>
      <c r="Y110" s="13" t="n">
        <v>24</v>
      </c>
      <c r="Z110" s="13" t="n">
        <v>16</v>
      </c>
      <c r="AA110" s="13" t="n">
        <v>20</v>
      </c>
      <c r="AB110" s="13">
        <f>IF(ISNUMBER(X110),X110+N(Y110)+N(Z110)+N(AA110),X110)</f>
        <v/>
      </c>
      <c r="AC110" s="13">
        <f>IF(ISNUMBER(AB110),AB110,"")</f>
        <v/>
      </c>
      <c r="AD110" s="13">
        <f>IF(ISNUMBER(AC110),_xlfn.RANK.EQ(AC110,$AC$2:$AC$1031),"")</f>
        <v/>
      </c>
      <c r="AE110" s="15">
        <f>IF(ISNUMBER(AF110),AF110/3630,"")</f>
        <v/>
      </c>
      <c r="AF110" s="14">
        <f>IFERROR(C110+D110+E110+F110+J110+K110+L110+M110+Q110+R110+S110+T110+IF(ISNUMBER(X110),X110,0)+N(Y110)+N(Z110)+N(AA110),"")</f>
        <v/>
      </c>
      <c r="AG110" s="14">
        <f>IF(ISNUMBER(AF110),AF110,"")</f>
        <v/>
      </c>
      <c r="AH110" s="14">
        <f>IF(ISNUMBER(AG110),_xlfn.RANK.EQ(AG110,$AG$2:$AG$1031),"")</f>
        <v/>
      </c>
    </row>
    <row r="111">
      <c r="A111" s="18" t="n">
        <v>220</v>
      </c>
      <c r="B111" s="18" t="inlineStr">
        <is>
          <t>اسراء محمد فتحي حامد القفاص</t>
        </is>
      </c>
      <c r="C111" s="1" t="n">
        <v>498.3</v>
      </c>
      <c r="D111" s="1" t="n">
        <v>24</v>
      </c>
      <c r="E111" s="1" t="n">
        <v>25</v>
      </c>
      <c r="F111" s="1" t="n">
        <v>25</v>
      </c>
      <c r="G111" s="1">
        <f>C111+D111+E111+F111</f>
        <v/>
      </c>
      <c r="H111" s="1">
        <f>IF(ISNUMBER(G111),G111,"")</f>
        <v/>
      </c>
      <c r="I111" s="1">
        <f>_xlfn.RANK.EQ(H111,$H$2:$H$1031)</f>
        <v/>
      </c>
      <c r="J111" s="5" t="n">
        <v>470.2</v>
      </c>
      <c r="K111" s="5" t="n">
        <v>47</v>
      </c>
      <c r="L111" s="5" t="n">
        <v>20</v>
      </c>
      <c r="M111" s="5" t="n">
        <v>22</v>
      </c>
      <c r="N111" s="5">
        <f>J111+K111+L111+M111</f>
        <v/>
      </c>
      <c r="O111" s="5">
        <f>IF(ISNUMBER(N111),N111,"")</f>
        <v/>
      </c>
      <c r="P111" s="5">
        <f>_xlfn.RANK.EQ(O111,$O$2:$O$1031)</f>
        <v/>
      </c>
      <c r="Q111" s="9" t="n">
        <v>230</v>
      </c>
      <c r="R111" s="9" t="n">
        <v>48</v>
      </c>
      <c r="S111" s="9" t="n">
        <v>25</v>
      </c>
      <c r="T111" s="9" t="n">
        <v>25</v>
      </c>
      <c r="U111" s="9">
        <f>Q111+R111+S111+T111</f>
        <v/>
      </c>
      <c r="V111" s="9">
        <f>IF(ISNUMBER(U111),U111,"")</f>
        <v/>
      </c>
      <c r="W111" s="9">
        <f>_xlfn.RANK.EQ(V111,$V$2:$V$1031)</f>
        <v/>
      </c>
      <c r="X111" s="13" t="n">
        <v>1270.2</v>
      </c>
      <c r="Y111" s="13" t="n">
        <v>25</v>
      </c>
      <c r="Z111" s="13" t="n">
        <v>25</v>
      </c>
      <c r="AA111" s="13" t="n">
        <v>25</v>
      </c>
      <c r="AB111" s="13">
        <f>IF(ISNUMBER(X111),X111+N(Y111)+N(Z111)+N(AA111),X111)</f>
        <v/>
      </c>
      <c r="AC111" s="13">
        <f>IF(ISNUMBER(AB111),AB111,"")</f>
        <v/>
      </c>
      <c r="AD111" s="13">
        <f>IF(ISNUMBER(AC111),_xlfn.RANK.EQ(AC111,$AC$2:$AC$1031),"")</f>
        <v/>
      </c>
      <c r="AE111" s="15">
        <f>IF(ISNUMBER(AF111),AF111/3630,"")</f>
        <v/>
      </c>
      <c r="AF111" s="14">
        <f>IFERROR(C111+D111+E111+F111+J111+K111+L111+M111+Q111+R111+S111+T111+IF(ISNUMBER(X111),X111,0)+N(Y111)+N(Z111)+N(AA111),"")</f>
        <v/>
      </c>
      <c r="AG111" s="14">
        <f>IF(ISNUMBER(AF111),AF111,"")</f>
        <v/>
      </c>
      <c r="AH111" s="14">
        <f>IF(ISNUMBER(AG111),_xlfn.RANK.EQ(AG111,$AG$2:$AG$1031),"")</f>
        <v/>
      </c>
    </row>
    <row r="112">
      <c r="A112" s="18" t="n">
        <v>221</v>
      </c>
      <c r="B112" s="18" t="inlineStr">
        <is>
          <t>اسراء ناجى عبد الكريم سكران</t>
        </is>
      </c>
      <c r="C112" s="1" t="n">
        <v>578.9</v>
      </c>
      <c r="D112" s="1" t="n">
        <v>24</v>
      </c>
      <c r="E112" s="1" t="n">
        <v>21</v>
      </c>
      <c r="F112" s="1" t="n">
        <v>18</v>
      </c>
      <c r="G112" s="1">
        <f>C112+D112+E112+F112</f>
        <v/>
      </c>
      <c r="H112" s="1">
        <f>IF(ISNUMBER(G112),G112,"")</f>
        <v/>
      </c>
      <c r="I112" s="1">
        <f>_xlfn.RANK.EQ(H112,$H$2:$H$1031)</f>
        <v/>
      </c>
      <c r="J112" s="5" t="n">
        <v>556.15</v>
      </c>
      <c r="K112" s="5" t="n">
        <v>44</v>
      </c>
      <c r="L112" s="5" t="n">
        <v>20</v>
      </c>
      <c r="M112" s="5" t="n">
        <v>22</v>
      </c>
      <c r="N112" s="5">
        <f>J112+K112+L112+M112</f>
        <v/>
      </c>
      <c r="O112" s="5">
        <f>IF(ISNUMBER(N112),N112,"")</f>
        <v/>
      </c>
      <c r="P112" s="5">
        <f>_xlfn.RANK.EQ(O112,$O$2:$O$1031)</f>
        <v/>
      </c>
      <c r="Q112" s="9" t="n">
        <v>225.5</v>
      </c>
      <c r="R112" s="9" t="n">
        <v>44</v>
      </c>
      <c r="S112" s="9" t="n">
        <v>21</v>
      </c>
      <c r="T112" s="9" t="n">
        <v>24</v>
      </c>
      <c r="U112" s="9">
        <f>Q112+R112+S112+T112</f>
        <v/>
      </c>
      <c r="V112" s="9">
        <f>IF(ISNUMBER(U112),U112,"")</f>
        <v/>
      </c>
      <c r="W112" s="9">
        <f>_xlfn.RANK.EQ(V112,$V$2:$V$1031)</f>
        <v/>
      </c>
      <c r="X112" s="13" t="n">
        <v>1279.6458333333</v>
      </c>
      <c r="Y112" s="13" t="n">
        <v>25</v>
      </c>
      <c r="Z112" s="13" t="n">
        <v>23</v>
      </c>
      <c r="AA112" s="13" t="n">
        <v>24</v>
      </c>
      <c r="AB112" s="13">
        <f>IF(ISNUMBER(X112),X112+N(Y112)+N(Z112)+N(AA112),X112)</f>
        <v/>
      </c>
      <c r="AC112" s="13">
        <f>IF(ISNUMBER(AB112),AB112,"")</f>
        <v/>
      </c>
      <c r="AD112" s="13">
        <f>IF(ISNUMBER(AC112),_xlfn.RANK.EQ(AC112,$AC$2:$AC$1031),"")</f>
        <v/>
      </c>
      <c r="AE112" s="15">
        <f>IF(ISNUMBER(AF112),AF112/3630,"")</f>
        <v/>
      </c>
      <c r="AF112" s="14">
        <f>IFERROR(C112+D112+E112+F112+J112+K112+L112+M112+Q112+R112+S112+T112+IF(ISNUMBER(X112),X112,0)+N(Y112)+N(Z112)+N(AA112),"")</f>
        <v/>
      </c>
      <c r="AG112" s="14">
        <f>IF(ISNUMBER(AF112),AF112,"")</f>
        <v/>
      </c>
      <c r="AH112" s="14">
        <f>IF(ISNUMBER(AG112),_xlfn.RANK.EQ(AG112,$AG$2:$AG$1031),"")</f>
        <v/>
      </c>
    </row>
    <row r="113">
      <c r="A113" s="18" t="n">
        <v>223</v>
      </c>
      <c r="B113" s="18" t="inlineStr">
        <is>
          <t>اسلام احمد سعيد عبدالرازق عبدالحق</t>
        </is>
      </c>
      <c r="C113" s="1" t="n">
        <v>563.5</v>
      </c>
      <c r="D113" s="1" t="n">
        <v>23</v>
      </c>
      <c r="E113" s="1" t="n">
        <v>24</v>
      </c>
      <c r="F113" s="1" t="n">
        <v>22</v>
      </c>
      <c r="G113" s="1">
        <f>C113+D113+E113+F113</f>
        <v/>
      </c>
      <c r="H113" s="1">
        <f>IF(ISNUMBER(G113),G113,"")</f>
        <v/>
      </c>
      <c r="I113" s="1">
        <f>_xlfn.RANK.EQ(H113,$H$2:$H$1031)</f>
        <v/>
      </c>
      <c r="J113" s="5" t="n">
        <v>557.05</v>
      </c>
      <c r="K113" s="5" t="n">
        <v>45</v>
      </c>
      <c r="L113" s="5" t="n">
        <v>22</v>
      </c>
      <c r="M113" s="5" t="n">
        <v>22</v>
      </c>
      <c r="N113" s="5">
        <f>J113+K113+L113+M113</f>
        <v/>
      </c>
      <c r="O113" s="5">
        <f>IF(ISNUMBER(N113),N113,"")</f>
        <v/>
      </c>
      <c r="P113" s="5">
        <f>_xlfn.RANK.EQ(O113,$O$2:$O$1031)</f>
        <v/>
      </c>
      <c r="Q113" s="9" t="n">
        <v>208.5</v>
      </c>
      <c r="R113" s="9" t="n">
        <v>40</v>
      </c>
      <c r="S113" s="9" t="n">
        <v>22</v>
      </c>
      <c r="T113" s="9" t="n">
        <v>24.5</v>
      </c>
      <c r="U113" s="9">
        <f>Q113+R113+S113+T113</f>
        <v/>
      </c>
      <c r="V113" s="9">
        <f>IF(ISNUMBER(U113),U113,"")</f>
        <v/>
      </c>
      <c r="W113" s="9">
        <f>_xlfn.RANK.EQ(V113,$V$2:$V$1031)</f>
        <v/>
      </c>
      <c r="X113" s="13" t="inlineStr">
        <is>
          <t>راسب</t>
        </is>
      </c>
      <c r="Y113" s="13" t="n">
        <v>23.5</v>
      </c>
      <c r="Z113" s="13" t="n">
        <v>24</v>
      </c>
      <c r="AA113" s="13" t="n">
        <v>20</v>
      </c>
      <c r="AB113" s="13">
        <f>IF(ISNUMBER(X113),X113+N(Y113)+N(Z113)+N(AA113),X113)</f>
        <v/>
      </c>
      <c r="AC113" s="13">
        <f>IF(ISNUMBER(AB113),AB113,"")</f>
        <v/>
      </c>
      <c r="AD113" s="13">
        <f>IF(ISNUMBER(AC113),_xlfn.RANK.EQ(AC113,$AC$2:$AC$1031),"")</f>
        <v/>
      </c>
      <c r="AE113" s="15">
        <f>IF(ISNUMBER(AF113),AF113/3630,"")</f>
        <v/>
      </c>
      <c r="AF113" s="14">
        <f>IFERROR(C113+D113+E113+F113+J113+K113+L113+M113+Q113+R113+S113+T113+IF(ISNUMBER(X113),X113,0)+N(Y113)+N(Z113)+N(AA113),"")</f>
        <v/>
      </c>
      <c r="AG113" s="14">
        <f>IF(ISNUMBER(AF113),AF113,"")</f>
        <v/>
      </c>
      <c r="AH113" s="14">
        <f>IF(ISNUMBER(AG113),_xlfn.RANK.EQ(AG113,$AG$2:$AG$1031),"")</f>
        <v/>
      </c>
    </row>
    <row r="114">
      <c r="A114" s="18" t="n">
        <v>225</v>
      </c>
      <c r="B114" s="18" t="inlineStr">
        <is>
          <t>اسلام حمدي محمد محمد قريطم</t>
        </is>
      </c>
      <c r="C114" s="1" t="n">
        <v>589.2</v>
      </c>
      <c r="D114" s="1" t="n">
        <v>24</v>
      </c>
      <c r="E114" s="1" t="n">
        <v>22</v>
      </c>
      <c r="F114" s="1" t="n">
        <v>18</v>
      </c>
      <c r="G114" s="1">
        <f>C114+D114+E114+F114</f>
        <v/>
      </c>
      <c r="H114" s="1">
        <f>IF(ISNUMBER(G114),G114,"")</f>
        <v/>
      </c>
      <c r="I114" s="1">
        <f>_xlfn.RANK.EQ(H114,$H$2:$H$1031)</f>
        <v/>
      </c>
      <c r="J114" s="5" t="n">
        <v>524.8</v>
      </c>
      <c r="K114" s="5" t="n">
        <v>36</v>
      </c>
      <c r="L114" s="5" t="n">
        <v>19</v>
      </c>
      <c r="M114" s="5" t="n">
        <v>17</v>
      </c>
      <c r="N114" s="5">
        <f>J114+K114+L114+M114</f>
        <v/>
      </c>
      <c r="O114" s="5">
        <f>IF(ISNUMBER(N114),N114,"")</f>
        <v/>
      </c>
      <c r="P114" s="5">
        <f>_xlfn.RANK.EQ(O114,$O$2:$O$1031)</f>
        <v/>
      </c>
      <c r="Q114" s="9" t="n">
        <v>164.5</v>
      </c>
      <c r="R114" s="9" t="n">
        <v>37.5</v>
      </c>
      <c r="S114" s="9" t="n">
        <v>23</v>
      </c>
      <c r="T114" s="9" t="n">
        <v>21.5</v>
      </c>
      <c r="U114" s="9">
        <f>Q114+R114+S114+T114</f>
        <v/>
      </c>
      <c r="V114" s="9">
        <f>IF(ISNUMBER(U114),U114,"")</f>
        <v/>
      </c>
      <c r="W114" s="9">
        <f>_xlfn.RANK.EQ(V114,$V$2:$V$1031)</f>
        <v/>
      </c>
      <c r="X114" s="13" t="n">
        <v>1137.0416666667</v>
      </c>
      <c r="Y114" s="13" t="n">
        <v>18.5</v>
      </c>
      <c r="Z114" s="13" t="n">
        <v>23</v>
      </c>
      <c r="AA114" s="13" t="n">
        <v>22</v>
      </c>
      <c r="AB114" s="13">
        <f>IF(ISNUMBER(X114),X114+N(Y114)+N(Z114)+N(AA114),X114)</f>
        <v/>
      </c>
      <c r="AC114" s="13">
        <f>IF(ISNUMBER(AB114),AB114,"")</f>
        <v/>
      </c>
      <c r="AD114" s="13">
        <f>IF(ISNUMBER(AC114),_xlfn.RANK.EQ(AC114,$AC$2:$AC$1031),"")</f>
        <v/>
      </c>
      <c r="AE114" s="15">
        <f>IF(ISNUMBER(AF114),AF114/3630,"")</f>
        <v/>
      </c>
      <c r="AF114" s="14">
        <f>IFERROR(C114+D114+E114+F114+J114+K114+L114+M114+Q114+R114+S114+T114+IF(ISNUMBER(X114),X114,0)+N(Y114)+N(Z114)+N(AA114),"")</f>
        <v/>
      </c>
      <c r="AG114" s="14">
        <f>IF(ISNUMBER(AF114),AF114,"")</f>
        <v/>
      </c>
      <c r="AH114" s="14">
        <f>IF(ISNUMBER(AG114),_xlfn.RANK.EQ(AG114,$AG$2:$AG$1031),"")</f>
        <v/>
      </c>
    </row>
    <row r="115">
      <c r="A115" s="18" t="n">
        <v>227</v>
      </c>
      <c r="B115" s="18" t="inlineStr">
        <is>
          <t>اسلام عاطف عبدالرازق عبدالرؤف</t>
        </is>
      </c>
      <c r="C115" s="1" t="n">
        <v>634</v>
      </c>
      <c r="D115" s="1" t="n">
        <v>25</v>
      </c>
      <c r="E115" s="1" t="n">
        <v>23</v>
      </c>
      <c r="F115" s="1" t="n">
        <v>22</v>
      </c>
      <c r="G115" s="1">
        <f>C115+D115+E115+F115</f>
        <v/>
      </c>
      <c r="H115" s="1">
        <f>IF(ISNUMBER(G115),G115,"")</f>
        <v/>
      </c>
      <c r="I115" s="1">
        <f>_xlfn.RANK.EQ(H115,$H$2:$H$1031)</f>
        <v/>
      </c>
      <c r="J115" s="5" t="n">
        <v>626.5</v>
      </c>
      <c r="K115" s="5" t="n">
        <v>48</v>
      </c>
      <c r="L115" s="5" t="n">
        <v>21</v>
      </c>
      <c r="M115" s="5" t="n">
        <v>24</v>
      </c>
      <c r="N115" s="5">
        <f>J115+K115+L115+M115</f>
        <v/>
      </c>
      <c r="O115" s="5">
        <f>IF(ISNUMBER(N115),N115,"")</f>
        <v/>
      </c>
      <c r="P115" s="5">
        <f>_xlfn.RANK.EQ(O115,$O$2:$O$1031)</f>
        <v/>
      </c>
      <c r="Q115" s="9" t="n">
        <v>272.5</v>
      </c>
      <c r="R115" s="9" t="n">
        <v>47</v>
      </c>
      <c r="S115" s="9" t="n">
        <v>24</v>
      </c>
      <c r="T115" s="9" t="n">
        <v>25</v>
      </c>
      <c r="U115" s="9">
        <f>Q115+R115+S115+T115</f>
        <v/>
      </c>
      <c r="V115" s="9">
        <f>IF(ISNUMBER(U115),U115,"")</f>
        <v/>
      </c>
      <c r="W115" s="9">
        <f>_xlfn.RANK.EQ(V115,$V$2:$V$1031)</f>
        <v/>
      </c>
      <c r="X115" s="13" t="n">
        <v>1448.4541666667</v>
      </c>
      <c r="Y115" s="13" t="n">
        <v>25</v>
      </c>
      <c r="Z115" s="13" t="n">
        <v>24</v>
      </c>
      <c r="AA115" s="13" t="n">
        <v>22</v>
      </c>
      <c r="AB115" s="13">
        <f>IF(ISNUMBER(X115),X115+N(Y115)+N(Z115)+N(AA115),X115)</f>
        <v/>
      </c>
      <c r="AC115" s="13">
        <f>IF(ISNUMBER(AB115),AB115,"")</f>
        <v/>
      </c>
      <c r="AD115" s="13">
        <f>IF(ISNUMBER(AC115),_xlfn.RANK.EQ(AC115,$AC$2:$AC$1031),"")</f>
        <v/>
      </c>
      <c r="AE115" s="15">
        <f>IF(ISNUMBER(AF115),AF115/3630,"")</f>
        <v/>
      </c>
      <c r="AF115" s="14">
        <f>IFERROR(C115+D115+E115+F115+J115+K115+L115+M115+Q115+R115+S115+T115+IF(ISNUMBER(X115),X115,0)+N(Y115)+N(Z115)+N(AA115),"")</f>
        <v/>
      </c>
      <c r="AG115" s="14">
        <f>IF(ISNUMBER(AF115),AF115,"")</f>
        <v/>
      </c>
      <c r="AH115" s="14">
        <f>IF(ISNUMBER(AG115),_xlfn.RANK.EQ(AG115,$AG$2:$AG$1031),"")</f>
        <v/>
      </c>
    </row>
    <row r="116">
      <c r="A116" s="18" t="n">
        <v>228</v>
      </c>
      <c r="B116" s="18" t="inlineStr">
        <is>
          <t>اسلام عبد السلام زكى عبد العاطى</t>
        </is>
      </c>
      <c r="C116" s="1" t="n">
        <v>645.5</v>
      </c>
      <c r="D116" s="1" t="n">
        <v>25</v>
      </c>
      <c r="E116" s="1" t="n">
        <v>25</v>
      </c>
      <c r="F116" s="1" t="n">
        <v>23</v>
      </c>
      <c r="G116" s="1">
        <f>C116+D116+E116+F116</f>
        <v/>
      </c>
      <c r="H116" s="1">
        <f>IF(ISNUMBER(G116),G116,"")</f>
        <v/>
      </c>
      <c r="I116" s="1">
        <f>_xlfn.RANK.EQ(H116,$H$2:$H$1031)</f>
        <v/>
      </c>
      <c r="J116" s="5" t="n">
        <v>625.5</v>
      </c>
      <c r="K116" s="5" t="n">
        <v>48</v>
      </c>
      <c r="L116" s="5" t="n">
        <v>22</v>
      </c>
      <c r="M116" s="5" t="n">
        <v>23</v>
      </c>
      <c r="N116" s="5">
        <f>J116+K116+L116+M116</f>
        <v/>
      </c>
      <c r="O116" s="5">
        <f>IF(ISNUMBER(N116),N116,"")</f>
        <v/>
      </c>
      <c r="P116" s="5">
        <f>_xlfn.RANK.EQ(O116,$O$2:$O$1031)</f>
        <v/>
      </c>
      <c r="Q116" s="9" t="n">
        <v>267</v>
      </c>
      <c r="R116" s="9" t="n">
        <v>48</v>
      </c>
      <c r="S116" s="9" t="n">
        <v>25</v>
      </c>
      <c r="T116" s="9" t="n">
        <v>17</v>
      </c>
      <c r="U116" s="9">
        <f>Q116+R116+S116+T116</f>
        <v/>
      </c>
      <c r="V116" s="9">
        <f>IF(ISNUMBER(U116),U116,"")</f>
        <v/>
      </c>
      <c r="W116" s="9">
        <f>_xlfn.RANK.EQ(V116,$V$2:$V$1031)</f>
        <v/>
      </c>
      <c r="X116" s="13" t="n">
        <v>1490.5583333333</v>
      </c>
      <c r="Y116" s="13" t="n">
        <v>24</v>
      </c>
      <c r="Z116" s="13" t="n">
        <v>23</v>
      </c>
      <c r="AA116" s="13" t="n">
        <v>24</v>
      </c>
      <c r="AB116" s="13">
        <f>IF(ISNUMBER(X116),X116+N(Y116)+N(Z116)+N(AA116),X116)</f>
        <v/>
      </c>
      <c r="AC116" s="13">
        <f>IF(ISNUMBER(AB116),AB116,"")</f>
        <v/>
      </c>
      <c r="AD116" s="13">
        <f>IF(ISNUMBER(AC116),_xlfn.RANK.EQ(AC116,$AC$2:$AC$1031),"")</f>
        <v/>
      </c>
      <c r="AE116" s="15">
        <f>IF(ISNUMBER(AF116),AF116/3630,"")</f>
        <v/>
      </c>
      <c r="AF116" s="14">
        <f>IFERROR(C116+D116+E116+F116+J116+K116+L116+M116+Q116+R116+S116+T116+IF(ISNUMBER(X116),X116,0)+N(Y116)+N(Z116)+N(AA116),"")</f>
        <v/>
      </c>
      <c r="AG116" s="14">
        <f>IF(ISNUMBER(AF116),AF116,"")</f>
        <v/>
      </c>
      <c r="AH116" s="14">
        <f>IF(ISNUMBER(AG116),_xlfn.RANK.EQ(AG116,$AG$2:$AG$1031),"")</f>
        <v/>
      </c>
    </row>
    <row r="117">
      <c r="A117" s="18" t="n">
        <v>229</v>
      </c>
      <c r="B117" s="18" t="inlineStr">
        <is>
          <t>اسلام محمد صلاح الدين عبد القوي</t>
        </is>
      </c>
      <c r="C117" s="1" t="n">
        <v>629.6</v>
      </c>
      <c r="D117" s="1" t="n">
        <v>25</v>
      </c>
      <c r="E117" s="1" t="n">
        <v>23</v>
      </c>
      <c r="F117" s="1" t="n">
        <v>22</v>
      </c>
      <c r="G117" s="1">
        <f>C117+D117+E117+F117</f>
        <v/>
      </c>
      <c r="H117" s="1">
        <f>IF(ISNUMBER(G117),G117,"")</f>
        <v/>
      </c>
      <c r="I117" s="1">
        <f>_xlfn.RANK.EQ(H117,$H$2:$H$1031)</f>
        <v/>
      </c>
      <c r="J117" s="5" t="n">
        <v>566</v>
      </c>
      <c r="K117" s="5" t="n">
        <v>40</v>
      </c>
      <c r="L117" s="5" t="n">
        <v>19</v>
      </c>
      <c r="M117" s="5" t="n">
        <v>21</v>
      </c>
      <c r="N117" s="5">
        <f>J117+K117+L117+M117</f>
        <v/>
      </c>
      <c r="O117" s="5">
        <f>IF(ISNUMBER(N117),N117,"")</f>
        <v/>
      </c>
      <c r="P117" s="5">
        <f>_xlfn.RANK.EQ(O117,$O$2:$O$1031)</f>
        <v/>
      </c>
      <c r="Q117" s="9" t="n">
        <v>212</v>
      </c>
      <c r="R117" s="9" t="n">
        <v>32</v>
      </c>
      <c r="S117" s="9" t="n">
        <v>22</v>
      </c>
      <c r="T117" s="9" t="n">
        <v>14.5</v>
      </c>
      <c r="U117" s="9">
        <f>Q117+R117+S117+T117</f>
        <v/>
      </c>
      <c r="V117" s="9">
        <f>IF(ISNUMBER(U117),U117,"")</f>
        <v/>
      </c>
      <c r="W117" s="9">
        <f>_xlfn.RANK.EQ(V117,$V$2:$V$1031)</f>
        <v/>
      </c>
      <c r="X117" s="13" t="inlineStr">
        <is>
          <t>راسب</t>
        </is>
      </c>
      <c r="Y117" s="13" t="n">
        <v>12.5</v>
      </c>
      <c r="Z117" s="13" t="n">
        <v>20</v>
      </c>
      <c r="AA117" s="13" t="n">
        <v>21</v>
      </c>
      <c r="AB117" s="13">
        <f>IF(ISNUMBER(X117),X117+N(Y117)+N(Z117)+N(AA117),X117)</f>
        <v/>
      </c>
      <c r="AC117" s="13">
        <f>IF(ISNUMBER(AB117),AB117,"")</f>
        <v/>
      </c>
      <c r="AD117" s="13">
        <f>IF(ISNUMBER(AC117),_xlfn.RANK.EQ(AC117,$AC$2:$AC$1031),"")</f>
        <v/>
      </c>
      <c r="AE117" s="15">
        <f>IF(ISNUMBER(AF117),AF117/3630,"")</f>
        <v/>
      </c>
      <c r="AF117" s="14">
        <f>IFERROR(C117+D117+E117+F117+J117+K117+L117+M117+Q117+R117+S117+T117+IF(ISNUMBER(X117),X117,0)+N(Y117)+N(Z117)+N(AA117),"")</f>
        <v/>
      </c>
      <c r="AG117" s="14">
        <f>IF(ISNUMBER(AF117),AF117,"")</f>
        <v/>
      </c>
      <c r="AH117" s="14">
        <f>IF(ISNUMBER(AG117),_xlfn.RANK.EQ(AG117,$AG$2:$AG$1031),"")</f>
        <v/>
      </c>
    </row>
    <row r="118">
      <c r="A118" s="18" t="n">
        <v>231</v>
      </c>
      <c r="B118" s="18" t="inlineStr">
        <is>
          <t>اسماء اشرف حسن محمد خضير</t>
        </is>
      </c>
      <c r="C118" s="1" t="n">
        <v>492.5</v>
      </c>
      <c r="D118" s="1" t="n">
        <v>20</v>
      </c>
      <c r="E118" s="1" t="n">
        <v>22</v>
      </c>
      <c r="F118" s="1" t="n">
        <v>21</v>
      </c>
      <c r="G118" s="1">
        <f>C118+D118+E118+F118</f>
        <v/>
      </c>
      <c r="H118" s="1">
        <f>IF(ISNUMBER(G118),G118,"")</f>
        <v/>
      </c>
      <c r="I118" s="1">
        <f>_xlfn.RANK.EQ(H118,$H$2:$H$1031)</f>
        <v/>
      </c>
      <c r="J118" s="5" t="n">
        <v>543</v>
      </c>
      <c r="K118" s="5" t="n">
        <v>41</v>
      </c>
      <c r="L118" s="5" t="n">
        <v>21</v>
      </c>
      <c r="M118" s="5" t="n">
        <v>21</v>
      </c>
      <c r="N118" s="5">
        <f>J118+K118+L118+M118</f>
        <v/>
      </c>
      <c r="O118" s="5">
        <f>IF(ISNUMBER(N118),N118,"")</f>
        <v/>
      </c>
      <c r="P118" s="5">
        <f>_xlfn.RANK.EQ(O118,$O$2:$O$1031)</f>
        <v/>
      </c>
      <c r="Q118" s="9" t="n">
        <v>213</v>
      </c>
      <c r="R118" s="9" t="n">
        <v>45.5</v>
      </c>
      <c r="S118" s="9" t="n">
        <v>21</v>
      </c>
      <c r="T118" s="9" t="n">
        <v>22.5</v>
      </c>
      <c r="U118" s="9">
        <f>Q118+R118+S118+T118</f>
        <v/>
      </c>
      <c r="V118" s="9">
        <f>IF(ISNUMBER(U118),U118,"")</f>
        <v/>
      </c>
      <c r="W118" s="9">
        <f>_xlfn.RANK.EQ(V118,$V$2:$V$1031)</f>
        <v/>
      </c>
      <c r="X118" s="13" t="n">
        <v>1275.475</v>
      </c>
      <c r="Y118" s="13" t="n">
        <v>21</v>
      </c>
      <c r="Z118" s="13" t="n">
        <v>23</v>
      </c>
      <c r="AA118" s="13" t="n">
        <v>24</v>
      </c>
      <c r="AB118" s="13">
        <f>IF(ISNUMBER(X118),X118+N(Y118)+N(Z118)+N(AA118),X118)</f>
        <v/>
      </c>
      <c r="AC118" s="13">
        <f>IF(ISNUMBER(AB118),AB118,"")</f>
        <v/>
      </c>
      <c r="AD118" s="13">
        <f>IF(ISNUMBER(AC118),_xlfn.RANK.EQ(AC118,$AC$2:$AC$1031),"")</f>
        <v/>
      </c>
      <c r="AE118" s="15">
        <f>IF(ISNUMBER(AF118),AF118/3630,"")</f>
        <v/>
      </c>
      <c r="AF118" s="14">
        <f>IFERROR(C118+D118+E118+F118+J118+K118+L118+M118+Q118+R118+S118+T118+IF(ISNUMBER(X118),X118,0)+N(Y118)+N(Z118)+N(AA118),"")</f>
        <v/>
      </c>
      <c r="AG118" s="14">
        <f>IF(ISNUMBER(AF118),AF118,"")</f>
        <v/>
      </c>
      <c r="AH118" s="14">
        <f>IF(ISNUMBER(AG118),_xlfn.RANK.EQ(AG118,$AG$2:$AG$1031),"")</f>
        <v/>
      </c>
    </row>
    <row r="119">
      <c r="A119" s="18" t="n">
        <v>232</v>
      </c>
      <c r="B119" s="18" t="inlineStr">
        <is>
          <t>اسماء اشرف محمد حسين سالم</t>
        </is>
      </c>
      <c r="C119" s="1" t="n">
        <v>522.6</v>
      </c>
      <c r="D119" s="1" t="n">
        <v>24</v>
      </c>
      <c r="E119" s="1" t="n">
        <v>23</v>
      </c>
      <c r="F119" s="1" t="n">
        <v>22</v>
      </c>
      <c r="G119" s="1">
        <f>C119+D119+E119+F119</f>
        <v/>
      </c>
      <c r="H119" s="1">
        <f>IF(ISNUMBER(G119),G119,"")</f>
        <v/>
      </c>
      <c r="I119" s="1">
        <f>_xlfn.RANK.EQ(H119,$H$2:$H$1031)</f>
        <v/>
      </c>
      <c r="J119" s="5" t="n">
        <v>577</v>
      </c>
      <c r="K119" s="5" t="n">
        <v>44</v>
      </c>
      <c r="L119" s="5" t="n">
        <v>21</v>
      </c>
      <c r="M119" s="5" t="n">
        <v>22</v>
      </c>
      <c r="N119" s="5">
        <f>J119+K119+L119+M119</f>
        <v/>
      </c>
      <c r="O119" s="5">
        <f>IF(ISNUMBER(N119),N119,"")</f>
        <v/>
      </c>
      <c r="P119" s="5">
        <f>_xlfn.RANK.EQ(O119,$O$2:$O$1031)</f>
        <v/>
      </c>
      <c r="Q119" s="9" t="n">
        <v>193</v>
      </c>
      <c r="R119" s="9" t="n">
        <v>42</v>
      </c>
      <c r="S119" s="9" t="n">
        <v>24</v>
      </c>
      <c r="T119" s="9" t="n">
        <v>25</v>
      </c>
      <c r="U119" s="9">
        <f>Q119+R119+S119+T119</f>
        <v/>
      </c>
      <c r="V119" s="9">
        <f>IF(ISNUMBER(U119),U119,"")</f>
        <v/>
      </c>
      <c r="W119" s="9">
        <f>_xlfn.RANK.EQ(V119,$V$2:$V$1031)</f>
        <v/>
      </c>
      <c r="X119" s="13" t="inlineStr">
        <is>
          <t>غ ب</t>
        </is>
      </c>
      <c r="Y119" s="13" t="n">
        <v>25</v>
      </c>
      <c r="Z119" s="13" t="n">
        <v>24</v>
      </c>
      <c r="AA119" s="13" t="n">
        <v>23</v>
      </c>
      <c r="AB119" s="13">
        <f>IF(ISNUMBER(X119),X119+N(Y119)+N(Z119)+N(AA119),X119)</f>
        <v/>
      </c>
      <c r="AC119" s="13">
        <f>IF(ISNUMBER(AB119),AB119,"")</f>
        <v/>
      </c>
      <c r="AD119" s="13">
        <f>IF(ISNUMBER(AC119),_xlfn.RANK.EQ(AC119,$AC$2:$AC$1031),"")</f>
        <v/>
      </c>
      <c r="AE119" s="15">
        <f>IF(ISNUMBER(AF119),AF119/3630,"")</f>
        <v/>
      </c>
      <c r="AF119" s="14">
        <f>IFERROR(C119+D119+E119+F119+J119+K119+L119+M119+Q119+R119+S119+T119+IF(ISNUMBER(X119),X119,0)+N(Y119)+N(Z119)+N(AA119),"")</f>
        <v/>
      </c>
      <c r="AG119" s="14">
        <f>IF(ISNUMBER(AF119),AF119,"")</f>
        <v/>
      </c>
      <c r="AH119" s="14">
        <f>IF(ISNUMBER(AG119),_xlfn.RANK.EQ(AG119,$AG$2:$AG$1031),"")</f>
        <v/>
      </c>
    </row>
    <row r="120">
      <c r="A120" s="18" t="n">
        <v>233</v>
      </c>
      <c r="B120" s="18" t="inlineStr">
        <is>
          <t>اسماء الشحات حسن على حسن</t>
        </is>
      </c>
      <c r="C120" s="1" t="n">
        <v>559.3</v>
      </c>
      <c r="D120" s="1" t="n">
        <v>23</v>
      </c>
      <c r="E120" s="1" t="n">
        <v>25</v>
      </c>
      <c r="F120" s="1" t="n">
        <v>23</v>
      </c>
      <c r="G120" s="1">
        <f>C120+D120+E120+F120</f>
        <v/>
      </c>
      <c r="H120" s="1">
        <f>IF(ISNUMBER(G120),G120,"")</f>
        <v/>
      </c>
      <c r="I120" s="1">
        <f>_xlfn.RANK.EQ(H120,$H$2:$H$1031)</f>
        <v/>
      </c>
      <c r="J120" s="5" t="n">
        <v>585</v>
      </c>
      <c r="K120" s="5" t="n">
        <v>46</v>
      </c>
      <c r="L120" s="5" t="n">
        <v>22</v>
      </c>
      <c r="M120" s="5" t="n">
        <v>22</v>
      </c>
      <c r="N120" s="5">
        <f>J120+K120+L120+M120</f>
        <v/>
      </c>
      <c r="O120" s="5">
        <f>IF(ISNUMBER(N120),N120,"")</f>
        <v/>
      </c>
      <c r="P120" s="5">
        <f>_xlfn.RANK.EQ(O120,$O$2:$O$1031)</f>
        <v/>
      </c>
      <c r="Q120" s="9" t="n">
        <v>268.5</v>
      </c>
      <c r="R120" s="9" t="n">
        <v>45.5</v>
      </c>
      <c r="S120" s="9" t="n">
        <v>23</v>
      </c>
      <c r="T120" s="9" t="n">
        <v>25</v>
      </c>
      <c r="U120" s="9">
        <f>Q120+R120+S120+T120</f>
        <v/>
      </c>
      <c r="V120" s="9">
        <f>IF(ISNUMBER(U120),U120,"")</f>
        <v/>
      </c>
      <c r="W120" s="9">
        <f>_xlfn.RANK.EQ(V120,$V$2:$V$1031)</f>
        <v/>
      </c>
      <c r="X120" s="13" t="n">
        <v>1437.0916666667</v>
      </c>
      <c r="Y120" s="13" t="n">
        <v>25</v>
      </c>
      <c r="Z120" s="13" t="n">
        <v>23</v>
      </c>
      <c r="AA120" s="13" t="n">
        <v>23</v>
      </c>
      <c r="AB120" s="13">
        <f>IF(ISNUMBER(X120),X120+N(Y120)+N(Z120)+N(AA120),X120)</f>
        <v/>
      </c>
      <c r="AC120" s="13">
        <f>IF(ISNUMBER(AB120),AB120,"")</f>
        <v/>
      </c>
      <c r="AD120" s="13">
        <f>IF(ISNUMBER(AC120),_xlfn.RANK.EQ(AC120,$AC$2:$AC$1031),"")</f>
        <v/>
      </c>
      <c r="AE120" s="15">
        <f>IF(ISNUMBER(AF120),AF120/3630,"")</f>
        <v/>
      </c>
      <c r="AF120" s="14">
        <f>IFERROR(C120+D120+E120+F120+J120+K120+L120+M120+Q120+R120+S120+T120+IF(ISNUMBER(X120),X120,0)+N(Y120)+N(Z120)+N(AA120),"")</f>
        <v/>
      </c>
      <c r="AG120" s="14">
        <f>IF(ISNUMBER(AF120),AF120,"")</f>
        <v/>
      </c>
      <c r="AH120" s="14">
        <f>IF(ISNUMBER(AG120),_xlfn.RANK.EQ(AG120,$AG$2:$AG$1031),"")</f>
        <v/>
      </c>
    </row>
    <row r="121">
      <c r="A121" s="18" t="n">
        <v>234</v>
      </c>
      <c r="B121" s="18" t="inlineStr">
        <is>
          <t>اسماء ايمن محمد العريان</t>
        </is>
      </c>
      <c r="C121" s="1" t="n">
        <v>612.9</v>
      </c>
      <c r="D121" s="1" t="n">
        <v>25</v>
      </c>
      <c r="E121" s="1" t="n">
        <v>25</v>
      </c>
      <c r="F121" s="1" t="n">
        <v>24</v>
      </c>
      <c r="G121" s="1">
        <f>C121+D121+E121+F121</f>
        <v/>
      </c>
      <c r="H121" s="1">
        <f>IF(ISNUMBER(G121),G121,"")</f>
        <v/>
      </c>
      <c r="I121" s="1">
        <f>_xlfn.RANK.EQ(H121,$H$2:$H$1031)</f>
        <v/>
      </c>
      <c r="J121" s="5" t="n">
        <v>614</v>
      </c>
      <c r="K121" s="5" t="n">
        <v>49</v>
      </c>
      <c r="L121" s="5" t="n">
        <v>21</v>
      </c>
      <c r="M121" s="5" t="n">
        <v>20</v>
      </c>
      <c r="N121" s="5">
        <f>J121+K121+L121+M121</f>
        <v/>
      </c>
      <c r="O121" s="5">
        <f>IF(ISNUMBER(N121),N121,"")</f>
        <v/>
      </c>
      <c r="P121" s="5">
        <f>_xlfn.RANK.EQ(O121,$O$2:$O$1031)</f>
        <v/>
      </c>
      <c r="Q121" s="9" t="n">
        <v>260</v>
      </c>
      <c r="R121" s="9" t="n">
        <v>46.5</v>
      </c>
      <c r="S121" s="9" t="n">
        <v>25</v>
      </c>
      <c r="T121" s="9" t="n">
        <v>23.5</v>
      </c>
      <c r="U121" s="9">
        <f>Q121+R121+S121+T121</f>
        <v/>
      </c>
      <c r="V121" s="9">
        <f>IF(ISNUMBER(U121),U121,"")</f>
        <v/>
      </c>
      <c r="W121" s="9">
        <f>_xlfn.RANK.EQ(V121,$V$2:$V$1031)</f>
        <v/>
      </c>
      <c r="X121" s="13" t="n">
        <v>1487.75</v>
      </c>
      <c r="Y121" s="13" t="n">
        <v>22</v>
      </c>
      <c r="Z121" s="13" t="n">
        <v>24</v>
      </c>
      <c r="AA121" s="13" t="n">
        <v>23</v>
      </c>
      <c r="AB121" s="13">
        <f>IF(ISNUMBER(X121),X121+N(Y121)+N(Z121)+N(AA121),X121)</f>
        <v/>
      </c>
      <c r="AC121" s="13">
        <f>IF(ISNUMBER(AB121),AB121,"")</f>
        <v/>
      </c>
      <c r="AD121" s="13">
        <f>IF(ISNUMBER(AC121),_xlfn.RANK.EQ(AC121,$AC$2:$AC$1031),"")</f>
        <v/>
      </c>
      <c r="AE121" s="15">
        <f>IF(ISNUMBER(AF121),AF121/3630,"")</f>
        <v/>
      </c>
      <c r="AF121" s="14">
        <f>IFERROR(C121+D121+E121+F121+J121+K121+L121+M121+Q121+R121+S121+T121+IF(ISNUMBER(X121),X121,0)+N(Y121)+N(Z121)+N(AA121),"")</f>
        <v/>
      </c>
      <c r="AG121" s="14">
        <f>IF(ISNUMBER(AF121),AF121,"")</f>
        <v/>
      </c>
      <c r="AH121" s="14">
        <f>IF(ISNUMBER(AG121),_xlfn.RANK.EQ(AG121,$AG$2:$AG$1031),"")</f>
        <v/>
      </c>
    </row>
    <row r="122">
      <c r="A122" s="18" t="n">
        <v>235</v>
      </c>
      <c r="B122" s="18" t="inlineStr">
        <is>
          <t>اسماء ايهاب سعد علي عروس</t>
        </is>
      </c>
      <c r="C122" s="1" t="n">
        <v>536.7</v>
      </c>
      <c r="D122" s="1" t="n">
        <v>24</v>
      </c>
      <c r="E122" s="1" t="n">
        <v>23</v>
      </c>
      <c r="F122" s="1" t="n">
        <v>20</v>
      </c>
      <c r="G122" s="1">
        <f>C122+D122+E122+F122</f>
        <v/>
      </c>
      <c r="H122" s="1">
        <f>IF(ISNUMBER(G122),G122,"")</f>
        <v/>
      </c>
      <c r="I122" s="1">
        <f>_xlfn.RANK.EQ(H122,$H$2:$H$1031)</f>
        <v/>
      </c>
      <c r="J122" s="5" t="n">
        <v>594.7</v>
      </c>
      <c r="K122" s="5" t="n">
        <v>43</v>
      </c>
      <c r="L122" s="5" t="n">
        <v>20</v>
      </c>
      <c r="M122" s="5" t="n">
        <v>23</v>
      </c>
      <c r="N122" s="5">
        <f>J122+K122+L122+M122</f>
        <v/>
      </c>
      <c r="O122" s="5">
        <f>IF(ISNUMBER(N122),N122,"")</f>
        <v/>
      </c>
      <c r="P122" s="5">
        <f>_xlfn.RANK.EQ(O122,$O$2:$O$1031)</f>
        <v/>
      </c>
      <c r="Q122" s="9" t="n">
        <v>256</v>
      </c>
      <c r="R122" s="9" t="n">
        <v>46.5</v>
      </c>
      <c r="S122" s="9" t="n">
        <v>25</v>
      </c>
      <c r="T122" s="9" t="n">
        <v>25</v>
      </c>
      <c r="U122" s="9">
        <f>Q122+R122+S122+T122</f>
        <v/>
      </c>
      <c r="V122" s="9">
        <f>IF(ISNUMBER(U122),U122,"")</f>
        <v/>
      </c>
      <c r="W122" s="9">
        <f>_xlfn.RANK.EQ(V122,$V$2:$V$1031)</f>
        <v/>
      </c>
      <c r="X122" s="13" t="n">
        <v>1383.0666666667</v>
      </c>
      <c r="Y122" s="13" t="n">
        <v>25</v>
      </c>
      <c r="Z122" s="13" t="n">
        <v>23</v>
      </c>
      <c r="AA122" s="13" t="n">
        <v>22</v>
      </c>
      <c r="AB122" s="13">
        <f>IF(ISNUMBER(X122),X122+N(Y122)+N(Z122)+N(AA122),X122)</f>
        <v/>
      </c>
      <c r="AC122" s="13">
        <f>IF(ISNUMBER(AB122),AB122,"")</f>
        <v/>
      </c>
      <c r="AD122" s="13">
        <f>IF(ISNUMBER(AC122),_xlfn.RANK.EQ(AC122,$AC$2:$AC$1031),"")</f>
        <v/>
      </c>
      <c r="AE122" s="15">
        <f>IF(ISNUMBER(AF122),AF122/3630,"")</f>
        <v/>
      </c>
      <c r="AF122" s="14">
        <f>IFERROR(C122+D122+E122+F122+J122+K122+L122+M122+Q122+R122+S122+T122+IF(ISNUMBER(X122),X122,0)+N(Y122)+N(Z122)+N(AA122),"")</f>
        <v/>
      </c>
      <c r="AG122" s="14">
        <f>IF(ISNUMBER(AF122),AF122,"")</f>
        <v/>
      </c>
      <c r="AH122" s="14">
        <f>IF(ISNUMBER(AG122),_xlfn.RANK.EQ(AG122,$AG$2:$AG$1031),"")</f>
        <v/>
      </c>
    </row>
    <row r="123">
      <c r="A123" s="18" t="n">
        <v>236</v>
      </c>
      <c r="B123" s="18" t="inlineStr">
        <is>
          <t>اسماء بهاء الدين فؤاد احمد</t>
        </is>
      </c>
      <c r="C123" s="1" t="n">
        <v>567.7</v>
      </c>
      <c r="D123" s="1" t="n">
        <v>24</v>
      </c>
      <c r="E123" s="1" t="n">
        <v>24</v>
      </c>
      <c r="F123" s="1" t="n">
        <v>19</v>
      </c>
      <c r="G123" s="1">
        <f>C123+D123+E123+F123</f>
        <v/>
      </c>
      <c r="H123" s="1">
        <f>IF(ISNUMBER(G123),G123,"")</f>
        <v/>
      </c>
      <c r="I123" s="1">
        <f>_xlfn.RANK.EQ(H123,$H$2:$H$1031)</f>
        <v/>
      </c>
      <c r="J123" s="5" t="n">
        <v>506.7</v>
      </c>
      <c r="K123" s="5" t="n">
        <v>47</v>
      </c>
      <c r="L123" s="5" t="n">
        <v>22</v>
      </c>
      <c r="M123" s="5" t="n">
        <v>20</v>
      </c>
      <c r="N123" s="5">
        <f>J123+K123+L123+M123</f>
        <v/>
      </c>
      <c r="O123" s="5">
        <f>IF(ISNUMBER(N123),N123,"")</f>
        <v/>
      </c>
      <c r="P123" s="5">
        <f>_xlfn.RANK.EQ(O123,$O$2:$O$1031)</f>
        <v/>
      </c>
      <c r="Q123" s="9" t="n">
        <v>200</v>
      </c>
      <c r="R123" s="9" t="n">
        <v>42.5</v>
      </c>
      <c r="S123" s="9" t="n">
        <v>24</v>
      </c>
      <c r="T123" s="9" t="n">
        <v>23</v>
      </c>
      <c r="U123" s="9">
        <f>Q123+R123+S123+T123</f>
        <v/>
      </c>
      <c r="V123" s="9">
        <f>IF(ISNUMBER(U123),U123,"")</f>
        <v/>
      </c>
      <c r="W123" s="9">
        <f>_xlfn.RANK.EQ(V123,$V$2:$V$1031)</f>
        <v/>
      </c>
      <c r="X123" s="13" t="n">
        <v>1115.0916666667</v>
      </c>
      <c r="Y123" s="13" t="n">
        <v>25</v>
      </c>
      <c r="Z123" s="13" t="n">
        <v>24</v>
      </c>
      <c r="AA123" s="13" t="n">
        <v>23</v>
      </c>
      <c r="AB123" s="13">
        <f>IF(ISNUMBER(X123),X123+N(Y123)+N(Z123)+N(AA123),X123)</f>
        <v/>
      </c>
      <c r="AC123" s="13">
        <f>IF(ISNUMBER(AB123),AB123,"")</f>
        <v/>
      </c>
      <c r="AD123" s="13">
        <f>IF(ISNUMBER(AC123),_xlfn.RANK.EQ(AC123,$AC$2:$AC$1031),"")</f>
        <v/>
      </c>
      <c r="AE123" s="15">
        <f>IF(ISNUMBER(AF123),AF123/3630,"")</f>
        <v/>
      </c>
      <c r="AF123" s="14">
        <f>IFERROR(C123+D123+E123+F123+J123+K123+L123+M123+Q123+R123+S123+T123+IF(ISNUMBER(X123),X123,0)+N(Y123)+N(Z123)+N(AA123),"")</f>
        <v/>
      </c>
      <c r="AG123" s="14">
        <f>IF(ISNUMBER(AF123),AF123,"")</f>
        <v/>
      </c>
      <c r="AH123" s="14">
        <f>IF(ISNUMBER(AG123),_xlfn.RANK.EQ(AG123,$AG$2:$AG$1031),"")</f>
        <v/>
      </c>
    </row>
    <row r="124">
      <c r="A124" s="18" t="n">
        <v>237</v>
      </c>
      <c r="B124" s="18" t="inlineStr">
        <is>
          <t>اسماء رضا سيد احمد</t>
        </is>
      </c>
      <c r="C124" s="1" t="n">
        <v>591.3</v>
      </c>
      <c r="D124" s="1" t="n">
        <v>24</v>
      </c>
      <c r="E124" s="1" t="n">
        <v>25</v>
      </c>
      <c r="F124" s="1" t="n">
        <v>23</v>
      </c>
      <c r="G124" s="1">
        <f>C124+D124+E124+F124</f>
        <v/>
      </c>
      <c r="H124" s="1">
        <f>IF(ISNUMBER(G124),G124,"")</f>
        <v/>
      </c>
      <c r="I124" s="1">
        <f>_xlfn.RANK.EQ(H124,$H$2:$H$1031)</f>
        <v/>
      </c>
      <c r="J124" s="5" t="n">
        <v>601.2</v>
      </c>
      <c r="K124" s="5" t="n">
        <v>45</v>
      </c>
      <c r="L124" s="5" t="n">
        <v>20</v>
      </c>
      <c r="M124" s="5" t="n">
        <v>24</v>
      </c>
      <c r="N124" s="5">
        <f>J124+K124+L124+M124</f>
        <v/>
      </c>
      <c r="O124" s="5">
        <f>IF(ISNUMBER(N124),N124,"")</f>
        <v/>
      </c>
      <c r="P124" s="5">
        <f>_xlfn.RANK.EQ(O124,$O$2:$O$1031)</f>
        <v/>
      </c>
      <c r="Q124" s="9" t="n">
        <v>248</v>
      </c>
      <c r="R124" s="9" t="n">
        <v>46.5</v>
      </c>
      <c r="S124" s="9" t="n">
        <v>24</v>
      </c>
      <c r="T124" s="9" t="n">
        <v>25</v>
      </c>
      <c r="U124" s="9">
        <f>Q124+R124+S124+T124</f>
        <v/>
      </c>
      <c r="V124" s="9">
        <f>IF(ISNUMBER(U124),U124,"")</f>
        <v/>
      </c>
      <c r="W124" s="9">
        <f>_xlfn.RANK.EQ(V124,$V$2:$V$1031)</f>
        <v/>
      </c>
      <c r="X124" s="13" t="n">
        <v>1370.1541666667</v>
      </c>
      <c r="Y124" s="13" t="n">
        <v>25</v>
      </c>
      <c r="Z124" s="13" t="n">
        <v>24</v>
      </c>
      <c r="AA124" s="13" t="n">
        <v>23</v>
      </c>
      <c r="AB124" s="13">
        <f>IF(ISNUMBER(X124),X124+N(Y124)+N(Z124)+N(AA124),X124)</f>
        <v/>
      </c>
      <c r="AC124" s="13">
        <f>IF(ISNUMBER(AB124),AB124,"")</f>
        <v/>
      </c>
      <c r="AD124" s="13">
        <f>IF(ISNUMBER(AC124),_xlfn.RANK.EQ(AC124,$AC$2:$AC$1031),"")</f>
        <v/>
      </c>
      <c r="AE124" s="15">
        <f>IF(ISNUMBER(AF124),AF124/3630,"")</f>
        <v/>
      </c>
      <c r="AF124" s="14">
        <f>IFERROR(C124+D124+E124+F124+J124+K124+L124+M124+Q124+R124+S124+T124+IF(ISNUMBER(X124),X124,0)+N(Y124)+N(Z124)+N(AA124),"")</f>
        <v/>
      </c>
      <c r="AG124" s="14">
        <f>IF(ISNUMBER(AF124),AF124,"")</f>
        <v/>
      </c>
      <c r="AH124" s="14">
        <f>IF(ISNUMBER(AG124),_xlfn.RANK.EQ(AG124,$AG$2:$AG$1031),"")</f>
        <v/>
      </c>
    </row>
    <row r="125">
      <c r="A125" s="18" t="n">
        <v>238</v>
      </c>
      <c r="B125" s="18" t="inlineStr">
        <is>
          <t>اسماء رضا عبدالفتاح ابراهيم ابو طه</t>
        </is>
      </c>
      <c r="C125" s="1" t="n">
        <v>586</v>
      </c>
      <c r="D125" s="1" t="n">
        <v>24</v>
      </c>
      <c r="E125" s="1" t="n">
        <v>25</v>
      </c>
      <c r="F125" s="1" t="n">
        <v>22</v>
      </c>
      <c r="G125" s="1">
        <f>C125+D125+E125+F125</f>
        <v/>
      </c>
      <c r="H125" s="1">
        <f>IF(ISNUMBER(G125),G125,"")</f>
        <v/>
      </c>
      <c r="I125" s="1">
        <f>_xlfn.RANK.EQ(H125,$H$2:$H$1031)</f>
        <v/>
      </c>
      <c r="J125" s="5" t="n">
        <v>587.2</v>
      </c>
      <c r="K125" s="5" t="n">
        <v>49</v>
      </c>
      <c r="L125" s="5" t="n">
        <v>22</v>
      </c>
      <c r="M125" s="5" t="n">
        <v>24</v>
      </c>
      <c r="N125" s="5">
        <f>J125+K125+L125+M125</f>
        <v/>
      </c>
      <c r="O125" s="5">
        <f>IF(ISNUMBER(N125),N125,"")</f>
        <v/>
      </c>
      <c r="P125" s="5">
        <f>_xlfn.RANK.EQ(O125,$O$2:$O$1031)</f>
        <v/>
      </c>
      <c r="Q125" s="9" t="n">
        <v>252.5</v>
      </c>
      <c r="R125" s="9" t="n">
        <v>49.5</v>
      </c>
      <c r="S125" s="9" t="n">
        <v>24</v>
      </c>
      <c r="T125" s="9" t="n">
        <v>23.5</v>
      </c>
      <c r="U125" s="9">
        <f>Q125+R125+S125+T125</f>
        <v/>
      </c>
      <c r="V125" s="9">
        <f>IF(ISNUMBER(U125),U125,"")</f>
        <v/>
      </c>
      <c r="W125" s="9">
        <f>_xlfn.RANK.EQ(V125,$V$2:$V$1031)</f>
        <v/>
      </c>
      <c r="X125" s="13" t="n">
        <v>1370.9291666667</v>
      </c>
      <c r="Y125" s="13" t="n">
        <v>24.5</v>
      </c>
      <c r="Z125" s="13" t="n">
        <v>23</v>
      </c>
      <c r="AA125" s="13" t="n">
        <v>24</v>
      </c>
      <c r="AB125" s="13">
        <f>IF(ISNUMBER(X125),X125+N(Y125)+N(Z125)+N(AA125),X125)</f>
        <v/>
      </c>
      <c r="AC125" s="13">
        <f>IF(ISNUMBER(AB125),AB125,"")</f>
        <v/>
      </c>
      <c r="AD125" s="13">
        <f>IF(ISNUMBER(AC125),_xlfn.RANK.EQ(AC125,$AC$2:$AC$1031),"")</f>
        <v/>
      </c>
      <c r="AE125" s="15">
        <f>IF(ISNUMBER(AF125),AF125/3630,"")</f>
        <v/>
      </c>
      <c r="AF125" s="14">
        <f>IFERROR(C125+D125+E125+F125+J125+K125+L125+M125+Q125+R125+S125+T125+IF(ISNUMBER(X125),X125,0)+N(Y125)+N(Z125)+N(AA125),"")</f>
        <v/>
      </c>
      <c r="AG125" s="14">
        <f>IF(ISNUMBER(AF125),AF125,"")</f>
        <v/>
      </c>
      <c r="AH125" s="14">
        <f>IF(ISNUMBER(AG125),_xlfn.RANK.EQ(AG125,$AG$2:$AG$1031),"")</f>
        <v/>
      </c>
    </row>
    <row r="126">
      <c r="A126" s="18" t="n">
        <v>239</v>
      </c>
      <c r="B126" s="18" t="inlineStr">
        <is>
          <t>اسماء زاهي محمد محمد الحوشى</t>
        </is>
      </c>
      <c r="C126" s="1" t="e">
        <v>#N/A</v>
      </c>
      <c r="D126" s="1" t="n">
        <v>24</v>
      </c>
      <c r="E126" s="1" t="n">
        <v>22</v>
      </c>
      <c r="F126" s="1" t="n">
        <v>20</v>
      </c>
      <c r="G126" s="1">
        <f>C126+D126+E126+F126</f>
        <v/>
      </c>
      <c r="H126" s="1">
        <f>IF(ISNUMBER(G126),G126,"")</f>
        <v/>
      </c>
      <c r="I126" s="1">
        <f>_xlfn.RANK.EQ(H126,$H$2:$H$1031)</f>
        <v/>
      </c>
      <c r="J126" s="5" t="n">
        <v>541</v>
      </c>
      <c r="K126" s="5" t="n">
        <v>38</v>
      </c>
      <c r="L126" s="5" t="n">
        <v>24</v>
      </c>
      <c r="M126" s="5" t="n">
        <v>22</v>
      </c>
      <c r="N126" s="5">
        <f>J126+K126+L126+M126</f>
        <v/>
      </c>
      <c r="O126" s="5">
        <f>IF(ISNUMBER(N126),N126,"")</f>
        <v/>
      </c>
      <c r="P126" s="5">
        <f>_xlfn.RANK.EQ(O126,$O$2:$O$1031)</f>
        <v/>
      </c>
      <c r="Q126" s="9" t="n">
        <v>162.5</v>
      </c>
      <c r="R126" s="9" t="n">
        <v>37</v>
      </c>
      <c r="S126" s="9" t="n">
        <v>22</v>
      </c>
      <c r="T126" s="9" t="n">
        <v>23</v>
      </c>
      <c r="U126" s="9">
        <f>Q126+R126+S126+T126</f>
        <v/>
      </c>
      <c r="V126" s="9">
        <f>IF(ISNUMBER(U126),U126,"")</f>
        <v/>
      </c>
      <c r="W126" s="9">
        <f>_xlfn.RANK.EQ(V126,$V$2:$V$1031)</f>
        <v/>
      </c>
      <c r="X126" s="13" t="n">
        <v>1294.925</v>
      </c>
      <c r="Y126" s="13" t="n">
        <v>22</v>
      </c>
      <c r="Z126" s="13" t="n">
        <v>22</v>
      </c>
      <c r="AA126" s="13" t="n">
        <v>23</v>
      </c>
      <c r="AB126" s="13">
        <f>IF(ISNUMBER(X126),X126+N(Y126)+N(Z126)+N(AA126),X126)</f>
        <v/>
      </c>
      <c r="AC126" s="13">
        <f>IF(ISNUMBER(AB126),AB126,"")</f>
        <v/>
      </c>
      <c r="AD126" s="13">
        <f>IF(ISNUMBER(AC126),_xlfn.RANK.EQ(AC126,$AC$2:$AC$1031),"")</f>
        <v/>
      </c>
      <c r="AE126" s="15">
        <f>IF(ISNUMBER(AF126),AF126/3630,"")</f>
        <v/>
      </c>
      <c r="AF126" s="14">
        <f>IFERROR(C126+D126+E126+F126+J126+K126+L126+M126+Q126+R126+S126+T126+IF(ISNUMBER(X126),X126,0)+N(Y126)+N(Z126)+N(AA126),"")</f>
        <v/>
      </c>
      <c r="AG126" s="14">
        <f>IF(ISNUMBER(AF126),AF126,"")</f>
        <v/>
      </c>
      <c r="AH126" s="14">
        <f>IF(ISNUMBER(AG126),_xlfn.RANK.EQ(AG126,$AG$2:$AG$1031),"")</f>
        <v/>
      </c>
    </row>
    <row r="127">
      <c r="A127" s="18" t="n">
        <v>240</v>
      </c>
      <c r="B127" s="18" t="inlineStr">
        <is>
          <t>اسماء سلامه عبدالرحمن على مناع</t>
        </is>
      </c>
      <c r="C127" s="1" t="n">
        <v>578.6</v>
      </c>
      <c r="D127" s="1" t="n">
        <v>25</v>
      </c>
      <c r="E127" s="1" t="n">
        <v>24</v>
      </c>
      <c r="F127" s="1" t="n">
        <v>19</v>
      </c>
      <c r="G127" s="1">
        <f>C127+D127+E127+F127</f>
        <v/>
      </c>
      <c r="H127" s="1">
        <f>IF(ISNUMBER(G127),G127,"")</f>
        <v/>
      </c>
      <c r="I127" s="1">
        <f>_xlfn.RANK.EQ(H127,$H$2:$H$1031)</f>
        <v/>
      </c>
      <c r="J127" s="5" t="n">
        <v>569</v>
      </c>
      <c r="K127" s="5" t="n">
        <v>47</v>
      </c>
      <c r="L127" s="5" t="n">
        <v>19</v>
      </c>
      <c r="M127" s="5" t="n">
        <v>20</v>
      </c>
      <c r="N127" s="5">
        <f>J127+K127+L127+M127</f>
        <v/>
      </c>
      <c r="O127" s="5">
        <f>IF(ISNUMBER(N127),N127,"")</f>
        <v/>
      </c>
      <c r="P127" s="5">
        <f>_xlfn.RANK.EQ(O127,$O$2:$O$1031)</f>
        <v/>
      </c>
      <c r="Q127" s="9" t="n">
        <v>230</v>
      </c>
      <c r="R127" s="9" t="n">
        <v>46</v>
      </c>
      <c r="S127" s="9" t="n">
        <v>21</v>
      </c>
      <c r="T127" s="9" t="n">
        <v>21.5</v>
      </c>
      <c r="U127" s="9">
        <f>Q127+R127+S127+T127</f>
        <v/>
      </c>
      <c r="V127" s="9">
        <f>IF(ISNUMBER(U127),U127,"")</f>
        <v/>
      </c>
      <c r="W127" s="9">
        <f>_xlfn.RANK.EQ(V127,$V$2:$V$1031)</f>
        <v/>
      </c>
      <c r="X127" s="13" t="n">
        <v>1226.3916666667</v>
      </c>
      <c r="Y127" s="13" t="n">
        <v>25</v>
      </c>
      <c r="Z127" s="13" t="n">
        <v>21</v>
      </c>
      <c r="AA127" s="13" t="n">
        <v>20</v>
      </c>
      <c r="AB127" s="13">
        <f>IF(ISNUMBER(X127),X127+N(Y127)+N(Z127)+N(AA127),X127)</f>
        <v/>
      </c>
      <c r="AC127" s="13">
        <f>IF(ISNUMBER(AB127),AB127,"")</f>
        <v/>
      </c>
      <c r="AD127" s="13">
        <f>IF(ISNUMBER(AC127),_xlfn.RANK.EQ(AC127,$AC$2:$AC$1031),"")</f>
        <v/>
      </c>
      <c r="AE127" s="15">
        <f>IF(ISNUMBER(AF127),AF127/3630,"")</f>
        <v/>
      </c>
      <c r="AF127" s="14">
        <f>IFERROR(C127+D127+E127+F127+J127+K127+L127+M127+Q127+R127+S127+T127+IF(ISNUMBER(X127),X127,0)+N(Y127)+N(Z127)+N(AA127),"")</f>
        <v/>
      </c>
      <c r="AG127" s="14">
        <f>IF(ISNUMBER(AF127),AF127,"")</f>
        <v/>
      </c>
      <c r="AH127" s="14">
        <f>IF(ISNUMBER(AG127),_xlfn.RANK.EQ(AG127,$AG$2:$AG$1031),"")</f>
        <v/>
      </c>
    </row>
    <row r="128">
      <c r="A128" s="18" t="n">
        <v>241</v>
      </c>
      <c r="B128" s="18" t="inlineStr">
        <is>
          <t>اسماء شريف احمد شريف محمد</t>
        </is>
      </c>
      <c r="C128" s="1" t="n">
        <v>584</v>
      </c>
      <c r="D128" s="1" t="n">
        <v>24</v>
      </c>
      <c r="E128" s="1" t="n">
        <v>24</v>
      </c>
      <c r="F128" s="1" t="n">
        <v>23</v>
      </c>
      <c r="G128" s="1">
        <f>C128+D128+E128+F128</f>
        <v/>
      </c>
      <c r="H128" s="1">
        <f>IF(ISNUMBER(G128),G128,"")</f>
        <v/>
      </c>
      <c r="I128" s="1">
        <f>_xlfn.RANK.EQ(H128,$H$2:$H$1031)</f>
        <v/>
      </c>
      <c r="J128" s="5" t="n">
        <v>587</v>
      </c>
      <c r="K128" s="5" t="n">
        <v>48</v>
      </c>
      <c r="L128" s="5" t="n">
        <v>23</v>
      </c>
      <c r="M128" s="5" t="n">
        <v>21</v>
      </c>
      <c r="N128" s="5">
        <f>J128+K128+L128+M128</f>
        <v/>
      </c>
      <c r="O128" s="5">
        <f>IF(ISNUMBER(N128),N128,"")</f>
        <v/>
      </c>
      <c r="P128" s="5">
        <f>_xlfn.RANK.EQ(O128,$O$2:$O$1031)</f>
        <v/>
      </c>
      <c r="Q128" s="9" t="n">
        <v>270</v>
      </c>
      <c r="R128" s="9" t="n">
        <v>46.5</v>
      </c>
      <c r="S128" s="9" t="n">
        <v>21</v>
      </c>
      <c r="T128" s="9" t="n">
        <v>24</v>
      </c>
      <c r="U128" s="9">
        <f>Q128+R128+S128+T128</f>
        <v/>
      </c>
      <c r="V128" s="9">
        <f>IF(ISNUMBER(U128),U128,"")</f>
        <v/>
      </c>
      <c r="W128" s="9">
        <f>_xlfn.RANK.EQ(V128,$V$2:$V$1031)</f>
        <v/>
      </c>
      <c r="X128" s="13" t="n">
        <v>1459.2666666667</v>
      </c>
      <c r="Y128" s="13" t="n">
        <v>23</v>
      </c>
      <c r="Z128" s="13" t="n">
        <v>24</v>
      </c>
      <c r="AA128" s="13" t="n">
        <v>23</v>
      </c>
      <c r="AB128" s="13">
        <f>IF(ISNUMBER(X128),X128+N(Y128)+N(Z128)+N(AA128),X128)</f>
        <v/>
      </c>
      <c r="AC128" s="13">
        <f>IF(ISNUMBER(AB128),AB128,"")</f>
        <v/>
      </c>
      <c r="AD128" s="13">
        <f>IF(ISNUMBER(AC128),_xlfn.RANK.EQ(AC128,$AC$2:$AC$1031),"")</f>
        <v/>
      </c>
      <c r="AE128" s="15">
        <f>IF(ISNUMBER(AF128),AF128/3630,"")</f>
        <v/>
      </c>
      <c r="AF128" s="14">
        <f>IFERROR(C128+D128+E128+F128+J128+K128+L128+M128+Q128+R128+S128+T128+IF(ISNUMBER(X128),X128,0)+N(Y128)+N(Z128)+N(AA128),"")</f>
        <v/>
      </c>
      <c r="AG128" s="14">
        <f>IF(ISNUMBER(AF128),AF128,"")</f>
        <v/>
      </c>
      <c r="AH128" s="14">
        <f>IF(ISNUMBER(AG128),_xlfn.RANK.EQ(AG128,$AG$2:$AG$1031),"")</f>
        <v/>
      </c>
    </row>
    <row r="129">
      <c r="A129" s="18" t="n">
        <v>243</v>
      </c>
      <c r="B129" s="18" t="inlineStr">
        <is>
          <t>اسماء ماهر ابراهيم عبدالله نانه</t>
        </is>
      </c>
      <c r="C129" s="1" t="n">
        <v>624</v>
      </c>
      <c r="D129" s="1" t="n">
        <v>22</v>
      </c>
      <c r="E129" s="1" t="n">
        <v>24</v>
      </c>
      <c r="F129" s="1" t="n">
        <v>22</v>
      </c>
      <c r="G129" s="1">
        <f>C129+D129+E129+F129</f>
        <v/>
      </c>
      <c r="H129" s="1">
        <f>IF(ISNUMBER(G129),G129,"")</f>
        <v/>
      </c>
      <c r="I129" s="1">
        <f>_xlfn.RANK.EQ(H129,$H$2:$H$1031)</f>
        <v/>
      </c>
      <c r="J129" s="5" t="n">
        <v>614</v>
      </c>
      <c r="K129" s="5" t="n">
        <v>49</v>
      </c>
      <c r="L129" s="5" t="n">
        <v>22</v>
      </c>
      <c r="M129" s="5" t="n">
        <v>24</v>
      </c>
      <c r="N129" s="5">
        <f>J129+K129+L129+M129</f>
        <v/>
      </c>
      <c r="O129" s="5">
        <f>IF(ISNUMBER(N129),N129,"")</f>
        <v/>
      </c>
      <c r="P129" s="5">
        <f>_xlfn.RANK.EQ(O129,$O$2:$O$1031)</f>
        <v/>
      </c>
      <c r="Q129" s="9" t="n">
        <v>272.5</v>
      </c>
      <c r="R129" s="9" t="n">
        <v>48</v>
      </c>
      <c r="S129" s="9" t="n">
        <v>24</v>
      </c>
      <c r="T129" s="9" t="n">
        <v>24</v>
      </c>
      <c r="U129" s="9">
        <f>Q129+R129+S129+T129</f>
        <v/>
      </c>
      <c r="V129" s="9">
        <f>IF(ISNUMBER(U129),U129,"")</f>
        <v/>
      </c>
      <c r="W129" s="9">
        <f>_xlfn.RANK.EQ(V129,$V$2:$V$1031)</f>
        <v/>
      </c>
      <c r="X129" s="13" t="n">
        <v>1505.8625</v>
      </c>
      <c r="Y129" s="13" t="n">
        <v>25</v>
      </c>
      <c r="Z129" s="13" t="n">
        <v>23</v>
      </c>
      <c r="AA129" s="13" t="n">
        <v>24</v>
      </c>
      <c r="AB129" s="13">
        <f>IF(ISNUMBER(X129),X129+N(Y129)+N(Z129)+N(AA129),X129)</f>
        <v/>
      </c>
      <c r="AC129" s="13">
        <f>IF(ISNUMBER(AB129),AB129,"")</f>
        <v/>
      </c>
      <c r="AD129" s="13">
        <f>IF(ISNUMBER(AC129),_xlfn.RANK.EQ(AC129,$AC$2:$AC$1031),"")</f>
        <v/>
      </c>
      <c r="AE129" s="15">
        <f>IF(ISNUMBER(AF129),AF129/3630,"")</f>
        <v/>
      </c>
      <c r="AF129" s="14">
        <f>IFERROR(C129+D129+E129+F129+J129+K129+L129+M129+Q129+R129+S129+T129+IF(ISNUMBER(X129),X129,0)+N(Y129)+N(Z129)+N(AA129),"")</f>
        <v/>
      </c>
      <c r="AG129" s="14">
        <f>IF(ISNUMBER(AF129),AF129,"")</f>
        <v/>
      </c>
      <c r="AH129" s="14">
        <f>IF(ISNUMBER(AG129),_xlfn.RANK.EQ(AG129,$AG$2:$AG$1031),"")</f>
        <v/>
      </c>
    </row>
    <row r="130">
      <c r="A130" s="18" t="n">
        <v>244</v>
      </c>
      <c r="B130" s="18" t="inlineStr">
        <is>
          <t>اسماء محمد عبدالعزيز ابراهيم محمد</t>
        </is>
      </c>
      <c r="C130" s="1" t="n">
        <v>580.8</v>
      </c>
      <c r="D130" s="1" t="n">
        <v>25</v>
      </c>
      <c r="E130" s="1" t="n">
        <v>25</v>
      </c>
      <c r="F130" s="1" t="n">
        <v>24</v>
      </c>
      <c r="G130" s="1">
        <f>C130+D130+E130+F130</f>
        <v/>
      </c>
      <c r="H130" s="1">
        <f>IF(ISNUMBER(G130),G130,"")</f>
        <v/>
      </c>
      <c r="I130" s="1">
        <f>_xlfn.RANK.EQ(H130,$H$2:$H$1031)</f>
        <v/>
      </c>
      <c r="J130" s="5" t="n">
        <v>623</v>
      </c>
      <c r="K130" s="5" t="n">
        <v>49</v>
      </c>
      <c r="L130" s="5" t="n">
        <v>21</v>
      </c>
      <c r="M130" s="5" t="n">
        <v>21</v>
      </c>
      <c r="N130" s="5">
        <f>J130+K130+L130+M130</f>
        <v/>
      </c>
      <c r="O130" s="5">
        <f>IF(ISNUMBER(N130),N130,"")</f>
        <v/>
      </c>
      <c r="P130" s="5">
        <f>_xlfn.RANK.EQ(O130,$O$2:$O$1031)</f>
        <v/>
      </c>
      <c r="Q130" s="9" t="n">
        <v>270</v>
      </c>
      <c r="R130" s="9" t="n">
        <v>46.5</v>
      </c>
      <c r="S130" s="9" t="n">
        <v>23</v>
      </c>
      <c r="T130" s="9" t="n">
        <v>25</v>
      </c>
      <c r="U130" s="9">
        <f>Q130+R130+S130+T130</f>
        <v/>
      </c>
      <c r="V130" s="9">
        <f>IF(ISNUMBER(U130),U130,"")</f>
        <v/>
      </c>
      <c r="W130" s="9">
        <f>_xlfn.RANK.EQ(V130,$V$2:$V$1031)</f>
        <v/>
      </c>
      <c r="X130" s="13" t="n">
        <v>1534.4708333333</v>
      </c>
      <c r="Y130" s="13" t="n">
        <v>25</v>
      </c>
      <c r="Z130" s="13" t="n">
        <v>25</v>
      </c>
      <c r="AA130" s="13" t="n">
        <v>23</v>
      </c>
      <c r="AB130" s="13">
        <f>IF(ISNUMBER(X130),X130+N(Y130)+N(Z130)+N(AA130),X130)</f>
        <v/>
      </c>
      <c r="AC130" s="13">
        <f>IF(ISNUMBER(AB130),AB130,"")</f>
        <v/>
      </c>
      <c r="AD130" s="13">
        <f>IF(ISNUMBER(AC130),_xlfn.RANK.EQ(AC130,$AC$2:$AC$1031),"")</f>
        <v/>
      </c>
      <c r="AE130" s="15">
        <f>IF(ISNUMBER(AF130),AF130/3630,"")</f>
        <v/>
      </c>
      <c r="AF130" s="14">
        <f>IFERROR(C130+D130+E130+F130+J130+K130+L130+M130+Q130+R130+S130+T130+IF(ISNUMBER(X130),X130,0)+N(Y130)+N(Z130)+N(AA130),"")</f>
        <v/>
      </c>
      <c r="AG130" s="14">
        <f>IF(ISNUMBER(AF130),AF130,"")</f>
        <v/>
      </c>
      <c r="AH130" s="14">
        <f>IF(ISNUMBER(AG130),_xlfn.RANK.EQ(AG130,$AG$2:$AG$1031),"")</f>
        <v/>
      </c>
    </row>
    <row r="131">
      <c r="A131" s="18" t="n">
        <v>246</v>
      </c>
      <c r="B131" s="18" t="inlineStr">
        <is>
          <t>اسماء ياسر نجيب أبوعجيلة شعبان</t>
        </is>
      </c>
      <c r="C131" s="1" t="n">
        <v>573.5</v>
      </c>
      <c r="D131" s="1" t="n">
        <v>25</v>
      </c>
      <c r="E131" s="1" t="n">
        <v>24</v>
      </c>
      <c r="F131" s="1" t="n">
        <v>24</v>
      </c>
      <c r="G131" s="1">
        <f>C131+D131+E131+F131</f>
        <v/>
      </c>
      <c r="H131" s="1">
        <f>IF(ISNUMBER(G131),G131,"")</f>
        <v/>
      </c>
      <c r="I131" s="1">
        <f>_xlfn.RANK.EQ(H131,$H$2:$H$1031)</f>
        <v/>
      </c>
      <c r="J131" s="5" t="n">
        <v>591.5</v>
      </c>
      <c r="K131" s="5" t="n">
        <v>47</v>
      </c>
      <c r="L131" s="5" t="n">
        <v>21</v>
      </c>
      <c r="M131" s="5" t="n">
        <v>18</v>
      </c>
      <c r="N131" s="5">
        <f>J131+K131+L131+M131</f>
        <v/>
      </c>
      <c r="O131" s="5">
        <f>IF(ISNUMBER(N131),N131,"")</f>
        <v/>
      </c>
      <c r="P131" s="5">
        <f>_xlfn.RANK.EQ(O131,$O$2:$O$1031)</f>
        <v/>
      </c>
      <c r="Q131" s="9" t="n">
        <v>256</v>
      </c>
      <c r="R131" s="9" t="n">
        <v>47.5</v>
      </c>
      <c r="S131" s="9" t="n">
        <v>23</v>
      </c>
      <c r="T131" s="9" t="n">
        <v>23</v>
      </c>
      <c r="U131" s="9">
        <f>Q131+R131+S131+T131</f>
        <v/>
      </c>
      <c r="V131" s="9">
        <f>IF(ISNUMBER(U131),U131,"")</f>
        <v/>
      </c>
      <c r="W131" s="9">
        <f>_xlfn.RANK.EQ(V131,$V$2:$V$1031)</f>
        <v/>
      </c>
      <c r="X131" s="13" t="n">
        <v>1394.0041666667</v>
      </c>
      <c r="Y131" s="13" t="n">
        <v>24</v>
      </c>
      <c r="Z131" s="13" t="n">
        <v>24</v>
      </c>
      <c r="AA131" s="13" t="n">
        <v>23</v>
      </c>
      <c r="AB131" s="13">
        <f>IF(ISNUMBER(X131),X131+N(Y131)+N(Z131)+N(AA131),X131)</f>
        <v/>
      </c>
      <c r="AC131" s="13">
        <f>IF(ISNUMBER(AB131),AB131,"")</f>
        <v/>
      </c>
      <c r="AD131" s="13">
        <f>IF(ISNUMBER(AC131),_xlfn.RANK.EQ(AC131,$AC$2:$AC$1031),"")</f>
        <v/>
      </c>
      <c r="AE131" s="15">
        <f>IF(ISNUMBER(AF131),AF131/3630,"")</f>
        <v/>
      </c>
      <c r="AF131" s="14">
        <f>IFERROR(C131+D131+E131+F131+J131+K131+L131+M131+Q131+R131+S131+T131+IF(ISNUMBER(X131),X131,0)+N(Y131)+N(Z131)+N(AA131),"")</f>
        <v/>
      </c>
      <c r="AG131" s="14">
        <f>IF(ISNUMBER(AF131),AF131,"")</f>
        <v/>
      </c>
      <c r="AH131" s="14">
        <f>IF(ISNUMBER(AG131),_xlfn.RANK.EQ(AG131,$AG$2:$AG$1031),"")</f>
        <v/>
      </c>
    </row>
    <row r="132">
      <c r="A132" s="18" t="n">
        <v>248</v>
      </c>
      <c r="B132" s="18" t="inlineStr">
        <is>
          <t>اسماعيل سعيد فتح الله صالح زهران</t>
        </is>
      </c>
      <c r="C132" s="1" t="n">
        <v>597.4</v>
      </c>
      <c r="D132" s="1" t="n">
        <v>21</v>
      </c>
      <c r="E132" s="1" t="n">
        <v>22</v>
      </c>
      <c r="F132" s="1" t="n">
        <v>23</v>
      </c>
      <c r="G132" s="1">
        <f>C132+D132+E132+F132</f>
        <v/>
      </c>
      <c r="H132" s="1">
        <f>IF(ISNUMBER(G132),G132,"")</f>
        <v/>
      </c>
      <c r="I132" s="1">
        <f>_xlfn.RANK.EQ(H132,$H$2:$H$1031)</f>
        <v/>
      </c>
      <c r="J132" s="5" t="n">
        <v>619.5</v>
      </c>
      <c r="K132" s="5" t="n">
        <v>47</v>
      </c>
      <c r="L132" s="5" t="n">
        <v>23</v>
      </c>
      <c r="M132" s="5" t="n">
        <v>24</v>
      </c>
      <c r="N132" s="5">
        <f>J132+K132+L132+M132</f>
        <v/>
      </c>
      <c r="O132" s="5">
        <f>IF(ISNUMBER(N132),N132,"")</f>
        <v/>
      </c>
      <c r="P132" s="5">
        <f>_xlfn.RANK.EQ(O132,$O$2:$O$1031)</f>
        <v/>
      </c>
      <c r="Q132" s="9" t="n">
        <v>278</v>
      </c>
      <c r="R132" s="9" t="n">
        <v>49</v>
      </c>
      <c r="S132" s="9" t="n">
        <v>25</v>
      </c>
      <c r="T132" s="9" t="n">
        <v>24.5</v>
      </c>
      <c r="U132" s="9">
        <f>Q132+R132+S132+T132</f>
        <v/>
      </c>
      <c r="V132" s="9">
        <f>IF(ISNUMBER(U132),U132,"")</f>
        <v/>
      </c>
      <c r="W132" s="9">
        <f>_xlfn.RANK.EQ(V132,$V$2:$V$1031)</f>
        <v/>
      </c>
      <c r="X132" s="13" t="n">
        <v>1532.5791666667</v>
      </c>
      <c r="Y132" s="13" t="n">
        <v>25</v>
      </c>
      <c r="Z132" s="13" t="n">
        <v>25</v>
      </c>
      <c r="AA132" s="13" t="n">
        <v>24</v>
      </c>
      <c r="AB132" s="13">
        <f>IF(ISNUMBER(X132),X132+N(Y132)+N(Z132)+N(AA132),X132)</f>
        <v/>
      </c>
      <c r="AC132" s="13">
        <f>IF(ISNUMBER(AB132),AB132,"")</f>
        <v/>
      </c>
      <c r="AD132" s="13">
        <f>IF(ISNUMBER(AC132),_xlfn.RANK.EQ(AC132,$AC$2:$AC$1031),"")</f>
        <v/>
      </c>
      <c r="AE132" s="15">
        <f>IF(ISNUMBER(AF132),AF132/3630,"")</f>
        <v/>
      </c>
      <c r="AF132" s="14">
        <f>IFERROR(C132+D132+E132+F132+J132+K132+L132+M132+Q132+R132+S132+T132+IF(ISNUMBER(X132),X132,0)+N(Y132)+N(Z132)+N(AA132),"")</f>
        <v/>
      </c>
      <c r="AG132" s="14">
        <f>IF(ISNUMBER(AF132),AF132,"")</f>
        <v/>
      </c>
      <c r="AH132" s="14">
        <f>IF(ISNUMBER(AG132),_xlfn.RANK.EQ(AG132,$AG$2:$AG$1031),"")</f>
        <v/>
      </c>
    </row>
    <row r="133">
      <c r="A133" s="18" t="n">
        <v>255</v>
      </c>
      <c r="B133" s="18" t="inlineStr">
        <is>
          <t>اسيل حامد عطيه عبد ربه</t>
        </is>
      </c>
      <c r="C133" s="1" t="n">
        <v>565.8</v>
      </c>
      <c r="D133" s="1" t="n">
        <v>23</v>
      </c>
      <c r="E133" s="1" t="n">
        <v>21</v>
      </c>
      <c r="F133" s="1" t="n">
        <v>23</v>
      </c>
      <c r="G133" s="1">
        <f>C133+D133+E133+F133</f>
        <v/>
      </c>
      <c r="H133" s="1">
        <f>IF(ISNUMBER(G133),G133,"")</f>
        <v/>
      </c>
      <c r="I133" s="1">
        <f>_xlfn.RANK.EQ(H133,$H$2:$H$1031)</f>
        <v/>
      </c>
      <c r="J133" s="5" t="n">
        <v>561</v>
      </c>
      <c r="K133" s="5" t="n">
        <v>47</v>
      </c>
      <c r="L133" s="5" t="n">
        <v>22</v>
      </c>
      <c r="M133" s="5" t="n">
        <v>22</v>
      </c>
      <c r="N133" s="5">
        <f>J133+K133+L133+M133</f>
        <v/>
      </c>
      <c r="O133" s="5">
        <f>IF(ISNUMBER(N133),N133,"")</f>
        <v/>
      </c>
      <c r="P133" s="5">
        <f>_xlfn.RANK.EQ(O133,$O$2:$O$1031)</f>
        <v/>
      </c>
      <c r="Q133" s="9" t="n">
        <v>222</v>
      </c>
      <c r="R133" s="9" t="n">
        <v>42</v>
      </c>
      <c r="S133" s="9" t="n">
        <v>18</v>
      </c>
      <c r="T133" s="9" t="n">
        <v>21.5</v>
      </c>
      <c r="U133" s="9">
        <f>Q133+R133+S133+T133</f>
        <v/>
      </c>
      <c r="V133" s="9">
        <f>IF(ISNUMBER(U133),U133,"")</f>
        <v/>
      </c>
      <c r="W133" s="9">
        <f>_xlfn.RANK.EQ(V133,$V$2:$V$1031)</f>
        <v/>
      </c>
      <c r="X133" s="13" t="n">
        <v>1310.875</v>
      </c>
      <c r="Y133" s="13" t="n">
        <v>23.5</v>
      </c>
      <c r="Z133" s="13" t="n">
        <v>22</v>
      </c>
      <c r="AA133" s="13" t="n">
        <v>23</v>
      </c>
      <c r="AB133" s="13">
        <f>IF(ISNUMBER(X133),X133+N(Y133)+N(Z133)+N(AA133),X133)</f>
        <v/>
      </c>
      <c r="AC133" s="13">
        <f>IF(ISNUMBER(AB133),AB133,"")</f>
        <v/>
      </c>
      <c r="AD133" s="13">
        <f>IF(ISNUMBER(AC133),_xlfn.RANK.EQ(AC133,$AC$2:$AC$1031),"")</f>
        <v/>
      </c>
      <c r="AE133" s="15">
        <f>IF(ISNUMBER(AF133),AF133/3630,"")</f>
        <v/>
      </c>
      <c r="AF133" s="14">
        <f>IFERROR(C133+D133+E133+F133+J133+K133+L133+M133+Q133+R133+S133+T133+IF(ISNUMBER(X133),X133,0)+N(Y133)+N(Z133)+N(AA133),"")</f>
        <v/>
      </c>
      <c r="AG133" s="14">
        <f>IF(ISNUMBER(AF133),AF133,"")</f>
        <v/>
      </c>
      <c r="AH133" s="14">
        <f>IF(ISNUMBER(AG133),_xlfn.RANK.EQ(AG133,$AG$2:$AG$1031),"")</f>
        <v/>
      </c>
    </row>
    <row r="134">
      <c r="A134" s="18" t="n">
        <v>260</v>
      </c>
      <c r="B134" s="18" t="inlineStr">
        <is>
          <t>اشرقت محمد عشري محمد عبد الفتاح</t>
        </is>
      </c>
      <c r="C134" s="1" t="n">
        <v>474.9</v>
      </c>
      <c r="D134" s="1" t="n">
        <v>22</v>
      </c>
      <c r="E134" s="1" t="n">
        <v>22</v>
      </c>
      <c r="F134" s="1" t="n">
        <v>20</v>
      </c>
      <c r="G134" s="1">
        <f>C134+D134+E134+F134</f>
        <v/>
      </c>
      <c r="H134" s="1">
        <f>IF(ISNUMBER(G134),G134,"")</f>
        <v/>
      </c>
      <c r="I134" s="1">
        <f>_xlfn.RANK.EQ(H134,$H$2:$H$1031)</f>
        <v/>
      </c>
      <c r="J134" s="5" t="n">
        <v>560.25</v>
      </c>
      <c r="K134" s="5" t="n">
        <v>44</v>
      </c>
      <c r="L134" s="5" t="n">
        <v>22</v>
      </c>
      <c r="M134" s="5" t="n">
        <v>19</v>
      </c>
      <c r="N134" s="5">
        <f>J134+K134+L134+M134</f>
        <v/>
      </c>
      <c r="O134" s="5">
        <f>IF(ISNUMBER(N134),N134,"")</f>
        <v/>
      </c>
      <c r="P134" s="5">
        <f>_xlfn.RANK.EQ(O134,$O$2:$O$1031)</f>
        <v/>
      </c>
      <c r="Q134" s="9" t="n">
        <v>227</v>
      </c>
      <c r="R134" s="9" t="n">
        <v>42</v>
      </c>
      <c r="S134" s="9" t="n">
        <v>24</v>
      </c>
      <c r="T134" s="9" t="n">
        <v>22</v>
      </c>
      <c r="U134" s="9">
        <f>Q134+R134+S134+T134</f>
        <v/>
      </c>
      <c r="V134" s="9">
        <f>IF(ISNUMBER(U134),U134,"")</f>
        <v/>
      </c>
      <c r="W134" s="9">
        <f>_xlfn.RANK.EQ(V134,$V$2:$V$1031)</f>
        <v/>
      </c>
      <c r="X134" s="13" t="n">
        <v>1317.5916666667</v>
      </c>
      <c r="Y134" s="13" t="n">
        <v>24.5</v>
      </c>
      <c r="Z134" s="13" t="n">
        <v>24</v>
      </c>
      <c r="AA134" s="13" t="n">
        <v>23</v>
      </c>
      <c r="AB134" s="13">
        <f>IF(ISNUMBER(X134),X134+N(Y134)+N(Z134)+N(AA134),X134)</f>
        <v/>
      </c>
      <c r="AC134" s="13">
        <f>IF(ISNUMBER(AB134),AB134,"")</f>
        <v/>
      </c>
      <c r="AD134" s="13">
        <f>IF(ISNUMBER(AC134),_xlfn.RANK.EQ(AC134,$AC$2:$AC$1031),"")</f>
        <v/>
      </c>
      <c r="AE134" s="15">
        <f>IF(ISNUMBER(AF134),AF134/3630,"")</f>
        <v/>
      </c>
      <c r="AF134" s="14">
        <f>IFERROR(C134+D134+E134+F134+J134+K134+L134+M134+Q134+R134+S134+T134+IF(ISNUMBER(X134),X134,0)+N(Y134)+N(Z134)+N(AA134),"")</f>
        <v/>
      </c>
      <c r="AG134" s="14">
        <f>IF(ISNUMBER(AF134),AF134,"")</f>
        <v/>
      </c>
      <c r="AH134" s="14">
        <f>IF(ISNUMBER(AG134),_xlfn.RANK.EQ(AG134,$AG$2:$AG$1031),"")</f>
        <v/>
      </c>
    </row>
    <row r="135">
      <c r="A135" s="18" t="n">
        <v>264</v>
      </c>
      <c r="B135" s="18" t="inlineStr">
        <is>
          <t>الاء اشرف عبدالله عبد العاطي سليم</t>
        </is>
      </c>
      <c r="C135" s="1" t="n">
        <v>559.4</v>
      </c>
      <c r="D135" s="1" t="n">
        <v>24</v>
      </c>
      <c r="E135" s="1" t="n">
        <v>24</v>
      </c>
      <c r="F135" s="1" t="n">
        <v>20</v>
      </c>
      <c r="G135" s="1">
        <f>C135+D135+E135+F135</f>
        <v/>
      </c>
      <c r="H135" s="1">
        <f>IF(ISNUMBER(G135),G135,"")</f>
        <v/>
      </c>
      <c r="I135" s="1">
        <f>_xlfn.RANK.EQ(H135,$H$2:$H$1031)</f>
        <v/>
      </c>
      <c r="J135" s="5" t="n">
        <v>588.5</v>
      </c>
      <c r="K135" s="5" t="n">
        <v>47</v>
      </c>
      <c r="L135" s="5" t="n">
        <v>23</v>
      </c>
      <c r="M135" s="5" t="n">
        <v>25</v>
      </c>
      <c r="N135" s="5">
        <f>J135+K135+L135+M135</f>
        <v/>
      </c>
      <c r="O135" s="5">
        <f>IF(ISNUMBER(N135),N135,"")</f>
        <v/>
      </c>
      <c r="P135" s="5">
        <f>_xlfn.RANK.EQ(O135,$O$2:$O$1031)</f>
        <v/>
      </c>
      <c r="Q135" s="9" t="n">
        <v>261</v>
      </c>
      <c r="R135" s="9" t="n">
        <v>47.5</v>
      </c>
      <c r="S135" s="9" t="n">
        <v>24</v>
      </c>
      <c r="T135" s="9" t="n">
        <v>25</v>
      </c>
      <c r="U135" s="9">
        <f>Q135+R135+S135+T135</f>
        <v/>
      </c>
      <c r="V135" s="9">
        <f>IF(ISNUMBER(U135),U135,"")</f>
        <v/>
      </c>
      <c r="W135" s="9">
        <f>_xlfn.RANK.EQ(V135,$V$2:$V$1031)</f>
        <v/>
      </c>
      <c r="X135" s="13" t="n">
        <v>1498.275</v>
      </c>
      <c r="Y135" s="13" t="n">
        <v>25</v>
      </c>
      <c r="Z135" s="13" t="n">
        <v>23</v>
      </c>
      <c r="AA135" s="13" t="n">
        <v>25</v>
      </c>
      <c r="AB135" s="13">
        <f>IF(ISNUMBER(X135),X135+N(Y135)+N(Z135)+N(AA135),X135)</f>
        <v/>
      </c>
      <c r="AC135" s="13">
        <f>IF(ISNUMBER(AB135),AB135,"")</f>
        <v/>
      </c>
      <c r="AD135" s="13">
        <f>IF(ISNUMBER(AC135),_xlfn.RANK.EQ(AC135,$AC$2:$AC$1031),"")</f>
        <v/>
      </c>
      <c r="AE135" s="15">
        <f>IF(ISNUMBER(AF135),AF135/3630,"")</f>
        <v/>
      </c>
      <c r="AF135" s="14">
        <f>IFERROR(C135+D135+E135+F135+J135+K135+L135+M135+Q135+R135+S135+T135+IF(ISNUMBER(X135),X135,0)+N(Y135)+N(Z135)+N(AA135),"")</f>
        <v/>
      </c>
      <c r="AG135" s="14">
        <f>IF(ISNUMBER(AF135),AF135,"")</f>
        <v/>
      </c>
      <c r="AH135" s="14">
        <f>IF(ISNUMBER(AG135),_xlfn.RANK.EQ(AG135,$AG$2:$AG$1031),"")</f>
        <v/>
      </c>
    </row>
    <row r="136">
      <c r="A136" s="18" t="n">
        <v>265</v>
      </c>
      <c r="B136" s="18" t="inlineStr">
        <is>
          <t>الاء خالد محمد محجوب</t>
        </is>
      </c>
      <c r="C136" s="1" t="n">
        <v>582.7</v>
      </c>
      <c r="D136" s="1" t="n">
        <v>25</v>
      </c>
      <c r="E136" s="1" t="n">
        <v>21</v>
      </c>
      <c r="F136" s="1" t="n">
        <v>20</v>
      </c>
      <c r="G136" s="1">
        <f>C136+D136+E136+F136</f>
        <v/>
      </c>
      <c r="H136" s="1">
        <f>IF(ISNUMBER(G136),G136,"")</f>
        <v/>
      </c>
      <c r="I136" s="1">
        <f>_xlfn.RANK.EQ(H136,$H$2:$H$1031)</f>
        <v/>
      </c>
      <c r="J136" s="5" t="n">
        <v>564.4</v>
      </c>
      <c r="K136" s="5" t="n">
        <v>45</v>
      </c>
      <c r="L136" s="5" t="n">
        <v>19</v>
      </c>
      <c r="M136" s="5" t="n">
        <v>21</v>
      </c>
      <c r="N136" s="5">
        <f>J136+K136+L136+M136</f>
        <v/>
      </c>
      <c r="O136" s="5">
        <f>IF(ISNUMBER(N136),N136,"")</f>
        <v/>
      </c>
      <c r="P136" s="5">
        <f>_xlfn.RANK.EQ(O136,$O$2:$O$1031)</f>
        <v/>
      </c>
      <c r="Q136" s="9" t="n">
        <v>253.5</v>
      </c>
      <c r="R136" s="9" t="n">
        <v>43</v>
      </c>
      <c r="S136" s="9" t="n">
        <v>24</v>
      </c>
      <c r="T136" s="9" t="n">
        <v>25</v>
      </c>
      <c r="U136" s="9">
        <f>Q136+R136+S136+T136</f>
        <v/>
      </c>
      <c r="V136" s="9">
        <f>IF(ISNUMBER(U136),U136,"")</f>
        <v/>
      </c>
      <c r="W136" s="9">
        <f>_xlfn.RANK.EQ(V136,$V$2:$V$1031)</f>
        <v/>
      </c>
      <c r="X136" s="13" t="n">
        <v>1310.3083333333</v>
      </c>
      <c r="Y136" s="13" t="n">
        <v>23</v>
      </c>
      <c r="Z136" s="13" t="n">
        <v>22</v>
      </c>
      <c r="AA136" s="13" t="n">
        <v>21</v>
      </c>
      <c r="AB136" s="13">
        <f>IF(ISNUMBER(X136),X136+N(Y136)+N(Z136)+N(AA136),X136)</f>
        <v/>
      </c>
      <c r="AC136" s="13">
        <f>IF(ISNUMBER(AB136),AB136,"")</f>
        <v/>
      </c>
      <c r="AD136" s="13">
        <f>IF(ISNUMBER(AC136),_xlfn.RANK.EQ(AC136,$AC$2:$AC$1031),"")</f>
        <v/>
      </c>
      <c r="AE136" s="15">
        <f>IF(ISNUMBER(AF136),AF136/3630,"")</f>
        <v/>
      </c>
      <c r="AF136" s="14">
        <f>IFERROR(C136+D136+E136+F136+J136+K136+L136+M136+Q136+R136+S136+T136+IF(ISNUMBER(X136),X136,0)+N(Y136)+N(Z136)+N(AA136),"")</f>
        <v/>
      </c>
      <c r="AG136" s="14">
        <f>IF(ISNUMBER(AF136),AF136,"")</f>
        <v/>
      </c>
      <c r="AH136" s="14">
        <f>IF(ISNUMBER(AG136),_xlfn.RANK.EQ(AG136,$AG$2:$AG$1031),"")</f>
        <v/>
      </c>
    </row>
    <row r="137">
      <c r="A137" s="18" t="n">
        <v>266</v>
      </c>
      <c r="B137" s="18" t="inlineStr">
        <is>
          <t>الاء خالد محمود محمد سليم</t>
        </is>
      </c>
      <c r="C137" s="1" t="n">
        <v>513.5</v>
      </c>
      <c r="D137" s="1" t="n">
        <v>25</v>
      </c>
      <c r="E137" s="1" t="n">
        <v>23</v>
      </c>
      <c r="F137" s="1" t="n">
        <v>23</v>
      </c>
      <c r="G137" s="1">
        <f>C137+D137+E137+F137</f>
        <v/>
      </c>
      <c r="H137" s="1">
        <f>IF(ISNUMBER(G137),G137,"")</f>
        <v/>
      </c>
      <c r="I137" s="1">
        <f>_xlfn.RANK.EQ(H137,$H$2:$H$1031)</f>
        <v/>
      </c>
      <c r="J137" s="5" t="n">
        <v>425</v>
      </c>
      <c r="K137" s="5" t="n">
        <v>40</v>
      </c>
      <c r="L137" s="5" t="n">
        <v>20</v>
      </c>
      <c r="M137" s="5" t="n">
        <v>19</v>
      </c>
      <c r="N137" s="5">
        <f>J137+K137+L137+M137</f>
        <v/>
      </c>
      <c r="O137" s="5">
        <f>IF(ISNUMBER(N137),N137,"")</f>
        <v/>
      </c>
      <c r="P137" s="5">
        <f>_xlfn.RANK.EQ(O137,$O$2:$O$1031)</f>
        <v/>
      </c>
      <c r="Q137" s="9" t="n">
        <v>164.5</v>
      </c>
      <c r="R137" s="9" t="n">
        <v>36.5</v>
      </c>
      <c r="S137" s="9" t="n">
        <v>25</v>
      </c>
      <c r="T137" s="9" t="n">
        <v>23</v>
      </c>
      <c r="U137" s="9">
        <f>Q137+R137+S137+T137</f>
        <v/>
      </c>
      <c r="V137" s="9">
        <f>IF(ISNUMBER(U137),U137,"")</f>
        <v/>
      </c>
      <c r="W137" s="9">
        <f>_xlfn.RANK.EQ(V137,$V$2:$V$1031)</f>
        <v/>
      </c>
      <c r="X137" s="13" t="inlineStr">
        <is>
          <t>راسب</t>
        </is>
      </c>
      <c r="Y137" s="13" t="n">
        <v>24</v>
      </c>
      <c r="Z137" s="13" t="n">
        <v>23</v>
      </c>
      <c r="AA137" s="13" t="n">
        <v>20</v>
      </c>
      <c r="AB137" s="13">
        <f>IF(ISNUMBER(X137),X137+N(Y137)+N(Z137)+N(AA137),X137)</f>
        <v/>
      </c>
      <c r="AC137" s="13">
        <f>IF(ISNUMBER(AB137),AB137,"")</f>
        <v/>
      </c>
      <c r="AD137" s="13">
        <f>IF(ISNUMBER(AC137),_xlfn.RANK.EQ(AC137,$AC$2:$AC$1031),"")</f>
        <v/>
      </c>
      <c r="AE137" s="15">
        <f>IF(ISNUMBER(AF137),AF137/3630,"")</f>
        <v/>
      </c>
      <c r="AF137" s="14">
        <f>IFERROR(C137+D137+E137+F137+J137+K137+L137+M137+Q137+R137+S137+T137+IF(ISNUMBER(X137),X137,0)+N(Y137)+N(Z137)+N(AA137),"")</f>
        <v/>
      </c>
      <c r="AG137" s="14">
        <f>IF(ISNUMBER(AF137),AF137,"")</f>
        <v/>
      </c>
      <c r="AH137" s="14">
        <f>IF(ISNUMBER(AG137),_xlfn.RANK.EQ(AG137,$AG$2:$AG$1031),"")</f>
        <v/>
      </c>
    </row>
    <row r="138">
      <c r="A138" s="18" t="n">
        <v>268</v>
      </c>
      <c r="B138" s="18" t="inlineStr">
        <is>
          <t>الاء صلاح الدين  عبد المقصود  عوض</t>
        </is>
      </c>
      <c r="C138" s="1" t="n">
        <v>501.6</v>
      </c>
      <c r="D138" s="1" t="n">
        <v>23</v>
      </c>
      <c r="E138" s="1" t="n">
        <v>16</v>
      </c>
      <c r="F138" s="1" t="n">
        <v>13</v>
      </c>
      <c r="G138" s="1">
        <f>C138+D138+E138+F138</f>
        <v/>
      </c>
      <c r="H138" s="1">
        <f>IF(ISNUMBER(G138),G138,"")</f>
        <v/>
      </c>
      <c r="I138" s="1">
        <f>_xlfn.RANK.EQ(H138,$H$2:$H$1031)</f>
        <v/>
      </c>
      <c r="J138" s="5" t="n">
        <v>542.45</v>
      </c>
      <c r="K138" s="5" t="n">
        <v>42</v>
      </c>
      <c r="L138" s="5" t="n">
        <v>19</v>
      </c>
      <c r="M138" s="5" t="n">
        <v>18</v>
      </c>
      <c r="N138" s="5">
        <f>J138+K138+L138+M138</f>
        <v/>
      </c>
      <c r="O138" s="5">
        <f>IF(ISNUMBER(N138),N138,"")</f>
        <v/>
      </c>
      <c r="P138" s="5">
        <f>_xlfn.RANK.EQ(O138,$O$2:$O$1031)</f>
        <v/>
      </c>
      <c r="Q138" s="9" t="n">
        <v>233</v>
      </c>
      <c r="R138" s="9" t="n">
        <v>39</v>
      </c>
      <c r="S138" s="9" t="n">
        <v>21</v>
      </c>
      <c r="T138" s="9" t="n">
        <v>22</v>
      </c>
      <c r="U138" s="9">
        <f>Q138+R138+S138+T138</f>
        <v/>
      </c>
      <c r="V138" s="9">
        <f>IF(ISNUMBER(U138),U138,"")</f>
        <v/>
      </c>
      <c r="W138" s="9">
        <f>_xlfn.RANK.EQ(V138,$V$2:$V$1031)</f>
        <v/>
      </c>
      <c r="X138" s="13" t="n">
        <v>1305.2666666667</v>
      </c>
      <c r="Y138" s="13" t="n">
        <v>24</v>
      </c>
      <c r="Z138" s="13" t="n">
        <v>23</v>
      </c>
      <c r="AA138" s="13" t="n">
        <v>20</v>
      </c>
      <c r="AB138" s="13">
        <f>IF(ISNUMBER(X138),X138+N(Y138)+N(Z138)+N(AA138),X138)</f>
        <v/>
      </c>
      <c r="AC138" s="13">
        <f>IF(ISNUMBER(AB138),AB138,"")</f>
        <v/>
      </c>
      <c r="AD138" s="13">
        <f>IF(ISNUMBER(AC138),_xlfn.RANK.EQ(AC138,$AC$2:$AC$1031),"")</f>
        <v/>
      </c>
      <c r="AE138" s="15">
        <f>IF(ISNUMBER(AF138),AF138/3630,"")</f>
        <v/>
      </c>
      <c r="AF138" s="14">
        <f>IFERROR(C138+D138+E138+F138+J138+K138+L138+M138+Q138+R138+S138+T138+IF(ISNUMBER(X138),X138,0)+N(Y138)+N(Z138)+N(AA138),"")</f>
        <v/>
      </c>
      <c r="AG138" s="14">
        <f>IF(ISNUMBER(AF138),AF138,"")</f>
        <v/>
      </c>
      <c r="AH138" s="14">
        <f>IF(ISNUMBER(AG138),_xlfn.RANK.EQ(AG138,$AG$2:$AG$1031),"")</f>
        <v/>
      </c>
    </row>
    <row r="139">
      <c r="A139" s="18" t="n">
        <v>270</v>
      </c>
      <c r="B139" s="18" t="inlineStr">
        <is>
          <t>الاء عاطف عطية عيسى</t>
        </is>
      </c>
      <c r="C139" s="1" t="n">
        <v>584.7</v>
      </c>
      <c r="D139" s="1" t="n">
        <v>24</v>
      </c>
      <c r="E139" s="1" t="n">
        <v>22</v>
      </c>
      <c r="F139" s="1" t="n">
        <v>19</v>
      </c>
      <c r="G139" s="1">
        <f>C139+D139+E139+F139</f>
        <v/>
      </c>
      <c r="H139" s="1">
        <f>IF(ISNUMBER(G139),G139,"")</f>
        <v/>
      </c>
      <c r="I139" s="1">
        <f>_xlfn.RANK.EQ(H139,$H$2:$H$1031)</f>
        <v/>
      </c>
      <c r="J139" s="5" t="n">
        <v>585.5</v>
      </c>
      <c r="K139" s="5" t="n">
        <v>48</v>
      </c>
      <c r="L139" s="5" t="n">
        <v>22</v>
      </c>
      <c r="M139" s="5" t="n">
        <v>21</v>
      </c>
      <c r="N139" s="5">
        <f>J139+K139+L139+M139</f>
        <v/>
      </c>
      <c r="O139" s="5">
        <f>IF(ISNUMBER(N139),N139,"")</f>
        <v/>
      </c>
      <c r="P139" s="5">
        <f>_xlfn.RANK.EQ(O139,$O$2:$O$1031)</f>
        <v/>
      </c>
      <c r="Q139" s="9" t="n">
        <v>252</v>
      </c>
      <c r="R139" s="9" t="n">
        <v>45.5</v>
      </c>
      <c r="S139" s="9" t="n">
        <v>25</v>
      </c>
      <c r="T139" s="9" t="n">
        <v>25</v>
      </c>
      <c r="U139" s="9">
        <f>Q139+R139+S139+T139</f>
        <v/>
      </c>
      <c r="V139" s="9">
        <f>IF(ISNUMBER(U139),U139,"")</f>
        <v/>
      </c>
      <c r="W139" s="9">
        <f>_xlfn.RANK.EQ(V139,$V$2:$V$1031)</f>
        <v/>
      </c>
      <c r="X139" s="13" t="n">
        <v>1430.1375</v>
      </c>
      <c r="Y139" s="13" t="n">
        <v>25</v>
      </c>
      <c r="Z139" s="13" t="n">
        <v>24</v>
      </c>
      <c r="AA139" s="13" t="n">
        <v>25</v>
      </c>
      <c r="AB139" s="13">
        <f>IF(ISNUMBER(X139),X139+N(Y139)+N(Z139)+N(AA139),X139)</f>
        <v/>
      </c>
      <c r="AC139" s="13">
        <f>IF(ISNUMBER(AB139),AB139,"")</f>
        <v/>
      </c>
      <c r="AD139" s="13">
        <f>IF(ISNUMBER(AC139),_xlfn.RANK.EQ(AC139,$AC$2:$AC$1031),"")</f>
        <v/>
      </c>
      <c r="AE139" s="15">
        <f>IF(ISNUMBER(AF139),AF139/3630,"")</f>
        <v/>
      </c>
      <c r="AF139" s="14">
        <f>IFERROR(C139+D139+E139+F139+J139+K139+L139+M139+Q139+R139+S139+T139+IF(ISNUMBER(X139),X139,0)+N(Y139)+N(Z139)+N(AA139),"")</f>
        <v/>
      </c>
      <c r="AG139" s="14">
        <f>IF(ISNUMBER(AF139),AF139,"")</f>
        <v/>
      </c>
      <c r="AH139" s="14">
        <f>IF(ISNUMBER(AG139),_xlfn.RANK.EQ(AG139,$AG$2:$AG$1031),"")</f>
        <v/>
      </c>
    </row>
    <row r="140">
      <c r="A140" s="18" t="n">
        <v>271</v>
      </c>
      <c r="B140" s="18" t="inlineStr">
        <is>
          <t>الاء عبد البديع  عبد العليم  الجمال</t>
        </is>
      </c>
      <c r="C140" s="1" t="n">
        <v>536.3</v>
      </c>
      <c r="D140" s="1" t="n">
        <v>23</v>
      </c>
      <c r="E140" s="1" t="n">
        <v>22</v>
      </c>
      <c r="F140" s="1" t="n">
        <v>22</v>
      </c>
      <c r="G140" s="1">
        <f>C140+D140+E140+F140</f>
        <v/>
      </c>
      <c r="H140" s="1">
        <f>IF(ISNUMBER(G140),G140,"")</f>
        <v/>
      </c>
      <c r="I140" s="1">
        <f>_xlfn.RANK.EQ(H140,$H$2:$H$1031)</f>
        <v/>
      </c>
      <c r="J140" s="5" t="n">
        <v>471</v>
      </c>
      <c r="K140" s="5" t="n">
        <v>43</v>
      </c>
      <c r="L140" s="5" t="n">
        <v>18</v>
      </c>
      <c r="M140" s="5" t="n">
        <v>20</v>
      </c>
      <c r="N140" s="5">
        <f>J140+K140+L140+M140</f>
        <v/>
      </c>
      <c r="O140" s="5">
        <f>IF(ISNUMBER(N140),N140,"")</f>
        <v/>
      </c>
      <c r="P140" s="5">
        <f>_xlfn.RANK.EQ(O140,$O$2:$O$1031)</f>
        <v/>
      </c>
      <c r="Q140" s="9" t="n">
        <v>201</v>
      </c>
      <c r="R140" s="9" t="n">
        <v>39</v>
      </c>
      <c r="S140" s="9" t="n">
        <v>23</v>
      </c>
      <c r="T140" s="9" t="n">
        <v>24</v>
      </c>
      <c r="U140" s="9">
        <f>Q140+R140+S140+T140</f>
        <v/>
      </c>
      <c r="V140" s="9">
        <f>IF(ISNUMBER(U140),U140,"")</f>
        <v/>
      </c>
      <c r="W140" s="9">
        <f>_xlfn.RANK.EQ(V140,$V$2:$V$1031)</f>
        <v/>
      </c>
      <c r="X140" s="13" t="n">
        <v>1232.0083333333</v>
      </c>
      <c r="Y140" s="13" t="n">
        <v>22</v>
      </c>
      <c r="Z140" s="13" t="n">
        <v>24</v>
      </c>
      <c r="AA140" s="13" t="n">
        <v>24</v>
      </c>
      <c r="AB140" s="13">
        <f>IF(ISNUMBER(X140),X140+N(Y140)+N(Z140)+N(AA140),X140)</f>
        <v/>
      </c>
      <c r="AC140" s="13">
        <f>IF(ISNUMBER(AB140),AB140,"")</f>
        <v/>
      </c>
      <c r="AD140" s="13">
        <f>IF(ISNUMBER(AC140),_xlfn.RANK.EQ(AC140,$AC$2:$AC$1031),"")</f>
        <v/>
      </c>
      <c r="AE140" s="15">
        <f>IF(ISNUMBER(AF140),AF140/3630,"")</f>
        <v/>
      </c>
      <c r="AF140" s="14">
        <f>IFERROR(C140+D140+E140+F140+J140+K140+L140+M140+Q140+R140+S140+T140+IF(ISNUMBER(X140),X140,0)+N(Y140)+N(Z140)+N(AA140),"")</f>
        <v/>
      </c>
      <c r="AG140" s="14">
        <f>IF(ISNUMBER(AF140),AF140,"")</f>
        <v/>
      </c>
      <c r="AH140" s="14">
        <f>IF(ISNUMBER(AG140),_xlfn.RANK.EQ(AG140,$AG$2:$AG$1031),"")</f>
        <v/>
      </c>
    </row>
    <row r="141">
      <c r="A141" s="18" t="n">
        <v>274</v>
      </c>
      <c r="B141" s="18" t="inlineStr">
        <is>
          <t>الاء غانم فايز غانم</t>
        </is>
      </c>
      <c r="C141" s="1" t="n">
        <v>514.6</v>
      </c>
      <c r="D141" s="1" t="n">
        <v>19</v>
      </c>
      <c r="E141" s="1" t="n">
        <v>20</v>
      </c>
      <c r="F141" s="1" t="n">
        <v>22</v>
      </c>
      <c r="G141" s="1">
        <f>C141+D141+E141+F141</f>
        <v/>
      </c>
      <c r="H141" s="1">
        <f>IF(ISNUMBER(G141),G141,"")</f>
        <v/>
      </c>
      <c r="I141" s="1">
        <f>_xlfn.RANK.EQ(H141,$H$2:$H$1031)</f>
        <v/>
      </c>
      <c r="J141" s="5" t="n">
        <v>473.7</v>
      </c>
      <c r="K141" s="5" t="n">
        <v>39</v>
      </c>
      <c r="L141" s="5" t="n">
        <v>19</v>
      </c>
      <c r="M141" s="5" t="n">
        <v>18</v>
      </c>
      <c r="N141" s="5">
        <f>J141+K141+L141+M141</f>
        <v/>
      </c>
      <c r="O141" s="5">
        <f>IF(ISNUMBER(N141),N141,"")</f>
        <v/>
      </c>
      <c r="P141" s="5">
        <f>_xlfn.RANK.EQ(O141,$O$2:$O$1031)</f>
        <v/>
      </c>
      <c r="Q141" s="9" t="n">
        <v>203</v>
      </c>
      <c r="R141" s="9" t="n">
        <v>36.5</v>
      </c>
      <c r="S141" s="9" t="n">
        <v>22</v>
      </c>
      <c r="T141" s="9" t="n">
        <v>25</v>
      </c>
      <c r="U141" s="9">
        <f>Q141+R141+S141+T141</f>
        <v/>
      </c>
      <c r="V141" s="9">
        <f>IF(ISNUMBER(U141),U141,"")</f>
        <v/>
      </c>
      <c r="W141" s="9">
        <f>_xlfn.RANK.EQ(V141,$V$2:$V$1031)</f>
        <v/>
      </c>
      <c r="X141" s="13" t="inlineStr">
        <is>
          <t>راسب</t>
        </is>
      </c>
      <c r="Y141" s="13" t="n">
        <v>23</v>
      </c>
      <c r="Z141" s="13" t="n">
        <v>23</v>
      </c>
      <c r="AA141" s="13" t="n">
        <v>18</v>
      </c>
      <c r="AB141" s="13">
        <f>IF(ISNUMBER(X141),X141+N(Y141)+N(Z141)+N(AA141),X141)</f>
        <v/>
      </c>
      <c r="AC141" s="13">
        <f>IF(ISNUMBER(AB141),AB141,"")</f>
        <v/>
      </c>
      <c r="AD141" s="13">
        <f>IF(ISNUMBER(AC141),_xlfn.RANK.EQ(AC141,$AC$2:$AC$1031),"")</f>
        <v/>
      </c>
      <c r="AE141" s="15">
        <f>IF(ISNUMBER(AF141),AF141/3630,"")</f>
        <v/>
      </c>
      <c r="AF141" s="14">
        <f>IFERROR(C141+D141+E141+F141+J141+K141+L141+M141+Q141+R141+S141+T141+IF(ISNUMBER(X141),X141,0)+N(Y141)+N(Z141)+N(AA141),"")</f>
        <v/>
      </c>
      <c r="AG141" s="14">
        <f>IF(ISNUMBER(AF141),AF141,"")</f>
        <v/>
      </c>
      <c r="AH141" s="14">
        <f>IF(ISNUMBER(AG141),_xlfn.RANK.EQ(AG141,$AG$2:$AG$1031),"")</f>
        <v/>
      </c>
    </row>
    <row r="142">
      <c r="A142" s="18" t="n">
        <v>275</v>
      </c>
      <c r="B142" s="18" t="inlineStr">
        <is>
          <t>الاء فوزى عبد المطلب دياب</t>
        </is>
      </c>
      <c r="C142" s="1" t="n">
        <v>590.7</v>
      </c>
      <c r="D142" s="1" t="n">
        <v>25</v>
      </c>
      <c r="E142" s="1" t="n">
        <v>22</v>
      </c>
      <c r="F142" s="1" t="n">
        <v>23</v>
      </c>
      <c r="G142" s="1">
        <f>C142+D142+E142+F142</f>
        <v/>
      </c>
      <c r="H142" s="1">
        <f>IF(ISNUMBER(G142),G142,"")</f>
        <v/>
      </c>
      <c r="I142" s="1">
        <f>_xlfn.RANK.EQ(H142,$H$2:$H$1031)</f>
        <v/>
      </c>
      <c r="J142" s="5" t="n">
        <v>599.5</v>
      </c>
      <c r="K142" s="5" t="n">
        <v>45</v>
      </c>
      <c r="L142" s="5" t="n">
        <v>22</v>
      </c>
      <c r="M142" s="5" t="n">
        <v>21</v>
      </c>
      <c r="N142" s="5">
        <f>J142+K142+L142+M142</f>
        <v/>
      </c>
      <c r="O142" s="5">
        <f>IF(ISNUMBER(N142),N142,"")</f>
        <v/>
      </c>
      <c r="P142" s="5">
        <f>_xlfn.RANK.EQ(O142,$O$2:$O$1031)</f>
        <v/>
      </c>
      <c r="Q142" s="9" t="n">
        <v>250</v>
      </c>
      <c r="R142" s="9" t="n">
        <v>46.5</v>
      </c>
      <c r="S142" s="9" t="n">
        <v>24</v>
      </c>
      <c r="T142" s="9" t="n">
        <v>25</v>
      </c>
      <c r="U142" s="9">
        <f>Q142+R142+S142+T142</f>
        <v/>
      </c>
      <c r="V142" s="9">
        <f>IF(ISNUMBER(U142),U142,"")</f>
        <v/>
      </c>
      <c r="W142" s="9">
        <f>_xlfn.RANK.EQ(V142,$V$2:$V$1031)</f>
        <v/>
      </c>
      <c r="X142" s="13" t="n">
        <v>1389.2708333333</v>
      </c>
      <c r="Y142" s="13" t="n">
        <v>23</v>
      </c>
      <c r="Z142" s="13" t="n">
        <v>22</v>
      </c>
      <c r="AA142" s="13" t="n">
        <v>24</v>
      </c>
      <c r="AB142" s="13">
        <f>IF(ISNUMBER(X142),X142+N(Y142)+N(Z142)+N(AA142),X142)</f>
        <v/>
      </c>
      <c r="AC142" s="13">
        <f>IF(ISNUMBER(AB142),AB142,"")</f>
        <v/>
      </c>
      <c r="AD142" s="13">
        <f>IF(ISNUMBER(AC142),_xlfn.RANK.EQ(AC142,$AC$2:$AC$1031),"")</f>
        <v/>
      </c>
      <c r="AE142" s="15">
        <f>IF(ISNUMBER(AF142),AF142/3630,"")</f>
        <v/>
      </c>
      <c r="AF142" s="14">
        <f>IFERROR(C142+D142+E142+F142+J142+K142+L142+M142+Q142+R142+S142+T142+IF(ISNUMBER(X142),X142,0)+N(Y142)+N(Z142)+N(AA142),"")</f>
        <v/>
      </c>
      <c r="AG142" s="14">
        <f>IF(ISNUMBER(AF142),AF142,"")</f>
        <v/>
      </c>
      <c r="AH142" s="14">
        <f>IF(ISNUMBER(AG142),_xlfn.RANK.EQ(AG142,$AG$2:$AG$1031),"")</f>
        <v/>
      </c>
    </row>
    <row r="143">
      <c r="A143" s="18" t="n">
        <v>277</v>
      </c>
      <c r="B143" s="18" t="inlineStr">
        <is>
          <t>الاء محمد مفضل نصر بشير</t>
        </is>
      </c>
      <c r="C143" s="1" t="n">
        <v>574.7</v>
      </c>
      <c r="D143" s="1" t="n">
        <v>25</v>
      </c>
      <c r="E143" s="1" t="n">
        <v>22</v>
      </c>
      <c r="F143" s="1" t="n">
        <v>21</v>
      </c>
      <c r="G143" s="1">
        <f>C143+D143+E143+F143</f>
        <v/>
      </c>
      <c r="H143" s="1">
        <f>IF(ISNUMBER(G143),G143,"")</f>
        <v/>
      </c>
      <c r="I143" s="1">
        <f>_xlfn.RANK.EQ(H143,$H$2:$H$1031)</f>
        <v/>
      </c>
      <c r="J143" s="5" t="n">
        <v>560.05</v>
      </c>
      <c r="K143" s="5" t="n">
        <v>41</v>
      </c>
      <c r="L143" s="5" t="n">
        <v>22</v>
      </c>
      <c r="M143" s="5" t="n">
        <v>21</v>
      </c>
      <c r="N143" s="5">
        <f>J143+K143+L143+M143</f>
        <v/>
      </c>
      <c r="O143" s="5">
        <f>IF(ISNUMBER(N143),N143,"")</f>
        <v/>
      </c>
      <c r="P143" s="5">
        <f>_xlfn.RANK.EQ(O143,$O$2:$O$1031)</f>
        <v/>
      </c>
      <c r="Q143" s="9" t="n">
        <v>236</v>
      </c>
      <c r="R143" s="9" t="n">
        <v>45.5</v>
      </c>
      <c r="S143" s="9" t="n">
        <v>24</v>
      </c>
      <c r="T143" s="9" t="n">
        <v>23</v>
      </c>
      <c r="U143" s="9">
        <f>Q143+R143+S143+T143</f>
        <v/>
      </c>
      <c r="V143" s="9">
        <f>IF(ISNUMBER(U143),U143,"")</f>
        <v/>
      </c>
      <c r="W143" s="9">
        <f>_xlfn.RANK.EQ(V143,$V$2:$V$1031)</f>
        <v/>
      </c>
      <c r="X143" s="13" t="n">
        <v>1416.9625</v>
      </c>
      <c r="Y143" s="13" t="n">
        <v>23</v>
      </c>
      <c r="Z143" s="13" t="n">
        <v>23</v>
      </c>
      <c r="AA143" s="13" t="n">
        <v>23</v>
      </c>
      <c r="AB143" s="13">
        <f>IF(ISNUMBER(X143),X143+N(Y143)+N(Z143)+N(AA143),X143)</f>
        <v/>
      </c>
      <c r="AC143" s="13">
        <f>IF(ISNUMBER(AB143),AB143,"")</f>
        <v/>
      </c>
      <c r="AD143" s="13">
        <f>IF(ISNUMBER(AC143),_xlfn.RANK.EQ(AC143,$AC$2:$AC$1031),"")</f>
        <v/>
      </c>
      <c r="AE143" s="15">
        <f>IF(ISNUMBER(AF143),AF143/3630,"")</f>
        <v/>
      </c>
      <c r="AF143" s="14">
        <f>IFERROR(C143+D143+E143+F143+J143+K143+L143+M143+Q143+R143+S143+T143+IF(ISNUMBER(X143),X143,0)+N(Y143)+N(Z143)+N(AA143),"")</f>
        <v/>
      </c>
      <c r="AG143" s="14">
        <f>IF(ISNUMBER(AF143),AF143,"")</f>
        <v/>
      </c>
      <c r="AH143" s="14">
        <f>IF(ISNUMBER(AG143),_xlfn.RANK.EQ(AG143,$AG$2:$AG$1031),"")</f>
        <v/>
      </c>
    </row>
    <row r="144">
      <c r="A144" s="18" t="n">
        <v>279</v>
      </c>
      <c r="B144" s="18" t="inlineStr">
        <is>
          <t>الاء نبيل محفوظ سلطان</t>
        </is>
      </c>
      <c r="C144" s="1" t="n">
        <v>589.3</v>
      </c>
      <c r="D144" s="1" t="n">
        <v>24</v>
      </c>
      <c r="E144" s="1" t="n">
        <v>23</v>
      </c>
      <c r="F144" s="1" t="n">
        <v>24</v>
      </c>
      <c r="G144" s="1">
        <f>C144+D144+E144+F144</f>
        <v/>
      </c>
      <c r="H144" s="1">
        <f>IF(ISNUMBER(G144),G144,"")</f>
        <v/>
      </c>
      <c r="I144" s="1">
        <f>_xlfn.RANK.EQ(H144,$H$2:$H$1031)</f>
        <v/>
      </c>
      <c r="J144" s="5" t="n">
        <v>565.55</v>
      </c>
      <c r="K144" s="5" t="n">
        <v>41</v>
      </c>
      <c r="L144" s="5" t="n">
        <v>20</v>
      </c>
      <c r="M144" s="5" t="n">
        <v>20</v>
      </c>
      <c r="N144" s="5">
        <f>J144+K144+L144+M144</f>
        <v/>
      </c>
      <c r="O144" s="5">
        <f>IF(ISNUMBER(N144),N144,"")</f>
        <v/>
      </c>
      <c r="P144" s="5">
        <f>_xlfn.RANK.EQ(O144,$O$2:$O$1031)</f>
        <v/>
      </c>
      <c r="Q144" s="9" t="n">
        <v>225</v>
      </c>
      <c r="R144" s="9" t="n">
        <v>47.5</v>
      </c>
      <c r="S144" s="9" t="n">
        <v>24</v>
      </c>
      <c r="T144" s="9" t="n">
        <v>25</v>
      </c>
      <c r="U144" s="9">
        <f>Q144+R144+S144+T144</f>
        <v/>
      </c>
      <c r="V144" s="9">
        <f>IF(ISNUMBER(U144),U144,"")</f>
        <v/>
      </c>
      <c r="W144" s="9">
        <f>_xlfn.RANK.EQ(V144,$V$2:$V$1031)</f>
        <v/>
      </c>
      <c r="X144" s="13" t="n">
        <v>1395.7833333333</v>
      </c>
      <c r="Y144" s="13" t="n">
        <v>22</v>
      </c>
      <c r="Z144" s="13" t="n">
        <v>24</v>
      </c>
      <c r="AA144" s="13" t="n">
        <v>24</v>
      </c>
      <c r="AB144" s="13">
        <f>IF(ISNUMBER(X144),X144+N(Y144)+N(Z144)+N(AA144),X144)</f>
        <v/>
      </c>
      <c r="AC144" s="13">
        <f>IF(ISNUMBER(AB144),AB144,"")</f>
        <v/>
      </c>
      <c r="AD144" s="13">
        <f>IF(ISNUMBER(AC144),_xlfn.RANK.EQ(AC144,$AC$2:$AC$1031),"")</f>
        <v/>
      </c>
      <c r="AE144" s="15">
        <f>IF(ISNUMBER(AF144),AF144/3630,"")</f>
        <v/>
      </c>
      <c r="AF144" s="14">
        <f>IFERROR(C144+D144+E144+F144+J144+K144+L144+M144+Q144+R144+S144+T144+IF(ISNUMBER(X144),X144,0)+N(Y144)+N(Z144)+N(AA144),"")</f>
        <v/>
      </c>
      <c r="AG144" s="14">
        <f>IF(ISNUMBER(AF144),AF144,"")</f>
        <v/>
      </c>
      <c r="AH144" s="14">
        <f>IF(ISNUMBER(AG144),_xlfn.RANK.EQ(AG144,$AG$2:$AG$1031),"")</f>
        <v/>
      </c>
    </row>
    <row r="145">
      <c r="A145" s="18" t="n">
        <v>280</v>
      </c>
      <c r="B145" s="18" t="inlineStr">
        <is>
          <t>الاء ياسر عبد الرحمن عبد العال</t>
        </is>
      </c>
      <c r="C145" s="1" t="n">
        <v>515.3</v>
      </c>
      <c r="D145" s="1" t="n"/>
      <c r="E145" s="1" t="n">
        <v>24</v>
      </c>
      <c r="F145" s="1" t="n">
        <v>22</v>
      </c>
      <c r="G145" s="1">
        <f>C145+D145+E145+F145</f>
        <v/>
      </c>
      <c r="H145" s="1">
        <f>IF(ISNUMBER(G145),G145,"")</f>
        <v/>
      </c>
      <c r="I145" s="1">
        <f>_xlfn.RANK.EQ(H145,$H$2:$H$1031)</f>
        <v/>
      </c>
      <c r="J145" s="5" t="n">
        <v>565.1</v>
      </c>
      <c r="K145" s="5" t="n">
        <v>47</v>
      </c>
      <c r="L145" s="5" t="n">
        <v>21</v>
      </c>
      <c r="M145" s="5" t="n">
        <v>23</v>
      </c>
      <c r="N145" s="5">
        <f>J145+K145+L145+M145</f>
        <v/>
      </c>
      <c r="O145" s="5">
        <f>IF(ISNUMBER(N145),N145,"")</f>
        <v/>
      </c>
      <c r="P145" s="5">
        <f>_xlfn.RANK.EQ(O145,$O$2:$O$1031)</f>
        <v/>
      </c>
      <c r="Q145" s="9" t="n">
        <v>250</v>
      </c>
      <c r="R145" s="9" t="n">
        <v>44</v>
      </c>
      <c r="S145" s="9" t="n">
        <v>25</v>
      </c>
      <c r="T145" s="9" t="n">
        <v>25</v>
      </c>
      <c r="U145" s="9">
        <f>Q145+R145+S145+T145</f>
        <v/>
      </c>
      <c r="V145" s="9">
        <f>IF(ISNUMBER(U145),U145,"")</f>
        <v/>
      </c>
      <c r="W145" s="9">
        <f>_xlfn.RANK.EQ(V145,$V$2:$V$1031)</f>
        <v/>
      </c>
      <c r="X145" s="13" t="n">
        <v>1445.3</v>
      </c>
      <c r="Y145" s="13" t="n">
        <v>25</v>
      </c>
      <c r="Z145" s="13" t="n">
        <v>25</v>
      </c>
      <c r="AA145" s="13" t="n">
        <v>23</v>
      </c>
      <c r="AB145" s="13">
        <f>IF(ISNUMBER(X145),X145+N(Y145)+N(Z145)+N(AA145),X145)</f>
        <v/>
      </c>
      <c r="AC145" s="13">
        <f>IF(ISNUMBER(AB145),AB145,"")</f>
        <v/>
      </c>
      <c r="AD145" s="13">
        <f>IF(ISNUMBER(AC145),_xlfn.RANK.EQ(AC145,$AC$2:$AC$1031),"")</f>
        <v/>
      </c>
      <c r="AE145" s="15">
        <f>IF(ISNUMBER(AF145),AF145/3630,"")</f>
        <v/>
      </c>
      <c r="AF145" s="14">
        <f>IFERROR(C145+D145+E145+F145+J145+K145+L145+M145+Q145+R145+S145+T145+IF(ISNUMBER(X145),X145,0)+N(Y145)+N(Z145)+N(AA145),"")</f>
        <v/>
      </c>
      <c r="AG145" s="14">
        <f>IF(ISNUMBER(AF145),AF145,"")</f>
        <v/>
      </c>
      <c r="AH145" s="14">
        <f>IF(ISNUMBER(AG145),_xlfn.RANK.EQ(AG145,$AG$2:$AG$1031),"")</f>
        <v/>
      </c>
    </row>
    <row r="146">
      <c r="A146" s="18" t="n">
        <v>288</v>
      </c>
      <c r="B146" s="18" t="inlineStr">
        <is>
          <t>السيد محمد جلال محمد البيلى</t>
        </is>
      </c>
      <c r="C146" s="1" t="n">
        <v>608.5</v>
      </c>
      <c r="D146" s="1" t="n">
        <v>23</v>
      </c>
      <c r="E146" s="1" t="n">
        <v>25</v>
      </c>
      <c r="F146" s="1" t="n">
        <v>22</v>
      </c>
      <c r="G146" s="1">
        <f>C146+D146+E146+F146</f>
        <v/>
      </c>
      <c r="H146" s="1">
        <f>IF(ISNUMBER(G146),G146,"")</f>
        <v/>
      </c>
      <c r="I146" s="1">
        <f>_xlfn.RANK.EQ(H146,$H$2:$H$1031)</f>
        <v/>
      </c>
      <c r="J146" s="5" t="n">
        <v>617.1</v>
      </c>
      <c r="K146" s="5" t="n">
        <v>48</v>
      </c>
      <c r="L146" s="5" t="n">
        <v>20</v>
      </c>
      <c r="M146" s="5" t="n">
        <v>21</v>
      </c>
      <c r="N146" s="5">
        <f>J146+K146+L146+M146</f>
        <v/>
      </c>
      <c r="O146" s="5">
        <f>IF(ISNUMBER(N146),N146,"")</f>
        <v/>
      </c>
      <c r="P146" s="5">
        <f>_xlfn.RANK.EQ(O146,$O$2:$O$1031)</f>
        <v/>
      </c>
      <c r="Q146" s="9" t="n">
        <v>277</v>
      </c>
      <c r="R146" s="9" t="n">
        <v>46.5</v>
      </c>
      <c r="S146" s="9" t="n">
        <v>24</v>
      </c>
      <c r="T146" s="9" t="n">
        <v>25</v>
      </c>
      <c r="U146" s="9">
        <f>Q146+R146+S146+T146</f>
        <v/>
      </c>
      <c r="V146" s="9">
        <f>IF(ISNUMBER(U146),U146,"")</f>
        <v/>
      </c>
      <c r="W146" s="9">
        <f>_xlfn.RANK.EQ(V146,$V$2:$V$1031)</f>
        <v/>
      </c>
      <c r="X146" s="13" t="n">
        <v>1502.2958333333</v>
      </c>
      <c r="Y146" s="13" t="n">
        <v>25</v>
      </c>
      <c r="Z146" s="13" t="n">
        <v>25</v>
      </c>
      <c r="AA146" s="13" t="n">
        <v>25</v>
      </c>
      <c r="AB146" s="13">
        <f>IF(ISNUMBER(X146),X146+N(Y146)+N(Z146)+N(AA146),X146)</f>
        <v/>
      </c>
      <c r="AC146" s="13">
        <f>IF(ISNUMBER(AB146),AB146,"")</f>
        <v/>
      </c>
      <c r="AD146" s="13">
        <f>IF(ISNUMBER(AC146),_xlfn.RANK.EQ(AC146,$AC$2:$AC$1031),"")</f>
        <v/>
      </c>
      <c r="AE146" s="15">
        <f>IF(ISNUMBER(AF146),AF146/3630,"")</f>
        <v/>
      </c>
      <c r="AF146" s="14">
        <f>IFERROR(C146+D146+E146+F146+J146+K146+L146+M146+Q146+R146+S146+T146+IF(ISNUMBER(X146),X146,0)+N(Y146)+N(Z146)+N(AA146),"")</f>
        <v/>
      </c>
      <c r="AG146" s="14">
        <f>IF(ISNUMBER(AF146),AF146,"")</f>
        <v/>
      </c>
      <c r="AH146" s="14">
        <f>IF(ISNUMBER(AG146),_xlfn.RANK.EQ(AG146,$AG$2:$AG$1031),"")</f>
        <v/>
      </c>
    </row>
    <row r="147">
      <c r="A147" s="18" t="n">
        <v>301</v>
      </c>
      <c r="B147" s="18" t="inlineStr">
        <is>
          <t>امل عدلى محمد على</t>
        </is>
      </c>
      <c r="C147" s="1" t="n">
        <v>434</v>
      </c>
      <c r="D147" s="1" t="n">
        <v>23</v>
      </c>
      <c r="E147" s="1" t="n">
        <v>18</v>
      </c>
      <c r="F147" s="1" t="n">
        <v>20</v>
      </c>
      <c r="G147" s="1">
        <f>C147+D147+E147+F147</f>
        <v/>
      </c>
      <c r="H147" s="1">
        <f>IF(ISNUMBER(G147),G147,"")</f>
        <v/>
      </c>
      <c r="I147" s="1">
        <f>_xlfn.RANK.EQ(H147,$H$2:$H$1031)</f>
        <v/>
      </c>
      <c r="J147" s="5" t="n">
        <v>516</v>
      </c>
      <c r="K147" s="5" t="n">
        <v>41</v>
      </c>
      <c r="L147" s="5" t="n">
        <v>18</v>
      </c>
      <c r="M147" s="5" t="n">
        <v>18</v>
      </c>
      <c r="N147" s="5">
        <f>J147+K147+L147+M147</f>
        <v/>
      </c>
      <c r="O147" s="5">
        <f>IF(ISNUMBER(N147),N147,"")</f>
        <v/>
      </c>
      <c r="P147" s="5">
        <f>_xlfn.RANK.EQ(O147,$O$2:$O$1031)</f>
        <v/>
      </c>
      <c r="Q147" s="9" t="n">
        <v>218</v>
      </c>
      <c r="R147" s="9" t="n">
        <v>41.5</v>
      </c>
      <c r="S147" s="9" t="n">
        <v>24</v>
      </c>
      <c r="T147" s="9" t="n">
        <v>24</v>
      </c>
      <c r="U147" s="9">
        <f>Q147+R147+S147+T147</f>
        <v/>
      </c>
      <c r="V147" s="9">
        <f>IF(ISNUMBER(U147),U147,"")</f>
        <v/>
      </c>
      <c r="W147" s="9">
        <f>_xlfn.RANK.EQ(V147,$V$2:$V$1031)</f>
        <v/>
      </c>
      <c r="X147" s="13" t="inlineStr">
        <is>
          <t>راسب</t>
        </is>
      </c>
      <c r="Y147" s="13" t="n">
        <v>23.5</v>
      </c>
      <c r="Z147" s="13" t="n">
        <v>23</v>
      </c>
      <c r="AA147" s="13" t="n">
        <v>19</v>
      </c>
      <c r="AB147" s="13">
        <f>IF(ISNUMBER(X147),X147+N(Y147)+N(Z147)+N(AA147),X147)</f>
        <v/>
      </c>
      <c r="AC147" s="13">
        <f>IF(ISNUMBER(AB147),AB147,"")</f>
        <v/>
      </c>
      <c r="AD147" s="13">
        <f>IF(ISNUMBER(AC147),_xlfn.RANK.EQ(AC147,$AC$2:$AC$1031),"")</f>
        <v/>
      </c>
      <c r="AE147" s="15">
        <f>IF(ISNUMBER(AF147),AF147/3630,"")</f>
        <v/>
      </c>
      <c r="AF147" s="14">
        <f>IFERROR(C147+D147+E147+F147+J147+K147+L147+M147+Q147+R147+S147+T147+IF(ISNUMBER(X147),X147,0)+N(Y147)+N(Z147)+N(AA147),"")</f>
        <v/>
      </c>
      <c r="AG147" s="14">
        <f>IF(ISNUMBER(AF147),AF147,"")</f>
        <v/>
      </c>
      <c r="AH147" s="14">
        <f>IF(ISNUMBER(AG147),_xlfn.RANK.EQ(AG147,$AG$2:$AG$1031),"")</f>
        <v/>
      </c>
    </row>
    <row r="148">
      <c r="A148" s="18" t="n">
        <v>305</v>
      </c>
      <c r="B148" s="18" t="inlineStr">
        <is>
          <t>امنيه اشرف محمد عوض</t>
        </is>
      </c>
      <c r="C148" s="1" t="n">
        <v>604.4</v>
      </c>
      <c r="D148" s="1" t="n">
        <v>25</v>
      </c>
      <c r="E148" s="1" t="n">
        <v>19</v>
      </c>
      <c r="F148" s="1" t="n">
        <v>21</v>
      </c>
      <c r="G148" s="1">
        <f>C148+D148+E148+F148</f>
        <v/>
      </c>
      <c r="H148" s="1">
        <f>IF(ISNUMBER(G148),G148,"")</f>
        <v/>
      </c>
      <c r="I148" s="1">
        <f>_xlfn.RANK.EQ(H148,$H$2:$H$1031)</f>
        <v/>
      </c>
      <c r="J148" s="5" t="n">
        <v>615.1</v>
      </c>
      <c r="K148" s="5" t="n">
        <v>47</v>
      </c>
      <c r="L148" s="5" t="n">
        <v>23</v>
      </c>
      <c r="M148" s="5" t="n">
        <v>23</v>
      </c>
      <c r="N148" s="5">
        <f>J148+K148+L148+M148</f>
        <v/>
      </c>
      <c r="O148" s="5">
        <f>IF(ISNUMBER(N148),N148,"")</f>
        <v/>
      </c>
      <c r="P148" s="5">
        <f>_xlfn.RANK.EQ(O148,$O$2:$O$1031)</f>
        <v/>
      </c>
      <c r="Q148" s="9" t="n">
        <v>266</v>
      </c>
      <c r="R148" s="9" t="n">
        <v>47.5</v>
      </c>
      <c r="S148" s="9" t="n">
        <v>22</v>
      </c>
      <c r="T148" s="9" t="n">
        <v>24</v>
      </c>
      <c r="U148" s="9">
        <f>Q148+R148+S148+T148</f>
        <v/>
      </c>
      <c r="V148" s="9">
        <f>IF(ISNUMBER(U148),U148,"")</f>
        <v/>
      </c>
      <c r="W148" s="9">
        <f>_xlfn.RANK.EQ(V148,$V$2:$V$1031)</f>
        <v/>
      </c>
      <c r="X148" s="13" t="n">
        <v>1392.9083333333</v>
      </c>
      <c r="Y148" s="13" t="n">
        <v>24</v>
      </c>
      <c r="Z148" s="13" t="n">
        <v>24</v>
      </c>
      <c r="AA148" s="13" t="n">
        <v>23</v>
      </c>
      <c r="AB148" s="13">
        <f>IF(ISNUMBER(X148),X148+N(Y148)+N(Z148)+N(AA148),X148)</f>
        <v/>
      </c>
      <c r="AC148" s="13">
        <f>IF(ISNUMBER(AB148),AB148,"")</f>
        <v/>
      </c>
      <c r="AD148" s="13">
        <f>IF(ISNUMBER(AC148),_xlfn.RANK.EQ(AC148,$AC$2:$AC$1031),"")</f>
        <v/>
      </c>
      <c r="AE148" s="15">
        <f>IF(ISNUMBER(AF148),AF148/3630,"")</f>
        <v/>
      </c>
      <c r="AF148" s="14">
        <f>IFERROR(C148+D148+E148+F148+J148+K148+L148+M148+Q148+R148+S148+T148+IF(ISNUMBER(X148),X148,0)+N(Y148)+N(Z148)+N(AA148),"")</f>
        <v/>
      </c>
      <c r="AG148" s="14">
        <f>IF(ISNUMBER(AF148),AF148,"")</f>
        <v/>
      </c>
      <c r="AH148" s="14">
        <f>IF(ISNUMBER(AG148),_xlfn.RANK.EQ(AG148,$AG$2:$AG$1031),"")</f>
        <v/>
      </c>
    </row>
    <row r="149">
      <c r="A149" s="18" t="n">
        <v>307</v>
      </c>
      <c r="B149" s="18" t="inlineStr">
        <is>
          <t>امنيه سامى عبدالمقصود على الشيخ</t>
        </is>
      </c>
      <c r="C149" s="1" t="n">
        <v>485.4</v>
      </c>
      <c r="D149" s="1" t="n">
        <v>20</v>
      </c>
      <c r="E149" s="1" t="n">
        <v>19</v>
      </c>
      <c r="F149" s="1" t="n">
        <v>17</v>
      </c>
      <c r="G149" s="1">
        <f>C149+D149+E149+F149</f>
        <v/>
      </c>
      <c r="H149" s="1">
        <f>IF(ISNUMBER(G149),G149,"")</f>
        <v/>
      </c>
      <c r="I149" s="1">
        <f>_xlfn.RANK.EQ(H149,$H$2:$H$1031)</f>
        <v/>
      </c>
      <c r="J149" s="5" t="n">
        <v>529.6</v>
      </c>
      <c r="K149" s="5" t="n">
        <v>43</v>
      </c>
      <c r="L149" s="5" t="n">
        <v>22</v>
      </c>
      <c r="M149" s="5" t="n">
        <v>20</v>
      </c>
      <c r="N149" s="5">
        <f>J149+K149+L149+M149</f>
        <v/>
      </c>
      <c r="O149" s="5">
        <f>IF(ISNUMBER(N149),N149,"")</f>
        <v/>
      </c>
      <c r="P149" s="5">
        <f>_xlfn.RANK.EQ(O149,$O$2:$O$1031)</f>
        <v/>
      </c>
      <c r="Q149" s="9" t="n">
        <v>217</v>
      </c>
      <c r="R149" s="9" t="n">
        <v>41</v>
      </c>
      <c r="S149" s="9" t="n">
        <v>19</v>
      </c>
      <c r="T149" s="9" t="n">
        <v>23</v>
      </c>
      <c r="U149" s="9">
        <f>Q149+R149+S149+T149</f>
        <v/>
      </c>
      <c r="V149" s="9">
        <f>IF(ISNUMBER(U149),U149,"")</f>
        <v/>
      </c>
      <c r="W149" s="9">
        <f>_xlfn.RANK.EQ(V149,$V$2:$V$1031)</f>
        <v/>
      </c>
      <c r="X149" s="13" t="n">
        <v>1259.4291666667</v>
      </c>
      <c r="Y149" s="13" t="n">
        <v>25</v>
      </c>
      <c r="Z149" s="13" t="n">
        <v>23</v>
      </c>
      <c r="AA149" s="13" t="n">
        <v>21</v>
      </c>
      <c r="AB149" s="13">
        <f>IF(ISNUMBER(X149),X149+N(Y149)+N(Z149)+N(AA149),X149)</f>
        <v/>
      </c>
      <c r="AC149" s="13">
        <f>IF(ISNUMBER(AB149),AB149,"")</f>
        <v/>
      </c>
      <c r="AD149" s="13">
        <f>IF(ISNUMBER(AC149),_xlfn.RANK.EQ(AC149,$AC$2:$AC$1031),"")</f>
        <v/>
      </c>
      <c r="AE149" s="15">
        <f>IF(ISNUMBER(AF149),AF149/3630,"")</f>
        <v/>
      </c>
      <c r="AF149" s="14">
        <f>IFERROR(C149+D149+E149+F149+J149+K149+L149+M149+Q149+R149+S149+T149+IF(ISNUMBER(X149),X149,0)+N(Y149)+N(Z149)+N(AA149),"")</f>
        <v/>
      </c>
      <c r="AG149" s="14">
        <f>IF(ISNUMBER(AF149),AF149,"")</f>
        <v/>
      </c>
      <c r="AH149" s="14">
        <f>IF(ISNUMBER(AG149),_xlfn.RANK.EQ(AG149,$AG$2:$AG$1031),"")</f>
        <v/>
      </c>
    </row>
    <row r="150">
      <c r="A150" s="18" t="n">
        <v>308</v>
      </c>
      <c r="B150" s="18" t="inlineStr">
        <is>
          <t>امنيه ناصر السعيد عبد الغنى المنسي</t>
        </is>
      </c>
      <c r="C150" s="1" t="n">
        <v>548.7</v>
      </c>
      <c r="D150" s="1" t="n">
        <v>25</v>
      </c>
      <c r="E150" s="1" t="n">
        <v>25</v>
      </c>
      <c r="F150" s="1" t="n">
        <v>21</v>
      </c>
      <c r="G150" s="1">
        <f>C150+D150+E150+F150</f>
        <v/>
      </c>
      <c r="H150" s="1">
        <f>IF(ISNUMBER(G150),G150,"")</f>
        <v/>
      </c>
      <c r="I150" s="1">
        <f>_xlfn.RANK.EQ(H150,$H$2:$H$1031)</f>
        <v/>
      </c>
      <c r="J150" s="5" t="n">
        <v>558.95</v>
      </c>
      <c r="K150" s="5" t="n">
        <v>47</v>
      </c>
      <c r="L150" s="5" t="n">
        <v>22</v>
      </c>
      <c r="M150" s="5" t="n">
        <v>24</v>
      </c>
      <c r="N150" s="5">
        <f>J150+K150+L150+M150</f>
        <v/>
      </c>
      <c r="O150" s="5">
        <f>IF(ISNUMBER(N150),N150,"")</f>
        <v/>
      </c>
      <c r="P150" s="5">
        <f>_xlfn.RANK.EQ(O150,$O$2:$O$1031)</f>
        <v/>
      </c>
      <c r="Q150" s="9" t="n">
        <v>262</v>
      </c>
      <c r="R150" s="9" t="n">
        <v>48.5</v>
      </c>
      <c r="S150" s="9" t="n">
        <v>22</v>
      </c>
      <c r="T150" s="9" t="n">
        <v>23</v>
      </c>
      <c r="U150" s="9">
        <f>Q150+R150+S150+T150</f>
        <v/>
      </c>
      <c r="V150" s="9">
        <f>IF(ISNUMBER(U150),U150,"")</f>
        <v/>
      </c>
      <c r="W150" s="9">
        <f>_xlfn.RANK.EQ(V150,$V$2:$V$1031)</f>
        <v/>
      </c>
      <c r="X150" s="13" t="n">
        <v>1457.925</v>
      </c>
      <c r="Y150" s="13" t="n">
        <v>25</v>
      </c>
      <c r="Z150" s="13" t="n">
        <v>25</v>
      </c>
      <c r="AA150" s="13" t="n">
        <v>24</v>
      </c>
      <c r="AB150" s="13">
        <f>IF(ISNUMBER(X150),X150+N(Y150)+N(Z150)+N(AA150),X150)</f>
        <v/>
      </c>
      <c r="AC150" s="13">
        <f>IF(ISNUMBER(AB150),AB150,"")</f>
        <v/>
      </c>
      <c r="AD150" s="13">
        <f>IF(ISNUMBER(AC150),_xlfn.RANK.EQ(AC150,$AC$2:$AC$1031),"")</f>
        <v/>
      </c>
      <c r="AE150" s="15">
        <f>IF(ISNUMBER(AF150),AF150/3630,"")</f>
        <v/>
      </c>
      <c r="AF150" s="14">
        <f>IFERROR(C150+D150+E150+F150+J150+K150+L150+M150+Q150+R150+S150+T150+IF(ISNUMBER(X150),X150,0)+N(Y150)+N(Z150)+N(AA150),"")</f>
        <v/>
      </c>
      <c r="AG150" s="14">
        <f>IF(ISNUMBER(AF150),AF150,"")</f>
        <v/>
      </c>
      <c r="AH150" s="14">
        <f>IF(ISNUMBER(AG150),_xlfn.RANK.EQ(AG150,$AG$2:$AG$1031),"")</f>
        <v/>
      </c>
    </row>
    <row r="151">
      <c r="A151" s="18" t="n">
        <v>309</v>
      </c>
      <c r="B151" s="18" t="inlineStr">
        <is>
          <t>امنيه ياسر احمد عبداللطيف القزاز</t>
        </is>
      </c>
      <c r="C151" s="1" t="n">
        <v>573.6</v>
      </c>
      <c r="D151" s="1" t="n">
        <v>23</v>
      </c>
      <c r="E151" s="1" t="n">
        <v>23</v>
      </c>
      <c r="F151" s="1" t="n">
        <v>22</v>
      </c>
      <c r="G151" s="1">
        <f>C151+D151+E151+F151</f>
        <v/>
      </c>
      <c r="H151" s="1">
        <f>IF(ISNUMBER(G151),G151,"")</f>
        <v/>
      </c>
      <c r="I151" s="1">
        <f>_xlfn.RANK.EQ(H151,$H$2:$H$1031)</f>
        <v/>
      </c>
      <c r="J151" s="5" t="n">
        <v>585.1</v>
      </c>
      <c r="K151" s="5" t="n">
        <v>46</v>
      </c>
      <c r="L151" s="5" t="n">
        <v>23</v>
      </c>
      <c r="M151" s="5" t="n">
        <v>22</v>
      </c>
      <c r="N151" s="5">
        <f>J151+K151+L151+M151</f>
        <v/>
      </c>
      <c r="O151" s="5">
        <f>IF(ISNUMBER(N151),N151,"")</f>
        <v/>
      </c>
      <c r="P151" s="5">
        <f>_xlfn.RANK.EQ(O151,$O$2:$O$1031)</f>
        <v/>
      </c>
      <c r="Q151" s="9" t="n">
        <v>255.25</v>
      </c>
      <c r="R151" s="9" t="n">
        <v>42.5</v>
      </c>
      <c r="S151" s="9" t="n">
        <v>23</v>
      </c>
      <c r="T151" s="9" t="n">
        <v>25</v>
      </c>
      <c r="U151" s="9">
        <f>Q151+R151+S151+T151</f>
        <v/>
      </c>
      <c r="V151" s="9">
        <f>IF(ISNUMBER(U151),U151,"")</f>
        <v/>
      </c>
      <c r="W151" s="9">
        <f>_xlfn.RANK.EQ(V151,$V$2:$V$1031)</f>
        <v/>
      </c>
      <c r="X151" s="13" t="n">
        <v>1350.6875</v>
      </c>
      <c r="Y151" s="13" t="n">
        <v>25</v>
      </c>
      <c r="Z151" s="13" t="n">
        <v>25</v>
      </c>
      <c r="AA151" s="13" t="n">
        <v>23</v>
      </c>
      <c r="AB151" s="13">
        <f>IF(ISNUMBER(X151),X151+N(Y151)+N(Z151)+N(AA151),X151)</f>
        <v/>
      </c>
      <c r="AC151" s="13">
        <f>IF(ISNUMBER(AB151),AB151,"")</f>
        <v/>
      </c>
      <c r="AD151" s="13">
        <f>IF(ISNUMBER(AC151),_xlfn.RANK.EQ(AC151,$AC$2:$AC$1031),"")</f>
        <v/>
      </c>
      <c r="AE151" s="15">
        <f>IF(ISNUMBER(AF151),AF151/3630,"")</f>
        <v/>
      </c>
      <c r="AF151" s="14">
        <f>IFERROR(C151+D151+E151+F151+J151+K151+L151+M151+Q151+R151+S151+T151+IF(ISNUMBER(X151),X151,0)+N(Y151)+N(Z151)+N(AA151),"")</f>
        <v/>
      </c>
      <c r="AG151" s="14">
        <f>IF(ISNUMBER(AF151),AF151,"")</f>
        <v/>
      </c>
      <c r="AH151" s="14">
        <f>IF(ISNUMBER(AG151),_xlfn.RANK.EQ(AG151,$AG$2:$AG$1031),"")</f>
        <v/>
      </c>
    </row>
    <row r="152">
      <c r="A152" s="18" t="n">
        <v>310</v>
      </c>
      <c r="B152" s="18" t="inlineStr">
        <is>
          <t>امورينا ميلاد حليم زكي</t>
        </is>
      </c>
      <c r="C152" s="1" t="n">
        <v>594.7</v>
      </c>
      <c r="D152" s="1" t="n">
        <v>24</v>
      </c>
      <c r="E152" s="1" t="n">
        <v>24</v>
      </c>
      <c r="F152" s="1" t="n">
        <v>22</v>
      </c>
      <c r="G152" s="1">
        <f>C152+D152+E152+F152</f>
        <v/>
      </c>
      <c r="H152" s="1">
        <f>IF(ISNUMBER(G152),G152,"")</f>
        <v/>
      </c>
      <c r="I152" s="1">
        <f>_xlfn.RANK.EQ(H152,$H$2:$H$1031)</f>
        <v/>
      </c>
      <c r="J152" s="5" t="n">
        <v>620.7</v>
      </c>
      <c r="K152" s="5" t="n">
        <v>50</v>
      </c>
      <c r="L152" s="5" t="n">
        <v>24</v>
      </c>
      <c r="M152" s="5" t="n">
        <v>24</v>
      </c>
      <c r="N152" s="5">
        <f>J152+K152+L152+M152</f>
        <v/>
      </c>
      <c r="O152" s="5">
        <f>IF(ISNUMBER(N152),N152,"")</f>
        <v/>
      </c>
      <c r="P152" s="5">
        <f>_xlfn.RANK.EQ(O152,$O$2:$O$1031)</f>
        <v/>
      </c>
      <c r="Q152" s="9" t="n">
        <v>285.5</v>
      </c>
      <c r="R152" s="9" t="n">
        <v>48</v>
      </c>
      <c r="S152" s="9" t="n">
        <v>25</v>
      </c>
      <c r="T152" s="9" t="n">
        <v>24</v>
      </c>
      <c r="U152" s="9">
        <f>Q152+R152+S152+T152</f>
        <v/>
      </c>
      <c r="V152" s="9">
        <f>IF(ISNUMBER(U152),U152,"")</f>
        <v/>
      </c>
      <c r="W152" s="9">
        <f>_xlfn.RANK.EQ(V152,$V$2:$V$1031)</f>
        <v/>
      </c>
      <c r="X152" s="13" t="n">
        <v>1559.5875</v>
      </c>
      <c r="Y152" s="13" t="n">
        <v>24</v>
      </c>
      <c r="Z152" s="13" t="n">
        <v>24</v>
      </c>
      <c r="AA152" s="13" t="n">
        <v>25</v>
      </c>
      <c r="AB152" s="13">
        <f>IF(ISNUMBER(X152),X152+N(Y152)+N(Z152)+N(AA152),X152)</f>
        <v/>
      </c>
      <c r="AC152" s="13">
        <f>IF(ISNUMBER(AB152),AB152,"")</f>
        <v/>
      </c>
      <c r="AD152" s="13">
        <f>IF(ISNUMBER(AC152),_xlfn.RANK.EQ(AC152,$AC$2:$AC$1031),"")</f>
        <v/>
      </c>
      <c r="AE152" s="15">
        <f>IF(ISNUMBER(AF152),AF152/3630,"")</f>
        <v/>
      </c>
      <c r="AF152" s="14">
        <f>IFERROR(C152+D152+E152+F152+J152+K152+L152+M152+Q152+R152+S152+T152+IF(ISNUMBER(X152),X152,0)+N(Y152)+N(Z152)+N(AA152),"")</f>
        <v/>
      </c>
      <c r="AG152" s="14">
        <f>IF(ISNUMBER(AF152),AF152,"")</f>
        <v/>
      </c>
      <c r="AH152" s="14">
        <f>IF(ISNUMBER(AG152),_xlfn.RANK.EQ(AG152,$AG$2:$AG$1031),"")</f>
        <v/>
      </c>
    </row>
    <row r="153">
      <c r="A153" s="18" t="n">
        <v>314</v>
      </c>
      <c r="B153" s="18" t="inlineStr">
        <is>
          <t>امير هشام جابر عبد الهادي رمضان</t>
        </is>
      </c>
      <c r="C153" s="1" t="n">
        <v>486.8</v>
      </c>
      <c r="D153" s="1" t="n">
        <v>20</v>
      </c>
      <c r="E153" s="1" t="n">
        <v>22</v>
      </c>
      <c r="F153" s="1" t="n">
        <v>21</v>
      </c>
      <c r="G153" s="1">
        <f>C153+D153+E153+F153</f>
        <v/>
      </c>
      <c r="H153" s="1">
        <f>IF(ISNUMBER(G153),G153,"")</f>
        <v/>
      </c>
      <c r="I153" s="1">
        <f>_xlfn.RANK.EQ(H153,$H$2:$H$1031)</f>
        <v/>
      </c>
      <c r="J153" s="5" t="n">
        <v>423.7</v>
      </c>
      <c r="K153" s="5" t="n">
        <v>36</v>
      </c>
      <c r="L153" s="5" t="n">
        <v>23</v>
      </c>
      <c r="M153" s="5" t="n">
        <v>17</v>
      </c>
      <c r="N153" s="5">
        <f>J153+K153+L153+M153</f>
        <v/>
      </c>
      <c r="O153" s="5">
        <f>IF(ISNUMBER(N153),N153,"")</f>
        <v/>
      </c>
      <c r="P153" s="5">
        <f>_xlfn.RANK.EQ(O153,$O$2:$O$1031)</f>
        <v/>
      </c>
      <c r="Q153" s="9" t="n">
        <v>192</v>
      </c>
      <c r="R153" s="9" t="n">
        <v>42.5</v>
      </c>
      <c r="S153" s="9" t="n">
        <v>25</v>
      </c>
      <c r="T153" s="9" t="n">
        <v>23</v>
      </c>
      <c r="U153" s="9">
        <f>Q153+R153+S153+T153</f>
        <v/>
      </c>
      <c r="V153" s="9">
        <f>IF(ISNUMBER(U153),U153,"")</f>
        <v/>
      </c>
      <c r="W153" s="9">
        <f>_xlfn.RANK.EQ(V153,$V$2:$V$1031)</f>
        <v/>
      </c>
      <c r="X153" s="13" t="inlineStr">
        <is>
          <t>راسب</t>
        </is>
      </c>
      <c r="Y153" s="13" t="n">
        <v>23</v>
      </c>
      <c r="Z153" s="13" t="n">
        <v>22</v>
      </c>
      <c r="AA153" s="13" t="n">
        <v>20</v>
      </c>
      <c r="AB153" s="13">
        <f>IF(ISNUMBER(X153),X153+N(Y153)+N(Z153)+N(AA153),X153)</f>
        <v/>
      </c>
      <c r="AC153" s="13">
        <f>IF(ISNUMBER(AB153),AB153,"")</f>
        <v/>
      </c>
      <c r="AD153" s="13">
        <f>IF(ISNUMBER(AC153),_xlfn.RANK.EQ(AC153,$AC$2:$AC$1031),"")</f>
        <v/>
      </c>
      <c r="AE153" s="15">
        <f>IF(ISNUMBER(AF153),AF153/3630,"")</f>
        <v/>
      </c>
      <c r="AF153" s="14">
        <f>IFERROR(C153+D153+E153+F153+J153+K153+L153+M153+Q153+R153+S153+T153+IF(ISNUMBER(X153),X153,0)+N(Y153)+N(Z153)+N(AA153),"")</f>
        <v/>
      </c>
      <c r="AG153" s="14">
        <f>IF(ISNUMBER(AF153),AF153,"")</f>
        <v/>
      </c>
      <c r="AH153" s="14">
        <f>IF(ISNUMBER(AG153),_xlfn.RANK.EQ(AG153,$AG$2:$AG$1031),"")</f>
        <v/>
      </c>
    </row>
    <row r="154">
      <c r="A154" s="18" t="n">
        <v>316</v>
      </c>
      <c r="B154" s="18" t="inlineStr">
        <is>
          <t>اميره احمد رشاد احمد</t>
        </is>
      </c>
      <c r="C154" s="1" t="n">
        <v>514.8</v>
      </c>
      <c r="D154" s="1" t="n">
        <v>19</v>
      </c>
      <c r="E154" s="1" t="n">
        <v>22</v>
      </c>
      <c r="F154" s="1" t="n">
        <v>20</v>
      </c>
      <c r="G154" s="1">
        <f>C154+D154+E154+F154</f>
        <v/>
      </c>
      <c r="H154" s="1">
        <f>IF(ISNUMBER(G154),G154,"")</f>
        <v/>
      </c>
      <c r="I154" s="1">
        <f>_xlfn.RANK.EQ(H154,$H$2:$H$1031)</f>
        <v/>
      </c>
      <c r="J154" s="5" t="n">
        <v>449.35</v>
      </c>
      <c r="K154" s="5" t="n">
        <v>44</v>
      </c>
      <c r="L154" s="5" t="n">
        <v>22</v>
      </c>
      <c r="M154" s="5" t="n">
        <v>13</v>
      </c>
      <c r="N154" s="5">
        <f>J154+K154+L154+M154</f>
        <v/>
      </c>
      <c r="O154" s="5">
        <f>IF(ISNUMBER(N154),N154,"")</f>
        <v/>
      </c>
      <c r="P154" s="5">
        <f>_xlfn.RANK.EQ(O154,$O$2:$O$1031)</f>
        <v/>
      </c>
      <c r="Q154" s="9" t="n">
        <v>214</v>
      </c>
      <c r="R154" s="9" t="n">
        <v>46.5</v>
      </c>
      <c r="S154" s="9" t="n">
        <v>23</v>
      </c>
      <c r="T154" s="9" t="n">
        <v>23</v>
      </c>
      <c r="U154" s="9">
        <f>Q154+R154+S154+T154</f>
        <v/>
      </c>
      <c r="V154" s="9">
        <f>IF(ISNUMBER(U154),U154,"")</f>
        <v/>
      </c>
      <c r="W154" s="9">
        <f>_xlfn.RANK.EQ(V154,$V$2:$V$1031)</f>
        <v/>
      </c>
      <c r="X154" s="13" t="n">
        <v>1232.3791666667</v>
      </c>
      <c r="Y154" s="13" t="n">
        <v>24</v>
      </c>
      <c r="Z154" s="13" t="n">
        <v>21</v>
      </c>
      <c r="AA154" s="13" t="n">
        <v>22</v>
      </c>
      <c r="AB154" s="13">
        <f>IF(ISNUMBER(X154),X154+N(Y154)+N(Z154)+N(AA154),X154)</f>
        <v/>
      </c>
      <c r="AC154" s="13">
        <f>IF(ISNUMBER(AB154),AB154,"")</f>
        <v/>
      </c>
      <c r="AD154" s="13">
        <f>IF(ISNUMBER(AC154),_xlfn.RANK.EQ(AC154,$AC$2:$AC$1031),"")</f>
        <v/>
      </c>
      <c r="AE154" s="15">
        <f>IF(ISNUMBER(AF154),AF154/3630,"")</f>
        <v/>
      </c>
      <c r="AF154" s="14">
        <f>IFERROR(C154+D154+E154+F154+J154+K154+L154+M154+Q154+R154+S154+T154+IF(ISNUMBER(X154),X154,0)+N(Y154)+N(Z154)+N(AA154),"")</f>
        <v/>
      </c>
      <c r="AG154" s="14">
        <f>IF(ISNUMBER(AF154),AF154,"")</f>
        <v/>
      </c>
      <c r="AH154" s="14">
        <f>IF(ISNUMBER(AG154),_xlfn.RANK.EQ(AG154,$AG$2:$AG$1031),"")</f>
        <v/>
      </c>
    </row>
    <row r="155">
      <c r="A155" s="18" t="n">
        <v>317</v>
      </c>
      <c r="B155" s="18" t="inlineStr">
        <is>
          <t>اميره بهاء إبراهيم محمد شعت</t>
        </is>
      </c>
      <c r="C155" s="1" t="n">
        <v>636.5</v>
      </c>
      <c r="D155" s="1" t="n">
        <v>25</v>
      </c>
      <c r="E155" s="1" t="n">
        <v>25</v>
      </c>
      <c r="F155" s="1" t="n">
        <v>23</v>
      </c>
      <c r="G155" s="1">
        <f>C155+D155+E155+F155</f>
        <v/>
      </c>
      <c r="H155" s="1">
        <f>IF(ISNUMBER(G155),G155,"")</f>
        <v/>
      </c>
      <c r="I155" s="1">
        <f>_xlfn.RANK.EQ(H155,$H$2:$H$1031)</f>
        <v/>
      </c>
      <c r="J155" s="5" t="n">
        <v>622.7</v>
      </c>
      <c r="K155" s="5" t="n">
        <v>49</v>
      </c>
      <c r="L155" s="5" t="n">
        <v>23</v>
      </c>
      <c r="M155" s="5" t="n">
        <v>24</v>
      </c>
      <c r="N155" s="5">
        <f>J155+K155+L155+M155</f>
        <v/>
      </c>
      <c r="O155" s="5">
        <f>IF(ISNUMBER(N155),N155,"")</f>
        <v/>
      </c>
      <c r="P155" s="5">
        <f>_xlfn.RANK.EQ(O155,$O$2:$O$1031)</f>
        <v/>
      </c>
      <c r="Q155" s="9" t="n">
        <v>276</v>
      </c>
      <c r="R155" s="9" t="n">
        <v>45</v>
      </c>
      <c r="S155" s="9" t="n">
        <v>21</v>
      </c>
      <c r="T155" s="9" t="n">
        <v>24</v>
      </c>
      <c r="U155" s="9">
        <f>Q155+R155+S155+T155</f>
        <v/>
      </c>
      <c r="V155" s="9">
        <f>IF(ISNUMBER(U155),U155,"")</f>
        <v/>
      </c>
      <c r="W155" s="9">
        <f>_xlfn.RANK.EQ(V155,$V$2:$V$1031)</f>
        <v/>
      </c>
      <c r="X155" s="13" t="n">
        <v>1483.1125</v>
      </c>
      <c r="Y155" s="13" t="n">
        <v>24</v>
      </c>
      <c r="Z155" s="13" t="n">
        <v>24</v>
      </c>
      <c r="AA155" s="13" t="n">
        <v>24</v>
      </c>
      <c r="AB155" s="13">
        <f>IF(ISNUMBER(X155),X155+N(Y155)+N(Z155)+N(AA155),X155)</f>
        <v/>
      </c>
      <c r="AC155" s="13">
        <f>IF(ISNUMBER(AB155),AB155,"")</f>
        <v/>
      </c>
      <c r="AD155" s="13">
        <f>IF(ISNUMBER(AC155),_xlfn.RANK.EQ(AC155,$AC$2:$AC$1031),"")</f>
        <v/>
      </c>
      <c r="AE155" s="15">
        <f>IF(ISNUMBER(AF155),AF155/3630,"")</f>
        <v/>
      </c>
      <c r="AF155" s="14">
        <f>IFERROR(C155+D155+E155+F155+J155+K155+L155+M155+Q155+R155+S155+T155+IF(ISNUMBER(X155),X155,0)+N(Y155)+N(Z155)+N(AA155),"")</f>
        <v/>
      </c>
      <c r="AG155" s="14">
        <f>IF(ISNUMBER(AF155),AF155,"")</f>
        <v/>
      </c>
      <c r="AH155" s="14">
        <f>IF(ISNUMBER(AG155),_xlfn.RANK.EQ(AG155,$AG$2:$AG$1031),"")</f>
        <v/>
      </c>
    </row>
    <row r="156">
      <c r="A156" s="18" t="n">
        <v>319</v>
      </c>
      <c r="B156" s="18" t="inlineStr">
        <is>
          <t>اميره خالد فرج عوض محمد ابو الحسين</t>
        </is>
      </c>
      <c r="C156" s="1" t="n">
        <v>644.9</v>
      </c>
      <c r="D156" s="1" t="n">
        <v>25</v>
      </c>
      <c r="E156" s="1" t="n">
        <v>25</v>
      </c>
      <c r="F156" s="1" t="n">
        <v>21</v>
      </c>
      <c r="G156" s="1">
        <f>C156+D156+E156+F156</f>
        <v/>
      </c>
      <c r="H156" s="1">
        <f>IF(ISNUMBER(G156),G156,"")</f>
        <v/>
      </c>
      <c r="I156" s="1">
        <f>_xlfn.RANK.EQ(H156,$H$2:$H$1031)</f>
        <v/>
      </c>
      <c r="J156" s="5" t="n">
        <v>632.9</v>
      </c>
      <c r="K156" s="5" t="n">
        <v>49</v>
      </c>
      <c r="L156" s="5" t="n">
        <v>22</v>
      </c>
      <c r="M156" s="5" t="n">
        <v>25</v>
      </c>
      <c r="N156" s="5">
        <f>J156+K156+L156+M156</f>
        <v/>
      </c>
      <c r="O156" s="5">
        <f>IF(ISNUMBER(N156),N156,"")</f>
        <v/>
      </c>
      <c r="P156" s="5">
        <f>_xlfn.RANK.EQ(O156,$O$2:$O$1031)</f>
        <v/>
      </c>
      <c r="Q156" s="9" t="n">
        <v>288</v>
      </c>
      <c r="R156" s="9" t="n">
        <v>48</v>
      </c>
      <c r="S156" s="9" t="n">
        <v>24</v>
      </c>
      <c r="T156" s="9" t="n">
        <v>24</v>
      </c>
      <c r="U156" s="9">
        <f>Q156+R156+S156+T156</f>
        <v/>
      </c>
      <c r="V156" s="9">
        <f>IF(ISNUMBER(U156),U156,"")</f>
        <v/>
      </c>
      <c r="W156" s="9">
        <f>_xlfn.RANK.EQ(V156,$V$2:$V$1031)</f>
        <v/>
      </c>
      <c r="X156" s="13" t="n">
        <v>1568.0833333333</v>
      </c>
      <c r="Y156" s="13" t="n">
        <v>25</v>
      </c>
      <c r="Z156" s="13" t="n">
        <v>25</v>
      </c>
      <c r="AA156" s="13" t="n">
        <v>24</v>
      </c>
      <c r="AB156" s="13">
        <f>IF(ISNUMBER(X156),X156+N(Y156)+N(Z156)+N(AA156),X156)</f>
        <v/>
      </c>
      <c r="AC156" s="13">
        <f>IF(ISNUMBER(AB156),AB156,"")</f>
        <v/>
      </c>
      <c r="AD156" s="13">
        <f>IF(ISNUMBER(AC156),_xlfn.RANK.EQ(AC156,$AC$2:$AC$1031),"")</f>
        <v/>
      </c>
      <c r="AE156" s="15">
        <f>IF(ISNUMBER(AF156),AF156/3630,"")</f>
        <v/>
      </c>
      <c r="AF156" s="14">
        <f>IFERROR(C156+D156+E156+F156+J156+K156+L156+M156+Q156+R156+S156+T156+IF(ISNUMBER(X156),X156,0)+N(Y156)+N(Z156)+N(AA156),"")</f>
        <v/>
      </c>
      <c r="AG156" s="14">
        <f>IF(ISNUMBER(AF156),AF156,"")</f>
        <v/>
      </c>
      <c r="AH156" s="14">
        <f>IF(ISNUMBER(AG156),_xlfn.RANK.EQ(AG156,$AG$2:$AG$1031),"")</f>
        <v/>
      </c>
    </row>
    <row r="157">
      <c r="A157" s="18" t="n">
        <v>321</v>
      </c>
      <c r="B157" s="18" t="inlineStr">
        <is>
          <t>اميره فكري عبده الوكيل</t>
        </is>
      </c>
      <c r="C157" s="1" t="n">
        <v>418</v>
      </c>
      <c r="D157" s="1" t="n">
        <v>11</v>
      </c>
      <c r="E157" s="1" t="n">
        <v>8</v>
      </c>
      <c r="F157" s="1" t="n">
        <v>11</v>
      </c>
      <c r="G157" s="1">
        <f>C157+D157+E157+F157</f>
        <v/>
      </c>
      <c r="H157" s="1">
        <f>IF(ISNUMBER(G157),G157,"")</f>
        <v/>
      </c>
      <c r="I157" s="1">
        <f>_xlfn.RANK.EQ(H157,$H$2:$H$1031)</f>
        <v/>
      </c>
      <c r="J157" s="5" t="n">
        <v>396.8</v>
      </c>
      <c r="K157" s="5" t="n">
        <v>26</v>
      </c>
      <c r="L157" s="5" t="n">
        <v>16</v>
      </c>
      <c r="M157" s="5" t="n">
        <v>11</v>
      </c>
      <c r="N157" s="5">
        <f>J157+K157+L157+M157</f>
        <v/>
      </c>
      <c r="O157" s="5">
        <f>IF(ISNUMBER(N157),N157,"")</f>
        <v/>
      </c>
      <c r="P157" s="5">
        <f>_xlfn.RANK.EQ(O157,$O$2:$O$1031)</f>
        <v/>
      </c>
      <c r="Q157" s="9" t="n">
        <v>158</v>
      </c>
      <c r="R157" s="9" t="n">
        <v>27.5</v>
      </c>
      <c r="S157" s="9" t="n">
        <v>15</v>
      </c>
      <c r="T157" s="9" t="n">
        <v>19</v>
      </c>
      <c r="U157" s="9">
        <f>Q157+R157+S157+T157</f>
        <v/>
      </c>
      <c r="V157" s="9">
        <f>IF(ISNUMBER(U157),U157,"")</f>
        <v/>
      </c>
      <c r="W157" s="9">
        <f>_xlfn.RANK.EQ(V157,$V$2:$V$1031)</f>
        <v/>
      </c>
      <c r="X157" s="13" t="inlineStr">
        <is>
          <t>راسب</t>
        </is>
      </c>
      <c r="Y157" s="13" t="n">
        <v>16</v>
      </c>
      <c r="Z157" s="13" t="n">
        <v>10</v>
      </c>
      <c r="AA157" s="13" t="n">
        <v>16</v>
      </c>
      <c r="AB157" s="13">
        <f>IF(ISNUMBER(X157),X157+N(Y157)+N(Z157)+N(AA157),X157)</f>
        <v/>
      </c>
      <c r="AC157" s="13">
        <f>IF(ISNUMBER(AB157),AB157,"")</f>
        <v/>
      </c>
      <c r="AD157" s="13">
        <f>IF(ISNUMBER(AC157),_xlfn.RANK.EQ(AC157,$AC$2:$AC$1031),"")</f>
        <v/>
      </c>
      <c r="AE157" s="15">
        <f>IF(ISNUMBER(AF157),AF157/3630,"")</f>
        <v/>
      </c>
      <c r="AF157" s="14">
        <f>IFERROR(C157+D157+E157+F157+J157+K157+L157+M157+Q157+R157+S157+T157+IF(ISNUMBER(X157),X157,0)+N(Y157)+N(Z157)+N(AA157),"")</f>
        <v/>
      </c>
      <c r="AG157" s="14">
        <f>IF(ISNUMBER(AF157),AF157,"")</f>
        <v/>
      </c>
      <c r="AH157" s="14">
        <f>IF(ISNUMBER(AG157),_xlfn.RANK.EQ(AG157,$AG$2:$AG$1031),"")</f>
        <v/>
      </c>
    </row>
    <row r="158">
      <c r="A158" s="18" t="n">
        <v>323</v>
      </c>
      <c r="B158" s="18" t="inlineStr">
        <is>
          <t>اميمة زكريا عبد الحميد السيد عبدالرازق</t>
        </is>
      </c>
      <c r="C158" s="1" t="n">
        <v>457.8</v>
      </c>
      <c r="D158" s="1" t="n">
        <v>21</v>
      </c>
      <c r="E158" s="1" t="n">
        <v>22</v>
      </c>
      <c r="F158" s="1" t="n">
        <v>21</v>
      </c>
      <c r="G158" s="1">
        <f>C158+D158+E158+F158</f>
        <v/>
      </c>
      <c r="H158" s="1">
        <f>IF(ISNUMBER(G158),G158,"")</f>
        <v/>
      </c>
      <c r="I158" s="1">
        <f>_xlfn.RANK.EQ(H158,$H$2:$H$1031)</f>
        <v/>
      </c>
      <c r="J158" s="5" t="n">
        <v>483.1</v>
      </c>
      <c r="K158" s="5" t="n">
        <v>38</v>
      </c>
      <c r="L158" s="5" t="n">
        <v>19</v>
      </c>
      <c r="M158" s="5" t="n">
        <v>14</v>
      </c>
      <c r="N158" s="5">
        <f>J158+K158+L158+M158</f>
        <v/>
      </c>
      <c r="O158" s="5">
        <f>IF(ISNUMBER(N158),N158,"")</f>
        <v/>
      </c>
      <c r="P158" s="5">
        <f>_xlfn.RANK.EQ(O158,$O$2:$O$1031)</f>
        <v/>
      </c>
      <c r="Q158" s="9" t="n">
        <v>207</v>
      </c>
      <c r="R158" s="9" t="n">
        <v>42</v>
      </c>
      <c r="S158" s="9" t="n">
        <v>21</v>
      </c>
      <c r="T158" s="9" t="n">
        <v>22</v>
      </c>
      <c r="U158" s="9">
        <f>Q158+R158+S158+T158</f>
        <v/>
      </c>
      <c r="V158" s="9">
        <f>IF(ISNUMBER(U158),U158,"")</f>
        <v/>
      </c>
      <c r="W158" s="9">
        <f>_xlfn.RANK.EQ(V158,$V$2:$V$1031)</f>
        <v/>
      </c>
      <c r="X158" s="13" t="n">
        <v>1099.4333333333</v>
      </c>
      <c r="Y158" s="13" t="n">
        <v>25</v>
      </c>
      <c r="Z158" s="13" t="n">
        <v>21</v>
      </c>
      <c r="AA158" s="13" t="n">
        <v>22</v>
      </c>
      <c r="AB158" s="13">
        <f>IF(ISNUMBER(X158),X158+N(Y158)+N(Z158)+N(AA158),X158)</f>
        <v/>
      </c>
      <c r="AC158" s="13">
        <f>IF(ISNUMBER(AB158),AB158,"")</f>
        <v/>
      </c>
      <c r="AD158" s="13">
        <f>IF(ISNUMBER(AC158),_xlfn.RANK.EQ(AC158,$AC$2:$AC$1031),"")</f>
        <v/>
      </c>
      <c r="AE158" s="15">
        <f>IF(ISNUMBER(AF158),AF158/3630,"")</f>
        <v/>
      </c>
      <c r="AF158" s="14">
        <f>IFERROR(C158+D158+E158+F158+J158+K158+L158+M158+Q158+R158+S158+T158+IF(ISNUMBER(X158),X158,0)+N(Y158)+N(Z158)+N(AA158),"")</f>
        <v/>
      </c>
      <c r="AG158" s="14">
        <f>IF(ISNUMBER(AF158),AF158,"")</f>
        <v/>
      </c>
      <c r="AH158" s="14">
        <f>IF(ISNUMBER(AG158),_xlfn.RANK.EQ(AG158,$AG$2:$AG$1031),"")</f>
        <v/>
      </c>
    </row>
    <row r="159">
      <c r="A159" s="18" t="n">
        <v>324</v>
      </c>
      <c r="B159" s="18" t="inlineStr">
        <is>
          <t>اميمة كارم كامل جامع</t>
        </is>
      </c>
      <c r="C159" s="1" t="n">
        <v>609</v>
      </c>
      <c r="D159" s="1" t="n">
        <v>24</v>
      </c>
      <c r="E159" s="1" t="n">
        <v>20</v>
      </c>
      <c r="F159" s="1" t="n">
        <v>19</v>
      </c>
      <c r="G159" s="1">
        <f>C159+D159+E159+F159</f>
        <v/>
      </c>
      <c r="H159" s="1">
        <f>IF(ISNUMBER(G159),G159,"")</f>
        <v/>
      </c>
      <c r="I159" s="1">
        <f>_xlfn.RANK.EQ(H159,$H$2:$H$1031)</f>
        <v/>
      </c>
      <c r="J159" s="5" t="n">
        <v>564.1</v>
      </c>
      <c r="K159" s="5" t="n">
        <v>42</v>
      </c>
      <c r="L159" s="5" t="n">
        <v>19</v>
      </c>
      <c r="M159" s="5" t="n">
        <v>20</v>
      </c>
      <c r="N159" s="5">
        <f>J159+K159+L159+M159</f>
        <v/>
      </c>
      <c r="O159" s="5">
        <f>IF(ISNUMBER(N159),N159,"")</f>
        <v/>
      </c>
      <c r="P159" s="5">
        <f>_xlfn.RANK.EQ(O159,$O$2:$O$1031)</f>
        <v/>
      </c>
      <c r="Q159" s="9" t="n">
        <v>245</v>
      </c>
      <c r="R159" s="9" t="n">
        <v>45.5</v>
      </c>
      <c r="S159" s="9" t="n">
        <v>21</v>
      </c>
      <c r="T159" s="9" t="n">
        <v>24</v>
      </c>
      <c r="U159" s="9">
        <f>Q159+R159+S159+T159</f>
        <v/>
      </c>
      <c r="V159" s="9">
        <f>IF(ISNUMBER(U159),U159,"")</f>
        <v/>
      </c>
      <c r="W159" s="9">
        <f>_xlfn.RANK.EQ(V159,$V$2:$V$1031)</f>
        <v/>
      </c>
      <c r="X159" s="13" t="inlineStr">
        <is>
          <t>راسب</t>
        </is>
      </c>
      <c r="Y159" s="13" t="n">
        <v>24.5</v>
      </c>
      <c r="Z159" s="13" t="n">
        <v>19.5</v>
      </c>
      <c r="AA159" s="13" t="n">
        <v>21</v>
      </c>
      <c r="AB159" s="13">
        <f>IF(ISNUMBER(X159),X159+N(Y159)+N(Z159)+N(AA159),X159)</f>
        <v/>
      </c>
      <c r="AC159" s="13">
        <f>IF(ISNUMBER(AB159),AB159,"")</f>
        <v/>
      </c>
      <c r="AD159" s="13">
        <f>IF(ISNUMBER(AC159),_xlfn.RANK.EQ(AC159,$AC$2:$AC$1031),"")</f>
        <v/>
      </c>
      <c r="AE159" s="15">
        <f>IF(ISNUMBER(AF159),AF159/3630,"")</f>
        <v/>
      </c>
      <c r="AF159" s="14">
        <f>IFERROR(C159+D159+E159+F159+J159+K159+L159+M159+Q159+R159+S159+T159+IF(ISNUMBER(X159),X159,0)+N(Y159)+N(Z159)+N(AA159),"")</f>
        <v/>
      </c>
      <c r="AG159" s="14">
        <f>IF(ISNUMBER(AF159),AF159,"")</f>
        <v/>
      </c>
      <c r="AH159" s="14">
        <f>IF(ISNUMBER(AG159),_xlfn.RANK.EQ(AG159,$AG$2:$AG$1031),"")</f>
        <v/>
      </c>
    </row>
    <row r="160">
      <c r="A160" s="18" t="n">
        <v>327</v>
      </c>
      <c r="B160" s="18" t="inlineStr">
        <is>
          <t>امين محسن عبد الحميد عوض</t>
        </is>
      </c>
      <c r="C160" s="1" t="n">
        <v>562.2</v>
      </c>
      <c r="D160" s="1" t="n">
        <v>25</v>
      </c>
      <c r="E160" s="1" t="n">
        <v>23</v>
      </c>
      <c r="F160" s="1" t="n">
        <v>23</v>
      </c>
      <c r="G160" s="1">
        <f>C160+D160+E160+F160</f>
        <v/>
      </c>
      <c r="H160" s="1">
        <f>IF(ISNUMBER(G160),G160,"")</f>
        <v/>
      </c>
      <c r="I160" s="1">
        <f>_xlfn.RANK.EQ(H160,$H$2:$H$1031)</f>
        <v/>
      </c>
      <c r="J160" s="5" t="n">
        <v>588.9</v>
      </c>
      <c r="K160" s="5" t="n">
        <v>47</v>
      </c>
      <c r="L160" s="5" t="n">
        <v>21</v>
      </c>
      <c r="M160" s="5" t="n">
        <v>22</v>
      </c>
      <c r="N160" s="5">
        <f>J160+K160+L160+M160</f>
        <v/>
      </c>
      <c r="O160" s="5">
        <f>IF(ISNUMBER(N160),N160,"")</f>
        <v/>
      </c>
      <c r="P160" s="5">
        <f>_xlfn.RANK.EQ(O160,$O$2:$O$1031)</f>
        <v/>
      </c>
      <c r="Q160" s="9" t="n">
        <v>238</v>
      </c>
      <c r="R160" s="9" t="n">
        <v>43.5</v>
      </c>
      <c r="S160" s="9" t="n">
        <v>25</v>
      </c>
      <c r="T160" s="9" t="n">
        <v>22</v>
      </c>
      <c r="U160" s="9">
        <f>Q160+R160+S160+T160</f>
        <v/>
      </c>
      <c r="V160" s="9">
        <f>IF(ISNUMBER(U160),U160,"")</f>
        <v/>
      </c>
      <c r="W160" s="9">
        <f>_xlfn.RANK.EQ(V160,$V$2:$V$1031)</f>
        <v/>
      </c>
      <c r="X160" s="13" t="n">
        <v>1394.5833333333</v>
      </c>
      <c r="Y160" s="13" t="n">
        <v>25</v>
      </c>
      <c r="Z160" s="13" t="n">
        <v>22</v>
      </c>
      <c r="AA160" s="13" t="n">
        <v>25</v>
      </c>
      <c r="AB160" s="13">
        <f>IF(ISNUMBER(X160),X160+N(Y160)+N(Z160)+N(AA160),X160)</f>
        <v/>
      </c>
      <c r="AC160" s="13">
        <f>IF(ISNUMBER(AB160),AB160,"")</f>
        <v/>
      </c>
      <c r="AD160" s="13">
        <f>IF(ISNUMBER(AC160),_xlfn.RANK.EQ(AC160,$AC$2:$AC$1031),"")</f>
        <v/>
      </c>
      <c r="AE160" s="15">
        <f>IF(ISNUMBER(AF160),AF160/3630,"")</f>
        <v/>
      </c>
      <c r="AF160" s="14">
        <f>IFERROR(C160+D160+E160+F160+J160+K160+L160+M160+Q160+R160+S160+T160+IF(ISNUMBER(X160),X160,0)+N(Y160)+N(Z160)+N(AA160),"")</f>
        <v/>
      </c>
      <c r="AG160" s="14">
        <f>IF(ISNUMBER(AF160),AF160,"")</f>
        <v/>
      </c>
      <c r="AH160" s="14">
        <f>IF(ISNUMBER(AG160),_xlfn.RANK.EQ(AG160,$AG$2:$AG$1031),"")</f>
        <v/>
      </c>
    </row>
    <row r="161">
      <c r="A161" s="18" t="n">
        <v>328</v>
      </c>
      <c r="B161" s="18" t="inlineStr">
        <is>
          <t>انجى ابراهيم محمد البنا</t>
        </is>
      </c>
      <c r="C161" s="1" t="n">
        <v>621.4</v>
      </c>
      <c r="D161" s="1" t="n">
        <v>23</v>
      </c>
      <c r="E161" s="1" t="n">
        <v>21</v>
      </c>
      <c r="F161" s="1" t="n">
        <v>22</v>
      </c>
      <c r="G161" s="1">
        <f>C161+D161+E161+F161</f>
        <v/>
      </c>
      <c r="H161" s="1">
        <f>IF(ISNUMBER(G161),G161,"")</f>
        <v/>
      </c>
      <c r="I161" s="1">
        <f>_xlfn.RANK.EQ(H161,$H$2:$H$1031)</f>
        <v/>
      </c>
      <c r="J161" s="5" t="n">
        <v>625.4</v>
      </c>
      <c r="K161" s="5" t="n">
        <v>46</v>
      </c>
      <c r="L161" s="5" t="n">
        <v>22</v>
      </c>
      <c r="M161" s="5" t="n">
        <v>21</v>
      </c>
      <c r="N161" s="5">
        <f>J161+K161+L161+M161</f>
        <v/>
      </c>
      <c r="O161" s="5">
        <f>IF(ISNUMBER(N161),N161,"")</f>
        <v/>
      </c>
      <c r="P161" s="5">
        <f>_xlfn.RANK.EQ(O161,$O$2:$O$1031)</f>
        <v/>
      </c>
      <c r="Q161" s="9" t="n">
        <v>252</v>
      </c>
      <c r="R161" s="9" t="n">
        <v>45.5</v>
      </c>
      <c r="S161" s="9" t="n">
        <v>22</v>
      </c>
      <c r="T161" s="9" t="n">
        <v>23</v>
      </c>
      <c r="U161" s="9">
        <f>Q161+R161+S161+T161</f>
        <v/>
      </c>
      <c r="V161" s="9">
        <f>IF(ISNUMBER(U161),U161,"")</f>
        <v/>
      </c>
      <c r="W161" s="9">
        <f>_xlfn.RANK.EQ(V161,$V$2:$V$1031)</f>
        <v/>
      </c>
      <c r="X161" s="13" t="n">
        <v>1465.1333333333</v>
      </c>
      <c r="Y161" s="13" t="n">
        <v>22.5</v>
      </c>
      <c r="Z161" s="13" t="n">
        <v>22.5</v>
      </c>
      <c r="AA161" s="13" t="n">
        <v>22</v>
      </c>
      <c r="AB161" s="13">
        <f>IF(ISNUMBER(X161),X161+N(Y161)+N(Z161)+N(AA161),X161)</f>
        <v/>
      </c>
      <c r="AC161" s="13">
        <f>IF(ISNUMBER(AB161),AB161,"")</f>
        <v/>
      </c>
      <c r="AD161" s="13">
        <f>IF(ISNUMBER(AC161),_xlfn.RANK.EQ(AC161,$AC$2:$AC$1031),"")</f>
        <v/>
      </c>
      <c r="AE161" s="15">
        <f>IF(ISNUMBER(AF161),AF161/3630,"")</f>
        <v/>
      </c>
      <c r="AF161" s="14">
        <f>IFERROR(C161+D161+E161+F161+J161+K161+L161+M161+Q161+R161+S161+T161+IF(ISNUMBER(X161),X161,0)+N(Y161)+N(Z161)+N(AA161),"")</f>
        <v/>
      </c>
      <c r="AG161" s="14">
        <f>IF(ISNUMBER(AF161),AF161,"")</f>
        <v/>
      </c>
      <c r="AH161" s="14">
        <f>IF(ISNUMBER(AG161),_xlfn.RANK.EQ(AG161,$AG$2:$AG$1031),"")</f>
        <v/>
      </c>
    </row>
    <row r="162">
      <c r="A162" s="18" t="n">
        <v>329</v>
      </c>
      <c r="B162" s="18" t="inlineStr">
        <is>
          <t>انجى احمد سعد خليل ابراهيم</t>
        </is>
      </c>
      <c r="C162" s="1" t="n">
        <v>489.05</v>
      </c>
      <c r="D162" s="1" t="n">
        <v>23</v>
      </c>
      <c r="E162" s="1" t="n">
        <v>21</v>
      </c>
      <c r="F162" s="1" t="n">
        <v>21</v>
      </c>
      <c r="G162" s="1">
        <f>C162+D162+E162+F162</f>
        <v/>
      </c>
      <c r="H162" s="1">
        <f>IF(ISNUMBER(G162),G162,"")</f>
        <v/>
      </c>
      <c r="I162" s="1">
        <f>_xlfn.RANK.EQ(H162,$H$2:$H$1031)</f>
        <v/>
      </c>
      <c r="J162" s="5" t="n">
        <v>515.55</v>
      </c>
      <c r="K162" s="5" t="n">
        <v>43</v>
      </c>
      <c r="L162" s="5" t="n">
        <v>21</v>
      </c>
      <c r="M162" s="5" t="n">
        <v>22</v>
      </c>
      <c r="N162" s="5">
        <f>J162+K162+L162+M162</f>
        <v/>
      </c>
      <c r="O162" s="5">
        <f>IF(ISNUMBER(N162),N162,"")</f>
        <v/>
      </c>
      <c r="P162" s="5">
        <f>_xlfn.RANK.EQ(O162,$O$2:$O$1031)</f>
        <v/>
      </c>
      <c r="Q162" s="9" t="n">
        <v>193.5</v>
      </c>
      <c r="R162" s="9" t="n">
        <v>44.5</v>
      </c>
      <c r="S162" s="9" t="n">
        <v>23</v>
      </c>
      <c r="T162" s="9" t="n">
        <v>24</v>
      </c>
      <c r="U162" s="9">
        <f>Q162+R162+S162+T162</f>
        <v/>
      </c>
      <c r="V162" s="9">
        <f>IF(ISNUMBER(U162),U162,"")</f>
        <v/>
      </c>
      <c r="W162" s="9">
        <f>_xlfn.RANK.EQ(V162,$V$2:$V$1031)</f>
        <v/>
      </c>
      <c r="X162" s="13" t="n">
        <v>1213.4708333333</v>
      </c>
      <c r="Y162" s="13" t="n">
        <v>25</v>
      </c>
      <c r="Z162" s="13" t="n">
        <v>22</v>
      </c>
      <c r="AA162" s="13" t="n">
        <v>22</v>
      </c>
      <c r="AB162" s="13">
        <f>IF(ISNUMBER(X162),X162+N(Y162)+N(Z162)+N(AA162),X162)</f>
        <v/>
      </c>
      <c r="AC162" s="13">
        <f>IF(ISNUMBER(AB162),AB162,"")</f>
        <v/>
      </c>
      <c r="AD162" s="13">
        <f>IF(ISNUMBER(AC162),_xlfn.RANK.EQ(AC162,$AC$2:$AC$1031),"")</f>
        <v/>
      </c>
      <c r="AE162" s="15">
        <f>IF(ISNUMBER(AF162),AF162/3630,"")</f>
        <v/>
      </c>
      <c r="AF162" s="14">
        <f>IFERROR(C162+D162+E162+F162+J162+K162+L162+M162+Q162+R162+S162+T162+IF(ISNUMBER(X162),X162,0)+N(Y162)+N(Z162)+N(AA162),"")</f>
        <v/>
      </c>
      <c r="AG162" s="14">
        <f>IF(ISNUMBER(AF162),AF162,"")</f>
        <v/>
      </c>
      <c r="AH162" s="14">
        <f>IF(ISNUMBER(AG162),_xlfn.RANK.EQ(AG162,$AG$2:$AG$1031),"")</f>
        <v/>
      </c>
    </row>
    <row r="163">
      <c r="A163" s="18" t="n">
        <v>330</v>
      </c>
      <c r="B163" s="18" t="inlineStr">
        <is>
          <t>انجى جمال رمضان عبد الحليم عبد الرحمن</t>
        </is>
      </c>
      <c r="C163" s="1" t="n">
        <v>550.7</v>
      </c>
      <c r="D163" s="1" t="n">
        <v>24</v>
      </c>
      <c r="E163" s="1" t="n">
        <v>20</v>
      </c>
      <c r="F163" s="1" t="n">
        <v>15</v>
      </c>
      <c r="G163" s="1">
        <f>C163+D163+E163+F163</f>
        <v/>
      </c>
      <c r="H163" s="1">
        <f>IF(ISNUMBER(G163),G163,"")</f>
        <v/>
      </c>
      <c r="I163" s="1">
        <f>_xlfn.RANK.EQ(H163,$H$2:$H$1031)</f>
        <v/>
      </c>
      <c r="J163" s="5" t="n">
        <v>533.65</v>
      </c>
      <c r="K163" s="5" t="n">
        <v>38</v>
      </c>
      <c r="L163" s="5" t="n">
        <v>17</v>
      </c>
      <c r="M163" s="5" t="n">
        <v>13</v>
      </c>
      <c r="N163" s="5">
        <f>J163+K163+L163+M163</f>
        <v/>
      </c>
      <c r="O163" s="5">
        <f>IF(ISNUMBER(N163),N163,"")</f>
        <v/>
      </c>
      <c r="P163" s="5">
        <f>_xlfn.RANK.EQ(O163,$O$2:$O$1031)</f>
        <v/>
      </c>
      <c r="Q163" s="9" t="n">
        <v>234.5</v>
      </c>
      <c r="R163" s="9" t="n">
        <v>44.5</v>
      </c>
      <c r="S163" s="9" t="n">
        <v>20</v>
      </c>
      <c r="T163" s="9" t="n">
        <v>22</v>
      </c>
      <c r="U163" s="9">
        <f>Q163+R163+S163+T163</f>
        <v/>
      </c>
      <c r="V163" s="9">
        <f>IF(ISNUMBER(U163),U163,"")</f>
        <v/>
      </c>
      <c r="W163" s="9">
        <f>_xlfn.RANK.EQ(V163,$V$2:$V$1031)</f>
        <v/>
      </c>
      <c r="X163" s="13" t="n">
        <v>1345.4958333333</v>
      </c>
      <c r="Y163" s="13" t="n">
        <v>24</v>
      </c>
      <c r="Z163" s="13" t="n">
        <v>24</v>
      </c>
      <c r="AA163" s="13" t="n">
        <v>23</v>
      </c>
      <c r="AB163" s="13">
        <f>IF(ISNUMBER(X163),X163+N(Y163)+N(Z163)+N(AA163),X163)</f>
        <v/>
      </c>
      <c r="AC163" s="13">
        <f>IF(ISNUMBER(AB163),AB163,"")</f>
        <v/>
      </c>
      <c r="AD163" s="13">
        <f>IF(ISNUMBER(AC163),_xlfn.RANK.EQ(AC163,$AC$2:$AC$1031),"")</f>
        <v/>
      </c>
      <c r="AE163" s="15">
        <f>IF(ISNUMBER(AF163),AF163/3630,"")</f>
        <v/>
      </c>
      <c r="AF163" s="14">
        <f>IFERROR(C163+D163+E163+F163+J163+K163+L163+M163+Q163+R163+S163+T163+IF(ISNUMBER(X163),X163,0)+N(Y163)+N(Z163)+N(AA163),"")</f>
        <v/>
      </c>
      <c r="AG163" s="14">
        <f>IF(ISNUMBER(AF163),AF163,"")</f>
        <v/>
      </c>
      <c r="AH163" s="14">
        <f>IF(ISNUMBER(AG163),_xlfn.RANK.EQ(AG163,$AG$2:$AG$1031),"")</f>
        <v/>
      </c>
    </row>
    <row r="164">
      <c r="A164" s="18" t="n">
        <v>331</v>
      </c>
      <c r="B164" s="18" t="inlineStr">
        <is>
          <t>انجى علاءالدين علي محمود خضر</t>
        </is>
      </c>
      <c r="C164" s="1" t="n">
        <v>468.5</v>
      </c>
      <c r="D164" s="1" t="n">
        <v>17</v>
      </c>
      <c r="E164" s="1" t="n">
        <v>21</v>
      </c>
      <c r="F164" s="1" t="n">
        <v>18</v>
      </c>
      <c r="G164" s="1">
        <f>C164+D164+E164+F164</f>
        <v/>
      </c>
      <c r="H164" s="1">
        <f>IF(ISNUMBER(G164),G164,"")</f>
        <v/>
      </c>
      <c r="I164" s="1">
        <f>_xlfn.RANK.EQ(H164,$H$2:$H$1031)</f>
        <v/>
      </c>
      <c r="J164" s="5" t="n">
        <v>486.15</v>
      </c>
      <c r="K164" s="5" t="n">
        <v>31</v>
      </c>
      <c r="L164" s="5" t="n">
        <v>22</v>
      </c>
      <c r="M164" s="5" t="n">
        <v>14</v>
      </c>
      <c r="N164" s="5">
        <f>J164+K164+L164+M164</f>
        <v/>
      </c>
      <c r="O164" s="5">
        <f>IF(ISNUMBER(N164),N164,"")</f>
        <v/>
      </c>
      <c r="P164" s="5">
        <f>_xlfn.RANK.EQ(O164,$O$2:$O$1031)</f>
        <v/>
      </c>
      <c r="Q164" s="9" t="inlineStr">
        <is>
          <t>راسب</t>
        </is>
      </c>
      <c r="R164" s="9" t="n">
        <v>32.5</v>
      </c>
      <c r="S164" s="9" t="n">
        <v>20</v>
      </c>
      <c r="T164" s="9" t="n">
        <v>24</v>
      </c>
      <c r="U164" s="9">
        <f>Q164+R164+S164+T164</f>
        <v/>
      </c>
      <c r="V164" s="9">
        <f>IF(ISNUMBER(U164),U164,"")</f>
        <v/>
      </c>
      <c r="W164" s="9">
        <f>_xlfn.RANK.EQ(V164,$V$2:$V$1031)</f>
        <v/>
      </c>
      <c r="X164" s="13" t="n">
        <v>1210.1</v>
      </c>
      <c r="Y164" s="13" t="n">
        <v>21</v>
      </c>
      <c r="Z164" s="13" t="n">
        <v>19</v>
      </c>
      <c r="AA164" s="13" t="n">
        <v>21</v>
      </c>
      <c r="AB164" s="13">
        <f>IF(ISNUMBER(X164),X164+N(Y164)+N(Z164)+N(AA164),X164)</f>
        <v/>
      </c>
      <c r="AC164" s="13">
        <f>IF(ISNUMBER(AB164),AB164,"")</f>
        <v/>
      </c>
      <c r="AD164" s="13">
        <f>IF(ISNUMBER(AC164),_xlfn.RANK.EQ(AC164,$AC$2:$AC$1031),"")</f>
        <v/>
      </c>
      <c r="AE164" s="15">
        <f>IF(ISNUMBER(AF164),AF164/3630,"")</f>
        <v/>
      </c>
      <c r="AF164" s="14">
        <f>IFERROR(C164+D164+E164+F164+J164+K164+L164+M164+Q164+R164+S164+T164+IF(ISNUMBER(X164),X164,0)+N(Y164)+N(Z164)+N(AA164),"")</f>
        <v/>
      </c>
      <c r="AG164" s="14">
        <f>IF(ISNUMBER(AF164),AF164,"")</f>
        <v/>
      </c>
      <c r="AH164" s="14">
        <f>IF(ISNUMBER(AG164),_xlfn.RANK.EQ(AG164,$AG$2:$AG$1031),"")</f>
        <v/>
      </c>
    </row>
    <row r="165">
      <c r="A165" s="18" t="n">
        <v>332</v>
      </c>
      <c r="B165" s="18" t="inlineStr">
        <is>
          <t>انجى مهدي سعد علي الكمنجي</t>
        </is>
      </c>
      <c r="C165" s="1" t="n">
        <v>621.1</v>
      </c>
      <c r="D165" s="1" t="n">
        <v>25</v>
      </c>
      <c r="E165" s="1" t="n">
        <v>20</v>
      </c>
      <c r="F165" s="1" t="n">
        <v>23</v>
      </c>
      <c r="G165" s="1">
        <f>C165+D165+E165+F165</f>
        <v/>
      </c>
      <c r="H165" s="1">
        <f>IF(ISNUMBER(G165),G165,"")</f>
        <v/>
      </c>
      <c r="I165" s="1">
        <f>_xlfn.RANK.EQ(H165,$H$2:$H$1031)</f>
        <v/>
      </c>
      <c r="J165" s="5" t="n">
        <v>617.5</v>
      </c>
      <c r="K165" s="5" t="n">
        <v>48</v>
      </c>
      <c r="L165" s="5" t="n">
        <v>22</v>
      </c>
      <c r="M165" s="5" t="n">
        <v>23</v>
      </c>
      <c r="N165" s="5">
        <f>J165+K165+L165+M165</f>
        <v/>
      </c>
      <c r="O165" s="5">
        <f>IF(ISNUMBER(N165),N165,"")</f>
        <v/>
      </c>
      <c r="P165" s="5">
        <f>_xlfn.RANK.EQ(O165,$O$2:$O$1031)</f>
        <v/>
      </c>
      <c r="Q165" s="9" t="n">
        <v>251</v>
      </c>
      <c r="R165" s="9" t="n">
        <v>44.5</v>
      </c>
      <c r="S165" s="9" t="n">
        <v>22</v>
      </c>
      <c r="T165" s="9" t="n">
        <v>25</v>
      </c>
      <c r="U165" s="9">
        <f>Q165+R165+S165+T165</f>
        <v/>
      </c>
      <c r="V165" s="9">
        <f>IF(ISNUMBER(U165),U165,"")</f>
        <v/>
      </c>
      <c r="W165" s="9">
        <f>_xlfn.RANK.EQ(V165,$V$2:$V$1031)</f>
        <v/>
      </c>
      <c r="X165" s="13" t="n">
        <v>1477.0958333333</v>
      </c>
      <c r="Y165" s="13" t="n">
        <v>23</v>
      </c>
      <c r="Z165" s="13" t="n">
        <v>21</v>
      </c>
      <c r="AA165" s="13" t="n">
        <v>25</v>
      </c>
      <c r="AB165" s="13">
        <f>IF(ISNUMBER(X165),X165+N(Y165)+N(Z165)+N(AA165),X165)</f>
        <v/>
      </c>
      <c r="AC165" s="13">
        <f>IF(ISNUMBER(AB165),AB165,"")</f>
        <v/>
      </c>
      <c r="AD165" s="13">
        <f>IF(ISNUMBER(AC165),_xlfn.RANK.EQ(AC165,$AC$2:$AC$1031),"")</f>
        <v/>
      </c>
      <c r="AE165" s="15">
        <f>IF(ISNUMBER(AF165),AF165/3630,"")</f>
        <v/>
      </c>
      <c r="AF165" s="14">
        <f>IFERROR(C165+D165+E165+F165+J165+K165+L165+M165+Q165+R165+S165+T165+IF(ISNUMBER(X165),X165,0)+N(Y165)+N(Z165)+N(AA165),"")</f>
        <v/>
      </c>
      <c r="AG165" s="14">
        <f>IF(ISNUMBER(AF165),AF165,"")</f>
        <v/>
      </c>
      <c r="AH165" s="14">
        <f>IF(ISNUMBER(AG165),_xlfn.RANK.EQ(AG165,$AG$2:$AG$1031),"")</f>
        <v/>
      </c>
    </row>
    <row r="166">
      <c r="A166" s="18" t="n">
        <v>333</v>
      </c>
      <c r="B166" s="18" t="inlineStr">
        <is>
          <t>انجى ناصر احمد محمد حسن حسين</t>
        </is>
      </c>
      <c r="C166" s="1" t="n">
        <v>559.9</v>
      </c>
      <c r="D166" s="1" t="n">
        <v>23</v>
      </c>
      <c r="E166" s="1" t="n">
        <v>23</v>
      </c>
      <c r="F166" s="1" t="n">
        <v>23</v>
      </c>
      <c r="G166" s="1">
        <f>C166+D166+E166+F166</f>
        <v/>
      </c>
      <c r="H166" s="1">
        <f>IF(ISNUMBER(G166),G166,"")</f>
        <v/>
      </c>
      <c r="I166" s="1">
        <f>_xlfn.RANK.EQ(H166,$H$2:$H$1031)</f>
        <v/>
      </c>
      <c r="J166" s="5" t="n">
        <v>559.6</v>
      </c>
      <c r="K166" s="5" t="n">
        <v>45</v>
      </c>
      <c r="L166" s="5" t="n">
        <v>21</v>
      </c>
      <c r="M166" s="5" t="n">
        <v>23</v>
      </c>
      <c r="N166" s="5">
        <f>J166+K166+L166+M166</f>
        <v/>
      </c>
      <c r="O166" s="5">
        <f>IF(ISNUMBER(N166),N166,"")</f>
        <v/>
      </c>
      <c r="P166" s="5">
        <f>_xlfn.RANK.EQ(O166,$O$2:$O$1031)</f>
        <v/>
      </c>
      <c r="Q166" s="9" t="n">
        <v>245</v>
      </c>
      <c r="R166" s="9" t="n">
        <v>47.5</v>
      </c>
      <c r="S166" s="9" t="n">
        <v>21</v>
      </c>
      <c r="T166" s="9" t="n">
        <v>24</v>
      </c>
      <c r="U166" s="9">
        <f>Q166+R166+S166+T166</f>
        <v/>
      </c>
      <c r="V166" s="9">
        <f>IF(ISNUMBER(U166),U166,"")</f>
        <v/>
      </c>
      <c r="W166" s="9">
        <f>_xlfn.RANK.EQ(V166,$V$2:$V$1031)</f>
        <v/>
      </c>
      <c r="X166" s="13" t="n">
        <v>1383.1625</v>
      </c>
      <c r="Y166" s="13" t="n">
        <v>22.5</v>
      </c>
      <c r="Z166" s="13" t="n">
        <v>25</v>
      </c>
      <c r="AA166" s="13" t="n">
        <v>24</v>
      </c>
      <c r="AB166" s="13">
        <f>IF(ISNUMBER(X166),X166+N(Y166)+N(Z166)+N(AA166),X166)</f>
        <v/>
      </c>
      <c r="AC166" s="13">
        <f>IF(ISNUMBER(AB166),AB166,"")</f>
        <v/>
      </c>
      <c r="AD166" s="13">
        <f>IF(ISNUMBER(AC166),_xlfn.RANK.EQ(AC166,$AC$2:$AC$1031),"")</f>
        <v/>
      </c>
      <c r="AE166" s="15">
        <f>IF(ISNUMBER(AF166),AF166/3630,"")</f>
        <v/>
      </c>
      <c r="AF166" s="14">
        <f>IFERROR(C166+D166+E166+F166+J166+K166+L166+M166+Q166+R166+S166+T166+IF(ISNUMBER(X166),X166,0)+N(Y166)+N(Z166)+N(AA166),"")</f>
        <v/>
      </c>
      <c r="AG166" s="14">
        <f>IF(ISNUMBER(AF166),AF166,"")</f>
        <v/>
      </c>
      <c r="AH166" s="14">
        <f>IF(ISNUMBER(AG166),_xlfn.RANK.EQ(AG166,$AG$2:$AG$1031),"")</f>
        <v/>
      </c>
    </row>
    <row r="167">
      <c r="A167" s="18" t="n">
        <v>334</v>
      </c>
      <c r="B167" s="18" t="inlineStr">
        <is>
          <t>اندرو زكى اسحاق بدروس</t>
        </is>
      </c>
      <c r="C167" s="1" t="n">
        <v>529.6</v>
      </c>
      <c r="D167" s="1" t="n">
        <v>21</v>
      </c>
      <c r="E167" s="1" t="n">
        <v>18</v>
      </c>
      <c r="F167" s="1" t="n">
        <v>21</v>
      </c>
      <c r="G167" s="1">
        <f>C167+D167+E167+F167</f>
        <v/>
      </c>
      <c r="H167" s="1">
        <f>IF(ISNUMBER(G167),G167,"")</f>
        <v/>
      </c>
      <c r="I167" s="1">
        <f>_xlfn.RANK.EQ(H167,$H$2:$H$1031)</f>
        <v/>
      </c>
      <c r="J167" s="5" t="n">
        <v>545.5</v>
      </c>
      <c r="K167" s="5" t="n">
        <v>49</v>
      </c>
      <c r="L167" s="5" t="n">
        <v>23</v>
      </c>
      <c r="M167" s="5" t="n">
        <v>23</v>
      </c>
      <c r="N167" s="5">
        <f>J167+K167+L167+M167</f>
        <v/>
      </c>
      <c r="O167" s="5">
        <f>IF(ISNUMBER(N167),N167,"")</f>
        <v/>
      </c>
      <c r="P167" s="5">
        <f>_xlfn.RANK.EQ(O167,$O$2:$O$1031)</f>
        <v/>
      </c>
      <c r="Q167" s="9" t="n">
        <v>200</v>
      </c>
      <c r="R167" s="9" t="n">
        <v>43.5</v>
      </c>
      <c r="S167" s="9" t="n">
        <v>21</v>
      </c>
      <c r="T167" s="9" t="n">
        <v>22</v>
      </c>
      <c r="U167" s="9">
        <f>Q167+R167+S167+T167</f>
        <v/>
      </c>
      <c r="V167" s="9">
        <f>IF(ISNUMBER(U167),U167,"")</f>
        <v/>
      </c>
      <c r="W167" s="9">
        <f>_xlfn.RANK.EQ(V167,$V$2:$V$1031)</f>
        <v/>
      </c>
      <c r="X167" s="13" t="inlineStr">
        <is>
          <t>راسب</t>
        </is>
      </c>
      <c r="Y167" s="13" t="n">
        <v>20</v>
      </c>
      <c r="Z167" s="13" t="n">
        <v>17.5</v>
      </c>
      <c r="AA167" s="13" t="n">
        <v>19</v>
      </c>
      <c r="AB167" s="13">
        <f>IF(ISNUMBER(X167),X167+N(Y167)+N(Z167)+N(AA167),X167)</f>
        <v/>
      </c>
      <c r="AC167" s="13">
        <f>IF(ISNUMBER(AB167),AB167,"")</f>
        <v/>
      </c>
      <c r="AD167" s="13">
        <f>IF(ISNUMBER(AC167),_xlfn.RANK.EQ(AC167,$AC$2:$AC$1031),"")</f>
        <v/>
      </c>
      <c r="AE167" s="15">
        <f>IF(ISNUMBER(AF167),AF167/3630,"")</f>
        <v/>
      </c>
      <c r="AF167" s="14">
        <f>IFERROR(C167+D167+E167+F167+J167+K167+L167+M167+Q167+R167+S167+T167+IF(ISNUMBER(X167),X167,0)+N(Y167)+N(Z167)+N(AA167),"")</f>
        <v/>
      </c>
      <c r="AG167" s="14">
        <f>IF(ISNUMBER(AF167),AF167,"")</f>
        <v/>
      </c>
      <c r="AH167" s="14">
        <f>IF(ISNUMBER(AG167),_xlfn.RANK.EQ(AG167,$AG$2:$AG$1031),"")</f>
        <v/>
      </c>
    </row>
    <row r="168">
      <c r="A168" s="18" t="n">
        <v>340</v>
      </c>
      <c r="B168" s="18" t="inlineStr">
        <is>
          <t>انس محمد عبد الفتاح محمد</t>
        </is>
      </c>
      <c r="C168" s="1" t="n">
        <v>629.1</v>
      </c>
      <c r="D168" s="1" t="n">
        <v>25</v>
      </c>
      <c r="E168" s="1" t="n">
        <v>25</v>
      </c>
      <c r="F168" s="1" t="n">
        <v>23</v>
      </c>
      <c r="G168" s="1">
        <f>C168+D168+E168+F168</f>
        <v/>
      </c>
      <c r="H168" s="1">
        <f>IF(ISNUMBER(G168),G168,"")</f>
        <v/>
      </c>
      <c r="I168" s="1">
        <f>_xlfn.RANK.EQ(H168,$H$2:$H$1031)</f>
        <v/>
      </c>
      <c r="J168" s="5" t="n">
        <v>637</v>
      </c>
      <c r="K168" s="5" t="n">
        <v>49</v>
      </c>
      <c r="L168" s="5" t="n">
        <v>24</v>
      </c>
      <c r="M168" s="5" t="n">
        <v>23</v>
      </c>
      <c r="N168" s="5">
        <f>J168+K168+L168+M168</f>
        <v/>
      </c>
      <c r="O168" s="5">
        <f>IF(ISNUMBER(N168),N168,"")</f>
        <v/>
      </c>
      <c r="P168" s="5">
        <f>_xlfn.RANK.EQ(O168,$O$2:$O$1031)</f>
        <v/>
      </c>
      <c r="Q168" s="9" t="n">
        <v>290.5</v>
      </c>
      <c r="R168" s="9" t="n">
        <v>46.5</v>
      </c>
      <c r="S168" s="9" t="n">
        <v>25</v>
      </c>
      <c r="T168" s="9" t="n">
        <v>24.5</v>
      </c>
      <c r="U168" s="9">
        <f>Q168+R168+S168+T168</f>
        <v/>
      </c>
      <c r="V168" s="9">
        <f>IF(ISNUMBER(U168),U168,"")</f>
        <v/>
      </c>
      <c r="W168" s="9">
        <f>_xlfn.RANK.EQ(V168,$V$2:$V$1031)</f>
        <v/>
      </c>
      <c r="X168" s="13" t="n">
        <v>1509.8625</v>
      </c>
      <c r="Y168" s="13" t="n">
        <v>24</v>
      </c>
      <c r="Z168" s="13" t="n">
        <v>22.5</v>
      </c>
      <c r="AA168" s="13" t="n">
        <v>24</v>
      </c>
      <c r="AB168" s="13">
        <f>IF(ISNUMBER(X168),X168+N(Y168)+N(Z168)+N(AA168),X168)</f>
        <v/>
      </c>
      <c r="AC168" s="13">
        <f>IF(ISNUMBER(AB168),AB168,"")</f>
        <v/>
      </c>
      <c r="AD168" s="13">
        <f>IF(ISNUMBER(AC168),_xlfn.RANK.EQ(AC168,$AC$2:$AC$1031),"")</f>
        <v/>
      </c>
      <c r="AE168" s="15">
        <f>IF(ISNUMBER(AF168),AF168/3630,"")</f>
        <v/>
      </c>
      <c r="AF168" s="14">
        <f>IFERROR(C168+D168+E168+F168+J168+K168+L168+M168+Q168+R168+S168+T168+IF(ISNUMBER(X168),X168,0)+N(Y168)+N(Z168)+N(AA168),"")</f>
        <v/>
      </c>
      <c r="AG168" s="14">
        <f>IF(ISNUMBER(AF168),AF168,"")</f>
        <v/>
      </c>
      <c r="AH168" s="14">
        <f>IF(ISNUMBER(AG168),_xlfn.RANK.EQ(AG168,$AG$2:$AG$1031),"")</f>
        <v/>
      </c>
    </row>
    <row r="169">
      <c r="A169" s="18" t="n">
        <v>351</v>
      </c>
      <c r="B169" s="18" t="inlineStr">
        <is>
          <t>اياد احمد ابراهيم النحراوى</t>
        </is>
      </c>
      <c r="C169" s="1" t="n">
        <v>594.9</v>
      </c>
      <c r="D169" s="1" t="n">
        <v>24</v>
      </c>
      <c r="E169" s="1" t="n">
        <v>23</v>
      </c>
      <c r="F169" s="1" t="n">
        <v>19</v>
      </c>
      <c r="G169" s="1">
        <f>C169+D169+E169+F169</f>
        <v/>
      </c>
      <c r="H169" s="1">
        <f>IF(ISNUMBER(G169),G169,"")</f>
        <v/>
      </c>
      <c r="I169" s="1">
        <f>_xlfn.RANK.EQ(H169,$H$2:$H$1031)</f>
        <v/>
      </c>
      <c r="J169" s="5" t="n">
        <v>584.65</v>
      </c>
      <c r="K169" s="5" t="n">
        <v>48</v>
      </c>
      <c r="L169" s="5" t="n">
        <v>22</v>
      </c>
      <c r="M169" s="5" t="n">
        <v>23</v>
      </c>
      <c r="N169" s="5">
        <f>J169+K169+L169+M169</f>
        <v/>
      </c>
      <c r="O169" s="5">
        <f>IF(ISNUMBER(N169),N169,"")</f>
        <v/>
      </c>
      <c r="P169" s="5">
        <f>_xlfn.RANK.EQ(O169,$O$2:$O$1031)</f>
        <v/>
      </c>
      <c r="Q169" s="9" t="n">
        <v>272</v>
      </c>
      <c r="R169" s="9" t="n">
        <v>48</v>
      </c>
      <c r="S169" s="9" t="n">
        <v>24</v>
      </c>
      <c r="T169" s="9" t="n">
        <v>23</v>
      </c>
      <c r="U169" s="9">
        <f>Q169+R169+S169+T169</f>
        <v/>
      </c>
      <c r="V169" s="9">
        <f>IF(ISNUMBER(U169),U169,"")</f>
        <v/>
      </c>
      <c r="W169" s="9">
        <f>_xlfn.RANK.EQ(V169,$V$2:$V$1031)</f>
        <v/>
      </c>
      <c r="X169" s="13" t="n">
        <v>1511.075</v>
      </c>
      <c r="Y169" s="13" t="n">
        <v>23</v>
      </c>
      <c r="Z169" s="13" t="n">
        <v>25</v>
      </c>
      <c r="AA169" s="13" t="n">
        <v>21</v>
      </c>
      <c r="AB169" s="13">
        <f>IF(ISNUMBER(X169),X169+N(Y169)+N(Z169)+N(AA169),X169)</f>
        <v/>
      </c>
      <c r="AC169" s="13">
        <f>IF(ISNUMBER(AB169),AB169,"")</f>
        <v/>
      </c>
      <c r="AD169" s="13">
        <f>IF(ISNUMBER(AC169),_xlfn.RANK.EQ(AC169,$AC$2:$AC$1031),"")</f>
        <v/>
      </c>
      <c r="AE169" s="15">
        <f>IF(ISNUMBER(AF169),AF169/3630,"")</f>
        <v/>
      </c>
      <c r="AF169" s="14">
        <f>IFERROR(C169+D169+E169+F169+J169+K169+L169+M169+Q169+R169+S169+T169+IF(ISNUMBER(X169),X169,0)+N(Y169)+N(Z169)+N(AA169),"")</f>
        <v/>
      </c>
      <c r="AG169" s="14">
        <f>IF(ISNUMBER(AF169),AF169,"")</f>
        <v/>
      </c>
      <c r="AH169" s="14">
        <f>IF(ISNUMBER(AG169),_xlfn.RANK.EQ(AG169,$AG$2:$AG$1031),"")</f>
        <v/>
      </c>
    </row>
    <row r="170">
      <c r="A170" s="18" t="n">
        <v>357</v>
      </c>
      <c r="B170" s="18" t="inlineStr">
        <is>
          <t>اية اسلام محمود حنفي</t>
        </is>
      </c>
      <c r="C170" s="1" t="n">
        <v>626.1</v>
      </c>
      <c r="D170" s="1" t="n">
        <v>25</v>
      </c>
      <c r="E170" s="1" t="n">
        <v>24</v>
      </c>
      <c r="F170" s="1" t="n">
        <v>24</v>
      </c>
      <c r="G170" s="1">
        <f>C170+D170+E170+F170</f>
        <v/>
      </c>
      <c r="H170" s="1">
        <f>IF(ISNUMBER(G170),G170,"")</f>
        <v/>
      </c>
      <c r="I170" s="1">
        <f>_xlfn.RANK.EQ(H170,$H$2:$H$1031)</f>
        <v/>
      </c>
      <c r="J170" s="5" t="n">
        <v>617.7</v>
      </c>
      <c r="K170" s="5" t="n">
        <v>49</v>
      </c>
      <c r="L170" s="5" t="n">
        <v>23</v>
      </c>
      <c r="M170" s="5" t="n">
        <v>24</v>
      </c>
      <c r="N170" s="5">
        <f>J170+K170+L170+M170</f>
        <v/>
      </c>
      <c r="O170" s="5">
        <f>IF(ISNUMBER(N170),N170,"")</f>
        <v/>
      </c>
      <c r="P170" s="5">
        <f>_xlfn.RANK.EQ(O170,$O$2:$O$1031)</f>
        <v/>
      </c>
      <c r="Q170" s="9" t="n">
        <v>282.5</v>
      </c>
      <c r="R170" s="9" t="n">
        <v>50</v>
      </c>
      <c r="S170" s="9" t="n">
        <v>25</v>
      </c>
      <c r="T170" s="9" t="n">
        <v>23.5</v>
      </c>
      <c r="U170" s="9">
        <f>Q170+R170+S170+T170</f>
        <v/>
      </c>
      <c r="V170" s="9">
        <f>IF(ISNUMBER(U170),U170,"")</f>
        <v/>
      </c>
      <c r="W170" s="9">
        <f>_xlfn.RANK.EQ(V170,$V$2:$V$1031)</f>
        <v/>
      </c>
      <c r="X170" s="13" t="n">
        <v>1483.8833333333</v>
      </c>
      <c r="Y170" s="13" t="n">
        <v>24.5</v>
      </c>
      <c r="Z170" s="13" t="n">
        <v>24</v>
      </c>
      <c r="AA170" s="13" t="n">
        <v>25</v>
      </c>
      <c r="AB170" s="13">
        <f>IF(ISNUMBER(X170),X170+N(Y170)+N(Z170)+N(AA170),X170)</f>
        <v/>
      </c>
      <c r="AC170" s="13">
        <f>IF(ISNUMBER(AB170),AB170,"")</f>
        <v/>
      </c>
      <c r="AD170" s="13">
        <f>IF(ISNUMBER(AC170),_xlfn.RANK.EQ(AC170,$AC$2:$AC$1031),"")</f>
        <v/>
      </c>
      <c r="AE170" s="15">
        <f>IF(ISNUMBER(AF170),AF170/3630,"")</f>
        <v/>
      </c>
      <c r="AF170" s="14">
        <f>IFERROR(C170+D170+E170+F170+J170+K170+L170+M170+Q170+R170+S170+T170+IF(ISNUMBER(X170),X170,0)+N(Y170)+N(Z170)+N(AA170),"")</f>
        <v/>
      </c>
      <c r="AG170" s="14">
        <f>IF(ISNUMBER(AF170),AF170,"")</f>
        <v/>
      </c>
      <c r="AH170" s="14">
        <f>IF(ISNUMBER(AG170),_xlfn.RANK.EQ(AG170,$AG$2:$AG$1031),"")</f>
        <v/>
      </c>
    </row>
    <row r="171">
      <c r="A171" s="18" t="n">
        <v>358</v>
      </c>
      <c r="B171" s="18" t="inlineStr">
        <is>
          <t>اية اشرف احمد محمد محمد</t>
        </is>
      </c>
      <c r="C171" s="1" t="n">
        <v>566.6</v>
      </c>
      <c r="D171" s="1" t="n">
        <v>24</v>
      </c>
      <c r="E171" s="1" t="n">
        <v>25</v>
      </c>
      <c r="F171" s="1" t="n">
        <v>23</v>
      </c>
      <c r="G171" s="1">
        <f>C171+D171+E171+F171</f>
        <v/>
      </c>
      <c r="H171" s="1">
        <f>IF(ISNUMBER(G171),G171,"")</f>
        <v/>
      </c>
      <c r="I171" s="1">
        <f>_xlfn.RANK.EQ(H171,$H$2:$H$1031)</f>
        <v/>
      </c>
      <c r="J171" s="5" t="n">
        <v>602</v>
      </c>
      <c r="K171" s="5" t="n">
        <v>47</v>
      </c>
      <c r="L171" s="5" t="n">
        <v>23</v>
      </c>
      <c r="M171" s="5" t="n">
        <v>24</v>
      </c>
      <c r="N171" s="5">
        <f>J171+K171+L171+M171</f>
        <v/>
      </c>
      <c r="O171" s="5">
        <f>IF(ISNUMBER(N171),N171,"")</f>
        <v/>
      </c>
      <c r="P171" s="5">
        <f>_xlfn.RANK.EQ(O171,$O$2:$O$1031)</f>
        <v/>
      </c>
      <c r="Q171" s="9" t="n">
        <v>254</v>
      </c>
      <c r="R171" s="9" t="n">
        <v>49</v>
      </c>
      <c r="S171" s="9" t="n">
        <v>24</v>
      </c>
      <c r="T171" s="9" t="n">
        <v>22</v>
      </c>
      <c r="U171" s="9">
        <f>Q171+R171+S171+T171</f>
        <v/>
      </c>
      <c r="V171" s="9">
        <f>IF(ISNUMBER(U171),U171,"")</f>
        <v/>
      </c>
      <c r="W171" s="9">
        <f>_xlfn.RANK.EQ(V171,$V$2:$V$1031)</f>
        <v/>
      </c>
      <c r="X171" s="13" t="inlineStr">
        <is>
          <t>غ ب</t>
        </is>
      </c>
      <c r="Y171" s="13" t="n">
        <v>25</v>
      </c>
      <c r="Z171" s="13" t="n">
        <v>24.5</v>
      </c>
      <c r="AA171" s="13" t="n">
        <v>24</v>
      </c>
      <c r="AB171" s="13">
        <f>IF(ISNUMBER(X171),X171+N(Y171)+N(Z171)+N(AA171),X171)</f>
        <v/>
      </c>
      <c r="AC171" s="13">
        <f>IF(ISNUMBER(AB171),AB171,"")</f>
        <v/>
      </c>
      <c r="AD171" s="13">
        <f>IF(ISNUMBER(AC171),_xlfn.RANK.EQ(AC171,$AC$2:$AC$1031),"")</f>
        <v/>
      </c>
      <c r="AE171" s="15">
        <f>IF(ISNUMBER(AF171),AF171/3630,"")</f>
        <v/>
      </c>
      <c r="AF171" s="14">
        <f>IFERROR(C171+D171+E171+F171+J171+K171+L171+M171+Q171+R171+S171+T171+IF(ISNUMBER(X171),X171,0)+N(Y171)+N(Z171)+N(AA171),"")</f>
        <v/>
      </c>
      <c r="AG171" s="14">
        <f>IF(ISNUMBER(AF171),AF171,"")</f>
        <v/>
      </c>
      <c r="AH171" s="14">
        <f>IF(ISNUMBER(AG171),_xlfn.RANK.EQ(AG171,$AG$2:$AG$1031),"")</f>
        <v/>
      </c>
    </row>
    <row r="172">
      <c r="A172" s="18" t="n">
        <v>361</v>
      </c>
      <c r="B172" s="18" t="inlineStr">
        <is>
          <t>اية سلامة حسين عبدالمقصود الجابري</t>
        </is>
      </c>
      <c r="C172" s="1" t="n">
        <v>646.5</v>
      </c>
      <c r="D172" s="1" t="n">
        <v>25</v>
      </c>
      <c r="E172" s="1" t="n">
        <v>25</v>
      </c>
      <c r="F172" s="1" t="n">
        <v>23</v>
      </c>
      <c r="G172" s="1">
        <f>C172+D172+E172+F172</f>
        <v/>
      </c>
      <c r="H172" s="1">
        <f>IF(ISNUMBER(G172),G172,"")</f>
        <v/>
      </c>
      <c r="I172" s="1">
        <f>_xlfn.RANK.EQ(H172,$H$2:$H$1031)</f>
        <v/>
      </c>
      <c r="J172" s="5" t="n">
        <v>637</v>
      </c>
      <c r="K172" s="5" t="n">
        <v>48</v>
      </c>
      <c r="L172" s="5" t="n">
        <v>23</v>
      </c>
      <c r="M172" s="5" t="n">
        <v>25</v>
      </c>
      <c r="N172" s="5">
        <f>J172+K172+L172+M172</f>
        <v/>
      </c>
      <c r="O172" s="5">
        <f>IF(ISNUMBER(N172),N172,"")</f>
        <v/>
      </c>
      <c r="P172" s="5">
        <f>_xlfn.RANK.EQ(O172,$O$2:$O$1031)</f>
        <v/>
      </c>
      <c r="Q172" s="9" t="n">
        <v>283</v>
      </c>
      <c r="R172" s="9" t="n">
        <v>50</v>
      </c>
      <c r="S172" s="9" t="n">
        <v>24</v>
      </c>
      <c r="T172" s="9" t="n">
        <v>25</v>
      </c>
      <c r="U172" s="9">
        <f>Q172+R172+S172+T172</f>
        <v/>
      </c>
      <c r="V172" s="9">
        <f>IF(ISNUMBER(U172),U172,"")</f>
        <v/>
      </c>
      <c r="W172" s="9">
        <f>_xlfn.RANK.EQ(V172,$V$2:$V$1031)</f>
        <v/>
      </c>
      <c r="X172" s="13" t="n">
        <v>1516.1541666667</v>
      </c>
      <c r="Y172" s="13" t="n">
        <v>25</v>
      </c>
      <c r="Z172" s="13" t="n">
        <v>25</v>
      </c>
      <c r="AA172" s="13" t="n">
        <v>23</v>
      </c>
      <c r="AB172" s="13">
        <f>IF(ISNUMBER(X172),X172+N(Y172)+N(Z172)+N(AA172),X172)</f>
        <v/>
      </c>
      <c r="AC172" s="13">
        <f>IF(ISNUMBER(AB172),AB172,"")</f>
        <v/>
      </c>
      <c r="AD172" s="13">
        <f>IF(ISNUMBER(AC172),_xlfn.RANK.EQ(AC172,$AC$2:$AC$1031),"")</f>
        <v/>
      </c>
      <c r="AE172" s="15">
        <f>IF(ISNUMBER(AF172),AF172/3630,"")</f>
        <v/>
      </c>
      <c r="AF172" s="14">
        <f>IFERROR(C172+D172+E172+F172+J172+K172+L172+M172+Q172+R172+S172+T172+IF(ISNUMBER(X172),X172,0)+N(Y172)+N(Z172)+N(AA172),"")</f>
        <v/>
      </c>
      <c r="AG172" s="14">
        <f>IF(ISNUMBER(AF172),AF172,"")</f>
        <v/>
      </c>
      <c r="AH172" s="14">
        <f>IF(ISNUMBER(AG172),_xlfn.RANK.EQ(AG172,$AG$2:$AG$1031),"")</f>
        <v/>
      </c>
    </row>
    <row r="173">
      <c r="A173" s="18" t="n">
        <v>362</v>
      </c>
      <c r="B173" s="18" t="inlineStr">
        <is>
          <t>اية هشام أحمد الشناوى ابو غرارة</t>
        </is>
      </c>
      <c r="C173" s="1" t="n">
        <v>458.9</v>
      </c>
      <c r="D173" s="1" t="n">
        <v>23</v>
      </c>
      <c r="E173" s="1" t="n">
        <v>23</v>
      </c>
      <c r="F173" s="1" t="n">
        <v>20</v>
      </c>
      <c r="G173" s="1">
        <f>C173+D173+E173+F173</f>
        <v/>
      </c>
      <c r="H173" s="1">
        <f>IF(ISNUMBER(G173),G173,"")</f>
        <v/>
      </c>
      <c r="I173" s="1">
        <f>_xlfn.RANK.EQ(H173,$H$2:$H$1031)</f>
        <v/>
      </c>
      <c r="J173" s="5" t="n">
        <v>463</v>
      </c>
      <c r="K173" s="5" t="n">
        <v>46</v>
      </c>
      <c r="L173" s="5" t="n">
        <v>23</v>
      </c>
      <c r="M173" s="5" t="n">
        <v>24</v>
      </c>
      <c r="N173" s="5">
        <f>J173+K173+L173+M173</f>
        <v/>
      </c>
      <c r="O173" s="5">
        <f>IF(ISNUMBER(N173),N173,"")</f>
        <v/>
      </c>
      <c r="P173" s="5">
        <f>_xlfn.RANK.EQ(O173,$O$2:$O$1031)</f>
        <v/>
      </c>
      <c r="Q173" s="9" t="n">
        <v>243</v>
      </c>
      <c r="R173" s="9" t="n">
        <v>44</v>
      </c>
      <c r="S173" s="9" t="n">
        <v>25</v>
      </c>
      <c r="T173" s="9" t="n">
        <v>23</v>
      </c>
      <c r="U173" s="9">
        <f>Q173+R173+S173+T173</f>
        <v/>
      </c>
      <c r="V173" s="9">
        <f>IF(ISNUMBER(U173),U173,"")</f>
        <v/>
      </c>
      <c r="W173" s="9">
        <f>_xlfn.RANK.EQ(V173,$V$2:$V$1031)</f>
        <v/>
      </c>
      <c r="X173" s="13" t="n">
        <v>1368.1833333333</v>
      </c>
      <c r="Y173" s="13" t="n">
        <v>23</v>
      </c>
      <c r="Z173" s="13" t="n">
        <v>25</v>
      </c>
      <c r="AA173" s="13" t="n">
        <v>23</v>
      </c>
      <c r="AB173" s="13">
        <f>IF(ISNUMBER(X173),X173+N(Y173)+N(Z173)+N(AA173),X173)</f>
        <v/>
      </c>
      <c r="AC173" s="13">
        <f>IF(ISNUMBER(AB173),AB173,"")</f>
        <v/>
      </c>
      <c r="AD173" s="13">
        <f>IF(ISNUMBER(AC173),_xlfn.RANK.EQ(AC173,$AC$2:$AC$1031),"")</f>
        <v/>
      </c>
      <c r="AE173" s="15">
        <f>IF(ISNUMBER(AF173),AF173/3630,"")</f>
        <v/>
      </c>
      <c r="AF173" s="14">
        <f>IFERROR(C173+D173+E173+F173+J173+K173+L173+M173+Q173+R173+S173+T173+IF(ISNUMBER(X173),X173,0)+N(Y173)+N(Z173)+N(AA173),"")</f>
        <v/>
      </c>
      <c r="AG173" s="14">
        <f>IF(ISNUMBER(AF173),AF173,"")</f>
        <v/>
      </c>
      <c r="AH173" s="14">
        <f>IF(ISNUMBER(AG173),_xlfn.RANK.EQ(AG173,$AG$2:$AG$1031),"")</f>
        <v/>
      </c>
    </row>
    <row r="174">
      <c r="A174" s="18" t="n">
        <v>365</v>
      </c>
      <c r="B174" s="18" t="inlineStr">
        <is>
          <t>ايرينى حشمت بطرس برنابه</t>
        </is>
      </c>
      <c r="C174" s="1" t="n">
        <v>612.4</v>
      </c>
      <c r="D174" s="1" t="n">
        <v>22</v>
      </c>
      <c r="E174" s="1" t="n">
        <v>25</v>
      </c>
      <c r="F174" s="1" t="n">
        <v>23</v>
      </c>
      <c r="G174" s="1">
        <f>C174+D174+E174+F174</f>
        <v/>
      </c>
      <c r="H174" s="1">
        <f>IF(ISNUMBER(G174),G174,"")</f>
        <v/>
      </c>
      <c r="I174" s="1">
        <f>_xlfn.RANK.EQ(H174,$H$2:$H$1031)</f>
        <v/>
      </c>
      <c r="J174" s="5" t="n">
        <v>598.5</v>
      </c>
      <c r="K174" s="5" t="n">
        <v>49</v>
      </c>
      <c r="L174" s="5" t="n">
        <v>21</v>
      </c>
      <c r="M174" s="5" t="n">
        <v>24</v>
      </c>
      <c r="N174" s="5">
        <f>J174+K174+L174+M174</f>
        <v/>
      </c>
      <c r="O174" s="5">
        <f>IF(ISNUMBER(N174),N174,"")</f>
        <v/>
      </c>
      <c r="P174" s="5">
        <f>_xlfn.RANK.EQ(O174,$O$2:$O$1031)</f>
        <v/>
      </c>
      <c r="Q174" s="9" t="n">
        <v>258</v>
      </c>
      <c r="R174" s="9" t="n">
        <v>49.5</v>
      </c>
      <c r="S174" s="9" t="n">
        <v>24</v>
      </c>
      <c r="T174" s="9" t="n">
        <v>24</v>
      </c>
      <c r="U174" s="9">
        <f>Q174+R174+S174+T174</f>
        <v/>
      </c>
      <c r="V174" s="9">
        <f>IF(ISNUMBER(U174),U174,"")</f>
        <v/>
      </c>
      <c r="W174" s="9">
        <f>_xlfn.RANK.EQ(V174,$V$2:$V$1031)</f>
        <v/>
      </c>
      <c r="X174" s="13" t="n">
        <v>1530.4333333333</v>
      </c>
      <c r="Y174" s="13" t="n">
        <v>22</v>
      </c>
      <c r="Z174" s="13" t="n">
        <v>25</v>
      </c>
      <c r="AA174" s="13" t="n">
        <v>23</v>
      </c>
      <c r="AB174" s="13">
        <f>IF(ISNUMBER(X174),X174+N(Y174)+N(Z174)+N(AA174),X174)</f>
        <v/>
      </c>
      <c r="AC174" s="13">
        <f>IF(ISNUMBER(AB174),AB174,"")</f>
        <v/>
      </c>
      <c r="AD174" s="13">
        <f>IF(ISNUMBER(AC174),_xlfn.RANK.EQ(AC174,$AC$2:$AC$1031),"")</f>
        <v/>
      </c>
      <c r="AE174" s="15">
        <f>IF(ISNUMBER(AF174),AF174/3630,"")</f>
        <v/>
      </c>
      <c r="AF174" s="14">
        <f>IFERROR(C174+D174+E174+F174+J174+K174+L174+M174+Q174+R174+S174+T174+IF(ISNUMBER(X174),X174,0)+N(Y174)+N(Z174)+N(AA174),"")</f>
        <v/>
      </c>
      <c r="AG174" s="14">
        <f>IF(ISNUMBER(AF174),AF174,"")</f>
        <v/>
      </c>
      <c r="AH174" s="14">
        <f>IF(ISNUMBER(AG174),_xlfn.RANK.EQ(AG174,$AG$2:$AG$1031),"")</f>
        <v/>
      </c>
    </row>
    <row r="175">
      <c r="A175" s="18" t="n">
        <v>369</v>
      </c>
      <c r="B175" s="18" t="inlineStr">
        <is>
          <t>ايمان اشرف محمد محمد</t>
        </is>
      </c>
      <c r="C175" s="1" t="n">
        <v>633</v>
      </c>
      <c r="D175" s="1" t="n">
        <v>25</v>
      </c>
      <c r="E175" s="1" t="n">
        <v>25</v>
      </c>
      <c r="F175" s="1" t="n">
        <v>24</v>
      </c>
      <c r="G175" s="1">
        <f>C175+D175+E175+F175</f>
        <v/>
      </c>
      <c r="H175" s="1">
        <f>IF(ISNUMBER(G175),G175,"")</f>
        <v/>
      </c>
      <c r="I175" s="1">
        <f>_xlfn.RANK.EQ(H175,$H$2:$H$1031)</f>
        <v/>
      </c>
      <c r="J175" s="5" t="n">
        <v>577.4</v>
      </c>
      <c r="K175" s="5" t="n">
        <v>45</v>
      </c>
      <c r="L175" s="5" t="n">
        <v>22</v>
      </c>
      <c r="M175" s="5" t="n">
        <v>25</v>
      </c>
      <c r="N175" s="5">
        <f>J175+K175+L175+M175</f>
        <v/>
      </c>
      <c r="O175" s="5">
        <f>IF(ISNUMBER(N175),N175,"")</f>
        <v/>
      </c>
      <c r="P175" s="5">
        <f>_xlfn.RANK.EQ(O175,$O$2:$O$1031)</f>
        <v/>
      </c>
      <c r="Q175" s="9" t="n">
        <v>263.5</v>
      </c>
      <c r="R175" s="9" t="n">
        <v>46.5</v>
      </c>
      <c r="S175" s="9" t="n">
        <v>23</v>
      </c>
      <c r="T175" s="9" t="n">
        <v>24</v>
      </c>
      <c r="U175" s="9">
        <f>Q175+R175+S175+T175</f>
        <v/>
      </c>
      <c r="V175" s="9">
        <f>IF(ISNUMBER(U175),U175,"")</f>
        <v/>
      </c>
      <c r="W175" s="9">
        <f>_xlfn.RANK.EQ(V175,$V$2:$V$1031)</f>
        <v/>
      </c>
      <c r="X175" s="13" t="n">
        <v>1284.7083333333</v>
      </c>
      <c r="Y175" s="13" t="n">
        <v>25</v>
      </c>
      <c r="Z175" s="13" t="n">
        <v>23</v>
      </c>
      <c r="AA175" s="13" t="n">
        <v>24</v>
      </c>
      <c r="AB175" s="13">
        <f>IF(ISNUMBER(X175),X175+N(Y175)+N(Z175)+N(AA175),X175)</f>
        <v/>
      </c>
      <c r="AC175" s="13">
        <f>IF(ISNUMBER(AB175),AB175,"")</f>
        <v/>
      </c>
      <c r="AD175" s="13">
        <f>IF(ISNUMBER(AC175),_xlfn.RANK.EQ(AC175,$AC$2:$AC$1031),"")</f>
        <v/>
      </c>
      <c r="AE175" s="15">
        <f>IF(ISNUMBER(AF175),AF175/3630,"")</f>
        <v/>
      </c>
      <c r="AF175" s="14">
        <f>IFERROR(C175+D175+E175+F175+J175+K175+L175+M175+Q175+R175+S175+T175+IF(ISNUMBER(X175),X175,0)+N(Y175)+N(Z175)+N(AA175),"")</f>
        <v/>
      </c>
      <c r="AG175" s="14">
        <f>IF(ISNUMBER(AF175),AF175,"")</f>
        <v/>
      </c>
      <c r="AH175" s="14">
        <f>IF(ISNUMBER(AG175),_xlfn.RANK.EQ(AG175,$AG$2:$AG$1031),"")</f>
        <v/>
      </c>
    </row>
    <row r="176">
      <c r="A176" s="18" t="n">
        <v>370</v>
      </c>
      <c r="B176" s="18" t="inlineStr">
        <is>
          <t>ايمان بشير السيد خضر</t>
        </is>
      </c>
      <c r="C176" s="1" t="n">
        <v>423.1</v>
      </c>
      <c r="D176" s="1" t="n">
        <v>23</v>
      </c>
      <c r="E176" s="1" t="n">
        <v>18</v>
      </c>
      <c r="F176" s="1" t="n">
        <v>19</v>
      </c>
      <c r="G176" s="1">
        <f>C176+D176+E176+F176</f>
        <v/>
      </c>
      <c r="H176" s="1">
        <f>IF(ISNUMBER(G176),G176,"")</f>
        <v/>
      </c>
      <c r="I176" s="1">
        <f>_xlfn.RANK.EQ(H176,$H$2:$H$1031)</f>
        <v/>
      </c>
      <c r="J176" s="5" t="n">
        <v>432.8</v>
      </c>
      <c r="K176" s="5" t="n">
        <v>37</v>
      </c>
      <c r="L176" s="5" t="n">
        <v>18</v>
      </c>
      <c r="M176" s="5" t="n">
        <v>18</v>
      </c>
      <c r="N176" s="5">
        <f>J176+K176+L176+M176</f>
        <v/>
      </c>
      <c r="O176" s="5">
        <f>IF(ISNUMBER(N176),N176,"")</f>
        <v/>
      </c>
      <c r="P176" s="5">
        <f>_xlfn.RANK.EQ(O176,$O$2:$O$1031)</f>
        <v/>
      </c>
      <c r="Q176" s="9" t="n">
        <v>171.75</v>
      </c>
      <c r="R176" s="9" t="n">
        <v>40.5</v>
      </c>
      <c r="S176" s="9" t="n">
        <v>21</v>
      </c>
      <c r="T176" s="9" t="n">
        <v>23</v>
      </c>
      <c r="U176" s="9">
        <f>Q176+R176+S176+T176</f>
        <v/>
      </c>
      <c r="V176" s="9">
        <f>IF(ISNUMBER(U176),U176,"")</f>
        <v/>
      </c>
      <c r="W176" s="9">
        <f>_xlfn.RANK.EQ(V176,$V$2:$V$1031)</f>
        <v/>
      </c>
      <c r="X176" s="13" t="n">
        <v>1231.4916666667</v>
      </c>
      <c r="Y176" s="13" t="n">
        <v>23.5</v>
      </c>
      <c r="Z176" s="13" t="n">
        <v>24</v>
      </c>
      <c r="AA176" s="13" t="n">
        <v>21</v>
      </c>
      <c r="AB176" s="13">
        <f>IF(ISNUMBER(X176),X176+N(Y176)+N(Z176)+N(AA176),X176)</f>
        <v/>
      </c>
      <c r="AC176" s="13">
        <f>IF(ISNUMBER(AB176),AB176,"")</f>
        <v/>
      </c>
      <c r="AD176" s="13">
        <f>IF(ISNUMBER(AC176),_xlfn.RANK.EQ(AC176,$AC$2:$AC$1031),"")</f>
        <v/>
      </c>
      <c r="AE176" s="15">
        <f>IF(ISNUMBER(AF176),AF176/3630,"")</f>
        <v/>
      </c>
      <c r="AF176" s="14">
        <f>IFERROR(C176+D176+E176+F176+J176+K176+L176+M176+Q176+R176+S176+T176+IF(ISNUMBER(X176),X176,0)+N(Y176)+N(Z176)+N(AA176),"")</f>
        <v/>
      </c>
      <c r="AG176" s="14">
        <f>IF(ISNUMBER(AF176),AF176,"")</f>
        <v/>
      </c>
      <c r="AH176" s="14">
        <f>IF(ISNUMBER(AG176),_xlfn.RANK.EQ(AG176,$AG$2:$AG$1031),"")</f>
        <v/>
      </c>
    </row>
    <row r="177">
      <c r="A177" s="18" t="n">
        <v>371</v>
      </c>
      <c r="B177" s="18" t="inlineStr">
        <is>
          <t>ايمان جابر صالح خليل حماده</t>
        </is>
      </c>
      <c r="C177" s="1" t="n">
        <v>430.5</v>
      </c>
      <c r="D177" s="1" t="n">
        <v>23</v>
      </c>
      <c r="E177" s="1" t="n">
        <v>20</v>
      </c>
      <c r="F177" s="1" t="n">
        <v>22</v>
      </c>
      <c r="G177" s="1">
        <f>C177+D177+E177+F177</f>
        <v/>
      </c>
      <c r="H177" s="1">
        <f>IF(ISNUMBER(G177),G177,"")</f>
        <v/>
      </c>
      <c r="I177" s="1">
        <f>_xlfn.RANK.EQ(H177,$H$2:$H$1031)</f>
        <v/>
      </c>
      <c r="J177" s="5" t="n">
        <v>425.5</v>
      </c>
      <c r="K177" s="5" t="n">
        <v>0</v>
      </c>
      <c r="L177" s="5" t="n">
        <v>0</v>
      </c>
      <c r="M177" s="5" t="n">
        <v>0</v>
      </c>
      <c r="N177" s="5">
        <f>J177+K177+L177+M177</f>
        <v/>
      </c>
      <c r="O177" s="5">
        <f>IF(ISNUMBER(N177),N177,"")</f>
        <v/>
      </c>
      <c r="P177" s="5">
        <f>_xlfn.RANK.EQ(O177,$O$2:$O$1031)</f>
        <v/>
      </c>
      <c r="Q177" s="9" t="n">
        <v>179</v>
      </c>
      <c r="R177" s="9" t="n">
        <v>45.5</v>
      </c>
      <c r="S177" s="9" t="n">
        <v>25</v>
      </c>
      <c r="T177" s="9" t="n">
        <v>24</v>
      </c>
      <c r="U177" s="9">
        <f>Q177+R177+S177+T177</f>
        <v/>
      </c>
      <c r="V177" s="9">
        <f>IF(ISNUMBER(U177),U177,"")</f>
        <v/>
      </c>
      <c r="W177" s="9">
        <f>_xlfn.RANK.EQ(V177,$V$2:$V$1031)</f>
        <v/>
      </c>
      <c r="X177" s="13" t="n">
        <v>1208.3625</v>
      </c>
      <c r="Y177" s="13" t="n">
        <v>24.5</v>
      </c>
      <c r="Z177" s="13" t="n">
        <v>25</v>
      </c>
      <c r="AA177" s="13" t="n">
        <v>25</v>
      </c>
      <c r="AB177" s="13">
        <f>IF(ISNUMBER(X177),X177+N(Y177)+N(Z177)+N(AA177),X177)</f>
        <v/>
      </c>
      <c r="AC177" s="13">
        <f>IF(ISNUMBER(AB177),AB177,"")</f>
        <v/>
      </c>
      <c r="AD177" s="13">
        <f>IF(ISNUMBER(AC177),_xlfn.RANK.EQ(AC177,$AC$2:$AC$1031),"")</f>
        <v/>
      </c>
      <c r="AE177" s="15">
        <f>IF(ISNUMBER(AF177),AF177/3630,"")</f>
        <v/>
      </c>
      <c r="AF177" s="14">
        <f>IFERROR(C177+D177+E177+F177+J177+K177+L177+M177+Q177+R177+S177+T177+IF(ISNUMBER(X177),X177,0)+N(Y177)+N(Z177)+N(AA177),"")</f>
        <v/>
      </c>
      <c r="AG177" s="14">
        <f>IF(ISNUMBER(AF177),AF177,"")</f>
        <v/>
      </c>
      <c r="AH177" s="14">
        <f>IF(ISNUMBER(AG177),_xlfn.RANK.EQ(AG177,$AG$2:$AG$1031),"")</f>
        <v/>
      </c>
    </row>
    <row r="178">
      <c r="A178" s="18" t="n">
        <v>372</v>
      </c>
      <c r="B178" s="18" t="inlineStr">
        <is>
          <t>ايمان شعبان مسعود عبداللطيف</t>
        </is>
      </c>
      <c r="C178" s="1" t="n">
        <v>485.9</v>
      </c>
      <c r="D178" s="1" t="n">
        <v>22</v>
      </c>
      <c r="E178" s="1" t="n">
        <v>17</v>
      </c>
      <c r="F178" s="1" t="n">
        <v>16</v>
      </c>
      <c r="G178" s="1">
        <f>C178+D178+E178+F178</f>
        <v/>
      </c>
      <c r="H178" s="1">
        <f>IF(ISNUMBER(G178),G178,"")</f>
        <v/>
      </c>
      <c r="I178" s="1">
        <f>_xlfn.RANK.EQ(H178,$H$2:$H$1031)</f>
        <v/>
      </c>
      <c r="J178" s="5" t="n">
        <v>500.5</v>
      </c>
      <c r="K178" s="5" t="n">
        <v>36</v>
      </c>
      <c r="L178" s="5" t="n">
        <v>22</v>
      </c>
      <c r="M178" s="5" t="n">
        <v>16</v>
      </c>
      <c r="N178" s="5">
        <f>J178+K178+L178+M178</f>
        <v/>
      </c>
      <c r="O178" s="5">
        <f>IF(ISNUMBER(N178),N178,"")</f>
        <v/>
      </c>
      <c r="P178" s="5">
        <f>_xlfn.RANK.EQ(O178,$O$2:$O$1031)</f>
        <v/>
      </c>
      <c r="Q178" s="9" t="n">
        <v>222</v>
      </c>
      <c r="R178" s="9" t="n">
        <v>38</v>
      </c>
      <c r="S178" s="9" t="n">
        <v>21</v>
      </c>
      <c r="T178" s="9" t="n">
        <v>20</v>
      </c>
      <c r="U178" s="9">
        <f>Q178+R178+S178+T178</f>
        <v/>
      </c>
      <c r="V178" s="9">
        <f>IF(ISNUMBER(U178),U178,"")</f>
        <v/>
      </c>
      <c r="W178" s="9">
        <f>_xlfn.RANK.EQ(V178,$V$2:$V$1031)</f>
        <v/>
      </c>
      <c r="X178" s="13" t="n">
        <v>1291.2541666667</v>
      </c>
      <c r="Y178" s="13" t="n">
        <v>23.5</v>
      </c>
      <c r="Z178" s="13" t="n">
        <v>18</v>
      </c>
      <c r="AA178" s="13" t="n">
        <v>17</v>
      </c>
      <c r="AB178" s="13">
        <f>IF(ISNUMBER(X178),X178+N(Y178)+N(Z178)+N(AA178),X178)</f>
        <v/>
      </c>
      <c r="AC178" s="13">
        <f>IF(ISNUMBER(AB178),AB178,"")</f>
        <v/>
      </c>
      <c r="AD178" s="13">
        <f>IF(ISNUMBER(AC178),_xlfn.RANK.EQ(AC178,$AC$2:$AC$1031),"")</f>
        <v/>
      </c>
      <c r="AE178" s="15">
        <f>IF(ISNUMBER(AF178),AF178/3630,"")</f>
        <v/>
      </c>
      <c r="AF178" s="14">
        <f>IFERROR(C178+D178+E178+F178+J178+K178+L178+M178+Q178+R178+S178+T178+IF(ISNUMBER(X178),X178,0)+N(Y178)+N(Z178)+N(AA178),"")</f>
        <v/>
      </c>
      <c r="AG178" s="14">
        <f>IF(ISNUMBER(AF178),AF178,"")</f>
        <v/>
      </c>
      <c r="AH178" s="14">
        <f>IF(ISNUMBER(AG178),_xlfn.RANK.EQ(AG178,$AG$2:$AG$1031),"")</f>
        <v/>
      </c>
    </row>
    <row r="179">
      <c r="A179" s="18" t="n">
        <v>374</v>
      </c>
      <c r="B179" s="18" t="inlineStr">
        <is>
          <t>ايمان عبدالله عبدالله ابراهيم ناصر</t>
        </is>
      </c>
      <c r="C179" s="1" t="n">
        <v>467.2</v>
      </c>
      <c r="D179" s="1" t="n">
        <v>23</v>
      </c>
      <c r="E179" s="1" t="n">
        <v>21</v>
      </c>
      <c r="F179" s="1" t="n">
        <v>23</v>
      </c>
      <c r="G179" s="1">
        <f>C179+D179+E179+F179</f>
        <v/>
      </c>
      <c r="H179" s="1">
        <f>IF(ISNUMBER(G179),G179,"")</f>
        <v/>
      </c>
      <c r="I179" s="1">
        <f>_xlfn.RANK.EQ(H179,$H$2:$H$1031)</f>
        <v/>
      </c>
      <c r="J179" s="5" t="n">
        <v>520.9</v>
      </c>
      <c r="K179" s="5" t="n">
        <v>43</v>
      </c>
      <c r="L179" s="5" t="n">
        <v>21</v>
      </c>
      <c r="M179" s="5" t="n">
        <v>22</v>
      </c>
      <c r="N179" s="5">
        <f>J179+K179+L179+M179</f>
        <v/>
      </c>
      <c r="O179" s="5">
        <f>IF(ISNUMBER(N179),N179,"")</f>
        <v/>
      </c>
      <c r="P179" s="5">
        <f>_xlfn.RANK.EQ(O179,$O$2:$O$1031)</f>
        <v/>
      </c>
      <c r="Q179" s="9" t="n">
        <v>221</v>
      </c>
      <c r="R179" s="9" t="n">
        <v>44</v>
      </c>
      <c r="S179" s="9" t="n">
        <v>23</v>
      </c>
      <c r="T179" s="9" t="n">
        <v>23</v>
      </c>
      <c r="U179" s="9">
        <f>Q179+R179+S179+T179</f>
        <v/>
      </c>
      <c r="V179" s="9">
        <f>IF(ISNUMBER(U179),U179,"")</f>
        <v/>
      </c>
      <c r="W179" s="9">
        <f>_xlfn.RANK.EQ(V179,$V$2:$V$1031)</f>
        <v/>
      </c>
      <c r="X179" s="13" t="n">
        <v>1163.3458333333</v>
      </c>
      <c r="Y179" s="13" t="n">
        <v>24.5</v>
      </c>
      <c r="Z179" s="13" t="n">
        <v>23</v>
      </c>
      <c r="AA179" s="13" t="n">
        <v>20</v>
      </c>
      <c r="AB179" s="13">
        <f>IF(ISNUMBER(X179),X179+N(Y179)+N(Z179)+N(AA179),X179)</f>
        <v/>
      </c>
      <c r="AC179" s="13">
        <f>IF(ISNUMBER(AB179),AB179,"")</f>
        <v/>
      </c>
      <c r="AD179" s="13">
        <f>IF(ISNUMBER(AC179),_xlfn.RANK.EQ(AC179,$AC$2:$AC$1031),"")</f>
        <v/>
      </c>
      <c r="AE179" s="15">
        <f>IF(ISNUMBER(AF179),AF179/3630,"")</f>
        <v/>
      </c>
      <c r="AF179" s="14">
        <f>IFERROR(C179+D179+E179+F179+J179+K179+L179+M179+Q179+R179+S179+T179+IF(ISNUMBER(X179),X179,0)+N(Y179)+N(Z179)+N(AA179),"")</f>
        <v/>
      </c>
      <c r="AG179" s="14">
        <f>IF(ISNUMBER(AF179),AF179,"")</f>
        <v/>
      </c>
      <c r="AH179" s="14">
        <f>IF(ISNUMBER(AG179),_xlfn.RANK.EQ(AG179,$AG$2:$AG$1031),"")</f>
        <v/>
      </c>
    </row>
    <row r="180">
      <c r="A180" s="18" t="n">
        <v>375</v>
      </c>
      <c r="B180" s="18" t="inlineStr">
        <is>
          <t>ايمان عفيف محمد ابوكلوب</t>
        </is>
      </c>
      <c r="C180" s="1" t="n">
        <v>395</v>
      </c>
      <c r="D180" s="1" t="n"/>
      <c r="E180" s="1" t="n"/>
      <c r="F180" s="1" t="n"/>
      <c r="G180" s="1">
        <f>C180+D180+E180+F180</f>
        <v/>
      </c>
      <c r="H180" s="1">
        <f>IF(ISNUMBER(G180),G180,"")</f>
        <v/>
      </c>
      <c r="I180" s="1">
        <f>_xlfn.RANK.EQ(H180,$H$2:$H$1031)</f>
        <v/>
      </c>
      <c r="J180" s="5" t="n">
        <v>405.2</v>
      </c>
      <c r="K180" s="5" t="n">
        <v>44</v>
      </c>
      <c r="L180" s="5" t="n">
        <v>17</v>
      </c>
      <c r="M180" s="5" t="n">
        <v>22</v>
      </c>
      <c r="N180" s="5">
        <f>J180+K180+L180+M180</f>
        <v/>
      </c>
      <c r="O180" s="5">
        <f>IF(ISNUMBER(N180),N180,"")</f>
        <v/>
      </c>
      <c r="P180" s="5">
        <f>_xlfn.RANK.EQ(O180,$O$2:$O$1031)</f>
        <v/>
      </c>
      <c r="Q180" s="9" t="n">
        <v>254.5</v>
      </c>
      <c r="R180" s="9" t="n">
        <v>19.5</v>
      </c>
      <c r="S180" s="9" t="n">
        <v>20</v>
      </c>
      <c r="T180" s="9" t="n">
        <v>18</v>
      </c>
      <c r="U180" s="9">
        <f>Q180+R180+S180+T180</f>
        <v/>
      </c>
      <c r="V180" s="9">
        <f>IF(ISNUMBER(U180),U180,"")</f>
        <v/>
      </c>
      <c r="W180" s="9">
        <f>_xlfn.RANK.EQ(V180,$V$2:$V$1031)</f>
        <v/>
      </c>
      <c r="X180" s="13" t="inlineStr">
        <is>
          <t>راسب</t>
        </is>
      </c>
      <c r="Y180" s="13" t="n">
        <v>11.5</v>
      </c>
      <c r="Z180" s="13" t="n">
        <v>23</v>
      </c>
      <c r="AA180" s="13" t="n">
        <v>18</v>
      </c>
      <c r="AB180" s="13">
        <f>IF(ISNUMBER(X180),X180+N(Y180)+N(Z180)+N(AA180),X180)</f>
        <v/>
      </c>
      <c r="AC180" s="13">
        <f>IF(ISNUMBER(AB180),AB180,"")</f>
        <v/>
      </c>
      <c r="AD180" s="13">
        <f>IF(ISNUMBER(AC180),_xlfn.RANK.EQ(AC180,$AC$2:$AC$1031),"")</f>
        <v/>
      </c>
      <c r="AE180" s="15">
        <f>IF(ISNUMBER(AF180),AF180/3630,"")</f>
        <v/>
      </c>
      <c r="AF180" s="14">
        <f>IFERROR(C180+D180+E180+F180+J180+K180+L180+M180+Q180+R180+S180+T180+IF(ISNUMBER(X180),X180,0)+N(Y180)+N(Z180)+N(AA180),"")</f>
        <v/>
      </c>
      <c r="AG180" s="14">
        <f>IF(ISNUMBER(AF180),AF180,"")</f>
        <v/>
      </c>
      <c r="AH180" s="14">
        <f>IF(ISNUMBER(AG180),_xlfn.RANK.EQ(AG180,$AG$2:$AG$1031),"")</f>
        <v/>
      </c>
    </row>
    <row r="181">
      <c r="A181" s="18" t="n">
        <v>376</v>
      </c>
      <c r="B181" s="18" t="inlineStr">
        <is>
          <t>ايمان عماد محمد عبد الرسول عيد</t>
        </is>
      </c>
      <c r="C181" s="1" t="n">
        <v>640</v>
      </c>
      <c r="D181" s="1" t="n">
        <v>25</v>
      </c>
      <c r="E181" s="1" t="n">
        <v>25</v>
      </c>
      <c r="F181" s="1" t="n">
        <v>23</v>
      </c>
      <c r="G181" s="1">
        <f>C181+D181+E181+F181</f>
        <v/>
      </c>
      <c r="H181" s="1">
        <f>IF(ISNUMBER(G181),G181,"")</f>
        <v/>
      </c>
      <c r="I181" s="1">
        <f>_xlfn.RANK.EQ(H181,$H$2:$H$1031)</f>
        <v/>
      </c>
      <c r="J181" s="5" t="n">
        <v>634.55</v>
      </c>
      <c r="K181" s="5" t="n">
        <v>47</v>
      </c>
      <c r="L181" s="5" t="n">
        <v>23</v>
      </c>
      <c r="M181" s="5" t="n">
        <v>25</v>
      </c>
      <c r="N181" s="5">
        <f>J181+K181+L181+M181</f>
        <v/>
      </c>
      <c r="O181" s="5">
        <f>IF(ISNUMBER(N181),N181,"")</f>
        <v/>
      </c>
      <c r="P181" s="5">
        <f>_xlfn.RANK.EQ(O181,$O$2:$O$1031)</f>
        <v/>
      </c>
      <c r="Q181" s="9" t="n">
        <v>290</v>
      </c>
      <c r="R181" s="9" t="n">
        <v>46.5</v>
      </c>
      <c r="S181" s="9" t="n">
        <v>25</v>
      </c>
      <c r="T181" s="9" t="n">
        <v>25</v>
      </c>
      <c r="U181" s="9">
        <f>Q181+R181+S181+T181</f>
        <v/>
      </c>
      <c r="V181" s="9">
        <f>IF(ISNUMBER(U181),U181,"")</f>
        <v/>
      </c>
      <c r="W181" s="9">
        <f>_xlfn.RANK.EQ(V181,$V$2:$V$1031)</f>
        <v/>
      </c>
      <c r="X181" s="13" t="n">
        <v>1567.4166666667</v>
      </c>
      <c r="Y181" s="13" t="n">
        <v>25</v>
      </c>
      <c r="Z181" s="13" t="n">
        <v>25</v>
      </c>
      <c r="AA181" s="13" t="n">
        <v>25</v>
      </c>
      <c r="AB181" s="13">
        <f>IF(ISNUMBER(X181),X181+N(Y181)+N(Z181)+N(AA181),X181)</f>
        <v/>
      </c>
      <c r="AC181" s="13">
        <f>IF(ISNUMBER(AB181),AB181,"")</f>
        <v/>
      </c>
      <c r="AD181" s="13">
        <f>IF(ISNUMBER(AC181),_xlfn.RANK.EQ(AC181,$AC$2:$AC$1031),"")</f>
        <v/>
      </c>
      <c r="AE181" s="15">
        <f>IF(ISNUMBER(AF181),AF181/3630,"")</f>
        <v/>
      </c>
      <c r="AF181" s="14">
        <f>IFERROR(C181+D181+E181+F181+J181+K181+L181+M181+Q181+R181+S181+T181+IF(ISNUMBER(X181),X181,0)+N(Y181)+N(Z181)+N(AA181),"")</f>
        <v/>
      </c>
      <c r="AG181" s="14">
        <f>IF(ISNUMBER(AF181),AF181,"")</f>
        <v/>
      </c>
      <c r="AH181" s="14">
        <f>IF(ISNUMBER(AG181),_xlfn.RANK.EQ(AG181,$AG$2:$AG$1031),"")</f>
        <v/>
      </c>
    </row>
    <row r="182">
      <c r="A182" s="18" t="n">
        <v>377</v>
      </c>
      <c r="B182" s="18" t="inlineStr">
        <is>
          <t>ايمان محمد ابراهيم صبري أمين</t>
        </is>
      </c>
      <c r="C182" s="1" t="n">
        <v>494.3</v>
      </c>
      <c r="D182" s="1" t="n">
        <v>23</v>
      </c>
      <c r="E182" s="1" t="n">
        <v>22</v>
      </c>
      <c r="F182" s="1" t="n">
        <v>19</v>
      </c>
      <c r="G182" s="1">
        <f>C182+D182+E182+F182</f>
        <v/>
      </c>
      <c r="H182" s="1">
        <f>IF(ISNUMBER(G182),G182,"")</f>
        <v/>
      </c>
      <c r="I182" s="1">
        <f>_xlfn.RANK.EQ(H182,$H$2:$H$1031)</f>
        <v/>
      </c>
      <c r="J182" s="5" t="n">
        <v>532.4</v>
      </c>
      <c r="K182" s="5" t="n">
        <v>46</v>
      </c>
      <c r="L182" s="5" t="n">
        <v>24</v>
      </c>
      <c r="M182" s="5" t="n">
        <v>24</v>
      </c>
      <c r="N182" s="5">
        <f>J182+K182+L182+M182</f>
        <v/>
      </c>
      <c r="O182" s="5">
        <f>IF(ISNUMBER(N182),N182,"")</f>
        <v/>
      </c>
      <c r="P182" s="5">
        <f>_xlfn.RANK.EQ(O182,$O$2:$O$1031)</f>
        <v/>
      </c>
      <c r="Q182" s="9" t="n">
        <v>265</v>
      </c>
      <c r="R182" s="9" t="n">
        <v>46</v>
      </c>
      <c r="S182" s="9" t="n">
        <v>24</v>
      </c>
      <c r="T182" s="9" t="n">
        <v>25</v>
      </c>
      <c r="U182" s="9">
        <f>Q182+R182+S182+T182</f>
        <v/>
      </c>
      <c r="V182" s="9">
        <f>IF(ISNUMBER(U182),U182,"")</f>
        <v/>
      </c>
      <c r="W182" s="9">
        <f>_xlfn.RANK.EQ(V182,$V$2:$V$1031)</f>
        <v/>
      </c>
      <c r="X182" s="13" t="n">
        <v>1328.8083333333</v>
      </c>
      <c r="Y182" s="13" t="n">
        <v>24.5</v>
      </c>
      <c r="Z182" s="13" t="n">
        <v>23</v>
      </c>
      <c r="AA182" s="13" t="n">
        <v>24</v>
      </c>
      <c r="AB182" s="13">
        <f>IF(ISNUMBER(X182),X182+N(Y182)+N(Z182)+N(AA182),X182)</f>
        <v/>
      </c>
      <c r="AC182" s="13">
        <f>IF(ISNUMBER(AB182),AB182,"")</f>
        <v/>
      </c>
      <c r="AD182" s="13">
        <f>IF(ISNUMBER(AC182),_xlfn.RANK.EQ(AC182,$AC$2:$AC$1031),"")</f>
        <v/>
      </c>
      <c r="AE182" s="15">
        <f>IF(ISNUMBER(AF182),AF182/3630,"")</f>
        <v/>
      </c>
      <c r="AF182" s="14">
        <f>IFERROR(C182+D182+E182+F182+J182+K182+L182+M182+Q182+R182+S182+T182+IF(ISNUMBER(X182),X182,0)+N(Y182)+N(Z182)+N(AA182),"")</f>
        <v/>
      </c>
      <c r="AG182" s="14">
        <f>IF(ISNUMBER(AF182),AF182,"")</f>
        <v/>
      </c>
      <c r="AH182" s="14">
        <f>IF(ISNUMBER(AG182),_xlfn.RANK.EQ(AG182,$AG$2:$AG$1031),"")</f>
        <v/>
      </c>
    </row>
    <row r="183">
      <c r="A183" s="18" t="n">
        <v>378</v>
      </c>
      <c r="B183" s="18" t="inlineStr">
        <is>
          <t>ايمان محمد عبد المنعم عبد المجيد خطاب</t>
        </is>
      </c>
      <c r="C183" s="1" t="n">
        <v>593.3</v>
      </c>
      <c r="D183" s="1" t="n">
        <v>22</v>
      </c>
      <c r="E183" s="1" t="n">
        <v>24</v>
      </c>
      <c r="F183" s="1" t="n">
        <v>23</v>
      </c>
      <c r="G183" s="1">
        <f>C183+D183+E183+F183</f>
        <v/>
      </c>
      <c r="H183" s="1">
        <f>IF(ISNUMBER(G183),G183,"")</f>
        <v/>
      </c>
      <c r="I183" s="1">
        <f>_xlfn.RANK.EQ(H183,$H$2:$H$1031)</f>
        <v/>
      </c>
      <c r="J183" s="5" t="n">
        <v>601.65</v>
      </c>
      <c r="K183" s="5" t="n">
        <v>46</v>
      </c>
      <c r="L183" s="5" t="n">
        <v>22</v>
      </c>
      <c r="M183" s="5" t="n">
        <v>25</v>
      </c>
      <c r="N183" s="5">
        <f>J183+K183+L183+M183</f>
        <v/>
      </c>
      <c r="O183" s="5">
        <f>IF(ISNUMBER(N183),N183,"")</f>
        <v/>
      </c>
      <c r="P183" s="5">
        <f>_xlfn.RANK.EQ(O183,$O$2:$O$1031)</f>
        <v/>
      </c>
      <c r="Q183" s="9" t="n">
        <v>269</v>
      </c>
      <c r="R183" s="9" t="n">
        <v>43</v>
      </c>
      <c r="S183" s="9" t="n">
        <v>24</v>
      </c>
      <c r="T183" s="9" t="n">
        <v>23</v>
      </c>
      <c r="U183" s="9">
        <f>Q183+R183+S183+T183</f>
        <v/>
      </c>
      <c r="V183" s="9">
        <f>IF(ISNUMBER(U183),U183,"")</f>
        <v/>
      </c>
      <c r="W183" s="9">
        <f>_xlfn.RANK.EQ(V183,$V$2:$V$1031)</f>
        <v/>
      </c>
      <c r="X183" s="13" t="n">
        <v>1435.4291666667</v>
      </c>
      <c r="Y183" s="13" t="n">
        <v>21.5</v>
      </c>
      <c r="Z183" s="13" t="n">
        <v>24</v>
      </c>
      <c r="AA183" s="13" t="n">
        <v>24</v>
      </c>
      <c r="AB183" s="13">
        <f>IF(ISNUMBER(X183),X183+N(Y183)+N(Z183)+N(AA183),X183)</f>
        <v/>
      </c>
      <c r="AC183" s="13">
        <f>IF(ISNUMBER(AB183),AB183,"")</f>
        <v/>
      </c>
      <c r="AD183" s="13">
        <f>IF(ISNUMBER(AC183),_xlfn.RANK.EQ(AC183,$AC$2:$AC$1031),"")</f>
        <v/>
      </c>
      <c r="AE183" s="15">
        <f>IF(ISNUMBER(AF183),AF183/3630,"")</f>
        <v/>
      </c>
      <c r="AF183" s="14">
        <f>IFERROR(C183+D183+E183+F183+J183+K183+L183+M183+Q183+R183+S183+T183+IF(ISNUMBER(X183),X183,0)+N(Y183)+N(Z183)+N(AA183),"")</f>
        <v/>
      </c>
      <c r="AG183" s="14">
        <f>IF(ISNUMBER(AF183),AF183,"")</f>
        <v/>
      </c>
      <c r="AH183" s="14">
        <f>IF(ISNUMBER(AG183),_xlfn.RANK.EQ(AG183,$AG$2:$AG$1031),"")</f>
        <v/>
      </c>
    </row>
    <row r="184">
      <c r="A184" s="18" t="n">
        <v>379</v>
      </c>
      <c r="B184" s="18" t="inlineStr">
        <is>
          <t>ايمان محمد عثمان محمد حسن</t>
        </is>
      </c>
      <c r="C184" s="1" t="n">
        <v>637.7</v>
      </c>
      <c r="D184" s="1" t="n">
        <v>24</v>
      </c>
      <c r="E184" s="1" t="n">
        <v>25</v>
      </c>
      <c r="F184" s="1" t="n">
        <v>23</v>
      </c>
      <c r="G184" s="1">
        <f>C184+D184+E184+F184</f>
        <v/>
      </c>
      <c r="H184" s="1">
        <f>IF(ISNUMBER(G184),G184,"")</f>
        <v/>
      </c>
      <c r="I184" s="1">
        <f>_xlfn.RANK.EQ(H184,$H$2:$H$1031)</f>
        <v/>
      </c>
      <c r="J184" s="5" t="n">
        <v>615.2</v>
      </c>
      <c r="K184" s="5" t="n">
        <v>49</v>
      </c>
      <c r="L184" s="5" t="n">
        <v>22</v>
      </c>
      <c r="M184" s="5" t="n">
        <v>24</v>
      </c>
      <c r="N184" s="5">
        <f>J184+K184+L184+M184</f>
        <v/>
      </c>
      <c r="O184" s="5">
        <f>IF(ISNUMBER(N184),N184,"")</f>
        <v/>
      </c>
      <c r="P184" s="5">
        <f>_xlfn.RANK.EQ(O184,$O$2:$O$1031)</f>
        <v/>
      </c>
      <c r="Q184" s="9" t="n">
        <v>274.5</v>
      </c>
      <c r="R184" s="9" t="n">
        <v>48.5</v>
      </c>
      <c r="S184" s="9" t="n">
        <v>24</v>
      </c>
      <c r="T184" s="9" t="n">
        <v>23</v>
      </c>
      <c r="U184" s="9">
        <f>Q184+R184+S184+T184</f>
        <v/>
      </c>
      <c r="V184" s="9">
        <f>IF(ISNUMBER(U184),U184,"")</f>
        <v/>
      </c>
      <c r="W184" s="9">
        <f>_xlfn.RANK.EQ(V184,$V$2:$V$1031)</f>
        <v/>
      </c>
      <c r="X184" s="13" t="n">
        <v>1450.625</v>
      </c>
      <c r="Y184" s="13" t="n">
        <v>25</v>
      </c>
      <c r="Z184" s="13" t="n">
        <v>25</v>
      </c>
      <c r="AA184" s="13" t="n">
        <v>23</v>
      </c>
      <c r="AB184" s="13">
        <f>IF(ISNUMBER(X184),X184+N(Y184)+N(Z184)+N(AA184),X184)</f>
        <v/>
      </c>
      <c r="AC184" s="13">
        <f>IF(ISNUMBER(AB184),AB184,"")</f>
        <v/>
      </c>
      <c r="AD184" s="13">
        <f>IF(ISNUMBER(AC184),_xlfn.RANK.EQ(AC184,$AC$2:$AC$1031),"")</f>
        <v/>
      </c>
      <c r="AE184" s="15">
        <f>IF(ISNUMBER(AF184),AF184/3630,"")</f>
        <v/>
      </c>
      <c r="AF184" s="14">
        <f>IFERROR(C184+D184+E184+F184+J184+K184+L184+M184+Q184+R184+S184+T184+IF(ISNUMBER(X184),X184,0)+N(Y184)+N(Z184)+N(AA184),"")</f>
        <v/>
      </c>
      <c r="AG184" s="14">
        <f>IF(ISNUMBER(AF184),AF184,"")</f>
        <v/>
      </c>
      <c r="AH184" s="14">
        <f>IF(ISNUMBER(AG184),_xlfn.RANK.EQ(AG184,$AG$2:$AG$1031),"")</f>
        <v/>
      </c>
    </row>
    <row r="185">
      <c r="A185" s="18" t="n">
        <v>380</v>
      </c>
      <c r="B185" s="18" t="inlineStr">
        <is>
          <t>ايمان وليد محمد بكر محمود</t>
        </is>
      </c>
      <c r="C185" s="1" t="n">
        <v>540.2</v>
      </c>
      <c r="D185" s="1" t="n">
        <v>23</v>
      </c>
      <c r="E185" s="1" t="n">
        <v>20</v>
      </c>
      <c r="F185" s="1" t="n">
        <v>21</v>
      </c>
      <c r="G185" s="1">
        <f>C185+D185+E185+F185</f>
        <v/>
      </c>
      <c r="H185" s="1">
        <f>IF(ISNUMBER(G185),G185,"")</f>
        <v/>
      </c>
      <c r="I185" s="1">
        <f>_xlfn.RANK.EQ(H185,$H$2:$H$1031)</f>
        <v/>
      </c>
      <c r="J185" s="5" t="n">
        <v>539.5</v>
      </c>
      <c r="K185" s="5" t="n">
        <v>45</v>
      </c>
      <c r="L185" s="5" t="n">
        <v>16</v>
      </c>
      <c r="M185" s="5" t="n">
        <v>21</v>
      </c>
      <c r="N185" s="5">
        <f>J185+K185+L185+M185</f>
        <v/>
      </c>
      <c r="O185" s="5">
        <f>IF(ISNUMBER(N185),N185,"")</f>
        <v/>
      </c>
      <c r="P185" s="5">
        <f>_xlfn.RANK.EQ(O185,$O$2:$O$1031)</f>
        <v/>
      </c>
      <c r="Q185" s="9" t="n">
        <v>232</v>
      </c>
      <c r="R185" s="9" t="n">
        <v>38</v>
      </c>
      <c r="S185" s="9" t="n">
        <v>24</v>
      </c>
      <c r="T185" s="9" t="n">
        <v>25</v>
      </c>
      <c r="U185" s="9">
        <f>Q185+R185+S185+T185</f>
        <v/>
      </c>
      <c r="V185" s="9">
        <f>IF(ISNUMBER(U185),U185,"")</f>
        <v/>
      </c>
      <c r="W185" s="9">
        <f>_xlfn.RANK.EQ(V185,$V$2:$V$1031)</f>
        <v/>
      </c>
      <c r="X185" s="13" t="n">
        <v>1381.5083333333</v>
      </c>
      <c r="Y185" s="13" t="n">
        <v>18.5</v>
      </c>
      <c r="Z185" s="13" t="n">
        <v>25</v>
      </c>
      <c r="AA185" s="13" t="n">
        <v>20</v>
      </c>
      <c r="AB185" s="13">
        <f>IF(ISNUMBER(X185),X185+N(Y185)+N(Z185)+N(AA185),X185)</f>
        <v/>
      </c>
      <c r="AC185" s="13">
        <f>IF(ISNUMBER(AB185),AB185,"")</f>
        <v/>
      </c>
      <c r="AD185" s="13">
        <f>IF(ISNUMBER(AC185),_xlfn.RANK.EQ(AC185,$AC$2:$AC$1031),"")</f>
        <v/>
      </c>
      <c r="AE185" s="15">
        <f>IF(ISNUMBER(AF185),AF185/3630,"")</f>
        <v/>
      </c>
      <c r="AF185" s="14">
        <f>IFERROR(C185+D185+E185+F185+J185+K185+L185+M185+Q185+R185+S185+T185+IF(ISNUMBER(X185),X185,0)+N(Y185)+N(Z185)+N(AA185),"")</f>
        <v/>
      </c>
      <c r="AG185" s="14">
        <f>IF(ISNUMBER(AF185),AF185,"")</f>
        <v/>
      </c>
      <c r="AH185" s="14">
        <f>IF(ISNUMBER(AG185),_xlfn.RANK.EQ(AG185,$AG$2:$AG$1031),"")</f>
        <v/>
      </c>
    </row>
    <row r="186">
      <c r="A186" s="18" t="n">
        <v>384</v>
      </c>
      <c r="B186" s="18" t="inlineStr">
        <is>
          <t>ايمن عصام فهمى علي الصابر</t>
        </is>
      </c>
      <c r="C186" s="1" t="n">
        <v>551.1</v>
      </c>
      <c r="D186" s="1" t="n">
        <v>23</v>
      </c>
      <c r="E186" s="1" t="n">
        <v>21</v>
      </c>
      <c r="F186" s="1" t="n">
        <v>23</v>
      </c>
      <c r="G186" s="1">
        <f>C186+D186+E186+F186</f>
        <v/>
      </c>
      <c r="H186" s="1">
        <f>IF(ISNUMBER(G186),G186,"")</f>
        <v/>
      </c>
      <c r="I186" s="1">
        <f>_xlfn.RANK.EQ(H186,$H$2:$H$1031)</f>
        <v/>
      </c>
      <c r="J186" s="5" t="n">
        <v>575</v>
      </c>
      <c r="K186" s="5" t="n">
        <v>46</v>
      </c>
      <c r="L186" s="5" t="n">
        <v>21</v>
      </c>
      <c r="M186" s="5" t="n">
        <v>22</v>
      </c>
      <c r="N186" s="5">
        <f>J186+K186+L186+M186</f>
        <v/>
      </c>
      <c r="O186" s="5">
        <f>IF(ISNUMBER(N186),N186,"")</f>
        <v/>
      </c>
      <c r="P186" s="5">
        <f>_xlfn.RANK.EQ(O186,$O$2:$O$1031)</f>
        <v/>
      </c>
      <c r="Q186" s="9" t="n">
        <v>217</v>
      </c>
      <c r="R186" s="9" t="n">
        <v>43.5</v>
      </c>
      <c r="S186" s="9" t="n">
        <v>24</v>
      </c>
      <c r="T186" s="9" t="n">
        <v>24.5</v>
      </c>
      <c r="U186" s="9">
        <f>Q186+R186+S186+T186</f>
        <v/>
      </c>
      <c r="V186" s="9">
        <f>IF(ISNUMBER(U186),U186,"")</f>
        <v/>
      </c>
      <c r="W186" s="9">
        <f>_xlfn.RANK.EQ(V186,$V$2:$V$1031)</f>
        <v/>
      </c>
      <c r="X186" s="13" t="n">
        <v>1318.725</v>
      </c>
      <c r="Y186" s="13" t="n">
        <v>24</v>
      </c>
      <c r="Z186" s="13" t="n">
        <v>25</v>
      </c>
      <c r="AA186" s="13" t="n">
        <v>23</v>
      </c>
      <c r="AB186" s="13">
        <f>IF(ISNUMBER(X186),X186+N(Y186)+N(Z186)+N(AA186),X186)</f>
        <v/>
      </c>
      <c r="AC186" s="13">
        <f>IF(ISNUMBER(AB186),AB186,"")</f>
        <v/>
      </c>
      <c r="AD186" s="13">
        <f>IF(ISNUMBER(AC186),_xlfn.RANK.EQ(AC186,$AC$2:$AC$1031),"")</f>
        <v/>
      </c>
      <c r="AE186" s="15">
        <f>IF(ISNUMBER(AF186),AF186/3630,"")</f>
        <v/>
      </c>
      <c r="AF186" s="14">
        <f>IFERROR(C186+D186+E186+F186+J186+K186+L186+M186+Q186+R186+S186+T186+IF(ISNUMBER(X186),X186,0)+N(Y186)+N(Z186)+N(AA186),"")</f>
        <v/>
      </c>
      <c r="AG186" s="14">
        <f>IF(ISNUMBER(AF186),AF186,"")</f>
        <v/>
      </c>
      <c r="AH186" s="14">
        <f>IF(ISNUMBER(AG186),_xlfn.RANK.EQ(AG186,$AG$2:$AG$1031),"")</f>
        <v/>
      </c>
    </row>
    <row r="187">
      <c r="A187" s="18" t="n">
        <v>387</v>
      </c>
      <c r="B187" s="18" t="inlineStr">
        <is>
          <t>ايمن نصرالدين شوقي محمد ابراهيم</t>
        </is>
      </c>
      <c r="C187" s="1" t="n">
        <v>612.3</v>
      </c>
      <c r="D187" s="1" t="n">
        <v>22</v>
      </c>
      <c r="E187" s="1" t="n">
        <v>25</v>
      </c>
      <c r="F187" s="1" t="n">
        <v>20</v>
      </c>
      <c r="G187" s="1">
        <f>C187+D187+E187+F187</f>
        <v/>
      </c>
      <c r="H187" s="1">
        <f>IF(ISNUMBER(G187),G187,"")</f>
        <v/>
      </c>
      <c r="I187" s="1">
        <f>_xlfn.RANK.EQ(H187,$H$2:$H$1031)</f>
        <v/>
      </c>
      <c r="J187" s="5" t="n">
        <v>623.3</v>
      </c>
      <c r="K187" s="5" t="n">
        <v>49</v>
      </c>
      <c r="L187" s="5" t="n">
        <v>22</v>
      </c>
      <c r="M187" s="5" t="n">
        <v>21</v>
      </c>
      <c r="N187" s="5">
        <f>J187+K187+L187+M187</f>
        <v/>
      </c>
      <c r="O187" s="5">
        <f>IF(ISNUMBER(N187),N187,"")</f>
        <v/>
      </c>
      <c r="P187" s="5">
        <f>_xlfn.RANK.EQ(O187,$O$2:$O$1031)</f>
        <v/>
      </c>
      <c r="Q187" s="9" t="n">
        <v>262</v>
      </c>
      <c r="R187" s="9" t="n">
        <v>39.5</v>
      </c>
      <c r="S187" s="9" t="n">
        <v>23</v>
      </c>
      <c r="T187" s="9" t="n">
        <v>24</v>
      </c>
      <c r="U187" s="9">
        <f>Q187+R187+S187+T187</f>
        <v/>
      </c>
      <c r="V187" s="9">
        <f>IF(ISNUMBER(U187),U187,"")</f>
        <v/>
      </c>
      <c r="W187" s="9">
        <f>_xlfn.RANK.EQ(V187,$V$2:$V$1031)</f>
        <v/>
      </c>
      <c r="X187" s="13" t="n">
        <v>1163.9041666667</v>
      </c>
      <c r="Y187" s="13" t="n">
        <v>24</v>
      </c>
      <c r="Z187" s="13" t="n">
        <v>24</v>
      </c>
      <c r="AA187" s="13" t="n">
        <v>18</v>
      </c>
      <c r="AB187" s="13">
        <f>IF(ISNUMBER(X187),X187+N(Y187)+N(Z187)+N(AA187),X187)</f>
        <v/>
      </c>
      <c r="AC187" s="13">
        <f>IF(ISNUMBER(AB187),AB187,"")</f>
        <v/>
      </c>
      <c r="AD187" s="13">
        <f>IF(ISNUMBER(AC187),_xlfn.RANK.EQ(AC187,$AC$2:$AC$1031),"")</f>
        <v/>
      </c>
      <c r="AE187" s="15">
        <f>IF(ISNUMBER(AF187),AF187/3630,"")</f>
        <v/>
      </c>
      <c r="AF187" s="14">
        <f>IFERROR(C187+D187+E187+F187+J187+K187+L187+M187+Q187+R187+S187+T187+IF(ISNUMBER(X187),X187,0)+N(Y187)+N(Z187)+N(AA187),"")</f>
        <v/>
      </c>
      <c r="AG187" s="14">
        <f>IF(ISNUMBER(AF187),AF187,"")</f>
        <v/>
      </c>
      <c r="AH187" s="14">
        <f>IF(ISNUMBER(AG187),_xlfn.RANK.EQ(AG187,$AG$2:$AG$1031),"")</f>
        <v/>
      </c>
    </row>
    <row r="188">
      <c r="A188" s="18" t="n">
        <v>389</v>
      </c>
      <c r="B188" s="18" t="inlineStr">
        <is>
          <t>اينور اسامه  عطيه عبده</t>
        </is>
      </c>
      <c r="C188" s="1" t="n">
        <v>559.7</v>
      </c>
      <c r="D188" s="1" t="n">
        <v>23</v>
      </c>
      <c r="E188" s="1" t="n">
        <v>15</v>
      </c>
      <c r="F188" s="1" t="n">
        <v>16</v>
      </c>
      <c r="G188" s="1">
        <f>C188+D188+E188+F188</f>
        <v/>
      </c>
      <c r="H188" s="1">
        <f>IF(ISNUMBER(G188),G188,"")</f>
        <v/>
      </c>
      <c r="I188" s="1">
        <f>_xlfn.RANK.EQ(H188,$H$2:$H$1031)</f>
        <v/>
      </c>
      <c r="J188" s="5" t="n">
        <v>548.55</v>
      </c>
      <c r="K188" s="5" t="n">
        <v>48</v>
      </c>
      <c r="L188" s="5" t="n">
        <v>22</v>
      </c>
      <c r="M188" s="5" t="n">
        <v>22</v>
      </c>
      <c r="N188" s="5">
        <f>J188+K188+L188+M188</f>
        <v/>
      </c>
      <c r="O188" s="5">
        <f>IF(ISNUMBER(N188),N188,"")</f>
        <v/>
      </c>
      <c r="P188" s="5">
        <f>_xlfn.RANK.EQ(O188,$O$2:$O$1031)</f>
        <v/>
      </c>
      <c r="Q188" s="9" t="n">
        <v>223.5</v>
      </c>
      <c r="R188" s="9" t="n">
        <v>38</v>
      </c>
      <c r="S188" s="9" t="n">
        <v>21</v>
      </c>
      <c r="T188" s="9" t="n">
        <v>24</v>
      </c>
      <c r="U188" s="9">
        <f>Q188+R188+S188+T188</f>
        <v/>
      </c>
      <c r="V188" s="9">
        <f>IF(ISNUMBER(U188),U188,"")</f>
        <v/>
      </c>
      <c r="W188" s="9">
        <f>_xlfn.RANK.EQ(V188,$V$2:$V$1031)</f>
        <v/>
      </c>
      <c r="X188" s="13" t="n">
        <v>1289.5166666667</v>
      </c>
      <c r="Y188" s="13" t="n">
        <v>24.5</v>
      </c>
      <c r="Z188" s="13" t="n">
        <v>23</v>
      </c>
      <c r="AA188" s="13" t="n">
        <v>21</v>
      </c>
      <c r="AB188" s="13">
        <f>IF(ISNUMBER(X188),X188+N(Y188)+N(Z188)+N(AA188),X188)</f>
        <v/>
      </c>
      <c r="AC188" s="13">
        <f>IF(ISNUMBER(AB188),AB188,"")</f>
        <v/>
      </c>
      <c r="AD188" s="13">
        <f>IF(ISNUMBER(AC188),_xlfn.RANK.EQ(AC188,$AC$2:$AC$1031),"")</f>
        <v/>
      </c>
      <c r="AE188" s="15">
        <f>IF(ISNUMBER(AF188),AF188/3630,"")</f>
        <v/>
      </c>
      <c r="AF188" s="14">
        <f>IFERROR(C188+D188+E188+F188+J188+K188+L188+M188+Q188+R188+S188+T188+IF(ISNUMBER(X188),X188,0)+N(Y188)+N(Z188)+N(AA188),"")</f>
        <v/>
      </c>
      <c r="AG188" s="14">
        <f>IF(ISNUMBER(AF188),AF188,"")</f>
        <v/>
      </c>
      <c r="AH188" s="14">
        <f>IF(ISNUMBER(AG188),_xlfn.RANK.EQ(AG188,$AG$2:$AG$1031),"")</f>
        <v/>
      </c>
    </row>
    <row r="189">
      <c r="A189" s="18" t="n">
        <v>391</v>
      </c>
      <c r="B189" s="18" t="inlineStr">
        <is>
          <t>ايه احمد عبده عبد الله خليفة</t>
        </is>
      </c>
      <c r="C189" s="1" t="n">
        <v>486.3</v>
      </c>
      <c r="D189" s="1" t="n">
        <v>23</v>
      </c>
      <c r="E189" s="1" t="n">
        <v>24</v>
      </c>
      <c r="F189" s="1" t="n">
        <v>25</v>
      </c>
      <c r="G189" s="1">
        <f>C189+D189+E189+F189</f>
        <v/>
      </c>
      <c r="H189" s="1">
        <f>IF(ISNUMBER(G189),G189,"")</f>
        <v/>
      </c>
      <c r="I189" s="1">
        <f>_xlfn.RANK.EQ(H189,$H$2:$H$1031)</f>
        <v/>
      </c>
      <c r="J189" s="5" t="n">
        <v>479.55</v>
      </c>
      <c r="K189" s="5" t="n">
        <v>48</v>
      </c>
      <c r="L189" s="5" t="n">
        <v>21</v>
      </c>
      <c r="M189" s="5" t="n">
        <v>23</v>
      </c>
      <c r="N189" s="5">
        <f>J189+K189+L189+M189</f>
        <v/>
      </c>
      <c r="O189" s="5">
        <f>IF(ISNUMBER(N189),N189,"")</f>
        <v/>
      </c>
      <c r="P189" s="5">
        <f>_xlfn.RANK.EQ(O189,$O$2:$O$1031)</f>
        <v/>
      </c>
      <c r="Q189" s="9" t="n">
        <v>170</v>
      </c>
      <c r="R189" s="9" t="n">
        <v>45.5</v>
      </c>
      <c r="S189" s="9" t="n">
        <v>21</v>
      </c>
      <c r="T189" s="9" t="n">
        <v>20.5</v>
      </c>
      <c r="U189" s="9">
        <f>Q189+R189+S189+T189</f>
        <v/>
      </c>
      <c r="V189" s="9">
        <f>IF(ISNUMBER(U189),U189,"")</f>
        <v/>
      </c>
      <c r="W189" s="9">
        <f>_xlfn.RANK.EQ(V189,$V$2:$V$1031)</f>
        <v/>
      </c>
      <c r="X189" s="13" t="inlineStr">
        <is>
          <t>راسب</t>
        </is>
      </c>
      <c r="Y189" s="13" t="n">
        <v>22</v>
      </c>
      <c r="Z189" s="13" t="n">
        <v>19</v>
      </c>
      <c r="AA189" s="13" t="n">
        <v>16</v>
      </c>
      <c r="AB189" s="13">
        <f>IF(ISNUMBER(X189),X189+N(Y189)+N(Z189)+N(AA189),X189)</f>
        <v/>
      </c>
      <c r="AC189" s="13">
        <f>IF(ISNUMBER(AB189),AB189,"")</f>
        <v/>
      </c>
      <c r="AD189" s="13">
        <f>IF(ISNUMBER(AC189),_xlfn.RANK.EQ(AC189,$AC$2:$AC$1031),"")</f>
        <v/>
      </c>
      <c r="AE189" s="15">
        <f>IF(ISNUMBER(AF189),AF189/3630,"")</f>
        <v/>
      </c>
      <c r="AF189" s="14">
        <f>IFERROR(C189+D189+E189+F189+J189+K189+L189+M189+Q189+R189+S189+T189+IF(ISNUMBER(X189),X189,0)+N(Y189)+N(Z189)+N(AA189),"")</f>
        <v/>
      </c>
      <c r="AG189" s="14">
        <f>IF(ISNUMBER(AF189),AF189,"")</f>
        <v/>
      </c>
      <c r="AH189" s="14">
        <f>IF(ISNUMBER(AG189),_xlfn.RANK.EQ(AG189,$AG$2:$AG$1031),"")</f>
        <v/>
      </c>
    </row>
    <row r="190">
      <c r="A190" s="18" t="n">
        <v>392</v>
      </c>
      <c r="B190" s="18" t="inlineStr">
        <is>
          <t>ايه احمد وهبه احمد المناوى</t>
        </is>
      </c>
      <c r="C190" s="1" t="n">
        <v>640.6</v>
      </c>
      <c r="D190" s="1" t="n">
        <v>25</v>
      </c>
      <c r="E190" s="1" t="n">
        <v>25</v>
      </c>
      <c r="F190" s="1" t="n">
        <v>22</v>
      </c>
      <c r="G190" s="1">
        <f>C190+D190+E190+F190</f>
        <v/>
      </c>
      <c r="H190" s="1">
        <f>IF(ISNUMBER(G190),G190,"")</f>
        <v/>
      </c>
      <c r="I190" s="1">
        <f>_xlfn.RANK.EQ(H190,$H$2:$H$1031)</f>
        <v/>
      </c>
      <c r="J190" s="5" t="n">
        <v>626.2</v>
      </c>
      <c r="K190" s="5" t="n">
        <v>49</v>
      </c>
      <c r="L190" s="5" t="n">
        <v>24</v>
      </c>
      <c r="M190" s="5" t="n">
        <v>24</v>
      </c>
      <c r="N190" s="5">
        <f>J190+K190+L190+M190</f>
        <v/>
      </c>
      <c r="O190" s="5">
        <f>IF(ISNUMBER(N190),N190,"")</f>
        <v/>
      </c>
      <c r="P190" s="5">
        <f>_xlfn.RANK.EQ(O190,$O$2:$O$1031)</f>
        <v/>
      </c>
      <c r="Q190" s="9" t="n">
        <v>272</v>
      </c>
      <c r="R190" s="9" t="n">
        <v>48.5</v>
      </c>
      <c r="S190" s="9" t="n">
        <v>25</v>
      </c>
      <c r="T190" s="9" t="n">
        <v>24.5</v>
      </c>
      <c r="U190" s="9">
        <f>Q190+R190+S190+T190</f>
        <v/>
      </c>
      <c r="V190" s="9">
        <f>IF(ISNUMBER(U190),U190,"")</f>
        <v/>
      </c>
      <c r="W190" s="9">
        <f>_xlfn.RANK.EQ(V190,$V$2:$V$1031)</f>
        <v/>
      </c>
      <c r="X190" s="13" t="n">
        <v>1525.5125</v>
      </c>
      <c r="Y190" s="13" t="n">
        <v>25</v>
      </c>
      <c r="Z190" s="13" t="n">
        <v>25</v>
      </c>
      <c r="AA190" s="13" t="n">
        <v>24</v>
      </c>
      <c r="AB190" s="13">
        <f>IF(ISNUMBER(X190),X190+N(Y190)+N(Z190)+N(AA190),X190)</f>
        <v/>
      </c>
      <c r="AC190" s="13">
        <f>IF(ISNUMBER(AB190),AB190,"")</f>
        <v/>
      </c>
      <c r="AD190" s="13">
        <f>IF(ISNUMBER(AC190),_xlfn.RANK.EQ(AC190,$AC$2:$AC$1031),"")</f>
        <v/>
      </c>
      <c r="AE190" s="15">
        <f>IF(ISNUMBER(AF190),AF190/3630,"")</f>
        <v/>
      </c>
      <c r="AF190" s="14">
        <f>IFERROR(C190+D190+E190+F190+J190+K190+L190+M190+Q190+R190+S190+T190+IF(ISNUMBER(X190),X190,0)+N(Y190)+N(Z190)+N(AA190),"")</f>
        <v/>
      </c>
      <c r="AG190" s="14">
        <f>IF(ISNUMBER(AF190),AF190,"")</f>
        <v/>
      </c>
      <c r="AH190" s="14">
        <f>IF(ISNUMBER(AG190),_xlfn.RANK.EQ(AG190,$AG$2:$AG$1031),"")</f>
        <v/>
      </c>
    </row>
    <row r="191">
      <c r="A191" s="18" t="n">
        <v>393</v>
      </c>
      <c r="B191" s="18" t="inlineStr">
        <is>
          <t>ايه اشرف محمد ابراهيم</t>
        </is>
      </c>
      <c r="C191" s="1" t="n">
        <v>422</v>
      </c>
      <c r="D191" s="1" t="n">
        <v>20</v>
      </c>
      <c r="E191" s="1" t="n">
        <v>12</v>
      </c>
      <c r="F191" s="1" t="n">
        <v>19</v>
      </c>
      <c r="G191" s="1">
        <f>C191+D191+E191+F191</f>
        <v/>
      </c>
      <c r="H191" s="1">
        <f>IF(ISNUMBER(G191),G191,"")</f>
        <v/>
      </c>
      <c r="I191" s="1">
        <f>_xlfn.RANK.EQ(H191,$H$2:$H$1031)</f>
        <v/>
      </c>
      <c r="J191" s="5" t="n">
        <v>435.75</v>
      </c>
      <c r="K191" s="5" t="n">
        <v>31</v>
      </c>
      <c r="L191" s="5" t="n">
        <v>13</v>
      </c>
      <c r="M191" s="5" t="n">
        <v>15</v>
      </c>
      <c r="N191" s="5">
        <f>J191+K191+L191+M191</f>
        <v/>
      </c>
      <c r="O191" s="5">
        <f>IF(ISNUMBER(N191),N191,"")</f>
        <v/>
      </c>
      <c r="P191" s="5">
        <f>_xlfn.RANK.EQ(O191,$O$2:$O$1031)</f>
        <v/>
      </c>
      <c r="Q191" s="9" t="n">
        <v>171.75</v>
      </c>
      <c r="R191" s="9" t="n">
        <v>29.5</v>
      </c>
      <c r="S191" s="9" t="n">
        <v>17</v>
      </c>
      <c r="T191" s="9" t="n">
        <v>21</v>
      </c>
      <c r="U191" s="9">
        <f>Q191+R191+S191+T191</f>
        <v/>
      </c>
      <c r="V191" s="9">
        <f>IF(ISNUMBER(U191),U191,"")</f>
        <v/>
      </c>
      <c r="W191" s="9">
        <f>_xlfn.RANK.EQ(V191,$V$2:$V$1031)</f>
        <v/>
      </c>
      <c r="X191" s="13" t="inlineStr">
        <is>
          <t>راسب</t>
        </is>
      </c>
      <c r="Y191" s="13" t="n">
        <v>24</v>
      </c>
      <c r="Z191" s="13" t="n">
        <v>17</v>
      </c>
      <c r="AA191" s="13" t="n">
        <v>19</v>
      </c>
      <c r="AB191" s="13">
        <f>IF(ISNUMBER(X191),X191+N(Y191)+N(Z191)+N(AA191),X191)</f>
        <v/>
      </c>
      <c r="AC191" s="13">
        <f>IF(ISNUMBER(AB191),AB191,"")</f>
        <v/>
      </c>
      <c r="AD191" s="13">
        <f>IF(ISNUMBER(AC191),_xlfn.RANK.EQ(AC191,$AC$2:$AC$1031),"")</f>
        <v/>
      </c>
      <c r="AE191" s="15">
        <f>IF(ISNUMBER(AF191),AF191/3630,"")</f>
        <v/>
      </c>
      <c r="AF191" s="14">
        <f>IFERROR(C191+D191+E191+F191+J191+K191+L191+M191+Q191+R191+S191+T191+IF(ISNUMBER(X191),X191,0)+N(Y191)+N(Z191)+N(AA191),"")</f>
        <v/>
      </c>
      <c r="AG191" s="14">
        <f>IF(ISNUMBER(AF191),AF191,"")</f>
        <v/>
      </c>
      <c r="AH191" s="14">
        <f>IF(ISNUMBER(AG191),_xlfn.RANK.EQ(AG191,$AG$2:$AG$1031),"")</f>
        <v/>
      </c>
    </row>
    <row r="192">
      <c r="A192" s="18" t="n">
        <v>394</v>
      </c>
      <c r="B192" s="18" t="inlineStr">
        <is>
          <t>ايه اشرف محمد عبدالحميد شرف الدين</t>
        </is>
      </c>
      <c r="C192" s="1" t="n">
        <v>584.1</v>
      </c>
      <c r="D192" s="1" t="n">
        <v>25</v>
      </c>
      <c r="E192" s="1" t="n">
        <v>22</v>
      </c>
      <c r="F192" s="1" t="n">
        <v>21</v>
      </c>
      <c r="G192" s="1">
        <f>C192+D192+E192+F192</f>
        <v/>
      </c>
      <c r="H192" s="1">
        <f>IF(ISNUMBER(G192),G192,"")</f>
        <v/>
      </c>
      <c r="I192" s="1">
        <f>_xlfn.RANK.EQ(H192,$H$2:$H$1031)</f>
        <v/>
      </c>
      <c r="J192" s="5" t="n">
        <v>585.35</v>
      </c>
      <c r="K192" s="5" t="n">
        <v>48</v>
      </c>
      <c r="L192" s="5" t="n">
        <v>20</v>
      </c>
      <c r="M192" s="5" t="n">
        <v>23</v>
      </c>
      <c r="N192" s="5">
        <f>J192+K192+L192+M192</f>
        <v/>
      </c>
      <c r="O192" s="5">
        <f>IF(ISNUMBER(N192),N192,"")</f>
        <v/>
      </c>
      <c r="P192" s="5">
        <f>_xlfn.RANK.EQ(O192,$O$2:$O$1031)</f>
        <v/>
      </c>
      <c r="Q192" s="9" t="n">
        <v>265</v>
      </c>
      <c r="R192" s="9" t="n">
        <v>46</v>
      </c>
      <c r="S192" s="9" t="n">
        <v>25</v>
      </c>
      <c r="T192" s="9" t="n">
        <v>23.5</v>
      </c>
      <c r="U192" s="9">
        <f>Q192+R192+S192+T192</f>
        <v/>
      </c>
      <c r="V192" s="9">
        <f>IF(ISNUMBER(U192),U192,"")</f>
        <v/>
      </c>
      <c r="W192" s="9">
        <f>_xlfn.RANK.EQ(V192,$V$2:$V$1031)</f>
        <v/>
      </c>
      <c r="X192" s="13" t="n">
        <v>1479.8333333333</v>
      </c>
      <c r="Y192" s="13" t="n">
        <v>24.5</v>
      </c>
      <c r="Z192" s="13" t="n">
        <v>22</v>
      </c>
      <c r="AA192" s="13" t="n">
        <v>23</v>
      </c>
      <c r="AB192" s="13">
        <f>IF(ISNUMBER(X192),X192+N(Y192)+N(Z192)+N(AA192),X192)</f>
        <v/>
      </c>
      <c r="AC192" s="13">
        <f>IF(ISNUMBER(AB192),AB192,"")</f>
        <v/>
      </c>
      <c r="AD192" s="13">
        <f>IF(ISNUMBER(AC192),_xlfn.RANK.EQ(AC192,$AC$2:$AC$1031),"")</f>
        <v/>
      </c>
      <c r="AE192" s="15">
        <f>IF(ISNUMBER(AF192),AF192/3630,"")</f>
        <v/>
      </c>
      <c r="AF192" s="14">
        <f>IFERROR(C192+D192+E192+F192+J192+K192+L192+M192+Q192+R192+S192+T192+IF(ISNUMBER(X192),X192,0)+N(Y192)+N(Z192)+N(AA192),"")</f>
        <v/>
      </c>
      <c r="AG192" s="14">
        <f>IF(ISNUMBER(AF192),AF192,"")</f>
        <v/>
      </c>
      <c r="AH192" s="14">
        <f>IF(ISNUMBER(AG192),_xlfn.RANK.EQ(AG192,$AG$2:$AG$1031),"")</f>
        <v/>
      </c>
    </row>
    <row r="193">
      <c r="A193" s="18" t="n">
        <v>396</v>
      </c>
      <c r="B193" s="18" t="inlineStr">
        <is>
          <t>ايه عبد المنعم فتح الله محمد احمد</t>
        </is>
      </c>
      <c r="C193" s="1" t="e">
        <v>#N/A</v>
      </c>
      <c r="D193" s="1" t="n">
        <v>14</v>
      </c>
      <c r="E193" s="1" t="n">
        <v>16</v>
      </c>
      <c r="F193" s="1" t="n"/>
      <c r="G193" s="1">
        <f>C193+D193+E193+F193</f>
        <v/>
      </c>
      <c r="H193" s="1">
        <f>IF(ISNUMBER(G193),G193,"")</f>
        <v/>
      </c>
      <c r="I193" s="1">
        <f>_xlfn.RANK.EQ(H193,$H$2:$H$1031)</f>
        <v/>
      </c>
      <c r="J193" s="5" t="n">
        <v>448.6</v>
      </c>
      <c r="K193" s="5" t="n">
        <v>27</v>
      </c>
      <c r="L193" s="5" t="n">
        <v>12</v>
      </c>
      <c r="M193" s="5" t="n">
        <v>8</v>
      </c>
      <c r="N193" s="5">
        <f>J193+K193+L193+M193</f>
        <v/>
      </c>
      <c r="O193" s="5">
        <f>IF(ISNUMBER(N193),N193,"")</f>
        <v/>
      </c>
      <c r="P193" s="5">
        <f>_xlfn.RANK.EQ(O193,$O$2:$O$1031)</f>
        <v/>
      </c>
      <c r="Q193" s="9" t="n">
        <v>191</v>
      </c>
      <c r="R193" s="9" t="n">
        <v>26.5</v>
      </c>
      <c r="S193" s="9" t="n">
        <v>17</v>
      </c>
      <c r="T193" s="9" t="n">
        <v>19.5</v>
      </c>
      <c r="U193" s="9">
        <f>Q193+R193+S193+T193</f>
        <v/>
      </c>
      <c r="V193" s="9">
        <f>IF(ISNUMBER(U193),U193,"")</f>
        <v/>
      </c>
      <c r="W193" s="9">
        <f>_xlfn.RANK.EQ(V193,$V$2:$V$1031)</f>
        <v/>
      </c>
      <c r="X193" s="13" t="inlineStr">
        <is>
          <t>راسب</t>
        </is>
      </c>
      <c r="Y193" s="13" t="n">
        <v>21.5</v>
      </c>
      <c r="Z193" s="13" t="n">
        <v>18</v>
      </c>
      <c r="AA193" s="13" t="n">
        <v>18</v>
      </c>
      <c r="AB193" s="13">
        <f>IF(ISNUMBER(X193),X193+N(Y193)+N(Z193)+N(AA193),X193)</f>
        <v/>
      </c>
      <c r="AC193" s="13">
        <f>IF(ISNUMBER(AB193),AB193,"")</f>
        <v/>
      </c>
      <c r="AD193" s="13">
        <f>IF(ISNUMBER(AC193),_xlfn.RANK.EQ(AC193,$AC$2:$AC$1031),"")</f>
        <v/>
      </c>
      <c r="AE193" s="15">
        <f>IF(ISNUMBER(AF193),AF193/3630,"")</f>
        <v/>
      </c>
      <c r="AF193" s="14">
        <f>IFERROR(C193+D193+E193+F193+J193+K193+L193+M193+Q193+R193+S193+T193+IF(ISNUMBER(X193),X193,0)+N(Y193)+N(Z193)+N(AA193),"")</f>
        <v/>
      </c>
      <c r="AG193" s="14">
        <f>IF(ISNUMBER(AF193),AF193,"")</f>
        <v/>
      </c>
      <c r="AH193" s="14">
        <f>IF(ISNUMBER(AG193),_xlfn.RANK.EQ(AG193,$AG$2:$AG$1031),"")</f>
        <v/>
      </c>
    </row>
    <row r="194">
      <c r="A194" s="18" t="n">
        <v>399</v>
      </c>
      <c r="B194" s="18" t="inlineStr">
        <is>
          <t>ايه محمد على حسين خليفة</t>
        </is>
      </c>
      <c r="C194" s="1" t="n">
        <v>414</v>
      </c>
      <c r="D194" s="1" t="n">
        <v>18</v>
      </c>
      <c r="E194" s="1" t="n">
        <v>15</v>
      </c>
      <c r="F194" s="1" t="n">
        <v>20</v>
      </c>
      <c r="G194" s="1">
        <f>C194+D194+E194+F194</f>
        <v/>
      </c>
      <c r="H194" s="1">
        <f>IF(ISNUMBER(G194),G194,"")</f>
        <v/>
      </c>
      <c r="I194" s="1">
        <f>_xlfn.RANK.EQ(H194,$H$2:$H$1031)</f>
        <v/>
      </c>
      <c r="J194" s="5" t="n">
        <v>392.85</v>
      </c>
      <c r="K194" s="5" t="n">
        <v>37</v>
      </c>
      <c r="L194" s="5" t="n">
        <v>19</v>
      </c>
      <c r="M194" s="5" t="n">
        <v>18</v>
      </c>
      <c r="N194" s="5">
        <f>J194+K194+L194+M194</f>
        <v/>
      </c>
      <c r="O194" s="5">
        <f>IF(ISNUMBER(N194),N194,"")</f>
        <v/>
      </c>
      <c r="P194" s="5">
        <f>_xlfn.RANK.EQ(O194,$O$2:$O$1031)</f>
        <v/>
      </c>
      <c r="Q194" s="9" t="n">
        <v>159</v>
      </c>
      <c r="R194" s="9" t="n">
        <v>34</v>
      </c>
      <c r="S194" s="9" t="n">
        <v>21</v>
      </c>
      <c r="T194" s="9" t="n">
        <v>23</v>
      </c>
      <c r="U194" s="9">
        <f>Q194+R194+S194+T194</f>
        <v/>
      </c>
      <c r="V194" s="9">
        <f>IF(ISNUMBER(U194),U194,"")</f>
        <v/>
      </c>
      <c r="W194" s="9">
        <f>_xlfn.RANK.EQ(V194,$V$2:$V$1031)</f>
        <v/>
      </c>
      <c r="X194" s="13" t="inlineStr">
        <is>
          <t>راسب</t>
        </is>
      </c>
      <c r="Y194" s="13" t="n">
        <v>24</v>
      </c>
      <c r="Z194" s="13" t="n">
        <v>22</v>
      </c>
      <c r="AA194" s="13" t="n">
        <v>21</v>
      </c>
      <c r="AB194" s="13">
        <f>IF(ISNUMBER(X194),X194+N(Y194)+N(Z194)+N(AA194),X194)</f>
        <v/>
      </c>
      <c r="AC194" s="13">
        <f>IF(ISNUMBER(AB194),AB194,"")</f>
        <v/>
      </c>
      <c r="AD194" s="13">
        <f>IF(ISNUMBER(AC194),_xlfn.RANK.EQ(AC194,$AC$2:$AC$1031),"")</f>
        <v/>
      </c>
      <c r="AE194" s="15">
        <f>IF(ISNUMBER(AF194),AF194/3630,"")</f>
        <v/>
      </c>
      <c r="AF194" s="14">
        <f>IFERROR(C194+D194+E194+F194+J194+K194+L194+M194+Q194+R194+S194+T194+IF(ISNUMBER(X194),X194,0)+N(Y194)+N(Z194)+N(AA194),"")</f>
        <v/>
      </c>
      <c r="AG194" s="14">
        <f>IF(ISNUMBER(AF194),AF194,"")</f>
        <v/>
      </c>
      <c r="AH194" s="14">
        <f>IF(ISNUMBER(AG194),_xlfn.RANK.EQ(AG194,$AG$2:$AG$1031),"")</f>
        <v/>
      </c>
    </row>
    <row r="195">
      <c r="A195" s="18" t="n">
        <v>400</v>
      </c>
      <c r="B195" s="18" t="inlineStr">
        <is>
          <t>ايه محمد عوض محمود شتيه</t>
        </is>
      </c>
      <c r="C195" s="1" t="n">
        <v>614.4</v>
      </c>
      <c r="D195" s="1" t="n">
        <v>24</v>
      </c>
      <c r="E195" s="1" t="n">
        <v>23</v>
      </c>
      <c r="F195" s="1" t="n">
        <v>20</v>
      </c>
      <c r="G195" s="1">
        <f>C195+D195+E195+F195</f>
        <v/>
      </c>
      <c r="H195" s="1">
        <f>IF(ISNUMBER(G195),G195,"")</f>
        <v/>
      </c>
      <c r="I195" s="1">
        <f>_xlfn.RANK.EQ(H195,$H$2:$H$1031)</f>
        <v/>
      </c>
      <c r="J195" s="5" t="n">
        <v>611.6</v>
      </c>
      <c r="K195" s="5" t="n">
        <v>45</v>
      </c>
      <c r="L195" s="5" t="n">
        <v>22</v>
      </c>
      <c r="M195" s="5" t="n">
        <v>24</v>
      </c>
      <c r="N195" s="5">
        <f>J195+K195+L195+M195</f>
        <v/>
      </c>
      <c r="O195" s="5">
        <f>IF(ISNUMBER(N195),N195,"")</f>
        <v/>
      </c>
      <c r="P195" s="5">
        <f>_xlfn.RANK.EQ(O195,$O$2:$O$1031)</f>
        <v/>
      </c>
      <c r="Q195" s="9" t="n">
        <v>240.5</v>
      </c>
      <c r="R195" s="9" t="n">
        <v>44</v>
      </c>
      <c r="S195" s="9" t="n">
        <v>25</v>
      </c>
      <c r="T195" s="9" t="n">
        <v>25</v>
      </c>
      <c r="U195" s="9">
        <f>Q195+R195+S195+T195</f>
        <v/>
      </c>
      <c r="V195" s="9">
        <f>IF(ISNUMBER(U195),U195,"")</f>
        <v/>
      </c>
      <c r="W195" s="9">
        <f>_xlfn.RANK.EQ(V195,$V$2:$V$1031)</f>
        <v/>
      </c>
      <c r="X195" s="13" t="n">
        <v>1441.6833333333</v>
      </c>
      <c r="Y195" s="13" t="n">
        <v>24.5</v>
      </c>
      <c r="Z195" s="13" t="n">
        <v>22</v>
      </c>
      <c r="AA195" s="13" t="n">
        <v>24</v>
      </c>
      <c r="AB195" s="13">
        <f>IF(ISNUMBER(X195),X195+N(Y195)+N(Z195)+N(AA195),X195)</f>
        <v/>
      </c>
      <c r="AC195" s="13">
        <f>IF(ISNUMBER(AB195),AB195,"")</f>
        <v/>
      </c>
      <c r="AD195" s="13">
        <f>IF(ISNUMBER(AC195),_xlfn.RANK.EQ(AC195,$AC$2:$AC$1031),"")</f>
        <v/>
      </c>
      <c r="AE195" s="15">
        <f>IF(ISNUMBER(AF195),AF195/3630,"")</f>
        <v/>
      </c>
      <c r="AF195" s="14">
        <f>IFERROR(C195+D195+E195+F195+J195+K195+L195+M195+Q195+R195+S195+T195+IF(ISNUMBER(X195),X195,0)+N(Y195)+N(Z195)+N(AA195),"")</f>
        <v/>
      </c>
      <c r="AG195" s="14">
        <f>IF(ISNUMBER(AF195),AF195,"")</f>
        <v/>
      </c>
      <c r="AH195" s="14">
        <f>IF(ISNUMBER(AG195),_xlfn.RANK.EQ(AG195,$AG$2:$AG$1031),"")</f>
        <v/>
      </c>
    </row>
    <row r="196">
      <c r="A196" s="18" t="n">
        <v>403</v>
      </c>
      <c r="B196" s="18" t="inlineStr">
        <is>
          <t>ايهاب نبيل على عبده خميس</t>
        </is>
      </c>
      <c r="C196" s="1" t="n">
        <v>607</v>
      </c>
      <c r="D196" s="1" t="n">
        <v>23</v>
      </c>
      <c r="E196" s="1" t="n">
        <v>25</v>
      </c>
      <c r="F196" s="1" t="n">
        <v>22</v>
      </c>
      <c r="G196" s="1">
        <f>C196+D196+E196+F196</f>
        <v/>
      </c>
      <c r="H196" s="1">
        <f>IF(ISNUMBER(G196),G196,"")</f>
        <v/>
      </c>
      <c r="I196" s="1">
        <f>_xlfn.RANK.EQ(H196,$H$2:$H$1031)</f>
        <v/>
      </c>
      <c r="J196" s="5" t="n">
        <v>618.45</v>
      </c>
      <c r="K196" s="5" t="n">
        <v>47</v>
      </c>
      <c r="L196" s="5" t="n">
        <v>21</v>
      </c>
      <c r="M196" s="5" t="n">
        <v>21</v>
      </c>
      <c r="N196" s="5">
        <f>J196+K196+L196+M196</f>
        <v/>
      </c>
      <c r="O196" s="5">
        <f>IF(ISNUMBER(N196),N196,"")</f>
        <v/>
      </c>
      <c r="P196" s="5">
        <f>_xlfn.RANK.EQ(O196,$O$2:$O$1031)</f>
        <v/>
      </c>
      <c r="Q196" s="9" t="n">
        <v>259</v>
      </c>
      <c r="R196" s="9" t="n">
        <v>46.5</v>
      </c>
      <c r="S196" s="9" t="n">
        <v>25</v>
      </c>
      <c r="T196" s="9" t="n">
        <v>24</v>
      </c>
      <c r="U196" s="9">
        <f>Q196+R196+S196+T196</f>
        <v/>
      </c>
      <c r="V196" s="9">
        <f>IF(ISNUMBER(U196),U196,"")</f>
        <v/>
      </c>
      <c r="W196" s="9">
        <f>_xlfn.RANK.EQ(V196,$V$2:$V$1031)</f>
        <v/>
      </c>
      <c r="X196" s="13" t="n">
        <v>1516.3541666667</v>
      </c>
      <c r="Y196" s="13" t="n">
        <v>23</v>
      </c>
      <c r="Z196" s="13" t="n">
        <v>24</v>
      </c>
      <c r="AA196" s="13" t="n">
        <v>23</v>
      </c>
      <c r="AB196" s="13">
        <f>IF(ISNUMBER(X196),X196+N(Y196)+N(Z196)+N(AA196),X196)</f>
        <v/>
      </c>
      <c r="AC196" s="13">
        <f>IF(ISNUMBER(AB196),AB196,"")</f>
        <v/>
      </c>
      <c r="AD196" s="13">
        <f>IF(ISNUMBER(AC196),_xlfn.RANK.EQ(AC196,$AC$2:$AC$1031),"")</f>
        <v/>
      </c>
      <c r="AE196" s="15">
        <f>IF(ISNUMBER(AF196),AF196/3630,"")</f>
        <v/>
      </c>
      <c r="AF196" s="14">
        <f>IFERROR(C196+D196+E196+F196+J196+K196+L196+M196+Q196+R196+S196+T196+IF(ISNUMBER(X196),X196,0)+N(Y196)+N(Z196)+N(AA196),"")</f>
        <v/>
      </c>
      <c r="AG196" s="14">
        <f>IF(ISNUMBER(AF196),AF196,"")</f>
        <v/>
      </c>
      <c r="AH196" s="14">
        <f>IF(ISNUMBER(AG196),_xlfn.RANK.EQ(AG196,$AG$2:$AG$1031),"")</f>
        <v/>
      </c>
    </row>
    <row r="197">
      <c r="A197" s="18" t="n">
        <v>415</v>
      </c>
      <c r="B197" s="18" t="inlineStr">
        <is>
          <t>براء  طارق يحيى  شاكر</t>
        </is>
      </c>
      <c r="C197" s="1" t="n">
        <v>552.9</v>
      </c>
      <c r="D197" s="1" t="n">
        <v>21</v>
      </c>
      <c r="E197" s="1" t="n">
        <v>23</v>
      </c>
      <c r="F197" s="1" t="n">
        <v>19</v>
      </c>
      <c r="G197" s="1">
        <f>C197+D197+E197+F197</f>
        <v/>
      </c>
      <c r="H197" s="1">
        <f>IF(ISNUMBER(G197),G197,"")</f>
        <v/>
      </c>
      <c r="I197" s="1">
        <f>_xlfn.RANK.EQ(H197,$H$2:$H$1031)</f>
        <v/>
      </c>
      <c r="J197" s="5" t="n">
        <v>582.95</v>
      </c>
      <c r="K197" s="5" t="n">
        <v>41</v>
      </c>
      <c r="L197" s="5" t="n">
        <v>20</v>
      </c>
      <c r="M197" s="5" t="n">
        <v>19</v>
      </c>
      <c r="N197" s="5">
        <f>J197+K197+L197+M197</f>
        <v/>
      </c>
      <c r="O197" s="5">
        <f>IF(ISNUMBER(N197),N197,"")</f>
        <v/>
      </c>
      <c r="P197" s="5">
        <f>_xlfn.RANK.EQ(O197,$O$2:$O$1031)</f>
        <v/>
      </c>
      <c r="Q197" s="9" t="n">
        <v>244</v>
      </c>
      <c r="R197" s="9" t="n">
        <v>41</v>
      </c>
      <c r="S197" s="9" t="n">
        <v>25</v>
      </c>
      <c r="T197" s="9" t="n">
        <v>25</v>
      </c>
      <c r="U197" s="9">
        <f>Q197+R197+S197+T197</f>
        <v/>
      </c>
      <c r="V197" s="9">
        <f>IF(ISNUMBER(U197),U197,"")</f>
        <v/>
      </c>
      <c r="W197" s="9">
        <f>_xlfn.RANK.EQ(V197,$V$2:$V$1031)</f>
        <v/>
      </c>
      <c r="X197" s="13" t="n">
        <v>1465.0458333333</v>
      </c>
      <c r="Y197" s="13" t="n">
        <v>24.5</v>
      </c>
      <c r="Z197" s="13" t="n">
        <v>25</v>
      </c>
      <c r="AA197" s="13" t="n">
        <v>22</v>
      </c>
      <c r="AB197" s="13">
        <f>IF(ISNUMBER(X197),X197+N(Y197)+N(Z197)+N(AA197),X197)</f>
        <v/>
      </c>
      <c r="AC197" s="13">
        <f>IF(ISNUMBER(AB197),AB197,"")</f>
        <v/>
      </c>
      <c r="AD197" s="13">
        <f>IF(ISNUMBER(AC197),_xlfn.RANK.EQ(AC197,$AC$2:$AC$1031),"")</f>
        <v/>
      </c>
      <c r="AE197" s="15">
        <f>IF(ISNUMBER(AF197),AF197/3630,"")</f>
        <v/>
      </c>
      <c r="AF197" s="14">
        <f>IFERROR(C197+D197+E197+F197+J197+K197+L197+M197+Q197+R197+S197+T197+IF(ISNUMBER(X197),X197,0)+N(Y197)+N(Z197)+N(AA197),"")</f>
        <v/>
      </c>
      <c r="AG197" s="14">
        <f>IF(ISNUMBER(AF197),AF197,"")</f>
        <v/>
      </c>
      <c r="AH197" s="14">
        <f>IF(ISNUMBER(AG197),_xlfn.RANK.EQ(AG197,$AG$2:$AG$1031),"")</f>
        <v/>
      </c>
    </row>
    <row r="198">
      <c r="A198" s="18" t="n">
        <v>416</v>
      </c>
      <c r="B198" s="18" t="inlineStr">
        <is>
          <t>براء احمد محمد عبد الحميد</t>
        </is>
      </c>
      <c r="C198" s="1" t="n">
        <v>612.1</v>
      </c>
      <c r="D198" s="1" t="n">
        <v>25</v>
      </c>
      <c r="E198" s="1" t="n">
        <v>22</v>
      </c>
      <c r="F198" s="1" t="n">
        <v>23</v>
      </c>
      <c r="G198" s="1">
        <f>C198+D198+E198+F198</f>
        <v/>
      </c>
      <c r="H198" s="1">
        <f>IF(ISNUMBER(G198),G198,"")</f>
        <v/>
      </c>
      <c r="I198" s="1">
        <f>_xlfn.RANK.EQ(H198,$H$2:$H$1031)</f>
        <v/>
      </c>
      <c r="J198" s="5" t="n">
        <v>580.9</v>
      </c>
      <c r="K198" s="5" t="n">
        <v>47</v>
      </c>
      <c r="L198" s="5" t="n">
        <v>21</v>
      </c>
      <c r="M198" s="5" t="n">
        <v>25</v>
      </c>
      <c r="N198" s="5">
        <f>J198+K198+L198+M198</f>
        <v/>
      </c>
      <c r="O198" s="5">
        <f>IF(ISNUMBER(N198),N198,"")</f>
        <v/>
      </c>
      <c r="P198" s="5">
        <f>_xlfn.RANK.EQ(O198,$O$2:$O$1031)</f>
        <v/>
      </c>
      <c r="Q198" s="9" t="n">
        <v>247</v>
      </c>
      <c r="R198" s="9" t="n">
        <v>47</v>
      </c>
      <c r="S198" s="9" t="n">
        <v>25</v>
      </c>
      <c r="T198" s="9" t="n">
        <v>25</v>
      </c>
      <c r="U198" s="9">
        <f>Q198+R198+S198+T198</f>
        <v/>
      </c>
      <c r="V198" s="9">
        <f>IF(ISNUMBER(U198),U198,"")</f>
        <v/>
      </c>
      <c r="W198" s="9">
        <f>_xlfn.RANK.EQ(V198,$V$2:$V$1031)</f>
        <v/>
      </c>
      <c r="X198" s="13" t="n">
        <v>1415.0583333333</v>
      </c>
      <c r="Y198" s="13" t="n">
        <v>25</v>
      </c>
      <c r="Z198" s="13" t="n">
        <v>22</v>
      </c>
      <c r="AA198" s="13" t="n">
        <v>23</v>
      </c>
      <c r="AB198" s="13">
        <f>IF(ISNUMBER(X198),X198+N(Y198)+N(Z198)+N(AA198),X198)</f>
        <v/>
      </c>
      <c r="AC198" s="13">
        <f>IF(ISNUMBER(AB198),AB198,"")</f>
        <v/>
      </c>
      <c r="AD198" s="13">
        <f>IF(ISNUMBER(AC198),_xlfn.RANK.EQ(AC198,$AC$2:$AC$1031),"")</f>
        <v/>
      </c>
      <c r="AE198" s="15">
        <f>IF(ISNUMBER(AF198),AF198/3630,"")</f>
        <v/>
      </c>
      <c r="AF198" s="14">
        <f>IFERROR(C198+D198+E198+F198+J198+K198+L198+M198+Q198+R198+S198+T198+IF(ISNUMBER(X198),X198,0)+N(Y198)+N(Z198)+N(AA198),"")</f>
        <v/>
      </c>
      <c r="AG198" s="14">
        <f>IF(ISNUMBER(AF198),AF198,"")</f>
        <v/>
      </c>
      <c r="AH198" s="14">
        <f>IF(ISNUMBER(AG198),_xlfn.RANK.EQ(AG198,$AG$2:$AG$1031),"")</f>
        <v/>
      </c>
    </row>
    <row r="199">
      <c r="A199" s="18" t="n">
        <v>423</v>
      </c>
      <c r="B199" s="18" t="inlineStr">
        <is>
          <t>بسمله احمد احمد الحسينى على داود</t>
        </is>
      </c>
      <c r="C199" s="1" t="n">
        <v>531</v>
      </c>
      <c r="D199" s="1" t="n">
        <v>25</v>
      </c>
      <c r="E199" s="1" t="n">
        <v>25</v>
      </c>
      <c r="F199" s="1" t="n">
        <v>22</v>
      </c>
      <c r="G199" s="1">
        <f>C199+D199+E199+F199</f>
        <v/>
      </c>
      <c r="H199" s="1">
        <f>IF(ISNUMBER(G199),G199,"")</f>
        <v/>
      </c>
      <c r="I199" s="1">
        <f>_xlfn.RANK.EQ(H199,$H$2:$H$1031)</f>
        <v/>
      </c>
      <c r="J199" s="5" t="n">
        <v>574.8</v>
      </c>
      <c r="K199" s="5" t="n">
        <v>48</v>
      </c>
      <c r="L199" s="5" t="n">
        <v>21</v>
      </c>
      <c r="M199" s="5" t="n">
        <v>24</v>
      </c>
      <c r="N199" s="5">
        <f>J199+K199+L199+M199</f>
        <v/>
      </c>
      <c r="O199" s="5">
        <f>IF(ISNUMBER(N199),N199,"")</f>
        <v/>
      </c>
      <c r="P199" s="5">
        <f>_xlfn.RANK.EQ(O199,$O$2:$O$1031)</f>
        <v/>
      </c>
      <c r="Q199" s="9" t="n">
        <v>246.5</v>
      </c>
      <c r="R199" s="9" t="n">
        <v>46.5</v>
      </c>
      <c r="S199" s="9" t="n">
        <v>25</v>
      </c>
      <c r="T199" s="9" t="n">
        <v>24.5</v>
      </c>
      <c r="U199" s="9">
        <f>Q199+R199+S199+T199</f>
        <v/>
      </c>
      <c r="V199" s="9">
        <f>IF(ISNUMBER(U199),U199,"")</f>
        <v/>
      </c>
      <c r="W199" s="9">
        <f>_xlfn.RANK.EQ(V199,$V$2:$V$1031)</f>
        <v/>
      </c>
      <c r="X199" s="13" t="n">
        <v>1390.0625</v>
      </c>
      <c r="Y199" s="13" t="n">
        <v>24</v>
      </c>
      <c r="Z199" s="13" t="n">
        <v>25</v>
      </c>
      <c r="AA199" s="13" t="n">
        <v>25</v>
      </c>
      <c r="AB199" s="13">
        <f>IF(ISNUMBER(X199),X199+N(Y199)+N(Z199)+N(AA199),X199)</f>
        <v/>
      </c>
      <c r="AC199" s="13">
        <f>IF(ISNUMBER(AB199),AB199,"")</f>
        <v/>
      </c>
      <c r="AD199" s="13">
        <f>IF(ISNUMBER(AC199),_xlfn.RANK.EQ(AC199,$AC$2:$AC$1031),"")</f>
        <v/>
      </c>
      <c r="AE199" s="15">
        <f>IF(ISNUMBER(AF199),AF199/3630,"")</f>
        <v/>
      </c>
      <c r="AF199" s="14">
        <f>IFERROR(C199+D199+E199+F199+J199+K199+L199+M199+Q199+R199+S199+T199+IF(ISNUMBER(X199),X199,0)+N(Y199)+N(Z199)+N(AA199),"")</f>
        <v/>
      </c>
      <c r="AG199" s="14">
        <f>IF(ISNUMBER(AF199),AF199,"")</f>
        <v/>
      </c>
      <c r="AH199" s="14">
        <f>IF(ISNUMBER(AG199),_xlfn.RANK.EQ(AG199,$AG$2:$AG$1031),"")</f>
        <v/>
      </c>
    </row>
    <row r="200">
      <c r="A200" s="18" t="n">
        <v>424</v>
      </c>
      <c r="B200" s="18" t="inlineStr">
        <is>
          <t>بسمله احمد يحى مصطفى محمود</t>
        </is>
      </c>
      <c r="C200" s="1" t="n">
        <v>626.4</v>
      </c>
      <c r="D200" s="1" t="n">
        <v>25</v>
      </c>
      <c r="E200" s="1" t="n">
        <v>23</v>
      </c>
      <c r="F200" s="1" t="n">
        <v>23</v>
      </c>
      <c r="G200" s="1">
        <f>C200+D200+E200+F200</f>
        <v/>
      </c>
      <c r="H200" s="1">
        <f>IF(ISNUMBER(G200),G200,"")</f>
        <v/>
      </c>
      <c r="I200" s="1">
        <f>_xlfn.RANK.EQ(H200,$H$2:$H$1031)</f>
        <v/>
      </c>
      <c r="J200" s="5" t="n">
        <v>572.6</v>
      </c>
      <c r="K200" s="5" t="n">
        <v>48</v>
      </c>
      <c r="L200" s="5" t="n">
        <v>24</v>
      </c>
      <c r="M200" s="5" t="n">
        <v>25</v>
      </c>
      <c r="N200" s="5">
        <f>J200+K200+L200+M200</f>
        <v/>
      </c>
      <c r="O200" s="5">
        <f>IF(ISNUMBER(N200),N200,"")</f>
        <v/>
      </c>
      <c r="P200" s="5">
        <f>_xlfn.RANK.EQ(O200,$O$2:$O$1031)</f>
        <v/>
      </c>
      <c r="Q200" s="9" t="n">
        <v>251.5</v>
      </c>
      <c r="R200" s="9" t="n">
        <v>47</v>
      </c>
      <c r="S200" s="9" t="n">
        <v>25</v>
      </c>
      <c r="T200" s="9" t="n">
        <v>24</v>
      </c>
      <c r="U200" s="9">
        <f>Q200+R200+S200+T200</f>
        <v/>
      </c>
      <c r="V200" s="9">
        <f>IF(ISNUMBER(U200),U200,"")</f>
        <v/>
      </c>
      <c r="W200" s="9">
        <f>_xlfn.RANK.EQ(V200,$V$2:$V$1031)</f>
        <v/>
      </c>
      <c r="X200" s="13" t="n">
        <v>1378.375</v>
      </c>
      <c r="Y200" s="13" t="n">
        <v>24.5</v>
      </c>
      <c r="Z200" s="13" t="n">
        <v>25</v>
      </c>
      <c r="AA200" s="13" t="n">
        <v>22</v>
      </c>
      <c r="AB200" s="13">
        <f>IF(ISNUMBER(X200),X200+N(Y200)+N(Z200)+N(AA200),X200)</f>
        <v/>
      </c>
      <c r="AC200" s="13">
        <f>IF(ISNUMBER(AB200),AB200,"")</f>
        <v/>
      </c>
      <c r="AD200" s="13">
        <f>IF(ISNUMBER(AC200),_xlfn.RANK.EQ(AC200,$AC$2:$AC$1031),"")</f>
        <v/>
      </c>
      <c r="AE200" s="15">
        <f>IF(ISNUMBER(AF200),AF200/3630,"")</f>
        <v/>
      </c>
      <c r="AF200" s="14">
        <f>IFERROR(C200+D200+E200+F200+J200+K200+L200+M200+Q200+R200+S200+T200+IF(ISNUMBER(X200),X200,0)+N(Y200)+N(Z200)+N(AA200),"")</f>
        <v/>
      </c>
      <c r="AG200" s="14">
        <f>IF(ISNUMBER(AF200),AF200,"")</f>
        <v/>
      </c>
      <c r="AH200" s="14">
        <f>IF(ISNUMBER(AG200),_xlfn.RANK.EQ(AG200,$AG$2:$AG$1031),"")</f>
        <v/>
      </c>
    </row>
    <row r="201">
      <c r="A201" s="18" t="n">
        <v>425</v>
      </c>
      <c r="B201" s="18" t="inlineStr">
        <is>
          <t>بسمله اسامة سعد على ابو بكر</t>
        </is>
      </c>
      <c r="C201" s="1" t="n">
        <v>629.8</v>
      </c>
      <c r="D201" s="1" t="n">
        <v>24</v>
      </c>
      <c r="E201" s="1" t="n">
        <v>25</v>
      </c>
      <c r="F201" s="1" t="n">
        <v>18</v>
      </c>
      <c r="G201" s="1">
        <f>C201+D201+E201+F201</f>
        <v/>
      </c>
      <c r="H201" s="1">
        <f>IF(ISNUMBER(G201),G201,"")</f>
        <v/>
      </c>
      <c r="I201" s="1">
        <f>_xlfn.RANK.EQ(H201,$H$2:$H$1031)</f>
        <v/>
      </c>
      <c r="J201" s="5" t="n">
        <v>609.25</v>
      </c>
      <c r="K201" s="5" t="n">
        <v>49</v>
      </c>
      <c r="L201" s="5" t="n">
        <v>21</v>
      </c>
      <c r="M201" s="5" t="n">
        <v>19</v>
      </c>
      <c r="N201" s="5">
        <f>J201+K201+L201+M201</f>
        <v/>
      </c>
      <c r="O201" s="5">
        <f>IF(ISNUMBER(N201),N201,"")</f>
        <v/>
      </c>
      <c r="P201" s="5">
        <f>_xlfn.RANK.EQ(O201,$O$2:$O$1031)</f>
        <v/>
      </c>
      <c r="Q201" s="9" t="n">
        <v>266.5</v>
      </c>
      <c r="R201" s="9" t="n">
        <v>45.5</v>
      </c>
      <c r="S201" s="9" t="n">
        <v>19</v>
      </c>
      <c r="T201" s="9" t="n">
        <v>24</v>
      </c>
      <c r="U201" s="9">
        <f>Q201+R201+S201+T201</f>
        <v/>
      </c>
      <c r="V201" s="9">
        <f>IF(ISNUMBER(U201),U201,"")</f>
        <v/>
      </c>
      <c r="W201" s="9">
        <f>_xlfn.RANK.EQ(V201,$V$2:$V$1031)</f>
        <v/>
      </c>
      <c r="X201" s="13" t="n">
        <v>1440.0916666667</v>
      </c>
      <c r="Y201" s="13" t="n">
        <v>25</v>
      </c>
      <c r="Z201" s="13" t="n">
        <v>22</v>
      </c>
      <c r="AA201" s="13" t="n">
        <v>22</v>
      </c>
      <c r="AB201" s="13">
        <f>IF(ISNUMBER(X201),X201+N(Y201)+N(Z201)+N(AA201),X201)</f>
        <v/>
      </c>
      <c r="AC201" s="13">
        <f>IF(ISNUMBER(AB201),AB201,"")</f>
        <v/>
      </c>
      <c r="AD201" s="13">
        <f>IF(ISNUMBER(AC201),_xlfn.RANK.EQ(AC201,$AC$2:$AC$1031),"")</f>
        <v/>
      </c>
      <c r="AE201" s="15">
        <f>IF(ISNUMBER(AF201),AF201/3630,"")</f>
        <v/>
      </c>
      <c r="AF201" s="14">
        <f>IFERROR(C201+D201+E201+F201+J201+K201+L201+M201+Q201+R201+S201+T201+IF(ISNUMBER(X201),X201,0)+N(Y201)+N(Z201)+N(AA201),"")</f>
        <v/>
      </c>
      <c r="AG201" s="14">
        <f>IF(ISNUMBER(AF201),AF201,"")</f>
        <v/>
      </c>
      <c r="AH201" s="14">
        <f>IF(ISNUMBER(AG201),_xlfn.RANK.EQ(AG201,$AG$2:$AG$1031),"")</f>
        <v/>
      </c>
    </row>
    <row r="202">
      <c r="A202" s="18" t="n">
        <v>426</v>
      </c>
      <c r="B202" s="18" t="inlineStr">
        <is>
          <t>بسمله اشرف محمد مصطفى</t>
        </is>
      </c>
      <c r="C202" s="1" t="n">
        <v>606.7</v>
      </c>
      <c r="D202" s="1" t="n">
        <v>25</v>
      </c>
      <c r="E202" s="1" t="n">
        <v>25</v>
      </c>
      <c r="F202" s="1" t="n">
        <v>24</v>
      </c>
      <c r="G202" s="1">
        <f>C202+D202+E202+F202</f>
        <v/>
      </c>
      <c r="H202" s="1">
        <f>IF(ISNUMBER(G202),G202,"")</f>
        <v/>
      </c>
      <c r="I202" s="1">
        <f>_xlfn.RANK.EQ(H202,$H$2:$H$1031)</f>
        <v/>
      </c>
      <c r="J202" s="5" t="n">
        <v>581</v>
      </c>
      <c r="K202" s="5" t="n">
        <v>47</v>
      </c>
      <c r="L202" s="5" t="n">
        <v>24</v>
      </c>
      <c r="M202" s="5" t="n">
        <v>22</v>
      </c>
      <c r="N202" s="5">
        <f>J202+K202+L202+M202</f>
        <v/>
      </c>
      <c r="O202" s="5">
        <f>IF(ISNUMBER(N202),N202,"")</f>
        <v/>
      </c>
      <c r="P202" s="5">
        <f>_xlfn.RANK.EQ(O202,$O$2:$O$1031)</f>
        <v/>
      </c>
      <c r="Q202" s="9" t="n">
        <v>248</v>
      </c>
      <c r="R202" s="9" t="n">
        <v>47.5</v>
      </c>
      <c r="S202" s="9" t="n">
        <v>25</v>
      </c>
      <c r="T202" s="9" t="n">
        <v>25</v>
      </c>
      <c r="U202" s="9">
        <f>Q202+R202+S202+T202</f>
        <v/>
      </c>
      <c r="V202" s="9">
        <f>IF(ISNUMBER(U202),U202,"")</f>
        <v/>
      </c>
      <c r="W202" s="9">
        <f>_xlfn.RANK.EQ(V202,$V$2:$V$1031)</f>
        <v/>
      </c>
      <c r="X202" s="13" t="n">
        <v>1270.4083333333</v>
      </c>
      <c r="Y202" s="13" t="n">
        <v>24.5</v>
      </c>
      <c r="Z202" s="13" t="n">
        <v>25</v>
      </c>
      <c r="AA202" s="13" t="n">
        <v>24</v>
      </c>
      <c r="AB202" s="13">
        <f>IF(ISNUMBER(X202),X202+N(Y202)+N(Z202)+N(AA202),X202)</f>
        <v/>
      </c>
      <c r="AC202" s="13">
        <f>IF(ISNUMBER(AB202),AB202,"")</f>
        <v/>
      </c>
      <c r="AD202" s="13">
        <f>IF(ISNUMBER(AC202),_xlfn.RANK.EQ(AC202,$AC$2:$AC$1031),"")</f>
        <v/>
      </c>
      <c r="AE202" s="15">
        <f>IF(ISNUMBER(AF202),AF202/3630,"")</f>
        <v/>
      </c>
      <c r="AF202" s="14">
        <f>IFERROR(C202+D202+E202+F202+J202+K202+L202+M202+Q202+R202+S202+T202+IF(ISNUMBER(X202),X202,0)+N(Y202)+N(Z202)+N(AA202),"")</f>
        <v/>
      </c>
      <c r="AG202" s="14">
        <f>IF(ISNUMBER(AF202),AF202,"")</f>
        <v/>
      </c>
      <c r="AH202" s="14">
        <f>IF(ISNUMBER(AG202),_xlfn.RANK.EQ(AG202,$AG$2:$AG$1031),"")</f>
        <v/>
      </c>
    </row>
    <row r="203">
      <c r="A203" s="18" t="n">
        <v>428</v>
      </c>
      <c r="B203" s="18" t="inlineStr">
        <is>
          <t>بسمله حسنى عبد النبى بلال</t>
        </is>
      </c>
      <c r="C203" s="1" t="n">
        <v>568.9</v>
      </c>
      <c r="D203" s="1" t="n">
        <v>21</v>
      </c>
      <c r="E203" s="1" t="n">
        <v>21</v>
      </c>
      <c r="F203" s="1" t="n">
        <v>19</v>
      </c>
      <c r="G203" s="1">
        <f>C203+D203+E203+F203</f>
        <v/>
      </c>
      <c r="H203" s="1">
        <f>IF(ISNUMBER(G203),G203,"")</f>
        <v/>
      </c>
      <c r="I203" s="1">
        <f>_xlfn.RANK.EQ(H203,$H$2:$H$1031)</f>
        <v/>
      </c>
      <c r="J203" s="5" t="n">
        <v>555.7</v>
      </c>
      <c r="K203" s="5" t="n">
        <v>38</v>
      </c>
      <c r="L203" s="5" t="n">
        <v>23</v>
      </c>
      <c r="M203" s="5" t="n">
        <v>23</v>
      </c>
      <c r="N203" s="5">
        <f>J203+K203+L203+M203</f>
        <v/>
      </c>
      <c r="O203" s="5">
        <f>IF(ISNUMBER(N203),N203,"")</f>
        <v/>
      </c>
      <c r="P203" s="5">
        <f>_xlfn.RANK.EQ(O203,$O$2:$O$1031)</f>
        <v/>
      </c>
      <c r="Q203" s="9" t="n">
        <v>221</v>
      </c>
      <c r="R203" s="9" t="n">
        <v>44</v>
      </c>
      <c r="S203" s="9" t="n">
        <v>24</v>
      </c>
      <c r="T203" s="9" t="n">
        <v>20.5</v>
      </c>
      <c r="U203" s="9">
        <f>Q203+R203+S203+T203</f>
        <v/>
      </c>
      <c r="V203" s="9">
        <f>IF(ISNUMBER(U203),U203,"")</f>
        <v/>
      </c>
      <c r="W203" s="9">
        <f>_xlfn.RANK.EQ(V203,$V$2:$V$1031)</f>
        <v/>
      </c>
      <c r="X203" s="13" t="n">
        <v>1316.1208333333</v>
      </c>
      <c r="Y203" s="13" t="n">
        <v>23</v>
      </c>
      <c r="Z203" s="13" t="n">
        <v>22.75</v>
      </c>
      <c r="AA203" s="13" t="n">
        <v>21</v>
      </c>
      <c r="AB203" s="13">
        <f>IF(ISNUMBER(X203),X203+N(Y203)+N(Z203)+N(AA203),X203)</f>
        <v/>
      </c>
      <c r="AC203" s="13">
        <f>IF(ISNUMBER(AB203),AB203,"")</f>
        <v/>
      </c>
      <c r="AD203" s="13">
        <f>IF(ISNUMBER(AC203),_xlfn.RANK.EQ(AC203,$AC$2:$AC$1031),"")</f>
        <v/>
      </c>
      <c r="AE203" s="15">
        <f>IF(ISNUMBER(AF203),AF203/3630,"")</f>
        <v/>
      </c>
      <c r="AF203" s="14">
        <f>IFERROR(C203+D203+E203+F203+J203+K203+L203+M203+Q203+R203+S203+T203+IF(ISNUMBER(X203),X203,0)+N(Y203)+N(Z203)+N(AA203),"")</f>
        <v/>
      </c>
      <c r="AG203" s="14">
        <f>IF(ISNUMBER(AF203),AF203,"")</f>
        <v/>
      </c>
      <c r="AH203" s="14">
        <f>IF(ISNUMBER(AG203),_xlfn.RANK.EQ(AG203,$AG$2:$AG$1031),"")</f>
        <v/>
      </c>
    </row>
    <row r="204">
      <c r="A204" s="18" t="n">
        <v>429</v>
      </c>
      <c r="B204" s="18" t="inlineStr">
        <is>
          <t>بسمله خميس ابراهيم حماد</t>
        </is>
      </c>
      <c r="C204" s="1" t="n">
        <v>622.8</v>
      </c>
      <c r="D204" s="1" t="n">
        <v>25</v>
      </c>
      <c r="E204" s="1" t="n">
        <v>23</v>
      </c>
      <c r="F204" s="1" t="n">
        <v>24</v>
      </c>
      <c r="G204" s="1">
        <f>C204+D204+E204+F204</f>
        <v/>
      </c>
      <c r="H204" s="1">
        <f>IF(ISNUMBER(G204),G204,"")</f>
        <v/>
      </c>
      <c r="I204" s="1">
        <f>_xlfn.RANK.EQ(H204,$H$2:$H$1031)</f>
        <v/>
      </c>
      <c r="J204" s="5" t="n">
        <v>600.4</v>
      </c>
      <c r="K204" s="5" t="n">
        <v>47</v>
      </c>
      <c r="L204" s="5" t="n">
        <v>24</v>
      </c>
      <c r="M204" s="5" t="n">
        <v>24</v>
      </c>
      <c r="N204" s="5">
        <f>J204+K204+L204+M204</f>
        <v/>
      </c>
      <c r="O204" s="5">
        <f>IF(ISNUMBER(N204),N204,"")</f>
        <v/>
      </c>
      <c r="P204" s="5">
        <f>_xlfn.RANK.EQ(O204,$O$2:$O$1031)</f>
        <v/>
      </c>
      <c r="Q204" s="9" t="n">
        <v>260</v>
      </c>
      <c r="R204" s="9" t="n">
        <v>49</v>
      </c>
      <c r="S204" s="9" t="n">
        <v>24</v>
      </c>
      <c r="T204" s="9" t="n">
        <v>25</v>
      </c>
      <c r="U204" s="9">
        <f>Q204+R204+S204+T204</f>
        <v/>
      </c>
      <c r="V204" s="9">
        <f>IF(ISNUMBER(U204),U204,"")</f>
        <v/>
      </c>
      <c r="W204" s="9">
        <f>_xlfn.RANK.EQ(V204,$V$2:$V$1031)</f>
        <v/>
      </c>
      <c r="X204" s="13" t="n">
        <v>1466.9458333333</v>
      </c>
      <c r="Y204" s="13" t="n">
        <v>25</v>
      </c>
      <c r="Z204" s="13" t="n">
        <v>25</v>
      </c>
      <c r="AA204" s="13" t="n">
        <v>23</v>
      </c>
      <c r="AB204" s="13">
        <f>IF(ISNUMBER(X204),X204+N(Y204)+N(Z204)+N(AA204),X204)</f>
        <v/>
      </c>
      <c r="AC204" s="13">
        <f>IF(ISNUMBER(AB204),AB204,"")</f>
        <v/>
      </c>
      <c r="AD204" s="13">
        <f>IF(ISNUMBER(AC204),_xlfn.RANK.EQ(AC204,$AC$2:$AC$1031),"")</f>
        <v/>
      </c>
      <c r="AE204" s="15">
        <f>IF(ISNUMBER(AF204),AF204/3630,"")</f>
        <v/>
      </c>
      <c r="AF204" s="14">
        <f>IFERROR(C204+D204+E204+F204+J204+K204+L204+M204+Q204+R204+S204+T204+IF(ISNUMBER(X204),X204,0)+N(Y204)+N(Z204)+N(AA204),"")</f>
        <v/>
      </c>
      <c r="AG204" s="14">
        <f>IF(ISNUMBER(AF204),AF204,"")</f>
        <v/>
      </c>
      <c r="AH204" s="14">
        <f>IF(ISNUMBER(AG204),_xlfn.RANK.EQ(AG204,$AG$2:$AG$1031),"")</f>
        <v/>
      </c>
    </row>
    <row r="205">
      <c r="A205" s="18" t="n">
        <v>430</v>
      </c>
      <c r="B205" s="18" t="inlineStr">
        <is>
          <t>بسمله سامي ابراهيم حسين</t>
        </is>
      </c>
      <c r="C205" s="1" t="n">
        <v>618.1</v>
      </c>
      <c r="D205" s="1" t="n">
        <v>25</v>
      </c>
      <c r="E205" s="1" t="n">
        <v>25</v>
      </c>
      <c r="F205" s="1" t="n">
        <v>23</v>
      </c>
      <c r="G205" s="1">
        <f>C205+D205+E205+F205</f>
        <v/>
      </c>
      <c r="H205" s="1">
        <f>IF(ISNUMBER(G205),G205,"")</f>
        <v/>
      </c>
      <c r="I205" s="1">
        <f>_xlfn.RANK.EQ(H205,$H$2:$H$1031)</f>
        <v/>
      </c>
      <c r="J205" s="5" t="n">
        <v>611</v>
      </c>
      <c r="K205" s="5" t="n">
        <v>48</v>
      </c>
      <c r="L205" s="5" t="n">
        <v>24</v>
      </c>
      <c r="M205" s="5" t="n">
        <v>25</v>
      </c>
      <c r="N205" s="5">
        <f>J205+K205+L205+M205</f>
        <v/>
      </c>
      <c r="O205" s="5">
        <f>IF(ISNUMBER(N205),N205,"")</f>
        <v/>
      </c>
      <c r="P205" s="5">
        <f>_xlfn.RANK.EQ(O205,$O$2:$O$1031)</f>
        <v/>
      </c>
      <c r="Q205" s="9" t="n">
        <v>266</v>
      </c>
      <c r="R205" s="9" t="n">
        <v>47.5</v>
      </c>
      <c r="S205" s="9" t="n">
        <v>23</v>
      </c>
      <c r="T205" s="9" t="n">
        <v>23.5</v>
      </c>
      <c r="U205" s="9">
        <f>Q205+R205+S205+T205</f>
        <v/>
      </c>
      <c r="V205" s="9">
        <f>IF(ISNUMBER(U205),U205,"")</f>
        <v/>
      </c>
      <c r="W205" s="9">
        <f>_xlfn.RANK.EQ(V205,$V$2:$V$1031)</f>
        <v/>
      </c>
      <c r="X205" s="13" t="n">
        <v>1462.725</v>
      </c>
      <c r="Y205" s="13" t="n">
        <v>24.5</v>
      </c>
      <c r="Z205" s="13" t="n">
        <v>25</v>
      </c>
      <c r="AA205" s="13" t="n">
        <v>24</v>
      </c>
      <c r="AB205" s="13">
        <f>IF(ISNUMBER(X205),X205+N(Y205)+N(Z205)+N(AA205),X205)</f>
        <v/>
      </c>
      <c r="AC205" s="13">
        <f>IF(ISNUMBER(AB205),AB205,"")</f>
        <v/>
      </c>
      <c r="AD205" s="13">
        <f>IF(ISNUMBER(AC205),_xlfn.RANK.EQ(AC205,$AC$2:$AC$1031),"")</f>
        <v/>
      </c>
      <c r="AE205" s="15">
        <f>IF(ISNUMBER(AF205),AF205/3630,"")</f>
        <v/>
      </c>
      <c r="AF205" s="14">
        <f>IFERROR(C205+D205+E205+F205+J205+K205+L205+M205+Q205+R205+S205+T205+IF(ISNUMBER(X205),X205,0)+N(Y205)+N(Z205)+N(AA205),"")</f>
        <v/>
      </c>
      <c r="AG205" s="14">
        <f>IF(ISNUMBER(AF205),AF205,"")</f>
        <v/>
      </c>
      <c r="AH205" s="14">
        <f>IF(ISNUMBER(AG205),_xlfn.RANK.EQ(AG205,$AG$2:$AG$1031),"")</f>
        <v/>
      </c>
    </row>
    <row r="206">
      <c r="A206" s="18" t="n">
        <v>431</v>
      </c>
      <c r="B206" s="18" t="inlineStr">
        <is>
          <t>بسمله على على عبدالحميد محمد فوده</t>
        </is>
      </c>
      <c r="C206" s="1" t="n">
        <v>564.4</v>
      </c>
      <c r="D206" s="1" t="n">
        <v>24</v>
      </c>
      <c r="E206" s="1" t="n">
        <v>23</v>
      </c>
      <c r="F206" s="1" t="n">
        <v>24</v>
      </c>
      <c r="G206" s="1">
        <f>C206+D206+E206+F206</f>
        <v/>
      </c>
      <c r="H206" s="1">
        <f>IF(ISNUMBER(G206),G206,"")</f>
        <v/>
      </c>
      <c r="I206" s="1">
        <f>_xlfn.RANK.EQ(H206,$H$2:$H$1031)</f>
        <v/>
      </c>
      <c r="J206" s="5" t="n">
        <v>564.7</v>
      </c>
      <c r="K206" s="5" t="n">
        <v>44</v>
      </c>
      <c r="L206" s="5" t="n">
        <v>23</v>
      </c>
      <c r="M206" s="5" t="n">
        <v>19</v>
      </c>
      <c r="N206" s="5">
        <f>J206+K206+L206+M206</f>
        <v/>
      </c>
      <c r="O206" s="5">
        <f>IF(ISNUMBER(N206),N206,"")</f>
        <v/>
      </c>
      <c r="P206" s="5">
        <f>_xlfn.RANK.EQ(O206,$O$2:$O$1031)</f>
        <v/>
      </c>
      <c r="Q206" s="9" t="n">
        <v>254</v>
      </c>
      <c r="R206" s="9" t="n">
        <v>44</v>
      </c>
      <c r="S206" s="9" t="n">
        <v>23</v>
      </c>
      <c r="T206" s="9" t="n">
        <v>24.5</v>
      </c>
      <c r="U206" s="9">
        <f>Q206+R206+S206+T206</f>
        <v/>
      </c>
      <c r="V206" s="9">
        <f>IF(ISNUMBER(U206),U206,"")</f>
        <v/>
      </c>
      <c r="W206" s="9">
        <f>_xlfn.RANK.EQ(V206,$V$2:$V$1031)</f>
        <v/>
      </c>
      <c r="X206" s="13" t="n">
        <v>1403.0583333333</v>
      </c>
      <c r="Y206" s="13" t="n">
        <v>25</v>
      </c>
      <c r="Z206" s="13" t="n">
        <v>23</v>
      </c>
      <c r="AA206" s="13" t="n">
        <v>21</v>
      </c>
      <c r="AB206" s="13">
        <f>IF(ISNUMBER(X206),X206+N(Y206)+N(Z206)+N(AA206),X206)</f>
        <v/>
      </c>
      <c r="AC206" s="13">
        <f>IF(ISNUMBER(AB206),AB206,"")</f>
        <v/>
      </c>
      <c r="AD206" s="13">
        <f>IF(ISNUMBER(AC206),_xlfn.RANK.EQ(AC206,$AC$2:$AC$1031),"")</f>
        <v/>
      </c>
      <c r="AE206" s="15">
        <f>IF(ISNUMBER(AF206),AF206/3630,"")</f>
        <v/>
      </c>
      <c r="AF206" s="14">
        <f>IFERROR(C206+D206+E206+F206+J206+K206+L206+M206+Q206+R206+S206+T206+IF(ISNUMBER(X206),X206,0)+N(Y206)+N(Z206)+N(AA206),"")</f>
        <v/>
      </c>
      <c r="AG206" s="14">
        <f>IF(ISNUMBER(AF206),AF206,"")</f>
        <v/>
      </c>
      <c r="AH206" s="14">
        <f>IF(ISNUMBER(AG206),_xlfn.RANK.EQ(AG206,$AG$2:$AG$1031),"")</f>
        <v/>
      </c>
    </row>
    <row r="207">
      <c r="A207" s="18" t="n">
        <v>432</v>
      </c>
      <c r="B207" s="18" t="inlineStr">
        <is>
          <t>بسمله فوزى ابراهيم ابو الحسن</t>
        </is>
      </c>
      <c r="C207" s="1" t="n">
        <v>620.8</v>
      </c>
      <c r="D207" s="1" t="n">
        <v>24</v>
      </c>
      <c r="E207" s="1" t="n">
        <v>23</v>
      </c>
      <c r="F207" s="1" t="n">
        <v>22</v>
      </c>
      <c r="G207" s="1">
        <f>C207+D207+E207+F207</f>
        <v/>
      </c>
      <c r="H207" s="1">
        <f>IF(ISNUMBER(G207),G207,"")</f>
        <v/>
      </c>
      <c r="I207" s="1">
        <f>_xlfn.RANK.EQ(H207,$H$2:$H$1031)</f>
        <v/>
      </c>
      <c r="J207" s="5" t="n">
        <v>611.5</v>
      </c>
      <c r="K207" s="5" t="n">
        <v>48</v>
      </c>
      <c r="L207" s="5" t="n">
        <v>22</v>
      </c>
      <c r="M207" s="5" t="n">
        <v>25</v>
      </c>
      <c r="N207" s="5">
        <f>J207+K207+L207+M207</f>
        <v/>
      </c>
      <c r="O207" s="5">
        <f>IF(ISNUMBER(N207),N207,"")</f>
        <v/>
      </c>
      <c r="P207" s="5">
        <f>_xlfn.RANK.EQ(O207,$O$2:$O$1031)</f>
        <v/>
      </c>
      <c r="Q207" s="9" t="n">
        <v>273</v>
      </c>
      <c r="R207" s="9" t="n">
        <v>46.5</v>
      </c>
      <c r="S207" s="9" t="n">
        <v>25</v>
      </c>
      <c r="T207" s="9" t="n">
        <v>25</v>
      </c>
      <c r="U207" s="9">
        <f>Q207+R207+S207+T207</f>
        <v/>
      </c>
      <c r="V207" s="9">
        <f>IF(ISNUMBER(U207),U207,"")</f>
        <v/>
      </c>
      <c r="W207" s="9">
        <f>_xlfn.RANK.EQ(V207,$V$2:$V$1031)</f>
        <v/>
      </c>
      <c r="X207" s="13" t="n">
        <v>1470.6208333333</v>
      </c>
      <c r="Y207" s="13" t="n">
        <v>25</v>
      </c>
      <c r="Z207" s="13" t="n">
        <v>24</v>
      </c>
      <c r="AA207" s="13" t="n">
        <v>23</v>
      </c>
      <c r="AB207" s="13">
        <f>IF(ISNUMBER(X207),X207+N(Y207)+N(Z207)+N(AA207),X207)</f>
        <v/>
      </c>
      <c r="AC207" s="13">
        <f>IF(ISNUMBER(AB207),AB207,"")</f>
        <v/>
      </c>
      <c r="AD207" s="13">
        <f>IF(ISNUMBER(AC207),_xlfn.RANK.EQ(AC207,$AC$2:$AC$1031),"")</f>
        <v/>
      </c>
      <c r="AE207" s="15">
        <f>IF(ISNUMBER(AF207),AF207/3630,"")</f>
        <v/>
      </c>
      <c r="AF207" s="14">
        <f>IFERROR(C207+D207+E207+F207+J207+K207+L207+M207+Q207+R207+S207+T207+IF(ISNUMBER(X207),X207,0)+N(Y207)+N(Z207)+N(AA207),"")</f>
        <v/>
      </c>
      <c r="AG207" s="14">
        <f>IF(ISNUMBER(AF207),AF207,"")</f>
        <v/>
      </c>
      <c r="AH207" s="14">
        <f>IF(ISNUMBER(AG207),_xlfn.RANK.EQ(AG207,$AG$2:$AG$1031),"")</f>
        <v/>
      </c>
    </row>
    <row r="208">
      <c r="A208" s="18" t="n">
        <v>433</v>
      </c>
      <c r="B208" s="18" t="inlineStr">
        <is>
          <t>بسمله محمد امين حامدالشاذلى</t>
        </is>
      </c>
      <c r="C208" s="1" t="n">
        <v>599.2</v>
      </c>
      <c r="D208" s="1" t="n">
        <v>24</v>
      </c>
      <c r="E208" s="1" t="n">
        <v>25</v>
      </c>
      <c r="F208" s="1" t="n">
        <v>23</v>
      </c>
      <c r="G208" s="1">
        <f>C208+D208+E208+F208</f>
        <v/>
      </c>
      <c r="H208" s="1">
        <f>IF(ISNUMBER(G208),G208,"")</f>
        <v/>
      </c>
      <c r="I208" s="1">
        <f>_xlfn.RANK.EQ(H208,$H$2:$H$1031)</f>
        <v/>
      </c>
      <c r="J208" s="5" t="n">
        <v>621.4</v>
      </c>
      <c r="K208" s="5" t="n">
        <v>48</v>
      </c>
      <c r="L208" s="5" t="n">
        <v>22</v>
      </c>
      <c r="M208" s="5" t="n">
        <v>25</v>
      </c>
      <c r="N208" s="5">
        <f>J208+K208+L208+M208</f>
        <v/>
      </c>
      <c r="O208" s="5">
        <f>IF(ISNUMBER(N208),N208,"")</f>
        <v/>
      </c>
      <c r="P208" s="5">
        <f>_xlfn.RANK.EQ(O208,$O$2:$O$1031)</f>
        <v/>
      </c>
      <c r="Q208" s="9" t="n">
        <v>279.5</v>
      </c>
      <c r="R208" s="9" t="n">
        <v>50</v>
      </c>
      <c r="S208" s="9" t="n">
        <v>24</v>
      </c>
      <c r="T208" s="9" t="n">
        <v>24</v>
      </c>
      <c r="U208" s="9">
        <f>Q208+R208+S208+T208</f>
        <v/>
      </c>
      <c r="V208" s="9">
        <f>IF(ISNUMBER(U208),U208,"")</f>
        <v/>
      </c>
      <c r="W208" s="9">
        <f>_xlfn.RANK.EQ(V208,$V$2:$V$1031)</f>
        <v/>
      </c>
      <c r="X208" s="13" t="n">
        <v>1476.8541666667</v>
      </c>
      <c r="Y208" s="13" t="n">
        <v>25</v>
      </c>
      <c r="Z208" s="13" t="n">
        <v>24</v>
      </c>
      <c r="AA208" s="13" t="n">
        <v>22</v>
      </c>
      <c r="AB208" s="13">
        <f>IF(ISNUMBER(X208),X208+N(Y208)+N(Z208)+N(AA208),X208)</f>
        <v/>
      </c>
      <c r="AC208" s="13">
        <f>IF(ISNUMBER(AB208),AB208,"")</f>
        <v/>
      </c>
      <c r="AD208" s="13">
        <f>IF(ISNUMBER(AC208),_xlfn.RANK.EQ(AC208,$AC$2:$AC$1031),"")</f>
        <v/>
      </c>
      <c r="AE208" s="15">
        <f>IF(ISNUMBER(AF208),AF208/3630,"")</f>
        <v/>
      </c>
      <c r="AF208" s="14">
        <f>IFERROR(C208+D208+E208+F208+J208+K208+L208+M208+Q208+R208+S208+T208+IF(ISNUMBER(X208),X208,0)+N(Y208)+N(Z208)+N(AA208),"")</f>
        <v/>
      </c>
      <c r="AG208" s="14">
        <f>IF(ISNUMBER(AF208),AF208,"")</f>
        <v/>
      </c>
      <c r="AH208" s="14">
        <f>IF(ISNUMBER(AG208),_xlfn.RANK.EQ(AG208,$AG$2:$AG$1031),"")</f>
        <v/>
      </c>
    </row>
    <row r="209">
      <c r="A209" s="18" t="n">
        <v>434</v>
      </c>
      <c r="B209" s="18" t="inlineStr">
        <is>
          <t>بسمله مصطفى عبد العاطى طلب مصطفى</t>
        </is>
      </c>
      <c r="C209" s="1" t="n">
        <v>651</v>
      </c>
      <c r="D209" s="1" t="n">
        <v>25</v>
      </c>
      <c r="E209" s="1" t="n">
        <v>24</v>
      </c>
      <c r="F209" s="1" t="n">
        <v>24</v>
      </c>
      <c r="G209" s="1">
        <f>C209+D209+E209+F209</f>
        <v/>
      </c>
      <c r="H209" s="1">
        <f>IF(ISNUMBER(G209),G209,"")</f>
        <v/>
      </c>
      <c r="I209" s="1">
        <f>_xlfn.RANK.EQ(H209,$H$2:$H$1031)</f>
        <v/>
      </c>
      <c r="J209" s="5" t="n">
        <v>623.45</v>
      </c>
      <c r="K209" s="5" t="n">
        <v>50</v>
      </c>
      <c r="L209" s="5" t="n">
        <v>21</v>
      </c>
      <c r="M209" s="5" t="n">
        <v>22</v>
      </c>
      <c r="N209" s="5">
        <f>J209+K209+L209+M209</f>
        <v/>
      </c>
      <c r="O209" s="5">
        <f>IF(ISNUMBER(N209),N209,"")</f>
        <v/>
      </c>
      <c r="P209" s="5">
        <f>_xlfn.RANK.EQ(O209,$O$2:$O$1031)</f>
        <v/>
      </c>
      <c r="Q209" s="9" t="n">
        <v>284</v>
      </c>
      <c r="R209" s="9" t="n">
        <v>46.5</v>
      </c>
      <c r="S209" s="9" t="n">
        <v>25</v>
      </c>
      <c r="T209" s="9" t="n">
        <v>25</v>
      </c>
      <c r="U209" s="9">
        <f>Q209+R209+S209+T209</f>
        <v/>
      </c>
      <c r="V209" s="9">
        <f>IF(ISNUMBER(U209),U209,"")</f>
        <v/>
      </c>
      <c r="W209" s="9">
        <f>_xlfn.RANK.EQ(V209,$V$2:$V$1031)</f>
        <v/>
      </c>
      <c r="X209" s="13" t="n">
        <v>1422.6833333333</v>
      </c>
      <c r="Y209" s="13" t="n">
        <v>25</v>
      </c>
      <c r="Z209" s="13" t="n">
        <v>24</v>
      </c>
      <c r="AA209" s="13" t="n">
        <v>25</v>
      </c>
      <c r="AB209" s="13">
        <f>IF(ISNUMBER(X209),X209+N(Y209)+N(Z209)+N(AA209),X209)</f>
        <v/>
      </c>
      <c r="AC209" s="13">
        <f>IF(ISNUMBER(AB209),AB209,"")</f>
        <v/>
      </c>
      <c r="AD209" s="13">
        <f>IF(ISNUMBER(AC209),_xlfn.RANK.EQ(AC209,$AC$2:$AC$1031),"")</f>
        <v/>
      </c>
      <c r="AE209" s="15">
        <f>IF(ISNUMBER(AF209),AF209/3630,"")</f>
        <v/>
      </c>
      <c r="AF209" s="14">
        <f>IFERROR(C209+D209+E209+F209+J209+K209+L209+M209+Q209+R209+S209+T209+IF(ISNUMBER(X209),X209,0)+N(Y209)+N(Z209)+N(AA209),"")</f>
        <v/>
      </c>
      <c r="AG209" s="14">
        <f>IF(ISNUMBER(AF209),AF209,"")</f>
        <v/>
      </c>
      <c r="AH209" s="14">
        <f>IF(ISNUMBER(AG209),_xlfn.RANK.EQ(AG209,$AG$2:$AG$1031),"")</f>
        <v/>
      </c>
    </row>
    <row r="210">
      <c r="A210" s="18" t="n">
        <v>435</v>
      </c>
      <c r="B210" s="18" t="inlineStr">
        <is>
          <t>بسمله يسرى السيد ابراهيم يوسف</t>
        </is>
      </c>
      <c r="C210" s="1" t="n">
        <v>569.8</v>
      </c>
      <c r="D210" s="1" t="n">
        <v>25</v>
      </c>
      <c r="E210" s="1" t="n">
        <v>24</v>
      </c>
      <c r="F210" s="1" t="n">
        <v>21</v>
      </c>
      <c r="G210" s="1">
        <f>C210+D210+E210+F210</f>
        <v/>
      </c>
      <c r="H210" s="1">
        <f>IF(ISNUMBER(G210),G210,"")</f>
        <v/>
      </c>
      <c r="I210" s="1">
        <f>_xlfn.RANK.EQ(H210,$H$2:$H$1031)</f>
        <v/>
      </c>
      <c r="J210" s="5" t="n">
        <v>619</v>
      </c>
      <c r="K210" s="5" t="n">
        <v>49</v>
      </c>
      <c r="L210" s="5" t="n">
        <v>22</v>
      </c>
      <c r="M210" s="5" t="n">
        <v>23</v>
      </c>
      <c r="N210" s="5">
        <f>J210+K210+L210+M210</f>
        <v/>
      </c>
      <c r="O210" s="5">
        <f>IF(ISNUMBER(N210),N210,"")</f>
        <v/>
      </c>
      <c r="P210" s="5">
        <f>_xlfn.RANK.EQ(O210,$O$2:$O$1031)</f>
        <v/>
      </c>
      <c r="Q210" s="9" t="n">
        <v>254</v>
      </c>
      <c r="R210" s="9" t="n">
        <v>48</v>
      </c>
      <c r="S210" s="9" t="n">
        <v>24</v>
      </c>
      <c r="T210" s="9" t="n">
        <v>24</v>
      </c>
      <c r="U210" s="9">
        <f>Q210+R210+S210+T210</f>
        <v/>
      </c>
      <c r="V210" s="9">
        <f>IF(ISNUMBER(U210),U210,"")</f>
        <v/>
      </c>
      <c r="W210" s="9">
        <f>_xlfn.RANK.EQ(V210,$V$2:$V$1031)</f>
        <v/>
      </c>
      <c r="X210" s="13" t="n">
        <v>1370.0416666667</v>
      </c>
      <c r="Y210" s="13" t="n">
        <v>25</v>
      </c>
      <c r="Z210" s="13" t="n">
        <v>25</v>
      </c>
      <c r="AA210" s="13" t="n">
        <v>24</v>
      </c>
      <c r="AB210" s="13">
        <f>IF(ISNUMBER(X210),X210+N(Y210)+N(Z210)+N(AA210),X210)</f>
        <v/>
      </c>
      <c r="AC210" s="13">
        <f>IF(ISNUMBER(AB210),AB210,"")</f>
        <v/>
      </c>
      <c r="AD210" s="13">
        <f>IF(ISNUMBER(AC210),_xlfn.RANK.EQ(AC210,$AC$2:$AC$1031),"")</f>
        <v/>
      </c>
      <c r="AE210" s="15">
        <f>IF(ISNUMBER(AF210),AF210/3630,"")</f>
        <v/>
      </c>
      <c r="AF210" s="14">
        <f>IFERROR(C210+D210+E210+F210+J210+K210+L210+M210+Q210+R210+S210+T210+IF(ISNUMBER(X210),X210,0)+N(Y210)+N(Z210)+N(AA210),"")</f>
        <v/>
      </c>
      <c r="AG210" s="14">
        <f>IF(ISNUMBER(AF210),AF210,"")</f>
        <v/>
      </c>
      <c r="AH210" s="14">
        <f>IF(ISNUMBER(AG210),_xlfn.RANK.EQ(AG210,$AG$2:$AG$1031),"")</f>
        <v/>
      </c>
    </row>
    <row r="211">
      <c r="A211" s="18" t="n">
        <v>436</v>
      </c>
      <c r="B211" s="18" t="inlineStr">
        <is>
          <t>بسمه شريف احمد حسين عبدالمعين</t>
        </is>
      </c>
      <c r="C211" s="1" t="n">
        <v>491.7</v>
      </c>
      <c r="D211" s="1" t="n">
        <v>23</v>
      </c>
      <c r="E211" s="1" t="n">
        <v>22</v>
      </c>
      <c r="F211" s="1" t="n">
        <v>23</v>
      </c>
      <c r="G211" s="1">
        <f>C211+D211+E211+F211</f>
        <v/>
      </c>
      <c r="H211" s="1">
        <f>IF(ISNUMBER(G211),G211,"")</f>
        <v/>
      </c>
      <c r="I211" s="1">
        <f>_xlfn.RANK.EQ(H211,$H$2:$H$1031)</f>
        <v/>
      </c>
      <c r="J211" s="5" t="n">
        <v>523.3</v>
      </c>
      <c r="K211" s="5" t="n">
        <v>42</v>
      </c>
      <c r="L211" s="5" t="n">
        <v>21</v>
      </c>
      <c r="M211" s="5" t="n">
        <v>22</v>
      </c>
      <c r="N211" s="5">
        <f>J211+K211+L211+M211</f>
        <v/>
      </c>
      <c r="O211" s="5">
        <f>IF(ISNUMBER(N211),N211,"")</f>
        <v/>
      </c>
      <c r="P211" s="5">
        <f>_xlfn.RANK.EQ(O211,$O$2:$O$1031)</f>
        <v/>
      </c>
      <c r="Q211" s="9" t="n">
        <v>213.25</v>
      </c>
      <c r="R211" s="9" t="n">
        <v>37.5</v>
      </c>
      <c r="S211" s="9" t="n">
        <v>24</v>
      </c>
      <c r="T211" s="9" t="n">
        <v>23</v>
      </c>
      <c r="U211" s="9">
        <f>Q211+R211+S211+T211</f>
        <v/>
      </c>
      <c r="V211" s="9">
        <f>IF(ISNUMBER(U211),U211,"")</f>
        <v/>
      </c>
      <c r="W211" s="9">
        <f>_xlfn.RANK.EQ(V211,$V$2:$V$1031)</f>
        <v/>
      </c>
      <c r="X211" s="13" t="n">
        <v>1123.9458333333</v>
      </c>
      <c r="Y211" s="13" t="n">
        <v>21</v>
      </c>
      <c r="Z211" s="13" t="n">
        <v>23</v>
      </c>
      <c r="AA211" s="13" t="n">
        <v>22</v>
      </c>
      <c r="AB211" s="13">
        <f>IF(ISNUMBER(X211),X211+N(Y211)+N(Z211)+N(AA211),X211)</f>
        <v/>
      </c>
      <c r="AC211" s="13">
        <f>IF(ISNUMBER(AB211),AB211,"")</f>
        <v/>
      </c>
      <c r="AD211" s="13">
        <f>IF(ISNUMBER(AC211),_xlfn.RANK.EQ(AC211,$AC$2:$AC$1031),"")</f>
        <v/>
      </c>
      <c r="AE211" s="15">
        <f>IF(ISNUMBER(AF211),AF211/3630,"")</f>
        <v/>
      </c>
      <c r="AF211" s="14">
        <f>IFERROR(C211+D211+E211+F211+J211+K211+L211+M211+Q211+R211+S211+T211+IF(ISNUMBER(X211),X211,0)+N(Y211)+N(Z211)+N(AA211),"")</f>
        <v/>
      </c>
      <c r="AG211" s="14">
        <f>IF(ISNUMBER(AF211),AF211,"")</f>
        <v/>
      </c>
      <c r="AH211" s="14">
        <f>IF(ISNUMBER(AG211),_xlfn.RANK.EQ(AG211,$AG$2:$AG$1031),"")</f>
        <v/>
      </c>
    </row>
    <row r="212">
      <c r="A212" s="18" t="n">
        <v>437</v>
      </c>
      <c r="B212" s="18" t="inlineStr">
        <is>
          <t>بسنت سامى عبداللطيف عبدالله مخلوف</t>
        </is>
      </c>
      <c r="C212" s="1" t="n">
        <v>531.8</v>
      </c>
      <c r="D212" s="1" t="n">
        <v>24</v>
      </c>
      <c r="E212" s="1" t="n">
        <v>23</v>
      </c>
      <c r="F212" s="1" t="n">
        <v>20</v>
      </c>
      <c r="G212" s="1">
        <f>C212+D212+E212+F212</f>
        <v/>
      </c>
      <c r="H212" s="1">
        <f>IF(ISNUMBER(G212),G212,"")</f>
        <v/>
      </c>
      <c r="I212" s="1">
        <f>_xlfn.RANK.EQ(H212,$H$2:$H$1031)</f>
        <v/>
      </c>
      <c r="J212" s="5" t="n">
        <v>546.6</v>
      </c>
      <c r="K212" s="5" t="n">
        <v>48</v>
      </c>
      <c r="L212" s="5" t="n">
        <v>22</v>
      </c>
      <c r="M212" s="5" t="n">
        <v>24</v>
      </c>
      <c r="N212" s="5">
        <f>J212+K212+L212+M212</f>
        <v/>
      </c>
      <c r="O212" s="5">
        <f>IF(ISNUMBER(N212),N212,"")</f>
        <v/>
      </c>
      <c r="P212" s="5">
        <f>_xlfn.RANK.EQ(O212,$O$2:$O$1031)</f>
        <v/>
      </c>
      <c r="Q212" s="9" t="n">
        <v>257</v>
      </c>
      <c r="R212" s="9" t="n">
        <v>46</v>
      </c>
      <c r="S212" s="9" t="n">
        <v>23</v>
      </c>
      <c r="T212" s="9" t="n">
        <v>24</v>
      </c>
      <c r="U212" s="9">
        <f>Q212+R212+S212+T212</f>
        <v/>
      </c>
      <c r="V212" s="9">
        <f>IF(ISNUMBER(U212),U212,"")</f>
        <v/>
      </c>
      <c r="W212" s="9">
        <f>_xlfn.RANK.EQ(V212,$V$2:$V$1031)</f>
        <v/>
      </c>
      <c r="X212" s="13" t="n">
        <v>1305.6958333333</v>
      </c>
      <c r="Y212" s="13" t="n">
        <v>25</v>
      </c>
      <c r="Z212" s="13" t="n">
        <v>25</v>
      </c>
      <c r="AA212" s="13" t="n">
        <v>24</v>
      </c>
      <c r="AB212" s="13">
        <f>IF(ISNUMBER(X212),X212+N(Y212)+N(Z212)+N(AA212),X212)</f>
        <v/>
      </c>
      <c r="AC212" s="13">
        <f>IF(ISNUMBER(AB212),AB212,"")</f>
        <v/>
      </c>
      <c r="AD212" s="13">
        <f>IF(ISNUMBER(AC212),_xlfn.RANK.EQ(AC212,$AC$2:$AC$1031),"")</f>
        <v/>
      </c>
      <c r="AE212" s="15">
        <f>IF(ISNUMBER(AF212),AF212/3630,"")</f>
        <v/>
      </c>
      <c r="AF212" s="14">
        <f>IFERROR(C212+D212+E212+F212+J212+K212+L212+M212+Q212+R212+S212+T212+IF(ISNUMBER(X212),X212,0)+N(Y212)+N(Z212)+N(AA212),"")</f>
        <v/>
      </c>
      <c r="AG212" s="14">
        <f>IF(ISNUMBER(AF212),AF212,"")</f>
        <v/>
      </c>
      <c r="AH212" s="14">
        <f>IF(ISNUMBER(AG212),_xlfn.RANK.EQ(AG212,$AG$2:$AG$1031),"")</f>
        <v/>
      </c>
    </row>
    <row r="213">
      <c r="A213" s="18" t="n">
        <v>438</v>
      </c>
      <c r="B213" s="18" t="inlineStr">
        <is>
          <t>بسنت عبدالعزيز محمد شاكر الزكي</t>
        </is>
      </c>
      <c r="C213" s="1" t="n">
        <v>611</v>
      </c>
      <c r="D213" s="1" t="n">
        <v>24</v>
      </c>
      <c r="E213" s="1" t="n">
        <v>24</v>
      </c>
      <c r="F213" s="1" t="n">
        <v>22</v>
      </c>
      <c r="G213" s="1">
        <f>C213+D213+E213+F213</f>
        <v/>
      </c>
      <c r="H213" s="1">
        <f>IF(ISNUMBER(G213),G213,"")</f>
        <v/>
      </c>
      <c r="I213" s="1">
        <f>_xlfn.RANK.EQ(H213,$H$2:$H$1031)</f>
        <v/>
      </c>
      <c r="J213" s="5" t="n">
        <v>549.5</v>
      </c>
      <c r="K213" s="5" t="n">
        <v>49</v>
      </c>
      <c r="L213" s="5" t="n">
        <v>23</v>
      </c>
      <c r="M213" s="5" t="n">
        <v>23</v>
      </c>
      <c r="N213" s="5">
        <f>J213+K213+L213+M213</f>
        <v/>
      </c>
      <c r="O213" s="5">
        <f>IF(ISNUMBER(N213),N213,"")</f>
        <v/>
      </c>
      <c r="P213" s="5">
        <f>_xlfn.RANK.EQ(O213,$O$2:$O$1031)</f>
        <v/>
      </c>
      <c r="Q213" s="9" t="n">
        <v>246</v>
      </c>
      <c r="R213" s="9" t="n">
        <v>46.5</v>
      </c>
      <c r="S213" s="9" t="n">
        <v>23</v>
      </c>
      <c r="T213" s="9" t="n">
        <v>24.5</v>
      </c>
      <c r="U213" s="9">
        <f>Q213+R213+S213+T213</f>
        <v/>
      </c>
      <c r="V213" s="9">
        <f>IF(ISNUMBER(U213),U213,"")</f>
        <v/>
      </c>
      <c r="W213" s="9">
        <f>_xlfn.RANK.EQ(V213,$V$2:$V$1031)</f>
        <v/>
      </c>
      <c r="X213" s="13" t="inlineStr">
        <is>
          <t>غ ب</t>
        </is>
      </c>
      <c r="Y213" s="13" t="n">
        <v>25</v>
      </c>
      <c r="Z213" s="13" t="n">
        <v>25</v>
      </c>
      <c r="AA213" s="13" t="n">
        <v>25</v>
      </c>
      <c r="AB213" s="13">
        <f>IF(ISNUMBER(X213),X213+N(Y213)+N(Z213)+N(AA213),X213)</f>
        <v/>
      </c>
      <c r="AC213" s="13">
        <f>IF(ISNUMBER(AB213),AB213,"")</f>
        <v/>
      </c>
      <c r="AD213" s="13">
        <f>IF(ISNUMBER(AC213),_xlfn.RANK.EQ(AC213,$AC$2:$AC$1031),"")</f>
        <v/>
      </c>
      <c r="AE213" s="15">
        <f>IF(ISNUMBER(AF213),AF213/3630,"")</f>
        <v/>
      </c>
      <c r="AF213" s="14">
        <f>IFERROR(C213+D213+E213+F213+J213+K213+L213+M213+Q213+R213+S213+T213+IF(ISNUMBER(X213),X213,0)+N(Y213)+N(Z213)+N(AA213),"")</f>
        <v/>
      </c>
      <c r="AG213" s="14">
        <f>IF(ISNUMBER(AF213),AF213,"")</f>
        <v/>
      </c>
      <c r="AH213" s="14">
        <f>IF(ISNUMBER(AG213),_xlfn.RANK.EQ(AG213,$AG$2:$AG$1031),"")</f>
        <v/>
      </c>
    </row>
    <row r="214">
      <c r="A214" s="18" t="n">
        <v>439</v>
      </c>
      <c r="B214" s="18" t="inlineStr">
        <is>
          <t>بسنت فوزي محمد امين</t>
        </is>
      </c>
      <c r="C214" s="1" t="n">
        <v>593.9</v>
      </c>
      <c r="D214" s="1" t="n">
        <v>23</v>
      </c>
      <c r="E214" s="1" t="n">
        <v>23</v>
      </c>
      <c r="F214" s="1" t="n">
        <v>24</v>
      </c>
      <c r="G214" s="1">
        <f>C214+D214+E214+F214</f>
        <v/>
      </c>
      <c r="H214" s="1">
        <f>IF(ISNUMBER(G214),G214,"")</f>
        <v/>
      </c>
      <c r="I214" s="1">
        <f>_xlfn.RANK.EQ(H214,$H$2:$H$1031)</f>
        <v/>
      </c>
      <c r="J214" s="5" t="n">
        <v>580.8</v>
      </c>
      <c r="K214" s="5" t="n">
        <v>44</v>
      </c>
      <c r="L214" s="5" t="n">
        <v>23</v>
      </c>
      <c r="M214" s="5" t="n">
        <v>21</v>
      </c>
      <c r="N214" s="5">
        <f>J214+K214+L214+M214</f>
        <v/>
      </c>
      <c r="O214" s="5">
        <f>IF(ISNUMBER(N214),N214,"")</f>
        <v/>
      </c>
      <c r="P214" s="5">
        <f>_xlfn.RANK.EQ(O214,$O$2:$O$1031)</f>
        <v/>
      </c>
      <c r="Q214" s="9" t="n">
        <v>235</v>
      </c>
      <c r="R214" s="9" t="n">
        <v>41.5</v>
      </c>
      <c r="S214" s="9" t="n">
        <v>21</v>
      </c>
      <c r="T214" s="9" t="n">
        <v>24.5</v>
      </c>
      <c r="U214" s="9">
        <f>Q214+R214+S214+T214</f>
        <v/>
      </c>
      <c r="V214" s="9">
        <f>IF(ISNUMBER(U214),U214,"")</f>
        <v/>
      </c>
      <c r="W214" s="9">
        <f>_xlfn.RANK.EQ(V214,$V$2:$V$1031)</f>
        <v/>
      </c>
      <c r="X214" s="13" t="n">
        <v>1368.0916666667</v>
      </c>
      <c r="Y214" s="13" t="n">
        <v>24.5</v>
      </c>
      <c r="Z214" s="13" t="n">
        <v>22</v>
      </c>
      <c r="AA214" s="13" t="n">
        <v>23</v>
      </c>
      <c r="AB214" s="13">
        <f>IF(ISNUMBER(X214),X214+N(Y214)+N(Z214)+N(AA214),X214)</f>
        <v/>
      </c>
      <c r="AC214" s="13">
        <f>IF(ISNUMBER(AB214),AB214,"")</f>
        <v/>
      </c>
      <c r="AD214" s="13">
        <f>IF(ISNUMBER(AC214),_xlfn.RANK.EQ(AC214,$AC$2:$AC$1031),"")</f>
        <v/>
      </c>
      <c r="AE214" s="15">
        <f>IF(ISNUMBER(AF214),AF214/3630,"")</f>
        <v/>
      </c>
      <c r="AF214" s="14">
        <f>IFERROR(C214+D214+E214+F214+J214+K214+L214+M214+Q214+R214+S214+T214+IF(ISNUMBER(X214),X214,0)+N(Y214)+N(Z214)+N(AA214),"")</f>
        <v/>
      </c>
      <c r="AG214" s="14">
        <f>IF(ISNUMBER(AF214),AF214,"")</f>
        <v/>
      </c>
      <c r="AH214" s="14">
        <f>IF(ISNUMBER(AG214),_xlfn.RANK.EQ(AG214,$AG$2:$AG$1031),"")</f>
        <v/>
      </c>
    </row>
    <row r="215">
      <c r="A215" s="18" t="n">
        <v>448</v>
      </c>
      <c r="B215" s="18" t="inlineStr">
        <is>
          <t>بلال احمد ثروت محمد نصوح كريمه</t>
        </is>
      </c>
      <c r="C215" s="1" t="n">
        <v>629.1</v>
      </c>
      <c r="D215" s="1" t="n">
        <v>24</v>
      </c>
      <c r="E215" s="1" t="n">
        <v>24</v>
      </c>
      <c r="F215" s="1" t="n">
        <v>21</v>
      </c>
      <c r="G215" s="1">
        <f>C215+D215+E215+F215</f>
        <v/>
      </c>
      <c r="H215" s="1">
        <f>IF(ISNUMBER(G215),G215,"")</f>
        <v/>
      </c>
      <c r="I215" s="1">
        <f>_xlfn.RANK.EQ(H215,$H$2:$H$1031)</f>
        <v/>
      </c>
      <c r="J215" s="5" t="n">
        <v>551.2</v>
      </c>
      <c r="K215" s="5" t="n">
        <v>44</v>
      </c>
      <c r="L215" s="5" t="n">
        <v>23</v>
      </c>
      <c r="M215" s="5" t="n">
        <v>22</v>
      </c>
      <c r="N215" s="5">
        <f>J215+K215+L215+M215</f>
        <v/>
      </c>
      <c r="O215" s="5">
        <f>IF(ISNUMBER(N215),N215,"")</f>
        <v/>
      </c>
      <c r="P215" s="5">
        <f>_xlfn.RANK.EQ(O215,$O$2:$O$1031)</f>
        <v/>
      </c>
      <c r="Q215" s="9" t="n">
        <v>226.5</v>
      </c>
      <c r="R215" s="9" t="n">
        <v>45.5</v>
      </c>
      <c r="S215" s="9" t="n">
        <v>24</v>
      </c>
      <c r="T215" s="9" t="n">
        <v>23.5</v>
      </c>
      <c r="U215" s="9">
        <f>Q215+R215+S215+T215</f>
        <v/>
      </c>
      <c r="V215" s="9">
        <f>IF(ISNUMBER(U215),U215,"")</f>
        <v/>
      </c>
      <c r="W215" s="9">
        <f>_xlfn.RANK.EQ(V215,$V$2:$V$1031)</f>
        <v/>
      </c>
      <c r="X215" s="13" t="n">
        <v>1361.8833333333</v>
      </c>
      <c r="Y215" s="13" t="n">
        <v>24</v>
      </c>
      <c r="Z215" s="13" t="n">
        <v>25</v>
      </c>
      <c r="AA215" s="13" t="n">
        <v>20</v>
      </c>
      <c r="AB215" s="13">
        <f>IF(ISNUMBER(X215),X215+N(Y215)+N(Z215)+N(AA215),X215)</f>
        <v/>
      </c>
      <c r="AC215" s="13">
        <f>IF(ISNUMBER(AB215),AB215,"")</f>
        <v/>
      </c>
      <c r="AD215" s="13">
        <f>IF(ISNUMBER(AC215),_xlfn.RANK.EQ(AC215,$AC$2:$AC$1031),"")</f>
        <v/>
      </c>
      <c r="AE215" s="15">
        <f>IF(ISNUMBER(AF215),AF215/3630,"")</f>
        <v/>
      </c>
      <c r="AF215" s="14">
        <f>IFERROR(C215+D215+E215+F215+J215+K215+L215+M215+Q215+R215+S215+T215+IF(ISNUMBER(X215),X215,0)+N(Y215)+N(Z215)+N(AA215),"")</f>
        <v/>
      </c>
      <c r="AG215" s="14">
        <f>IF(ISNUMBER(AF215),AF215,"")</f>
        <v/>
      </c>
      <c r="AH215" s="14">
        <f>IF(ISNUMBER(AG215),_xlfn.RANK.EQ(AG215,$AG$2:$AG$1031),"")</f>
        <v/>
      </c>
    </row>
    <row r="216">
      <c r="A216" s="18" t="n">
        <v>450</v>
      </c>
      <c r="B216" s="18" t="inlineStr">
        <is>
          <t>بلال راغب سيف النصر محمود</t>
        </is>
      </c>
      <c r="C216" s="1" t="n">
        <v>535.1</v>
      </c>
      <c r="D216" s="1" t="n">
        <v>22</v>
      </c>
      <c r="E216" s="1" t="n">
        <v>21</v>
      </c>
      <c r="F216" s="1" t="n">
        <v>21</v>
      </c>
      <c r="G216" s="1">
        <f>C216+D216+E216+F216</f>
        <v/>
      </c>
      <c r="H216" s="1">
        <f>IF(ISNUMBER(G216),G216,"")</f>
        <v/>
      </c>
      <c r="I216" s="1">
        <f>_xlfn.RANK.EQ(H216,$H$2:$H$1031)</f>
        <v/>
      </c>
      <c r="J216" s="5" t="n">
        <v>577.4</v>
      </c>
      <c r="K216" s="5" t="n">
        <v>39</v>
      </c>
      <c r="L216" s="5" t="n">
        <v>21</v>
      </c>
      <c r="M216" s="5" t="n">
        <v>16</v>
      </c>
      <c r="N216" s="5">
        <f>J216+K216+L216+M216</f>
        <v/>
      </c>
      <c r="O216" s="5">
        <f>IF(ISNUMBER(N216),N216,"")</f>
        <v/>
      </c>
      <c r="P216" s="5">
        <f>_xlfn.RANK.EQ(O216,$O$2:$O$1031)</f>
        <v/>
      </c>
      <c r="Q216" s="9" t="n">
        <v>235</v>
      </c>
      <c r="R216" s="9" t="n">
        <v>40.5</v>
      </c>
      <c r="S216" s="9" t="n">
        <v>20</v>
      </c>
      <c r="T216" s="9" t="n">
        <v>24</v>
      </c>
      <c r="U216" s="9">
        <f>Q216+R216+S216+T216</f>
        <v/>
      </c>
      <c r="V216" s="9">
        <f>IF(ISNUMBER(U216),U216,"")</f>
        <v/>
      </c>
      <c r="W216" s="9">
        <f>_xlfn.RANK.EQ(V216,$V$2:$V$1031)</f>
        <v/>
      </c>
      <c r="X216" s="13" t="n">
        <v>1142.9458333333</v>
      </c>
      <c r="Y216" s="13" t="n">
        <v>24</v>
      </c>
      <c r="Z216" s="13" t="n">
        <v>19.5</v>
      </c>
      <c r="AA216" s="13" t="n">
        <v>13</v>
      </c>
      <c r="AB216" s="13">
        <f>IF(ISNUMBER(X216),X216+N(Y216)+N(Z216)+N(AA216),X216)</f>
        <v/>
      </c>
      <c r="AC216" s="13">
        <f>IF(ISNUMBER(AB216),AB216,"")</f>
        <v/>
      </c>
      <c r="AD216" s="13">
        <f>IF(ISNUMBER(AC216),_xlfn.RANK.EQ(AC216,$AC$2:$AC$1031),"")</f>
        <v/>
      </c>
      <c r="AE216" s="15">
        <f>IF(ISNUMBER(AF216),AF216/3630,"")</f>
        <v/>
      </c>
      <c r="AF216" s="14">
        <f>IFERROR(C216+D216+E216+F216+J216+K216+L216+M216+Q216+R216+S216+T216+IF(ISNUMBER(X216),X216,0)+N(Y216)+N(Z216)+N(AA216),"")</f>
        <v/>
      </c>
      <c r="AG216" s="14">
        <f>IF(ISNUMBER(AF216),AF216,"")</f>
        <v/>
      </c>
      <c r="AH216" s="14">
        <f>IF(ISNUMBER(AG216),_xlfn.RANK.EQ(AG216,$AG$2:$AG$1031),"")</f>
        <v/>
      </c>
    </row>
    <row r="217">
      <c r="A217" s="18" t="n">
        <v>459</v>
      </c>
      <c r="B217" s="18" t="inlineStr">
        <is>
          <t>بيشوى عبدالله ونيس عطيه عبد الله</t>
        </is>
      </c>
      <c r="C217" s="1" t="n">
        <v>554.5</v>
      </c>
      <c r="D217" s="1" t="n">
        <v>14</v>
      </c>
      <c r="E217" s="1" t="n">
        <v>17</v>
      </c>
      <c r="F217" s="1" t="n">
        <v>13</v>
      </c>
      <c r="G217" s="1">
        <f>C217+D217+E217+F217</f>
        <v/>
      </c>
      <c r="H217" s="1">
        <f>IF(ISNUMBER(G217),G217,"")</f>
        <v/>
      </c>
      <c r="I217" s="1">
        <f>_xlfn.RANK.EQ(H217,$H$2:$H$1031)</f>
        <v/>
      </c>
      <c r="J217" s="5" t="n">
        <v>596.3</v>
      </c>
      <c r="K217" s="5" t="n">
        <v>43</v>
      </c>
      <c r="L217" s="5" t="n">
        <v>16</v>
      </c>
      <c r="M217" s="5" t="n">
        <v>19</v>
      </c>
      <c r="N217" s="5">
        <f>J217+K217+L217+M217</f>
        <v/>
      </c>
      <c r="O217" s="5">
        <f>IF(ISNUMBER(N217),N217,"")</f>
        <v/>
      </c>
      <c r="P217" s="5">
        <f>_xlfn.RANK.EQ(O217,$O$2:$O$1031)</f>
        <v/>
      </c>
      <c r="Q217" s="9" t="n">
        <v>231.5</v>
      </c>
      <c r="R217" s="9" t="n">
        <v>44</v>
      </c>
      <c r="S217" s="9" t="n">
        <v>21</v>
      </c>
      <c r="T217" s="9" t="n">
        <v>24.5</v>
      </c>
      <c r="U217" s="9">
        <f>Q217+R217+S217+T217</f>
        <v/>
      </c>
      <c r="V217" s="9">
        <f>IF(ISNUMBER(U217),U217,"")</f>
        <v/>
      </c>
      <c r="W217" s="9">
        <f>_xlfn.RANK.EQ(V217,$V$2:$V$1031)</f>
        <v/>
      </c>
      <c r="X217" s="13" t="inlineStr">
        <is>
          <t>راسب</t>
        </is>
      </c>
      <c r="Y217" s="13" t="n">
        <v>19.5</v>
      </c>
      <c r="Z217" s="13" t="n">
        <v>21</v>
      </c>
      <c r="AA217" s="13" t="n">
        <v>17</v>
      </c>
      <c r="AB217" s="13">
        <f>IF(ISNUMBER(X217),X217+N(Y217)+N(Z217)+N(AA217),X217)</f>
        <v/>
      </c>
      <c r="AC217" s="13">
        <f>IF(ISNUMBER(AB217),AB217,"")</f>
        <v/>
      </c>
      <c r="AD217" s="13">
        <f>IF(ISNUMBER(AC217),_xlfn.RANK.EQ(AC217,$AC$2:$AC$1031),"")</f>
        <v/>
      </c>
      <c r="AE217" s="15">
        <f>IF(ISNUMBER(AF217),AF217/3630,"")</f>
        <v/>
      </c>
      <c r="AF217" s="14">
        <f>IFERROR(C217+D217+E217+F217+J217+K217+L217+M217+Q217+R217+S217+T217+IF(ISNUMBER(X217),X217,0)+N(Y217)+N(Z217)+N(AA217),"")</f>
        <v/>
      </c>
      <c r="AG217" s="14">
        <f>IF(ISNUMBER(AF217),AF217,"")</f>
        <v/>
      </c>
      <c r="AH217" s="14">
        <f>IF(ISNUMBER(AG217),_xlfn.RANK.EQ(AG217,$AG$2:$AG$1031),"")</f>
        <v/>
      </c>
    </row>
    <row r="218">
      <c r="A218" s="18" t="n">
        <v>460</v>
      </c>
      <c r="B218" s="18" t="inlineStr">
        <is>
          <t>بيشوى كامل سلامه كامل مسيحه</t>
        </is>
      </c>
      <c r="C218" s="1" t="n">
        <v>654.5</v>
      </c>
      <c r="D218" s="1" t="n">
        <v>25</v>
      </c>
      <c r="E218" s="1" t="n">
        <v>24</v>
      </c>
      <c r="F218" s="1" t="n">
        <v>24</v>
      </c>
      <c r="G218" s="1">
        <f>C218+D218+E218+F218</f>
        <v/>
      </c>
      <c r="H218" s="1">
        <f>IF(ISNUMBER(G218),G218,"")</f>
        <v/>
      </c>
      <c r="I218" s="1">
        <f>_xlfn.RANK.EQ(H218,$H$2:$H$1031)</f>
        <v/>
      </c>
      <c r="J218" s="5" t="n">
        <v>636.7</v>
      </c>
      <c r="K218" s="5" t="n">
        <v>48</v>
      </c>
      <c r="L218" s="5" t="n">
        <v>24</v>
      </c>
      <c r="M218" s="5" t="n">
        <v>25</v>
      </c>
      <c r="N218" s="5">
        <f>J218+K218+L218+M218</f>
        <v/>
      </c>
      <c r="O218" s="5">
        <f>IF(ISNUMBER(N218),N218,"")</f>
        <v/>
      </c>
      <c r="P218" s="5">
        <f>_xlfn.RANK.EQ(O218,$O$2:$O$1031)</f>
        <v/>
      </c>
      <c r="Q218" s="9" t="n">
        <v>287</v>
      </c>
      <c r="R218" s="9" t="n">
        <v>48.5</v>
      </c>
      <c r="S218" s="9" t="n">
        <v>25</v>
      </c>
      <c r="T218" s="9" t="n">
        <v>24.5</v>
      </c>
      <c r="U218" s="9">
        <f>Q218+R218+S218+T218</f>
        <v/>
      </c>
      <c r="V218" s="9">
        <f>IF(ISNUMBER(U218),U218,"")</f>
        <v/>
      </c>
      <c r="W218" s="9">
        <f>_xlfn.RANK.EQ(V218,$V$2:$V$1031)</f>
        <v/>
      </c>
      <c r="X218" s="13" t="n">
        <v>1564.275</v>
      </c>
      <c r="Y218" s="13" t="n">
        <v>25</v>
      </c>
      <c r="Z218" s="13" t="n">
        <v>25</v>
      </c>
      <c r="AA218" s="13" t="n">
        <v>24</v>
      </c>
      <c r="AB218" s="13">
        <f>IF(ISNUMBER(X218),X218+N(Y218)+N(Z218)+N(AA218),X218)</f>
        <v/>
      </c>
      <c r="AC218" s="13">
        <f>IF(ISNUMBER(AB218),AB218,"")</f>
        <v/>
      </c>
      <c r="AD218" s="13">
        <f>IF(ISNUMBER(AC218),_xlfn.RANK.EQ(AC218,$AC$2:$AC$1031),"")</f>
        <v/>
      </c>
      <c r="AE218" s="15">
        <f>IF(ISNUMBER(AF218),AF218/3630,"")</f>
        <v/>
      </c>
      <c r="AF218" s="14">
        <f>IFERROR(C218+D218+E218+F218+J218+K218+L218+M218+Q218+R218+S218+T218+IF(ISNUMBER(X218),X218,0)+N(Y218)+N(Z218)+N(AA218),"")</f>
        <v/>
      </c>
      <c r="AG218" s="14">
        <f>IF(ISNUMBER(AF218),AF218,"")</f>
        <v/>
      </c>
      <c r="AH218" s="14">
        <f>IF(ISNUMBER(AG218),_xlfn.RANK.EQ(AG218,$AG$2:$AG$1031),"")</f>
        <v/>
      </c>
    </row>
    <row r="219">
      <c r="A219" s="18" t="n">
        <v>475</v>
      </c>
      <c r="B219" s="18" t="inlineStr">
        <is>
          <t>تسنيم محمد ابو زيد نوح</t>
        </is>
      </c>
      <c r="C219" s="1" t="n">
        <v>648.8</v>
      </c>
      <c r="D219" s="1" t="n">
        <v>25</v>
      </c>
      <c r="E219" s="1" t="n">
        <v>25</v>
      </c>
      <c r="F219" s="1" t="n">
        <v>24</v>
      </c>
      <c r="G219" s="1">
        <f>C219+D219+E219+F219</f>
        <v/>
      </c>
      <c r="H219" s="1">
        <f>IF(ISNUMBER(G219),G219,"")</f>
        <v/>
      </c>
      <c r="I219" s="1">
        <f>_xlfn.RANK.EQ(H219,$H$2:$H$1031)</f>
        <v/>
      </c>
      <c r="J219" s="5" t="n">
        <v>637</v>
      </c>
      <c r="K219" s="5" t="n">
        <v>48</v>
      </c>
      <c r="L219" s="5" t="n">
        <v>21</v>
      </c>
      <c r="M219" s="5" t="n">
        <v>25</v>
      </c>
      <c r="N219" s="5">
        <f>J219+K219+L219+M219</f>
        <v/>
      </c>
      <c r="O219" s="5">
        <f>IF(ISNUMBER(N219),N219,"")</f>
        <v/>
      </c>
      <c r="P219" s="5">
        <f>_xlfn.RANK.EQ(O219,$O$2:$O$1031)</f>
        <v/>
      </c>
      <c r="Q219" s="9" t="n">
        <v>285</v>
      </c>
      <c r="R219" s="9" t="n">
        <v>49.5</v>
      </c>
      <c r="S219" s="9" t="n">
        <v>24</v>
      </c>
      <c r="T219" s="9" t="n">
        <v>25</v>
      </c>
      <c r="U219" s="9">
        <f>Q219+R219+S219+T219</f>
        <v/>
      </c>
      <c r="V219" s="9">
        <f>IF(ISNUMBER(U219),U219,"")</f>
        <v/>
      </c>
      <c r="W219" s="9">
        <f>_xlfn.RANK.EQ(V219,$V$2:$V$1031)</f>
        <v/>
      </c>
      <c r="X219" s="13" t="n">
        <v>1513.6708333333</v>
      </c>
      <c r="Y219" s="13" t="n">
        <v>25</v>
      </c>
      <c r="Z219" s="13" t="n">
        <v>25</v>
      </c>
      <c r="AA219" s="13" t="n">
        <v>24</v>
      </c>
      <c r="AB219" s="13">
        <f>IF(ISNUMBER(X219),X219+N(Y219)+N(Z219)+N(AA219),X219)</f>
        <v/>
      </c>
      <c r="AC219" s="13">
        <f>IF(ISNUMBER(AB219),AB219,"")</f>
        <v/>
      </c>
      <c r="AD219" s="13">
        <f>IF(ISNUMBER(AC219),_xlfn.RANK.EQ(AC219,$AC$2:$AC$1031),"")</f>
        <v/>
      </c>
      <c r="AE219" s="15">
        <f>IF(ISNUMBER(AF219),AF219/3630,"")</f>
        <v/>
      </c>
      <c r="AF219" s="14">
        <f>IFERROR(C219+D219+E219+F219+J219+K219+L219+M219+Q219+R219+S219+T219+IF(ISNUMBER(X219),X219,0)+N(Y219)+N(Z219)+N(AA219),"")</f>
        <v/>
      </c>
      <c r="AG219" s="14">
        <f>IF(ISNUMBER(AF219),AF219,"")</f>
        <v/>
      </c>
      <c r="AH219" s="14">
        <f>IF(ISNUMBER(AG219),_xlfn.RANK.EQ(AG219,$AG$2:$AG$1031),"")</f>
        <v/>
      </c>
    </row>
    <row r="220">
      <c r="A220" s="18" t="n">
        <v>476</v>
      </c>
      <c r="B220" s="18" t="inlineStr">
        <is>
          <t>تسنيم محمود حسن علي أبو شاهين</t>
        </is>
      </c>
      <c r="C220" s="1" t="n">
        <v>566.8</v>
      </c>
      <c r="D220" s="1" t="n">
        <v>23</v>
      </c>
      <c r="E220" s="1" t="n">
        <v>24</v>
      </c>
      <c r="F220" s="1" t="n">
        <v>21</v>
      </c>
      <c r="G220" s="1">
        <f>C220+D220+E220+F220</f>
        <v/>
      </c>
      <c r="H220" s="1">
        <f>IF(ISNUMBER(G220),G220,"")</f>
        <v/>
      </c>
      <c r="I220" s="1">
        <f>_xlfn.RANK.EQ(H220,$H$2:$H$1031)</f>
        <v/>
      </c>
      <c r="J220" s="5" t="n">
        <v>582.5</v>
      </c>
      <c r="K220" s="5" t="n">
        <v>43</v>
      </c>
      <c r="L220" s="5" t="n">
        <v>22</v>
      </c>
      <c r="M220" s="5" t="n">
        <v>23</v>
      </c>
      <c r="N220" s="5">
        <f>J220+K220+L220+M220</f>
        <v/>
      </c>
      <c r="O220" s="5">
        <f>IF(ISNUMBER(N220),N220,"")</f>
        <v/>
      </c>
      <c r="P220" s="5">
        <f>_xlfn.RANK.EQ(O220,$O$2:$O$1031)</f>
        <v/>
      </c>
      <c r="Q220" s="9" t="n">
        <v>231</v>
      </c>
      <c r="R220" s="9" t="n">
        <v>41</v>
      </c>
      <c r="S220" s="9" t="n">
        <v>24</v>
      </c>
      <c r="T220" s="9" t="n">
        <v>22.5</v>
      </c>
      <c r="U220" s="9">
        <f>Q220+R220+S220+T220</f>
        <v/>
      </c>
      <c r="V220" s="9">
        <f>IF(ISNUMBER(U220),U220,"")</f>
        <v/>
      </c>
      <c r="W220" s="9">
        <f>_xlfn.RANK.EQ(V220,$V$2:$V$1031)</f>
        <v/>
      </c>
      <c r="X220" s="13" t="n">
        <v>1317.375</v>
      </c>
      <c r="Y220" s="13" t="n">
        <v>23</v>
      </c>
      <c r="Z220" s="13" t="n">
        <v>24</v>
      </c>
      <c r="AA220" s="13" t="n">
        <v>23</v>
      </c>
      <c r="AB220" s="13">
        <f>IF(ISNUMBER(X220),X220+N(Y220)+N(Z220)+N(AA220),X220)</f>
        <v/>
      </c>
      <c r="AC220" s="13">
        <f>IF(ISNUMBER(AB220),AB220,"")</f>
        <v/>
      </c>
      <c r="AD220" s="13">
        <f>IF(ISNUMBER(AC220),_xlfn.RANK.EQ(AC220,$AC$2:$AC$1031),"")</f>
        <v/>
      </c>
      <c r="AE220" s="15">
        <f>IF(ISNUMBER(AF220),AF220/3630,"")</f>
        <v/>
      </c>
      <c r="AF220" s="14">
        <f>IFERROR(C220+D220+E220+F220+J220+K220+L220+M220+Q220+R220+S220+T220+IF(ISNUMBER(X220),X220,0)+N(Y220)+N(Z220)+N(AA220),"")</f>
        <v/>
      </c>
      <c r="AG220" s="14">
        <f>IF(ISNUMBER(AF220),AF220,"")</f>
        <v/>
      </c>
      <c r="AH220" s="14">
        <f>IF(ISNUMBER(AG220),_xlfn.RANK.EQ(AG220,$AG$2:$AG$1031),"")</f>
        <v/>
      </c>
    </row>
    <row r="221">
      <c r="A221" s="18" t="n">
        <v>477</v>
      </c>
      <c r="B221" s="18" t="inlineStr">
        <is>
          <t>تسنيم مصطفى محمد  عبد المقصود مايله</t>
        </is>
      </c>
      <c r="C221" s="1" t="n">
        <v>500.7</v>
      </c>
      <c r="D221" s="1" t="n">
        <v>21</v>
      </c>
      <c r="E221" s="1" t="n">
        <v>15</v>
      </c>
      <c r="F221" s="1" t="n">
        <v>18</v>
      </c>
      <c r="G221" s="1">
        <f>C221+D221+E221+F221</f>
        <v/>
      </c>
      <c r="H221" s="1">
        <f>IF(ISNUMBER(G221),G221,"")</f>
        <v/>
      </c>
      <c r="I221" s="1">
        <f>_xlfn.RANK.EQ(H221,$H$2:$H$1031)</f>
        <v/>
      </c>
      <c r="J221" s="5" t="n">
        <v>512.5</v>
      </c>
      <c r="K221" s="5" t="n">
        <v>40</v>
      </c>
      <c r="L221" s="5" t="n">
        <v>20</v>
      </c>
      <c r="M221" s="5" t="n">
        <v>14</v>
      </c>
      <c r="N221" s="5">
        <f>J221+K221+L221+M221</f>
        <v/>
      </c>
      <c r="O221" s="5">
        <f>IF(ISNUMBER(N221),N221,"")</f>
        <v/>
      </c>
      <c r="P221" s="5">
        <f>_xlfn.RANK.EQ(O221,$O$2:$O$1031)</f>
        <v/>
      </c>
      <c r="Q221" s="9" t="n">
        <v>225</v>
      </c>
      <c r="R221" s="9" t="n">
        <v>42</v>
      </c>
      <c r="S221" s="9" t="n">
        <v>20</v>
      </c>
      <c r="T221" s="9" t="n">
        <v>23.5</v>
      </c>
      <c r="U221" s="9">
        <f>Q221+R221+S221+T221</f>
        <v/>
      </c>
      <c r="V221" s="9">
        <f>IF(ISNUMBER(U221),U221,"")</f>
        <v/>
      </c>
      <c r="W221" s="9">
        <f>_xlfn.RANK.EQ(V221,$V$2:$V$1031)</f>
        <v/>
      </c>
      <c r="X221" s="13" t="inlineStr">
        <is>
          <t>غ ب</t>
        </is>
      </c>
      <c r="Y221" s="13" t="n">
        <v>25</v>
      </c>
      <c r="Z221" s="13" t="n">
        <v>24</v>
      </c>
      <c r="AA221" s="13" t="n">
        <v>21</v>
      </c>
      <c r="AB221" s="13">
        <f>IF(ISNUMBER(X221),X221+N(Y221)+N(Z221)+N(AA221),X221)</f>
        <v/>
      </c>
      <c r="AC221" s="13">
        <f>IF(ISNUMBER(AB221),AB221,"")</f>
        <v/>
      </c>
      <c r="AD221" s="13">
        <f>IF(ISNUMBER(AC221),_xlfn.RANK.EQ(AC221,$AC$2:$AC$1031),"")</f>
        <v/>
      </c>
      <c r="AE221" s="15">
        <f>IF(ISNUMBER(AF221),AF221/3630,"")</f>
        <v/>
      </c>
      <c r="AF221" s="14">
        <f>IFERROR(C221+D221+E221+F221+J221+K221+L221+M221+Q221+R221+S221+T221+IF(ISNUMBER(X221),X221,0)+N(Y221)+N(Z221)+N(AA221),"")</f>
        <v/>
      </c>
      <c r="AG221" s="14">
        <f>IF(ISNUMBER(AF221),AF221,"")</f>
        <v/>
      </c>
      <c r="AH221" s="14">
        <f>IF(ISNUMBER(AG221),_xlfn.RANK.EQ(AG221,$AG$2:$AG$1031),"")</f>
        <v/>
      </c>
    </row>
    <row r="222">
      <c r="A222" s="18" t="n">
        <v>479</v>
      </c>
      <c r="B222" s="18" t="inlineStr">
        <is>
          <t>تسنيم ياسر عبد الحميد محمد الشيخ</t>
        </is>
      </c>
      <c r="C222" s="1" t="n">
        <v>531.7</v>
      </c>
      <c r="D222" s="1" t="n">
        <v>22</v>
      </c>
      <c r="E222" s="1" t="n">
        <v>20</v>
      </c>
      <c r="F222" s="1" t="n">
        <v>19</v>
      </c>
      <c r="G222" s="1">
        <f>C222+D222+E222+F222</f>
        <v/>
      </c>
      <c r="H222" s="1">
        <f>IF(ISNUMBER(G222),G222,"")</f>
        <v/>
      </c>
      <c r="I222" s="1">
        <f>_xlfn.RANK.EQ(H222,$H$2:$H$1031)</f>
        <v/>
      </c>
      <c r="J222" s="5" t="n">
        <v>493.5</v>
      </c>
      <c r="K222" s="5" t="n">
        <v>38</v>
      </c>
      <c r="L222" s="5" t="n">
        <v>19</v>
      </c>
      <c r="M222" s="5" t="n">
        <v>17</v>
      </c>
      <c r="N222" s="5">
        <f>J222+K222+L222+M222</f>
        <v/>
      </c>
      <c r="O222" s="5">
        <f>IF(ISNUMBER(N222),N222,"")</f>
        <v/>
      </c>
      <c r="P222" s="5">
        <f>_xlfn.RANK.EQ(O222,$O$2:$O$1031)</f>
        <v/>
      </c>
      <c r="Q222" s="9" t="n">
        <v>223</v>
      </c>
      <c r="R222" s="9" t="n">
        <v>40.5</v>
      </c>
      <c r="S222" s="9" t="n">
        <v>24</v>
      </c>
      <c r="T222" s="9" t="n">
        <v>24</v>
      </c>
      <c r="U222" s="9">
        <f>Q222+R222+S222+T222</f>
        <v/>
      </c>
      <c r="V222" s="9">
        <f>IF(ISNUMBER(U222),U222,"")</f>
        <v/>
      </c>
      <c r="W222" s="9">
        <f>_xlfn.RANK.EQ(V222,$V$2:$V$1031)</f>
        <v/>
      </c>
      <c r="X222" s="13" t="n">
        <v>1225.0583333333</v>
      </c>
      <c r="Y222" s="13" t="n">
        <v>21.5</v>
      </c>
      <c r="Z222" s="13" t="n">
        <v>23</v>
      </c>
      <c r="AA222" s="13" t="n">
        <v>18</v>
      </c>
      <c r="AB222" s="13">
        <f>IF(ISNUMBER(X222),X222+N(Y222)+N(Z222)+N(AA222),X222)</f>
        <v/>
      </c>
      <c r="AC222" s="13">
        <f>IF(ISNUMBER(AB222),AB222,"")</f>
        <v/>
      </c>
      <c r="AD222" s="13">
        <f>IF(ISNUMBER(AC222),_xlfn.RANK.EQ(AC222,$AC$2:$AC$1031),"")</f>
        <v/>
      </c>
      <c r="AE222" s="15">
        <f>IF(ISNUMBER(AF222),AF222/3630,"")</f>
        <v/>
      </c>
      <c r="AF222" s="14">
        <f>IFERROR(C222+D222+E222+F222+J222+K222+L222+M222+Q222+R222+S222+T222+IF(ISNUMBER(X222),X222,0)+N(Y222)+N(Z222)+N(AA222),"")</f>
        <v/>
      </c>
      <c r="AG222" s="14">
        <f>IF(ISNUMBER(AF222),AF222,"")</f>
        <v/>
      </c>
      <c r="AH222" s="14">
        <f>IF(ISNUMBER(AG222),_xlfn.RANK.EQ(AG222,$AG$2:$AG$1031),"")</f>
        <v/>
      </c>
    </row>
    <row r="223">
      <c r="A223" s="18" t="n">
        <v>481</v>
      </c>
      <c r="B223" s="18" t="inlineStr">
        <is>
          <t>تقى احمد عبد العزيز ابو عياشة</t>
        </is>
      </c>
      <c r="C223" s="1" t="n">
        <v>486.8</v>
      </c>
      <c r="D223" s="1" t="n">
        <v>23</v>
      </c>
      <c r="E223" s="1" t="n">
        <v>20</v>
      </c>
      <c r="F223" s="1" t="n">
        <v>20</v>
      </c>
      <c r="G223" s="1">
        <f>C223+D223+E223+F223</f>
        <v/>
      </c>
      <c r="H223" s="1">
        <f>IF(ISNUMBER(G223),G223,"")</f>
        <v/>
      </c>
      <c r="I223" s="1">
        <f>_xlfn.RANK.EQ(H223,$H$2:$H$1031)</f>
        <v/>
      </c>
      <c r="J223" s="5" t="n">
        <v>496.5</v>
      </c>
      <c r="K223" s="5" t="n">
        <v>39</v>
      </c>
      <c r="L223" s="5" t="n">
        <v>23</v>
      </c>
      <c r="M223" s="5" t="n">
        <v>16</v>
      </c>
      <c r="N223" s="5">
        <f>J223+K223+L223+M223</f>
        <v/>
      </c>
      <c r="O223" s="5">
        <f>IF(ISNUMBER(N223),N223,"")</f>
        <v/>
      </c>
      <c r="P223" s="5">
        <f>_xlfn.RANK.EQ(O223,$O$2:$O$1031)</f>
        <v/>
      </c>
      <c r="Q223" s="9" t="n">
        <v>186</v>
      </c>
      <c r="R223" s="9" t="n">
        <v>34.5</v>
      </c>
      <c r="S223" s="9" t="n">
        <v>24</v>
      </c>
      <c r="T223" s="9" t="n">
        <v>24</v>
      </c>
      <c r="U223" s="9">
        <f>Q223+R223+S223+T223</f>
        <v/>
      </c>
      <c r="V223" s="9">
        <f>IF(ISNUMBER(U223),U223,"")</f>
        <v/>
      </c>
      <c r="W223" s="9">
        <f>_xlfn.RANK.EQ(V223,$V$2:$V$1031)</f>
        <v/>
      </c>
      <c r="X223" s="13" t="n">
        <v>1174.5041666667</v>
      </c>
      <c r="Y223" s="13" t="n">
        <v>25</v>
      </c>
      <c r="Z223" s="13" t="n">
        <v>24</v>
      </c>
      <c r="AA223" s="13" t="n">
        <v>21</v>
      </c>
      <c r="AB223" s="13">
        <f>IF(ISNUMBER(X223),X223+N(Y223)+N(Z223)+N(AA223),X223)</f>
        <v/>
      </c>
      <c r="AC223" s="13">
        <f>IF(ISNUMBER(AB223),AB223,"")</f>
        <v/>
      </c>
      <c r="AD223" s="13">
        <f>IF(ISNUMBER(AC223),_xlfn.RANK.EQ(AC223,$AC$2:$AC$1031),"")</f>
        <v/>
      </c>
      <c r="AE223" s="15">
        <f>IF(ISNUMBER(AF223),AF223/3630,"")</f>
        <v/>
      </c>
      <c r="AF223" s="14">
        <f>IFERROR(C223+D223+E223+F223+J223+K223+L223+M223+Q223+R223+S223+T223+IF(ISNUMBER(X223),X223,0)+N(Y223)+N(Z223)+N(AA223),"")</f>
        <v/>
      </c>
      <c r="AG223" s="14">
        <f>IF(ISNUMBER(AF223),AF223,"")</f>
        <v/>
      </c>
      <c r="AH223" s="14">
        <f>IF(ISNUMBER(AG223),_xlfn.RANK.EQ(AG223,$AG$2:$AG$1031),"")</f>
        <v/>
      </c>
    </row>
    <row r="224">
      <c r="A224" s="18" t="n">
        <v>483</v>
      </c>
      <c r="B224" s="18" t="inlineStr">
        <is>
          <t>تقى طارق محمد جاب الله</t>
        </is>
      </c>
      <c r="C224" s="1" t="n">
        <v>587.9</v>
      </c>
      <c r="D224" s="1" t="n">
        <v>24</v>
      </c>
      <c r="E224" s="1" t="n">
        <v>24</v>
      </c>
      <c r="F224" s="1" t="n">
        <v>24</v>
      </c>
      <c r="G224" s="1">
        <f>C224+D224+E224+F224</f>
        <v/>
      </c>
      <c r="H224" s="1">
        <f>IF(ISNUMBER(G224),G224,"")</f>
        <v/>
      </c>
      <c r="I224" s="1">
        <f>_xlfn.RANK.EQ(H224,$H$2:$H$1031)</f>
        <v/>
      </c>
      <c r="J224" s="5" t="n">
        <v>606</v>
      </c>
      <c r="K224" s="5" t="n">
        <v>49</v>
      </c>
      <c r="L224" s="5" t="n">
        <v>21</v>
      </c>
      <c r="M224" s="5" t="n">
        <v>25</v>
      </c>
      <c r="N224" s="5">
        <f>J224+K224+L224+M224</f>
        <v/>
      </c>
      <c r="O224" s="5">
        <f>IF(ISNUMBER(N224),N224,"")</f>
        <v/>
      </c>
      <c r="P224" s="5">
        <f>_xlfn.RANK.EQ(O224,$O$2:$O$1031)</f>
        <v/>
      </c>
      <c r="Q224" s="9" t="n">
        <v>262</v>
      </c>
      <c r="R224" s="9" t="n">
        <v>45</v>
      </c>
      <c r="S224" s="9" t="n">
        <v>23</v>
      </c>
      <c r="T224" s="9" t="n">
        <v>24</v>
      </c>
      <c r="U224" s="9">
        <f>Q224+R224+S224+T224</f>
        <v/>
      </c>
      <c r="V224" s="9">
        <f>IF(ISNUMBER(U224),U224,"")</f>
        <v/>
      </c>
      <c r="W224" s="9">
        <f>_xlfn.RANK.EQ(V224,$V$2:$V$1031)</f>
        <v/>
      </c>
      <c r="X224" s="13" t="n">
        <v>1423.6708333333</v>
      </c>
      <c r="Y224" s="13" t="n">
        <v>25</v>
      </c>
      <c r="Z224" s="13" t="n">
        <v>24</v>
      </c>
      <c r="AA224" s="13" t="n">
        <v>24</v>
      </c>
      <c r="AB224" s="13">
        <f>IF(ISNUMBER(X224),X224+N(Y224)+N(Z224)+N(AA224),X224)</f>
        <v/>
      </c>
      <c r="AC224" s="13">
        <f>IF(ISNUMBER(AB224),AB224,"")</f>
        <v/>
      </c>
      <c r="AD224" s="13">
        <f>IF(ISNUMBER(AC224),_xlfn.RANK.EQ(AC224,$AC$2:$AC$1031),"")</f>
        <v/>
      </c>
      <c r="AE224" s="15">
        <f>IF(ISNUMBER(AF224),AF224/3630,"")</f>
        <v/>
      </c>
      <c r="AF224" s="14">
        <f>IFERROR(C224+D224+E224+F224+J224+K224+L224+M224+Q224+R224+S224+T224+IF(ISNUMBER(X224),X224,0)+N(Y224)+N(Z224)+N(AA224),"")</f>
        <v/>
      </c>
      <c r="AG224" s="14">
        <f>IF(ISNUMBER(AF224),AF224,"")</f>
        <v/>
      </c>
      <c r="AH224" s="14">
        <f>IF(ISNUMBER(AG224),_xlfn.RANK.EQ(AG224,$AG$2:$AG$1031),"")</f>
        <v/>
      </c>
    </row>
    <row r="225">
      <c r="A225" s="18" t="n">
        <v>484</v>
      </c>
      <c r="B225" s="18" t="inlineStr">
        <is>
          <t>تقى كمال الدين حسين حسن سلام</t>
        </is>
      </c>
      <c r="C225" s="1" t="n">
        <v>548.1</v>
      </c>
      <c r="D225" s="1" t="n">
        <v>22</v>
      </c>
      <c r="E225" s="1" t="n">
        <v>21</v>
      </c>
      <c r="F225" s="1" t="n">
        <v>23</v>
      </c>
      <c r="G225" s="1">
        <f>C225+D225+E225+F225</f>
        <v/>
      </c>
      <c r="H225" s="1">
        <f>IF(ISNUMBER(G225),G225,"")</f>
        <v/>
      </c>
      <c r="I225" s="1">
        <f>_xlfn.RANK.EQ(H225,$H$2:$H$1031)</f>
        <v/>
      </c>
      <c r="J225" s="5" t="n">
        <v>576</v>
      </c>
      <c r="K225" s="5" t="n">
        <v>39</v>
      </c>
      <c r="L225" s="5" t="n">
        <v>23</v>
      </c>
      <c r="M225" s="5" t="n">
        <v>22</v>
      </c>
      <c r="N225" s="5">
        <f>J225+K225+L225+M225</f>
        <v/>
      </c>
      <c r="O225" s="5">
        <f>IF(ISNUMBER(N225),N225,"")</f>
        <v/>
      </c>
      <c r="P225" s="5">
        <f>_xlfn.RANK.EQ(O225,$O$2:$O$1031)</f>
        <v/>
      </c>
      <c r="Q225" s="9" t="n">
        <v>267.5</v>
      </c>
      <c r="R225" s="9" t="n">
        <v>46.5</v>
      </c>
      <c r="S225" s="9" t="n">
        <v>25</v>
      </c>
      <c r="T225" s="9" t="n">
        <v>23</v>
      </c>
      <c r="U225" s="9">
        <f>Q225+R225+S225+T225</f>
        <v/>
      </c>
      <c r="V225" s="9">
        <f>IF(ISNUMBER(U225),U225,"")</f>
        <v/>
      </c>
      <c r="W225" s="9">
        <f>_xlfn.RANK.EQ(V225,$V$2:$V$1031)</f>
        <v/>
      </c>
      <c r="X225" s="13" t="n">
        <v>1428.6958333333</v>
      </c>
      <c r="Y225" s="13" t="n">
        <v>24</v>
      </c>
      <c r="Z225" s="13" t="n">
        <v>25</v>
      </c>
      <c r="AA225" s="13" t="n">
        <v>24</v>
      </c>
      <c r="AB225" s="13">
        <f>IF(ISNUMBER(X225),X225+N(Y225)+N(Z225)+N(AA225),X225)</f>
        <v/>
      </c>
      <c r="AC225" s="13">
        <f>IF(ISNUMBER(AB225),AB225,"")</f>
        <v/>
      </c>
      <c r="AD225" s="13">
        <f>IF(ISNUMBER(AC225),_xlfn.RANK.EQ(AC225,$AC$2:$AC$1031),"")</f>
        <v/>
      </c>
      <c r="AE225" s="15">
        <f>IF(ISNUMBER(AF225),AF225/3630,"")</f>
        <v/>
      </c>
      <c r="AF225" s="14">
        <f>IFERROR(C225+D225+E225+F225+J225+K225+L225+M225+Q225+R225+S225+T225+IF(ISNUMBER(X225),X225,0)+N(Y225)+N(Z225)+N(AA225),"")</f>
        <v/>
      </c>
      <c r="AG225" s="14">
        <f>IF(ISNUMBER(AF225),AF225,"")</f>
        <v/>
      </c>
      <c r="AH225" s="14">
        <f>IF(ISNUMBER(AG225),_xlfn.RANK.EQ(AG225,$AG$2:$AG$1031),"")</f>
        <v/>
      </c>
    </row>
    <row r="226">
      <c r="A226" s="18" t="n">
        <v>485</v>
      </c>
      <c r="B226" s="18" t="inlineStr">
        <is>
          <t>تقى محمد اسماعيل على العبد</t>
        </is>
      </c>
      <c r="C226" s="1" t="n">
        <v>607</v>
      </c>
      <c r="D226" s="1" t="n">
        <v>25</v>
      </c>
      <c r="E226" s="1" t="n">
        <v>24</v>
      </c>
      <c r="F226" s="1" t="n">
        <v>23</v>
      </c>
      <c r="G226" s="1">
        <f>C226+D226+E226+F226</f>
        <v/>
      </c>
      <c r="H226" s="1">
        <f>IF(ISNUMBER(G226),G226,"")</f>
        <v/>
      </c>
      <c r="I226" s="1">
        <f>_xlfn.RANK.EQ(H226,$H$2:$H$1031)</f>
        <v/>
      </c>
      <c r="J226" s="5" t="n">
        <v>606.5</v>
      </c>
      <c r="K226" s="5" t="n">
        <v>48</v>
      </c>
      <c r="L226" s="5" t="n">
        <v>22</v>
      </c>
      <c r="M226" s="5" t="n">
        <v>22</v>
      </c>
      <c r="N226" s="5">
        <f>J226+K226+L226+M226</f>
        <v/>
      </c>
      <c r="O226" s="5">
        <f>IF(ISNUMBER(N226),N226,"")</f>
        <v/>
      </c>
      <c r="P226" s="5">
        <f>_xlfn.RANK.EQ(O226,$O$2:$O$1031)</f>
        <v/>
      </c>
      <c r="Q226" s="9" t="n">
        <v>269</v>
      </c>
      <c r="R226" s="9" t="n">
        <v>46.5</v>
      </c>
      <c r="S226" s="9" t="n">
        <v>25</v>
      </c>
      <c r="T226" s="9" t="n">
        <v>24</v>
      </c>
      <c r="U226" s="9">
        <f>Q226+R226+S226+T226</f>
        <v/>
      </c>
      <c r="V226" s="9">
        <f>IF(ISNUMBER(U226),U226,"")</f>
        <v/>
      </c>
      <c r="W226" s="9">
        <f>_xlfn.RANK.EQ(V226,$V$2:$V$1031)</f>
        <v/>
      </c>
      <c r="X226" s="13" t="n">
        <v>1517.4708333333</v>
      </c>
      <c r="Y226" s="13" t="n">
        <v>24</v>
      </c>
      <c r="Z226" s="13" t="n">
        <v>25</v>
      </c>
      <c r="AA226" s="13" t="n">
        <v>25</v>
      </c>
      <c r="AB226" s="13">
        <f>IF(ISNUMBER(X226),X226+N(Y226)+N(Z226)+N(AA226),X226)</f>
        <v/>
      </c>
      <c r="AC226" s="13">
        <f>IF(ISNUMBER(AB226),AB226,"")</f>
        <v/>
      </c>
      <c r="AD226" s="13">
        <f>IF(ISNUMBER(AC226),_xlfn.RANK.EQ(AC226,$AC$2:$AC$1031),"")</f>
        <v/>
      </c>
      <c r="AE226" s="15">
        <f>IF(ISNUMBER(AF226),AF226/3630,"")</f>
        <v/>
      </c>
      <c r="AF226" s="14">
        <f>IFERROR(C226+D226+E226+F226+J226+K226+L226+M226+Q226+R226+S226+T226+IF(ISNUMBER(X226),X226,0)+N(Y226)+N(Z226)+N(AA226),"")</f>
        <v/>
      </c>
      <c r="AG226" s="14">
        <f>IF(ISNUMBER(AF226),AF226,"")</f>
        <v/>
      </c>
      <c r="AH226" s="14">
        <f>IF(ISNUMBER(AG226),_xlfn.RANK.EQ(AG226,$AG$2:$AG$1031),"")</f>
        <v/>
      </c>
    </row>
    <row r="227">
      <c r="A227" s="18" t="n">
        <v>486</v>
      </c>
      <c r="B227" s="18" t="inlineStr">
        <is>
          <t>تقى وائل محمود السيد الشاعر</t>
        </is>
      </c>
      <c r="C227" s="1" t="n">
        <v>602.8</v>
      </c>
      <c r="D227" s="1" t="n">
        <v>25</v>
      </c>
      <c r="E227" s="1" t="n">
        <v>22</v>
      </c>
      <c r="F227" s="1" t="n">
        <v>22</v>
      </c>
      <c r="G227" s="1">
        <f>C227+D227+E227+F227</f>
        <v/>
      </c>
      <c r="H227" s="1">
        <f>IF(ISNUMBER(G227),G227,"")</f>
        <v/>
      </c>
      <c r="I227" s="1">
        <f>_xlfn.RANK.EQ(H227,$H$2:$H$1031)</f>
        <v/>
      </c>
      <c r="J227" s="5" t="n">
        <v>594.95</v>
      </c>
      <c r="K227" s="5" t="n">
        <v>47</v>
      </c>
      <c r="L227" s="5" t="n">
        <v>21</v>
      </c>
      <c r="M227" s="5" t="n">
        <v>20</v>
      </c>
      <c r="N227" s="5">
        <f>J227+K227+L227+M227</f>
        <v/>
      </c>
      <c r="O227" s="5">
        <f>IF(ISNUMBER(N227),N227,"")</f>
        <v/>
      </c>
      <c r="P227" s="5">
        <f>_xlfn.RANK.EQ(O227,$O$2:$O$1031)</f>
        <v/>
      </c>
      <c r="Q227" s="9" t="n">
        <v>268</v>
      </c>
      <c r="R227" s="9" t="n">
        <v>47</v>
      </c>
      <c r="S227" s="9" t="n">
        <v>24</v>
      </c>
      <c r="T227" s="9" t="n">
        <v>25</v>
      </c>
      <c r="U227" s="9">
        <f>Q227+R227+S227+T227</f>
        <v/>
      </c>
      <c r="V227" s="9">
        <f>IF(ISNUMBER(U227),U227,"")</f>
        <v/>
      </c>
      <c r="W227" s="9">
        <f>_xlfn.RANK.EQ(V227,$V$2:$V$1031)</f>
        <v/>
      </c>
      <c r="X227" s="13" t="n">
        <v>1419.3541666667</v>
      </c>
      <c r="Y227" s="13" t="n">
        <v>25</v>
      </c>
      <c r="Z227" s="13" t="n">
        <v>25</v>
      </c>
      <c r="AA227" s="13" t="n">
        <v>24</v>
      </c>
      <c r="AB227" s="13">
        <f>IF(ISNUMBER(X227),X227+N(Y227)+N(Z227)+N(AA227),X227)</f>
        <v/>
      </c>
      <c r="AC227" s="13">
        <f>IF(ISNUMBER(AB227),AB227,"")</f>
        <v/>
      </c>
      <c r="AD227" s="13">
        <f>IF(ISNUMBER(AC227),_xlfn.RANK.EQ(AC227,$AC$2:$AC$1031),"")</f>
        <v/>
      </c>
      <c r="AE227" s="15">
        <f>IF(ISNUMBER(AF227),AF227/3630,"")</f>
        <v/>
      </c>
      <c r="AF227" s="14">
        <f>IFERROR(C227+D227+E227+F227+J227+K227+L227+M227+Q227+R227+S227+T227+IF(ISNUMBER(X227),X227,0)+N(Y227)+N(Z227)+N(AA227),"")</f>
        <v/>
      </c>
      <c r="AG227" s="14">
        <f>IF(ISNUMBER(AF227),AF227,"")</f>
        <v/>
      </c>
      <c r="AH227" s="14">
        <f>IF(ISNUMBER(AG227),_xlfn.RANK.EQ(AG227,$AG$2:$AG$1031),"")</f>
        <v/>
      </c>
    </row>
    <row r="228">
      <c r="A228" s="18" t="n">
        <v>493</v>
      </c>
      <c r="B228" s="18" t="inlineStr">
        <is>
          <t>جاك سمير مارس دميان</t>
        </is>
      </c>
      <c r="C228" s="1" t="n">
        <v>607</v>
      </c>
      <c r="D228" s="1" t="n">
        <v>24</v>
      </c>
      <c r="E228" s="1" t="n">
        <v>19</v>
      </c>
      <c r="F228" s="1" t="n">
        <v>17</v>
      </c>
      <c r="G228" s="1">
        <f>C228+D228+E228+F228</f>
        <v/>
      </c>
      <c r="H228" s="1">
        <f>IF(ISNUMBER(G228),G228,"")</f>
        <v/>
      </c>
      <c r="I228" s="1">
        <f>_xlfn.RANK.EQ(H228,$H$2:$H$1031)</f>
        <v/>
      </c>
      <c r="J228" s="5" t="n">
        <v>497.5</v>
      </c>
      <c r="K228" s="5" t="n">
        <v>39</v>
      </c>
      <c r="L228" s="5" t="n">
        <v>14</v>
      </c>
      <c r="M228" s="5" t="n">
        <v>14</v>
      </c>
      <c r="N228" s="5">
        <f>J228+K228+L228+M228</f>
        <v/>
      </c>
      <c r="O228" s="5">
        <f>IF(ISNUMBER(N228),N228,"")</f>
        <v/>
      </c>
      <c r="P228" s="5">
        <f>_xlfn.RANK.EQ(O228,$O$2:$O$1031)</f>
        <v/>
      </c>
      <c r="Q228" s="9" t="n">
        <v>243</v>
      </c>
      <c r="R228" s="9" t="n">
        <v>43.5</v>
      </c>
      <c r="S228" s="9" t="n">
        <v>21</v>
      </c>
      <c r="T228" s="9" t="n">
        <v>25</v>
      </c>
      <c r="U228" s="9">
        <f>Q228+R228+S228+T228</f>
        <v/>
      </c>
      <c r="V228" s="9">
        <f>IF(ISNUMBER(U228),U228,"")</f>
        <v/>
      </c>
      <c r="W228" s="9">
        <f>_xlfn.RANK.EQ(V228,$V$2:$V$1031)</f>
        <v/>
      </c>
      <c r="X228" s="13" t="inlineStr">
        <is>
          <t>راسب</t>
        </is>
      </c>
      <c r="Y228" s="13" t="n">
        <v>25</v>
      </c>
      <c r="Z228" s="13" t="n">
        <v>24</v>
      </c>
      <c r="AA228" s="13" t="n">
        <v>23</v>
      </c>
      <c r="AB228" s="13">
        <f>IF(ISNUMBER(X228),X228+N(Y228)+N(Z228)+N(AA228),X228)</f>
        <v/>
      </c>
      <c r="AC228" s="13">
        <f>IF(ISNUMBER(AB228),AB228,"")</f>
        <v/>
      </c>
      <c r="AD228" s="13">
        <f>IF(ISNUMBER(AC228),_xlfn.RANK.EQ(AC228,$AC$2:$AC$1031),"")</f>
        <v/>
      </c>
      <c r="AE228" s="15">
        <f>IF(ISNUMBER(AF228),AF228/3630,"")</f>
        <v/>
      </c>
      <c r="AF228" s="14">
        <f>IFERROR(C228+D228+E228+F228+J228+K228+L228+M228+Q228+R228+S228+T228+IF(ISNUMBER(X228),X228,0)+N(Y228)+N(Z228)+N(AA228),"")</f>
        <v/>
      </c>
      <c r="AG228" s="14">
        <f>IF(ISNUMBER(AF228),AF228,"")</f>
        <v/>
      </c>
      <c r="AH228" s="14">
        <f>IF(ISNUMBER(AG228),_xlfn.RANK.EQ(AG228,$AG$2:$AG$1031),"")</f>
        <v/>
      </c>
    </row>
    <row r="229">
      <c r="A229" s="18" t="n">
        <v>494</v>
      </c>
      <c r="B229" s="18" t="inlineStr">
        <is>
          <t>جرجس عاطف فليب اسحاق</t>
        </is>
      </c>
      <c r="C229" s="1" t="n">
        <v>579.9</v>
      </c>
      <c r="D229" s="1" t="n">
        <v>25</v>
      </c>
      <c r="E229" s="1" t="n">
        <v>24</v>
      </c>
      <c r="F229" s="1" t="n">
        <v>25</v>
      </c>
      <c r="G229" s="1">
        <f>C229+D229+E229+F229</f>
        <v/>
      </c>
      <c r="H229" s="1">
        <f>IF(ISNUMBER(G229),G229,"")</f>
        <v/>
      </c>
      <c r="I229" s="1">
        <f>_xlfn.RANK.EQ(H229,$H$2:$H$1031)</f>
        <v/>
      </c>
      <c r="J229" s="5" t="n">
        <v>598.7</v>
      </c>
      <c r="K229" s="5" t="n">
        <v>47</v>
      </c>
      <c r="L229" s="5" t="n">
        <v>22</v>
      </c>
      <c r="M229" s="5" t="n">
        <v>24</v>
      </c>
      <c r="N229" s="5">
        <f>J229+K229+L229+M229</f>
        <v/>
      </c>
      <c r="O229" s="5">
        <f>IF(ISNUMBER(N229),N229,"")</f>
        <v/>
      </c>
      <c r="P229" s="5">
        <f>_xlfn.RANK.EQ(O229,$O$2:$O$1031)</f>
        <v/>
      </c>
      <c r="Q229" s="9" t="n">
        <v>255</v>
      </c>
      <c r="R229" s="9" t="n">
        <v>43.5</v>
      </c>
      <c r="S229" s="9" t="n">
        <v>21</v>
      </c>
      <c r="T229" s="9" t="n">
        <v>22</v>
      </c>
      <c r="U229" s="9">
        <f>Q229+R229+S229+T229</f>
        <v/>
      </c>
      <c r="V229" s="9">
        <f>IF(ISNUMBER(U229),U229,"")</f>
        <v/>
      </c>
      <c r="W229" s="9">
        <f>_xlfn.RANK.EQ(V229,$V$2:$V$1031)</f>
        <v/>
      </c>
      <c r="X229" s="13" t="n">
        <v>1357.2416666667</v>
      </c>
      <c r="Y229" s="13" t="n">
        <v>24</v>
      </c>
      <c r="Z229" s="13" t="n">
        <v>21</v>
      </c>
      <c r="AA229" s="13" t="n">
        <v>23</v>
      </c>
      <c r="AB229" s="13">
        <f>IF(ISNUMBER(X229),X229+N(Y229)+N(Z229)+N(AA229),X229)</f>
        <v/>
      </c>
      <c r="AC229" s="13">
        <f>IF(ISNUMBER(AB229),AB229,"")</f>
        <v/>
      </c>
      <c r="AD229" s="13">
        <f>IF(ISNUMBER(AC229),_xlfn.RANK.EQ(AC229,$AC$2:$AC$1031),"")</f>
        <v/>
      </c>
      <c r="AE229" s="15">
        <f>IF(ISNUMBER(AF229),AF229/3630,"")</f>
        <v/>
      </c>
      <c r="AF229" s="14">
        <f>IFERROR(C229+D229+E229+F229+J229+K229+L229+M229+Q229+R229+S229+T229+IF(ISNUMBER(X229),X229,0)+N(Y229)+N(Z229)+N(AA229),"")</f>
        <v/>
      </c>
      <c r="AG229" s="14">
        <f>IF(ISNUMBER(AF229),AF229,"")</f>
        <v/>
      </c>
      <c r="AH229" s="14">
        <f>IF(ISNUMBER(AG229),_xlfn.RANK.EQ(AG229,$AG$2:$AG$1031),"")</f>
        <v/>
      </c>
    </row>
    <row r="230">
      <c r="A230" s="18" t="n">
        <v>496</v>
      </c>
      <c r="B230" s="18" t="inlineStr">
        <is>
          <t>جمال محمد جمال احمد ابراهيم</t>
        </is>
      </c>
      <c r="C230" s="1" t="n">
        <v>549.2</v>
      </c>
      <c r="D230" s="1" t="n">
        <v>22</v>
      </c>
      <c r="E230" s="1" t="n">
        <v>24</v>
      </c>
      <c r="F230" s="1" t="n">
        <v>21</v>
      </c>
      <c r="G230" s="1">
        <f>C230+D230+E230+F230</f>
        <v/>
      </c>
      <c r="H230" s="1">
        <f>IF(ISNUMBER(G230),G230,"")</f>
        <v/>
      </c>
      <c r="I230" s="1">
        <f>_xlfn.RANK.EQ(H230,$H$2:$H$1031)</f>
        <v/>
      </c>
      <c r="J230" s="5" t="n">
        <v>550.8</v>
      </c>
      <c r="K230" s="5" t="n">
        <v>36</v>
      </c>
      <c r="L230" s="5" t="n">
        <v>21</v>
      </c>
      <c r="M230" s="5" t="n">
        <v>20</v>
      </c>
      <c r="N230" s="5">
        <f>J230+K230+L230+M230</f>
        <v/>
      </c>
      <c r="O230" s="5">
        <f>IF(ISNUMBER(N230),N230,"")</f>
        <v/>
      </c>
      <c r="P230" s="5">
        <f>_xlfn.RANK.EQ(O230,$O$2:$O$1031)</f>
        <v/>
      </c>
      <c r="Q230" s="9" t="n">
        <v>228</v>
      </c>
      <c r="R230" s="9" t="n">
        <v>37</v>
      </c>
      <c r="S230" s="9" t="n">
        <v>23</v>
      </c>
      <c r="T230" s="9" t="n">
        <v>25</v>
      </c>
      <c r="U230" s="9">
        <f>Q230+R230+S230+T230</f>
        <v/>
      </c>
      <c r="V230" s="9">
        <f>IF(ISNUMBER(U230),U230,"")</f>
        <v/>
      </c>
      <c r="W230" s="9">
        <f>_xlfn.RANK.EQ(V230,$V$2:$V$1031)</f>
        <v/>
      </c>
      <c r="X230" s="13" t="n">
        <v>1396.1208333333</v>
      </c>
      <c r="Y230" s="13" t="n">
        <v>24</v>
      </c>
      <c r="Z230" s="13" t="n">
        <v>25</v>
      </c>
      <c r="AA230" s="13" t="n">
        <v>23</v>
      </c>
      <c r="AB230" s="13">
        <f>IF(ISNUMBER(X230),X230+N(Y230)+N(Z230)+N(AA230),X230)</f>
        <v/>
      </c>
      <c r="AC230" s="13">
        <f>IF(ISNUMBER(AB230),AB230,"")</f>
        <v/>
      </c>
      <c r="AD230" s="13">
        <f>IF(ISNUMBER(AC230),_xlfn.RANK.EQ(AC230,$AC$2:$AC$1031),"")</f>
        <v/>
      </c>
      <c r="AE230" s="15">
        <f>IF(ISNUMBER(AF230),AF230/3630,"")</f>
        <v/>
      </c>
      <c r="AF230" s="14">
        <f>IFERROR(C230+D230+E230+F230+J230+K230+L230+M230+Q230+R230+S230+T230+IF(ISNUMBER(X230),X230,0)+N(Y230)+N(Z230)+N(AA230),"")</f>
        <v/>
      </c>
      <c r="AG230" s="14">
        <f>IF(ISNUMBER(AF230),AF230,"")</f>
        <v/>
      </c>
      <c r="AH230" s="14">
        <f>IF(ISNUMBER(AG230),_xlfn.RANK.EQ(AG230,$AG$2:$AG$1031),"")</f>
        <v/>
      </c>
    </row>
    <row r="231">
      <c r="A231" s="18" t="n">
        <v>501</v>
      </c>
      <c r="B231" s="18" t="inlineStr">
        <is>
          <t>جنا اشرف إبراهيم عبد المنعم</t>
        </is>
      </c>
      <c r="C231" s="1" t="n">
        <v>461.8</v>
      </c>
      <c r="D231" s="1" t="n">
        <v>21</v>
      </c>
      <c r="E231" s="1" t="n">
        <v>17</v>
      </c>
      <c r="F231" s="1" t="n">
        <v>14</v>
      </c>
      <c r="G231" s="1">
        <f>C231+D231+E231+F231</f>
        <v/>
      </c>
      <c r="H231" s="1">
        <f>IF(ISNUMBER(G231),G231,"")</f>
        <v/>
      </c>
      <c r="I231" s="1">
        <f>_xlfn.RANK.EQ(H231,$H$2:$H$1031)</f>
        <v/>
      </c>
      <c r="J231" s="5" t="n">
        <v>492</v>
      </c>
      <c r="K231" s="5" t="n">
        <v>42</v>
      </c>
      <c r="L231" s="5" t="n">
        <v>20</v>
      </c>
      <c r="M231" s="5" t="n">
        <v>15</v>
      </c>
      <c r="N231" s="5">
        <f>J231+K231+L231+M231</f>
        <v/>
      </c>
      <c r="O231" s="5">
        <f>IF(ISNUMBER(N231),N231,"")</f>
        <v/>
      </c>
      <c r="P231" s="5">
        <f>_xlfn.RANK.EQ(O231,$O$2:$O$1031)</f>
        <v/>
      </c>
      <c r="Q231" s="9" t="n">
        <v>207</v>
      </c>
      <c r="R231" s="9" t="n">
        <v>36</v>
      </c>
      <c r="S231" s="9" t="n">
        <v>22</v>
      </c>
      <c r="T231" s="9" t="n">
        <v>23</v>
      </c>
      <c r="U231" s="9">
        <f>Q231+R231+S231+T231</f>
        <v/>
      </c>
      <c r="V231" s="9">
        <f>IF(ISNUMBER(U231),U231,"")</f>
        <v/>
      </c>
      <c r="W231" s="9">
        <f>_xlfn.RANK.EQ(V231,$V$2:$V$1031)</f>
        <v/>
      </c>
      <c r="X231" s="13" t="inlineStr">
        <is>
          <t>راسب</t>
        </is>
      </c>
      <c r="Y231" s="13" t="n">
        <v>22.5</v>
      </c>
      <c r="Z231" s="13" t="n">
        <v>23</v>
      </c>
      <c r="AA231" s="13" t="n">
        <v>20</v>
      </c>
      <c r="AB231" s="13">
        <f>IF(ISNUMBER(X231),X231+N(Y231)+N(Z231)+N(AA231),X231)</f>
        <v/>
      </c>
      <c r="AC231" s="13">
        <f>IF(ISNUMBER(AB231),AB231,"")</f>
        <v/>
      </c>
      <c r="AD231" s="13">
        <f>IF(ISNUMBER(AC231),_xlfn.RANK.EQ(AC231,$AC$2:$AC$1031),"")</f>
        <v/>
      </c>
      <c r="AE231" s="15">
        <f>IF(ISNUMBER(AF231),AF231/3630,"")</f>
        <v/>
      </c>
      <c r="AF231" s="14">
        <f>IFERROR(C231+D231+E231+F231+J231+K231+L231+M231+Q231+R231+S231+T231+IF(ISNUMBER(X231),X231,0)+N(Y231)+N(Z231)+N(AA231),"")</f>
        <v/>
      </c>
      <c r="AG231" s="14">
        <f>IF(ISNUMBER(AF231),AF231,"")</f>
        <v/>
      </c>
      <c r="AH231" s="14">
        <f>IF(ISNUMBER(AG231),_xlfn.RANK.EQ(AG231,$AG$2:$AG$1031),"")</f>
        <v/>
      </c>
    </row>
    <row r="232">
      <c r="A232" s="18" t="n">
        <v>502</v>
      </c>
      <c r="B232" s="18" t="inlineStr">
        <is>
          <t>جنا عبد اللطيف محمود عبد اللطيف أحمد</t>
        </is>
      </c>
      <c r="C232" s="1" t="n">
        <v>637.5</v>
      </c>
      <c r="D232" s="1" t="n">
        <v>25</v>
      </c>
      <c r="E232" s="1" t="n">
        <v>23</v>
      </c>
      <c r="F232" s="1" t="n">
        <v>23</v>
      </c>
      <c r="G232" s="1">
        <f>C232+D232+E232+F232</f>
        <v/>
      </c>
      <c r="H232" s="1">
        <f>IF(ISNUMBER(G232),G232,"")</f>
        <v/>
      </c>
      <c r="I232" s="1">
        <f>_xlfn.RANK.EQ(H232,$H$2:$H$1031)</f>
        <v/>
      </c>
      <c r="J232" s="5" t="n">
        <v>619.4</v>
      </c>
      <c r="K232" s="5" t="n">
        <v>48</v>
      </c>
      <c r="L232" s="5" t="n">
        <v>20</v>
      </c>
      <c r="M232" s="5" t="n">
        <v>22</v>
      </c>
      <c r="N232" s="5">
        <f>J232+K232+L232+M232</f>
        <v/>
      </c>
      <c r="O232" s="5">
        <f>IF(ISNUMBER(N232),N232,"")</f>
        <v/>
      </c>
      <c r="P232" s="5">
        <f>_xlfn.RANK.EQ(O232,$O$2:$O$1031)</f>
        <v/>
      </c>
      <c r="Q232" s="9" t="n">
        <v>269</v>
      </c>
      <c r="R232" s="9" t="n">
        <v>46.5</v>
      </c>
      <c r="S232" s="9" t="n">
        <v>23</v>
      </c>
      <c r="T232" s="9" t="n">
        <v>25</v>
      </c>
      <c r="U232" s="9">
        <f>Q232+R232+S232+T232</f>
        <v/>
      </c>
      <c r="V232" s="9">
        <f>IF(ISNUMBER(U232),U232,"")</f>
        <v/>
      </c>
      <c r="W232" s="9">
        <f>_xlfn.RANK.EQ(V232,$V$2:$V$1031)</f>
        <v/>
      </c>
      <c r="X232" s="13" t="n">
        <v>1498.6541666667</v>
      </c>
      <c r="Y232" s="13" t="n">
        <v>25</v>
      </c>
      <c r="Z232" s="13" t="n">
        <v>25</v>
      </c>
      <c r="AA232" s="13" t="n">
        <v>24</v>
      </c>
      <c r="AB232" s="13">
        <f>IF(ISNUMBER(X232),X232+N(Y232)+N(Z232)+N(AA232),X232)</f>
        <v/>
      </c>
      <c r="AC232" s="13">
        <f>IF(ISNUMBER(AB232),AB232,"")</f>
        <v/>
      </c>
      <c r="AD232" s="13">
        <f>IF(ISNUMBER(AC232),_xlfn.RANK.EQ(AC232,$AC$2:$AC$1031),"")</f>
        <v/>
      </c>
      <c r="AE232" s="15">
        <f>IF(ISNUMBER(AF232),AF232/3630,"")</f>
        <v/>
      </c>
      <c r="AF232" s="14">
        <f>IFERROR(C232+D232+E232+F232+J232+K232+L232+M232+Q232+R232+S232+T232+IF(ISNUMBER(X232),X232,0)+N(Y232)+N(Z232)+N(AA232),"")</f>
        <v/>
      </c>
      <c r="AG232" s="14">
        <f>IF(ISNUMBER(AF232),AF232,"")</f>
        <v/>
      </c>
      <c r="AH232" s="14">
        <f>IF(ISNUMBER(AG232),_xlfn.RANK.EQ(AG232,$AG$2:$AG$1031),"")</f>
        <v/>
      </c>
    </row>
    <row r="233">
      <c r="A233" s="18" t="n">
        <v>503</v>
      </c>
      <c r="B233" s="18" t="inlineStr">
        <is>
          <t>جنا عمرو مصطفى النحاس حسن على</t>
        </is>
      </c>
      <c r="C233" s="1" t="n">
        <v>543</v>
      </c>
      <c r="D233" s="1" t="n">
        <v>24</v>
      </c>
      <c r="E233" s="1" t="n">
        <v>23</v>
      </c>
      <c r="F233" s="1" t="n">
        <v>22</v>
      </c>
      <c r="G233" s="1">
        <f>C233+D233+E233+F233</f>
        <v/>
      </c>
      <c r="H233" s="1">
        <f>IF(ISNUMBER(G233),G233,"")</f>
        <v/>
      </c>
      <c r="I233" s="1">
        <f>_xlfn.RANK.EQ(H233,$H$2:$H$1031)</f>
        <v/>
      </c>
      <c r="J233" s="5" t="n">
        <v>511</v>
      </c>
      <c r="K233" s="5" t="n">
        <v>48</v>
      </c>
      <c r="L233" s="5" t="n">
        <v>23</v>
      </c>
      <c r="M233" s="5" t="n">
        <v>23</v>
      </c>
      <c r="N233" s="5">
        <f>J233+K233+L233+M233</f>
        <v/>
      </c>
      <c r="O233" s="5">
        <f>IF(ISNUMBER(N233),N233,"")</f>
        <v/>
      </c>
      <c r="P233" s="5">
        <f>_xlfn.RANK.EQ(O233,$O$2:$O$1031)</f>
        <v/>
      </c>
      <c r="Q233" s="9" t="n">
        <v>184</v>
      </c>
      <c r="R233" s="9" t="n">
        <v>40.5</v>
      </c>
      <c r="S233" s="9" t="n">
        <v>23</v>
      </c>
      <c r="T233" s="9" t="n">
        <v>25</v>
      </c>
      <c r="U233" s="9">
        <f>Q233+R233+S233+T233</f>
        <v/>
      </c>
      <c r="V233" s="9">
        <f>IF(ISNUMBER(U233),U233,"")</f>
        <v/>
      </c>
      <c r="W233" s="9">
        <f>_xlfn.RANK.EQ(V233,$V$2:$V$1031)</f>
        <v/>
      </c>
      <c r="X233" s="13" t="inlineStr">
        <is>
          <t>راسب</t>
        </is>
      </c>
      <c r="Y233" s="13" t="n">
        <v>22.5</v>
      </c>
      <c r="Z233" s="13" t="n">
        <v>25</v>
      </c>
      <c r="AA233" s="13" t="n">
        <v>22</v>
      </c>
      <c r="AB233" s="13">
        <f>IF(ISNUMBER(X233),X233+N(Y233)+N(Z233)+N(AA233),X233)</f>
        <v/>
      </c>
      <c r="AC233" s="13">
        <f>IF(ISNUMBER(AB233),AB233,"")</f>
        <v/>
      </c>
      <c r="AD233" s="13">
        <f>IF(ISNUMBER(AC233),_xlfn.RANK.EQ(AC233,$AC$2:$AC$1031),"")</f>
        <v/>
      </c>
      <c r="AE233" s="15">
        <f>IF(ISNUMBER(AF233),AF233/3630,"")</f>
        <v/>
      </c>
      <c r="AF233" s="14">
        <f>IFERROR(C233+D233+E233+F233+J233+K233+L233+M233+Q233+R233+S233+T233+IF(ISNUMBER(X233),X233,0)+N(Y233)+N(Z233)+N(AA233),"")</f>
        <v/>
      </c>
      <c r="AG233" s="14">
        <f>IF(ISNUMBER(AF233),AF233,"")</f>
        <v/>
      </c>
      <c r="AH233" s="14">
        <f>IF(ISNUMBER(AG233),_xlfn.RANK.EQ(AG233,$AG$2:$AG$1031),"")</f>
        <v/>
      </c>
    </row>
    <row r="234">
      <c r="A234" s="18" t="n">
        <v>504</v>
      </c>
      <c r="B234" s="18" t="inlineStr">
        <is>
          <t>جنا وائل محمود سالم</t>
        </is>
      </c>
      <c r="C234" s="1" t="n">
        <v>527</v>
      </c>
      <c r="D234" s="1" t="n">
        <v>25</v>
      </c>
      <c r="E234" s="1" t="n">
        <v>23</v>
      </c>
      <c r="F234" s="1" t="n">
        <v>19</v>
      </c>
      <c r="G234" s="1">
        <f>C234+D234+E234+F234</f>
        <v/>
      </c>
      <c r="H234" s="1">
        <f>IF(ISNUMBER(G234),G234,"")</f>
        <v/>
      </c>
      <c r="I234" s="1">
        <f>_xlfn.RANK.EQ(H234,$H$2:$H$1031)</f>
        <v/>
      </c>
      <c r="J234" s="5" t="n">
        <v>484</v>
      </c>
      <c r="K234" s="5" t="n">
        <v>39</v>
      </c>
      <c r="L234" s="5" t="n">
        <v>19</v>
      </c>
      <c r="M234" s="5" t="n">
        <v>19</v>
      </c>
      <c r="N234" s="5">
        <f>J234+K234+L234+M234</f>
        <v/>
      </c>
      <c r="O234" s="5">
        <f>IF(ISNUMBER(N234),N234,"")</f>
        <v/>
      </c>
      <c r="P234" s="5">
        <f>_xlfn.RANK.EQ(O234,$O$2:$O$1031)</f>
        <v/>
      </c>
      <c r="Q234" s="9" t="n">
        <v>212.5</v>
      </c>
      <c r="R234" s="9" t="n">
        <v>46.5</v>
      </c>
      <c r="S234" s="9" t="n">
        <v>24</v>
      </c>
      <c r="T234" s="9" t="n">
        <v>25</v>
      </c>
      <c r="U234" s="9">
        <f>Q234+R234+S234+T234</f>
        <v/>
      </c>
      <c r="V234" s="9">
        <f>IF(ISNUMBER(U234),U234,"")</f>
        <v/>
      </c>
      <c r="W234" s="9">
        <f>_xlfn.RANK.EQ(V234,$V$2:$V$1031)</f>
        <v/>
      </c>
      <c r="X234" s="13" t="n">
        <v>1168.7041666667</v>
      </c>
      <c r="Y234" s="13" t="n">
        <v>24.5</v>
      </c>
      <c r="Z234" s="13" t="n">
        <v>25</v>
      </c>
      <c r="AA234" s="13" t="n">
        <v>22</v>
      </c>
      <c r="AB234" s="13">
        <f>IF(ISNUMBER(X234),X234+N(Y234)+N(Z234)+N(AA234),X234)</f>
        <v/>
      </c>
      <c r="AC234" s="13">
        <f>IF(ISNUMBER(AB234),AB234,"")</f>
        <v/>
      </c>
      <c r="AD234" s="13">
        <f>IF(ISNUMBER(AC234),_xlfn.RANK.EQ(AC234,$AC$2:$AC$1031),"")</f>
        <v/>
      </c>
      <c r="AE234" s="15">
        <f>IF(ISNUMBER(AF234),AF234/3630,"")</f>
        <v/>
      </c>
      <c r="AF234" s="14">
        <f>IFERROR(C234+D234+E234+F234+J234+K234+L234+M234+Q234+R234+S234+T234+IF(ISNUMBER(X234),X234,0)+N(Y234)+N(Z234)+N(AA234),"")</f>
        <v/>
      </c>
      <c r="AG234" s="14">
        <f>IF(ISNUMBER(AF234),AF234,"")</f>
        <v/>
      </c>
      <c r="AH234" s="14">
        <f>IF(ISNUMBER(AG234),_xlfn.RANK.EQ(AG234,$AG$2:$AG$1031),"")</f>
        <v/>
      </c>
    </row>
    <row r="235">
      <c r="A235" s="18" t="n">
        <v>506</v>
      </c>
      <c r="B235" s="18" t="inlineStr">
        <is>
          <t>جنى احمد سيد هانئ  قبطان</t>
        </is>
      </c>
      <c r="C235" s="1" t="n">
        <v>609.2</v>
      </c>
      <c r="D235" s="1" t="n">
        <v>25</v>
      </c>
      <c r="E235" s="1" t="n">
        <v>23</v>
      </c>
      <c r="F235" s="1" t="n">
        <v>22</v>
      </c>
      <c r="G235" s="1">
        <f>C235+D235+E235+F235</f>
        <v/>
      </c>
      <c r="H235" s="1">
        <f>IF(ISNUMBER(G235),G235,"")</f>
        <v/>
      </c>
      <c r="I235" s="1">
        <f>_xlfn.RANK.EQ(H235,$H$2:$H$1031)</f>
        <v/>
      </c>
      <c r="J235" s="5" t="n">
        <v>614.5</v>
      </c>
      <c r="K235" s="5" t="n">
        <v>48</v>
      </c>
      <c r="L235" s="5" t="n">
        <v>23</v>
      </c>
      <c r="M235" s="5" t="n">
        <v>25</v>
      </c>
      <c r="N235" s="5">
        <f>J235+K235+L235+M235</f>
        <v/>
      </c>
      <c r="O235" s="5">
        <f>IF(ISNUMBER(N235),N235,"")</f>
        <v/>
      </c>
      <c r="P235" s="5">
        <f>_xlfn.RANK.EQ(O235,$O$2:$O$1031)</f>
        <v/>
      </c>
      <c r="Q235" s="9" t="n">
        <v>256.5</v>
      </c>
      <c r="R235" s="9" t="n">
        <v>46.5</v>
      </c>
      <c r="S235" s="9" t="n">
        <v>25</v>
      </c>
      <c r="T235" s="9" t="n">
        <v>24</v>
      </c>
      <c r="U235" s="9">
        <f>Q235+R235+S235+T235</f>
        <v/>
      </c>
      <c r="V235" s="9">
        <f>IF(ISNUMBER(U235),U235,"")</f>
        <v/>
      </c>
      <c r="W235" s="9">
        <f>_xlfn.RANK.EQ(V235,$V$2:$V$1031)</f>
        <v/>
      </c>
      <c r="X235" s="13" t="n">
        <v>1425.9958333333</v>
      </c>
      <c r="Y235" s="13" t="n">
        <v>25</v>
      </c>
      <c r="Z235" s="13" t="n">
        <v>24</v>
      </c>
      <c r="AA235" s="13" t="n">
        <v>24</v>
      </c>
      <c r="AB235" s="13">
        <f>IF(ISNUMBER(X235),X235+N(Y235)+N(Z235)+N(AA235),X235)</f>
        <v/>
      </c>
      <c r="AC235" s="13">
        <f>IF(ISNUMBER(AB235),AB235,"")</f>
        <v/>
      </c>
      <c r="AD235" s="13">
        <f>IF(ISNUMBER(AC235),_xlfn.RANK.EQ(AC235,$AC$2:$AC$1031),"")</f>
        <v/>
      </c>
      <c r="AE235" s="15">
        <f>IF(ISNUMBER(AF235),AF235/3630,"")</f>
        <v/>
      </c>
      <c r="AF235" s="14">
        <f>IFERROR(C235+D235+E235+F235+J235+K235+L235+M235+Q235+R235+S235+T235+IF(ISNUMBER(X235),X235,0)+N(Y235)+N(Z235)+N(AA235),"")</f>
        <v/>
      </c>
      <c r="AG235" s="14">
        <f>IF(ISNUMBER(AF235),AF235,"")</f>
        <v/>
      </c>
      <c r="AH235" s="14">
        <f>IF(ISNUMBER(AG235),_xlfn.RANK.EQ(AG235,$AG$2:$AG$1031),"")</f>
        <v/>
      </c>
    </row>
    <row r="236">
      <c r="A236" s="18" t="n">
        <v>507</v>
      </c>
      <c r="B236" s="18" t="inlineStr">
        <is>
          <t>جنى احمد محمود زكريا</t>
        </is>
      </c>
      <c r="C236" s="1" t="n">
        <v>433</v>
      </c>
      <c r="D236" s="1" t="n">
        <v>20</v>
      </c>
      <c r="E236" s="1" t="n">
        <v>24</v>
      </c>
      <c r="F236" s="1" t="n">
        <v>17</v>
      </c>
      <c r="G236" s="1">
        <f>C236+D236+E236+F236</f>
        <v/>
      </c>
      <c r="H236" s="1">
        <f>IF(ISNUMBER(G236),G236,"")</f>
        <v/>
      </c>
      <c r="I236" s="1">
        <f>_xlfn.RANK.EQ(H236,$H$2:$H$1031)</f>
        <v/>
      </c>
      <c r="J236" s="5" t="n">
        <v>458</v>
      </c>
      <c r="K236" s="5" t="n">
        <v>43</v>
      </c>
      <c r="L236" s="5" t="n">
        <v>16</v>
      </c>
      <c r="M236" s="5" t="n">
        <v>15</v>
      </c>
      <c r="N236" s="5">
        <f>J236+K236+L236+M236</f>
        <v/>
      </c>
      <c r="O236" s="5">
        <f>IF(ISNUMBER(N236),N236,"")</f>
        <v/>
      </c>
      <c r="P236" s="5">
        <f>_xlfn.RANK.EQ(O236,$O$2:$O$1031)</f>
        <v/>
      </c>
      <c r="Q236" s="9" t="n">
        <v>185.5</v>
      </c>
      <c r="R236" s="9" t="n">
        <v>35</v>
      </c>
      <c r="S236" s="9" t="n">
        <v>17</v>
      </c>
      <c r="T236" s="9" t="n">
        <v>21</v>
      </c>
      <c r="U236" s="9">
        <f>Q236+R236+S236+T236</f>
        <v/>
      </c>
      <c r="V236" s="9">
        <f>IF(ISNUMBER(U236),U236,"")</f>
        <v/>
      </c>
      <c r="W236" s="9">
        <f>_xlfn.RANK.EQ(V236,$V$2:$V$1031)</f>
        <v/>
      </c>
      <c r="X236" s="13" t="inlineStr">
        <is>
          <t>راسب</t>
        </is>
      </c>
      <c r="Y236" s="13" t="n">
        <v>23</v>
      </c>
      <c r="Z236" s="13" t="n">
        <v>22</v>
      </c>
      <c r="AA236" s="13" t="n">
        <v>16</v>
      </c>
      <c r="AB236" s="13">
        <f>IF(ISNUMBER(X236),X236+N(Y236)+N(Z236)+N(AA236),X236)</f>
        <v/>
      </c>
      <c r="AC236" s="13">
        <f>IF(ISNUMBER(AB236),AB236,"")</f>
        <v/>
      </c>
      <c r="AD236" s="13">
        <f>IF(ISNUMBER(AC236),_xlfn.RANK.EQ(AC236,$AC$2:$AC$1031),"")</f>
        <v/>
      </c>
      <c r="AE236" s="15">
        <f>IF(ISNUMBER(AF236),AF236/3630,"")</f>
        <v/>
      </c>
      <c r="AF236" s="14">
        <f>IFERROR(C236+D236+E236+F236+J236+K236+L236+M236+Q236+R236+S236+T236+IF(ISNUMBER(X236),X236,0)+N(Y236)+N(Z236)+N(AA236),"")</f>
        <v/>
      </c>
      <c r="AG236" s="14">
        <f>IF(ISNUMBER(AF236),AF236,"")</f>
        <v/>
      </c>
      <c r="AH236" s="14">
        <f>IF(ISNUMBER(AG236),_xlfn.RANK.EQ(AG236,$AG$2:$AG$1031),"")</f>
        <v/>
      </c>
    </row>
    <row r="237">
      <c r="A237" s="18" t="n">
        <v>508</v>
      </c>
      <c r="B237" s="18" t="inlineStr">
        <is>
          <t>جنى سامي عبدالحميد محمد</t>
        </is>
      </c>
      <c r="C237" s="1" t="n">
        <v>542.7</v>
      </c>
      <c r="D237" s="1" t="n">
        <v>23</v>
      </c>
      <c r="E237" s="1" t="n">
        <v>25</v>
      </c>
      <c r="F237" s="1" t="n">
        <v>21</v>
      </c>
      <c r="G237" s="1">
        <f>C237+D237+E237+F237</f>
        <v/>
      </c>
      <c r="H237" s="1">
        <f>IF(ISNUMBER(G237),G237,"")</f>
        <v/>
      </c>
      <c r="I237" s="1">
        <f>_xlfn.RANK.EQ(H237,$H$2:$H$1031)</f>
        <v/>
      </c>
      <c r="J237" s="5" t="n">
        <v>528.4</v>
      </c>
      <c r="K237" s="5" t="n">
        <v>40</v>
      </c>
      <c r="L237" s="5" t="n">
        <v>22</v>
      </c>
      <c r="M237" s="5" t="n">
        <v>24</v>
      </c>
      <c r="N237" s="5">
        <f>J237+K237+L237+M237</f>
        <v/>
      </c>
      <c r="O237" s="5">
        <f>IF(ISNUMBER(N237),N237,"")</f>
        <v/>
      </c>
      <c r="P237" s="5">
        <f>_xlfn.RANK.EQ(O237,$O$2:$O$1031)</f>
        <v/>
      </c>
      <c r="Q237" s="9" t="n">
        <v>237</v>
      </c>
      <c r="R237" s="9" t="n">
        <v>42</v>
      </c>
      <c r="S237" s="9" t="n">
        <v>25</v>
      </c>
      <c r="T237" s="9" t="n">
        <v>24.5</v>
      </c>
      <c r="U237" s="9">
        <f>Q237+R237+S237+T237</f>
        <v/>
      </c>
      <c r="V237" s="9">
        <f>IF(ISNUMBER(U237),U237,"")</f>
        <v/>
      </c>
      <c r="W237" s="9">
        <f>_xlfn.RANK.EQ(V237,$V$2:$V$1031)</f>
        <v/>
      </c>
      <c r="X237" s="13" t="n">
        <v>1291.1833333333</v>
      </c>
      <c r="Y237" s="13" t="n">
        <v>23.5</v>
      </c>
      <c r="Z237" s="13" t="n">
        <v>24</v>
      </c>
      <c r="AA237" s="13" t="n">
        <v>25</v>
      </c>
      <c r="AB237" s="13">
        <f>IF(ISNUMBER(X237),X237+N(Y237)+N(Z237)+N(AA237),X237)</f>
        <v/>
      </c>
      <c r="AC237" s="13">
        <f>IF(ISNUMBER(AB237),AB237,"")</f>
        <v/>
      </c>
      <c r="AD237" s="13">
        <f>IF(ISNUMBER(AC237),_xlfn.RANK.EQ(AC237,$AC$2:$AC$1031),"")</f>
        <v/>
      </c>
      <c r="AE237" s="15">
        <f>IF(ISNUMBER(AF237),AF237/3630,"")</f>
        <v/>
      </c>
      <c r="AF237" s="14">
        <f>IFERROR(C237+D237+E237+F237+J237+K237+L237+M237+Q237+R237+S237+T237+IF(ISNUMBER(X237),X237,0)+N(Y237)+N(Z237)+N(AA237),"")</f>
        <v/>
      </c>
      <c r="AG237" s="14">
        <f>IF(ISNUMBER(AF237),AF237,"")</f>
        <v/>
      </c>
      <c r="AH237" s="14">
        <f>IF(ISNUMBER(AG237),_xlfn.RANK.EQ(AG237,$AG$2:$AG$1031),"")</f>
        <v/>
      </c>
    </row>
    <row r="238">
      <c r="A238" s="18" t="n">
        <v>509</v>
      </c>
      <c r="B238" s="18" t="inlineStr">
        <is>
          <t>جنى سمير السيد موسى</t>
        </is>
      </c>
      <c r="C238" s="1" t="n">
        <v>594</v>
      </c>
      <c r="D238" s="1" t="n">
        <v>24</v>
      </c>
      <c r="E238" s="1" t="n">
        <v>22</v>
      </c>
      <c r="F238" s="1" t="n">
        <v>21</v>
      </c>
      <c r="G238" s="1">
        <f>C238+D238+E238+F238</f>
        <v/>
      </c>
      <c r="H238" s="1">
        <f>IF(ISNUMBER(G238),G238,"")</f>
        <v/>
      </c>
      <c r="I238" s="1">
        <f>_xlfn.RANK.EQ(H238,$H$2:$H$1031)</f>
        <v/>
      </c>
      <c r="J238" s="5" t="n">
        <v>607</v>
      </c>
      <c r="K238" s="5" t="n">
        <v>46</v>
      </c>
      <c r="L238" s="5" t="n">
        <v>22</v>
      </c>
      <c r="M238" s="5" t="n">
        <v>22</v>
      </c>
      <c r="N238" s="5">
        <f>J238+K238+L238+M238</f>
        <v/>
      </c>
      <c r="O238" s="5">
        <f>IF(ISNUMBER(N238),N238,"")</f>
        <v/>
      </c>
      <c r="P238" s="5">
        <f>_xlfn.RANK.EQ(O238,$O$2:$O$1031)</f>
        <v/>
      </c>
      <c r="Q238" s="9" t="n">
        <v>258</v>
      </c>
      <c r="R238" s="9" t="n">
        <v>42.5</v>
      </c>
      <c r="S238" s="9" t="n">
        <v>25</v>
      </c>
      <c r="T238" s="9" t="n">
        <v>25</v>
      </c>
      <c r="U238" s="9">
        <f>Q238+R238+S238+T238</f>
        <v/>
      </c>
      <c r="V238" s="9">
        <f>IF(ISNUMBER(U238),U238,"")</f>
        <v/>
      </c>
      <c r="W238" s="9">
        <f>_xlfn.RANK.EQ(V238,$V$2:$V$1031)</f>
        <v/>
      </c>
      <c r="X238" s="13" t="n">
        <v>1434.175</v>
      </c>
      <c r="Y238" s="13" t="n">
        <v>25</v>
      </c>
      <c r="Z238" s="13" t="n">
        <v>24</v>
      </c>
      <c r="AA238" s="13" t="n">
        <v>23</v>
      </c>
      <c r="AB238" s="13">
        <f>IF(ISNUMBER(X238),X238+N(Y238)+N(Z238)+N(AA238),X238)</f>
        <v/>
      </c>
      <c r="AC238" s="13">
        <f>IF(ISNUMBER(AB238),AB238,"")</f>
        <v/>
      </c>
      <c r="AD238" s="13">
        <f>IF(ISNUMBER(AC238),_xlfn.RANK.EQ(AC238,$AC$2:$AC$1031),"")</f>
        <v/>
      </c>
      <c r="AE238" s="15">
        <f>IF(ISNUMBER(AF238),AF238/3630,"")</f>
        <v/>
      </c>
      <c r="AF238" s="14">
        <f>IFERROR(C238+D238+E238+F238+J238+K238+L238+M238+Q238+R238+S238+T238+IF(ISNUMBER(X238),X238,0)+N(Y238)+N(Z238)+N(AA238),"")</f>
        <v/>
      </c>
      <c r="AG238" s="14">
        <f>IF(ISNUMBER(AF238),AF238,"")</f>
        <v/>
      </c>
      <c r="AH238" s="14">
        <f>IF(ISNUMBER(AG238),_xlfn.RANK.EQ(AG238,$AG$2:$AG$1031),"")</f>
        <v/>
      </c>
    </row>
    <row r="239">
      <c r="A239" s="18" t="n">
        <v>513</v>
      </c>
      <c r="B239" s="18" t="inlineStr">
        <is>
          <t>جنى محمد احمد مصطفى يونس</t>
        </is>
      </c>
      <c r="C239" s="1" t="n">
        <v>570.7</v>
      </c>
      <c r="D239" s="1" t="n">
        <v>24</v>
      </c>
      <c r="E239" s="1" t="n">
        <v>25</v>
      </c>
      <c r="F239" s="1" t="n">
        <v>23</v>
      </c>
      <c r="G239" s="1">
        <f>C239+D239+E239+F239</f>
        <v/>
      </c>
      <c r="H239" s="1">
        <f>IF(ISNUMBER(G239),G239,"")</f>
        <v/>
      </c>
      <c r="I239" s="1">
        <f>_xlfn.RANK.EQ(H239,$H$2:$H$1031)</f>
        <v/>
      </c>
      <c r="J239" s="5" t="n">
        <v>577</v>
      </c>
      <c r="K239" s="5" t="n">
        <v>43</v>
      </c>
      <c r="L239" s="5" t="n">
        <v>23</v>
      </c>
      <c r="M239" s="5" t="n">
        <v>23</v>
      </c>
      <c r="N239" s="5">
        <f>J239+K239+L239+M239</f>
        <v/>
      </c>
      <c r="O239" s="5">
        <f>IF(ISNUMBER(N239),N239,"")</f>
        <v/>
      </c>
      <c r="P239" s="5">
        <f>_xlfn.RANK.EQ(O239,$O$2:$O$1031)</f>
        <v/>
      </c>
      <c r="Q239" s="9" t="n">
        <v>256</v>
      </c>
      <c r="R239" s="9" t="n">
        <v>46.5</v>
      </c>
      <c r="S239" s="9" t="n">
        <v>24</v>
      </c>
      <c r="T239" s="9" t="n">
        <v>25</v>
      </c>
      <c r="U239" s="9">
        <f>Q239+R239+S239+T239</f>
        <v/>
      </c>
      <c r="V239" s="9">
        <f>IF(ISNUMBER(U239),U239,"")</f>
        <v/>
      </c>
      <c r="W239" s="9">
        <f>_xlfn.RANK.EQ(V239,$V$2:$V$1031)</f>
        <v/>
      </c>
      <c r="X239" s="13" t="n">
        <v>1433.9458333333</v>
      </c>
      <c r="Y239" s="13" t="n">
        <v>23</v>
      </c>
      <c r="Z239" s="13" t="n">
        <v>24</v>
      </c>
      <c r="AA239" s="13" t="n">
        <v>22</v>
      </c>
      <c r="AB239" s="13">
        <f>IF(ISNUMBER(X239),X239+N(Y239)+N(Z239)+N(AA239),X239)</f>
        <v/>
      </c>
      <c r="AC239" s="13">
        <f>IF(ISNUMBER(AB239),AB239,"")</f>
        <v/>
      </c>
      <c r="AD239" s="13">
        <f>IF(ISNUMBER(AC239),_xlfn.RANK.EQ(AC239,$AC$2:$AC$1031),"")</f>
        <v/>
      </c>
      <c r="AE239" s="15">
        <f>IF(ISNUMBER(AF239),AF239/3630,"")</f>
        <v/>
      </c>
      <c r="AF239" s="14">
        <f>IFERROR(C239+D239+E239+F239+J239+K239+L239+M239+Q239+R239+S239+T239+IF(ISNUMBER(X239),X239,0)+N(Y239)+N(Z239)+N(AA239),"")</f>
        <v/>
      </c>
      <c r="AG239" s="14">
        <f>IF(ISNUMBER(AF239),AF239,"")</f>
        <v/>
      </c>
      <c r="AH239" s="14">
        <f>IF(ISNUMBER(AG239),_xlfn.RANK.EQ(AG239,$AG$2:$AG$1031),"")</f>
        <v/>
      </c>
    </row>
    <row r="240">
      <c r="A240" s="18" t="n">
        <v>515</v>
      </c>
      <c r="B240" s="18" t="inlineStr">
        <is>
          <t>جنى وليد محمد حسن الشنشوري</t>
        </is>
      </c>
      <c r="C240" s="1" t="n">
        <v>502.8</v>
      </c>
      <c r="D240" s="1" t="n">
        <v>21</v>
      </c>
      <c r="E240" s="1" t="n">
        <v>19</v>
      </c>
      <c r="F240" s="1" t="n">
        <v>22</v>
      </c>
      <c r="G240" s="1">
        <f>C240+D240+E240+F240</f>
        <v/>
      </c>
      <c r="H240" s="1">
        <f>IF(ISNUMBER(G240),G240,"")</f>
        <v/>
      </c>
      <c r="I240" s="1">
        <f>_xlfn.RANK.EQ(H240,$H$2:$H$1031)</f>
        <v/>
      </c>
      <c r="J240" s="5" t="n">
        <v>468</v>
      </c>
      <c r="K240" s="5" t="n">
        <v>35</v>
      </c>
      <c r="L240" s="5" t="n">
        <v>23</v>
      </c>
      <c r="M240" s="5" t="n">
        <v>24</v>
      </c>
      <c r="N240" s="5">
        <f>J240+K240+L240+M240</f>
        <v/>
      </c>
      <c r="O240" s="5">
        <f>IF(ISNUMBER(N240),N240,"")</f>
        <v/>
      </c>
      <c r="P240" s="5">
        <f>_xlfn.RANK.EQ(O240,$O$2:$O$1031)</f>
        <v/>
      </c>
      <c r="Q240" s="9" t="n">
        <v>222</v>
      </c>
      <c r="R240" s="9" t="n">
        <v>43</v>
      </c>
      <c r="S240" s="9" t="n">
        <v>24</v>
      </c>
      <c r="T240" s="9" t="n">
        <v>24</v>
      </c>
      <c r="U240" s="9">
        <f>Q240+R240+S240+T240</f>
        <v/>
      </c>
      <c r="V240" s="9">
        <f>IF(ISNUMBER(U240),U240,"")</f>
        <v/>
      </c>
      <c r="W240" s="9">
        <f>_xlfn.RANK.EQ(V240,$V$2:$V$1031)</f>
        <v/>
      </c>
      <c r="X240" s="13" t="n">
        <v>1226.7125</v>
      </c>
      <c r="Y240" s="13" t="n">
        <v>23</v>
      </c>
      <c r="Z240" s="13" t="n">
        <v>24</v>
      </c>
      <c r="AA240" s="13" t="n">
        <v>19</v>
      </c>
      <c r="AB240" s="13">
        <f>IF(ISNUMBER(X240),X240+N(Y240)+N(Z240)+N(AA240),X240)</f>
        <v/>
      </c>
      <c r="AC240" s="13">
        <f>IF(ISNUMBER(AB240),AB240,"")</f>
        <v/>
      </c>
      <c r="AD240" s="13">
        <f>IF(ISNUMBER(AC240),_xlfn.RANK.EQ(AC240,$AC$2:$AC$1031),"")</f>
        <v/>
      </c>
      <c r="AE240" s="15">
        <f>IF(ISNUMBER(AF240),AF240/3630,"")</f>
        <v/>
      </c>
      <c r="AF240" s="14">
        <f>IFERROR(C240+D240+E240+F240+J240+K240+L240+M240+Q240+R240+S240+T240+IF(ISNUMBER(X240),X240,0)+N(Y240)+N(Z240)+N(AA240),"")</f>
        <v/>
      </c>
      <c r="AG240" s="14">
        <f>IF(ISNUMBER(AF240),AF240,"")</f>
        <v/>
      </c>
      <c r="AH240" s="14">
        <f>IF(ISNUMBER(AG240),_xlfn.RANK.EQ(AG240,$AG$2:$AG$1031),"")</f>
        <v/>
      </c>
    </row>
    <row r="241">
      <c r="A241" s="18" t="n">
        <v>519</v>
      </c>
      <c r="B241" s="18" t="inlineStr">
        <is>
          <t>جودي احمد مصطفى عفان</t>
        </is>
      </c>
      <c r="C241" s="1" t="n">
        <v>553.8</v>
      </c>
      <c r="D241" s="1" t="n">
        <v>23</v>
      </c>
      <c r="E241" s="1" t="n">
        <v>23</v>
      </c>
      <c r="F241" s="1" t="n">
        <v>21</v>
      </c>
      <c r="G241" s="1">
        <f>C241+D241+E241+F241</f>
        <v/>
      </c>
      <c r="H241" s="1">
        <f>IF(ISNUMBER(G241),G241,"")</f>
        <v/>
      </c>
      <c r="I241" s="1">
        <f>_xlfn.RANK.EQ(H241,$H$2:$H$1031)</f>
        <v/>
      </c>
      <c r="J241" s="5" t="n">
        <v>548.5</v>
      </c>
      <c r="K241" s="5" t="n">
        <v>47</v>
      </c>
      <c r="L241" s="5" t="n">
        <v>22</v>
      </c>
      <c r="M241" s="5" t="n">
        <v>23</v>
      </c>
      <c r="N241" s="5">
        <f>J241+K241+L241+M241</f>
        <v/>
      </c>
      <c r="O241" s="5">
        <f>IF(ISNUMBER(N241),N241,"")</f>
        <v/>
      </c>
      <c r="P241" s="5">
        <f>_xlfn.RANK.EQ(O241,$O$2:$O$1031)</f>
        <v/>
      </c>
      <c r="Q241" s="9" t="n">
        <v>233.5</v>
      </c>
      <c r="R241" s="9" t="n">
        <v>46</v>
      </c>
      <c r="S241" s="9" t="n">
        <v>25</v>
      </c>
      <c r="T241" s="9" t="n">
        <v>25</v>
      </c>
      <c r="U241" s="9">
        <f>Q241+R241+S241+T241</f>
        <v/>
      </c>
      <c r="V241" s="9">
        <f>IF(ISNUMBER(U241),U241,"")</f>
        <v/>
      </c>
      <c r="W241" s="9">
        <f>_xlfn.RANK.EQ(V241,$V$2:$V$1031)</f>
        <v/>
      </c>
      <c r="X241" s="13" t="n">
        <v>1294.5083333333</v>
      </c>
      <c r="Y241" s="13" t="n">
        <v>25</v>
      </c>
      <c r="Z241" s="13" t="n">
        <v>24</v>
      </c>
      <c r="AA241" s="13" t="n">
        <v>24</v>
      </c>
      <c r="AB241" s="13">
        <f>IF(ISNUMBER(X241),X241+N(Y241)+N(Z241)+N(AA241),X241)</f>
        <v/>
      </c>
      <c r="AC241" s="13">
        <f>IF(ISNUMBER(AB241),AB241,"")</f>
        <v/>
      </c>
      <c r="AD241" s="13">
        <f>IF(ISNUMBER(AC241),_xlfn.RANK.EQ(AC241,$AC$2:$AC$1031),"")</f>
        <v/>
      </c>
      <c r="AE241" s="15">
        <f>IF(ISNUMBER(AF241),AF241/3630,"")</f>
        <v/>
      </c>
      <c r="AF241" s="14">
        <f>IFERROR(C241+D241+E241+F241+J241+K241+L241+M241+Q241+R241+S241+T241+IF(ISNUMBER(X241),X241,0)+N(Y241)+N(Z241)+N(AA241),"")</f>
        <v/>
      </c>
      <c r="AG241" s="14">
        <f>IF(ISNUMBER(AF241),AF241,"")</f>
        <v/>
      </c>
      <c r="AH241" s="14">
        <f>IF(ISNUMBER(AG241),_xlfn.RANK.EQ(AG241,$AG$2:$AG$1031),"")</f>
        <v/>
      </c>
    </row>
    <row r="242">
      <c r="A242" s="18" t="n">
        <v>522</v>
      </c>
      <c r="B242" s="18" t="inlineStr">
        <is>
          <t>جورج اسامه عيسى خله موسى</t>
        </is>
      </c>
      <c r="C242" s="1" t="n">
        <v>654.1</v>
      </c>
      <c r="D242" s="1" t="n">
        <v>25</v>
      </c>
      <c r="E242" s="1" t="n">
        <v>25</v>
      </c>
      <c r="F242" s="1" t="n">
        <v>25</v>
      </c>
      <c r="G242" s="1">
        <f>C242+D242+E242+F242</f>
        <v/>
      </c>
      <c r="H242" s="1">
        <f>IF(ISNUMBER(G242),G242,"")</f>
        <v/>
      </c>
      <c r="I242" s="1">
        <f>_xlfn.RANK.EQ(H242,$H$2:$H$1031)</f>
        <v/>
      </c>
      <c r="J242" s="5" t="n">
        <v>633</v>
      </c>
      <c r="K242" s="5" t="n">
        <v>48</v>
      </c>
      <c r="L242" s="5" t="n">
        <v>24</v>
      </c>
      <c r="M242" s="5" t="n">
        <v>25</v>
      </c>
      <c r="N242" s="5">
        <f>J242+K242+L242+M242</f>
        <v/>
      </c>
      <c r="O242" s="5">
        <f>IF(ISNUMBER(N242),N242,"")</f>
        <v/>
      </c>
      <c r="P242" s="5">
        <f>_xlfn.RANK.EQ(O242,$O$2:$O$1031)</f>
        <v/>
      </c>
      <c r="Q242" s="9" t="n">
        <v>287.5</v>
      </c>
      <c r="R242" s="9" t="n">
        <v>49</v>
      </c>
      <c r="S242" s="9" t="n">
        <v>25</v>
      </c>
      <c r="T242" s="9" t="n">
        <v>25</v>
      </c>
      <c r="U242" s="9">
        <f>Q242+R242+S242+T242</f>
        <v/>
      </c>
      <c r="V242" s="9">
        <f>IF(ISNUMBER(U242),U242,"")</f>
        <v/>
      </c>
      <c r="W242" s="9">
        <f>_xlfn.RANK.EQ(V242,$V$2:$V$1031)</f>
        <v/>
      </c>
      <c r="X242" s="13" t="n">
        <v>1590.0625</v>
      </c>
      <c r="Y242" s="13" t="n">
        <v>25</v>
      </c>
      <c r="Z242" s="13" t="n">
        <v>25</v>
      </c>
      <c r="AA242" s="13" t="n">
        <v>24</v>
      </c>
      <c r="AB242" s="13">
        <f>IF(ISNUMBER(X242),X242+N(Y242)+N(Z242)+N(AA242),X242)</f>
        <v/>
      </c>
      <c r="AC242" s="13">
        <f>IF(ISNUMBER(AB242),AB242,"")</f>
        <v/>
      </c>
      <c r="AD242" s="13">
        <f>IF(ISNUMBER(AC242),_xlfn.RANK.EQ(AC242,$AC$2:$AC$1031),"")</f>
        <v/>
      </c>
      <c r="AE242" s="15">
        <f>IF(ISNUMBER(AF242),AF242/3630,"")</f>
        <v/>
      </c>
      <c r="AF242" s="14">
        <f>IFERROR(C242+D242+E242+F242+J242+K242+L242+M242+Q242+R242+S242+T242+IF(ISNUMBER(X242),X242,0)+N(Y242)+N(Z242)+N(AA242),"")</f>
        <v/>
      </c>
      <c r="AG242" s="14">
        <f>IF(ISNUMBER(AF242),AF242,"")</f>
        <v/>
      </c>
      <c r="AH242" s="14">
        <f>IF(ISNUMBER(AG242),_xlfn.RANK.EQ(AG242,$AG$2:$AG$1031),"")</f>
        <v/>
      </c>
    </row>
    <row r="243">
      <c r="A243" s="18" t="n">
        <v>523</v>
      </c>
      <c r="B243" s="18" t="inlineStr">
        <is>
          <t>جورج اشرف قطيط كامل تكلا</t>
        </is>
      </c>
      <c r="C243" s="1" t="n">
        <v>527.8</v>
      </c>
      <c r="D243" s="1" t="n">
        <v>23</v>
      </c>
      <c r="E243" s="1" t="n">
        <v>19</v>
      </c>
      <c r="F243" s="1" t="n">
        <v>19</v>
      </c>
      <c r="G243" s="1">
        <f>C243+D243+E243+F243</f>
        <v/>
      </c>
      <c r="H243" s="1">
        <f>IF(ISNUMBER(G243),G243,"")</f>
        <v/>
      </c>
      <c r="I243" s="1">
        <f>_xlfn.RANK.EQ(H243,$H$2:$H$1031)</f>
        <v/>
      </c>
      <c r="J243" s="5" t="n">
        <v>502.5</v>
      </c>
      <c r="K243" s="5" t="n">
        <v>47</v>
      </c>
      <c r="L243" s="5" t="n">
        <v>24</v>
      </c>
      <c r="M243" s="5" t="n">
        <v>19</v>
      </c>
      <c r="N243" s="5">
        <f>J243+K243+L243+M243</f>
        <v/>
      </c>
      <c r="O243" s="5">
        <f>IF(ISNUMBER(N243),N243,"")</f>
        <v/>
      </c>
      <c r="P243" s="5">
        <f>_xlfn.RANK.EQ(O243,$O$2:$O$1031)</f>
        <v/>
      </c>
      <c r="Q243" s="9" t="n">
        <v>224</v>
      </c>
      <c r="R243" s="9" t="n">
        <v>46</v>
      </c>
      <c r="S243" s="9" t="n">
        <v>23</v>
      </c>
      <c r="T243" s="9" t="n">
        <v>24</v>
      </c>
      <c r="U243" s="9">
        <f>Q243+R243+S243+T243</f>
        <v/>
      </c>
      <c r="V243" s="9">
        <f>IF(ISNUMBER(U243),U243,"")</f>
        <v/>
      </c>
      <c r="W243" s="9">
        <f>_xlfn.RANK.EQ(V243,$V$2:$V$1031)</f>
        <v/>
      </c>
      <c r="X243" s="13" t="n">
        <v>1257.2166666667</v>
      </c>
      <c r="Y243" s="13" t="n">
        <v>25</v>
      </c>
      <c r="Z243" s="13" t="n">
        <v>22</v>
      </c>
      <c r="AA243" s="13" t="n">
        <v>21</v>
      </c>
      <c r="AB243" s="13">
        <f>IF(ISNUMBER(X243),X243+N(Y243)+N(Z243)+N(AA243),X243)</f>
        <v/>
      </c>
      <c r="AC243" s="13">
        <f>IF(ISNUMBER(AB243),AB243,"")</f>
        <v/>
      </c>
      <c r="AD243" s="13">
        <f>IF(ISNUMBER(AC243),_xlfn.RANK.EQ(AC243,$AC$2:$AC$1031),"")</f>
        <v/>
      </c>
      <c r="AE243" s="15">
        <f>IF(ISNUMBER(AF243),AF243/3630,"")</f>
        <v/>
      </c>
      <c r="AF243" s="14">
        <f>IFERROR(C243+D243+E243+F243+J243+K243+L243+M243+Q243+R243+S243+T243+IF(ISNUMBER(X243),X243,0)+N(Y243)+N(Z243)+N(AA243),"")</f>
        <v/>
      </c>
      <c r="AG243" s="14">
        <f>IF(ISNUMBER(AF243),AF243,"")</f>
        <v/>
      </c>
      <c r="AH243" s="14">
        <f>IF(ISNUMBER(AG243),_xlfn.RANK.EQ(AG243,$AG$2:$AG$1031),"")</f>
        <v/>
      </c>
    </row>
    <row r="244">
      <c r="A244" s="18" t="n">
        <v>524</v>
      </c>
      <c r="B244" s="18" t="inlineStr">
        <is>
          <t>جورج وحيد زاهر درياس</t>
        </is>
      </c>
      <c r="C244" s="1" t="n">
        <v>661</v>
      </c>
      <c r="D244" s="1" t="n">
        <v>25</v>
      </c>
      <c r="E244" s="1" t="n">
        <v>25</v>
      </c>
      <c r="F244" s="1" t="n">
        <v>24</v>
      </c>
      <c r="G244" s="1">
        <f>C244+D244+E244+F244</f>
        <v/>
      </c>
      <c r="H244" s="1">
        <f>IF(ISNUMBER(G244),G244,"")</f>
        <v/>
      </c>
      <c r="I244" s="1">
        <f>_xlfn.RANK.EQ(H244,$H$2:$H$1031)</f>
        <v/>
      </c>
      <c r="J244" s="5" t="n">
        <v>632</v>
      </c>
      <c r="K244" s="5" t="n">
        <v>49</v>
      </c>
      <c r="L244" s="5" t="n">
        <v>23</v>
      </c>
      <c r="M244" s="5" t="n">
        <v>25</v>
      </c>
      <c r="N244" s="5">
        <f>J244+K244+L244+M244</f>
        <v/>
      </c>
      <c r="O244" s="5">
        <f>IF(ISNUMBER(N244),N244,"")</f>
        <v/>
      </c>
      <c r="P244" s="5">
        <f>_xlfn.RANK.EQ(O244,$O$2:$O$1031)</f>
        <v/>
      </c>
      <c r="Q244" s="9" t="n">
        <v>271.5</v>
      </c>
      <c r="R244" s="9" t="n">
        <v>48.5</v>
      </c>
      <c r="S244" s="9" t="n">
        <v>24</v>
      </c>
      <c r="T244" s="9" t="n">
        <v>25</v>
      </c>
      <c r="U244" s="9">
        <f>Q244+R244+S244+T244</f>
        <v/>
      </c>
      <c r="V244" s="9">
        <f>IF(ISNUMBER(U244),U244,"")</f>
        <v/>
      </c>
      <c r="W244" s="9">
        <f>_xlfn.RANK.EQ(V244,$V$2:$V$1031)</f>
        <v/>
      </c>
      <c r="X244" s="13" t="inlineStr">
        <is>
          <t>غ ب</t>
        </is>
      </c>
      <c r="Y244" s="13" t="n">
        <v>25</v>
      </c>
      <c r="Z244" s="13" t="n">
        <v>25</v>
      </c>
      <c r="AA244" s="13" t="n">
        <v>25</v>
      </c>
      <c r="AB244" s="13">
        <f>IF(ISNUMBER(X244),X244+N(Y244)+N(Z244)+N(AA244),X244)</f>
        <v/>
      </c>
      <c r="AC244" s="13">
        <f>IF(ISNUMBER(AB244),AB244,"")</f>
        <v/>
      </c>
      <c r="AD244" s="13">
        <f>IF(ISNUMBER(AC244),_xlfn.RANK.EQ(AC244,$AC$2:$AC$1031),"")</f>
        <v/>
      </c>
      <c r="AE244" s="15">
        <f>IF(ISNUMBER(AF244),AF244/3630,"")</f>
        <v/>
      </c>
      <c r="AF244" s="14">
        <f>IFERROR(C244+D244+E244+F244+J244+K244+L244+M244+Q244+R244+S244+T244+IF(ISNUMBER(X244),X244,0)+N(Y244)+N(Z244)+N(AA244),"")</f>
        <v/>
      </c>
      <c r="AG244" s="14">
        <f>IF(ISNUMBER(AF244),AF244,"")</f>
        <v/>
      </c>
      <c r="AH244" s="14">
        <f>IF(ISNUMBER(AG244),_xlfn.RANK.EQ(AG244,$AG$2:$AG$1031),"")</f>
        <v/>
      </c>
    </row>
    <row r="245">
      <c r="A245" s="18" t="n">
        <v>526</v>
      </c>
      <c r="B245" s="18" t="inlineStr">
        <is>
          <t>جولي أكرم نصر طناس</t>
        </is>
      </c>
      <c r="C245" s="1" t="n">
        <v>449.5</v>
      </c>
      <c r="D245" s="1" t="n">
        <v>22</v>
      </c>
      <c r="E245" s="1" t="n">
        <v>23</v>
      </c>
      <c r="F245" s="1" t="n">
        <v>22</v>
      </c>
      <c r="G245" s="1">
        <f>C245+D245+E245+F245</f>
        <v/>
      </c>
      <c r="H245" s="1">
        <f>IF(ISNUMBER(G245),G245,"")</f>
        <v/>
      </c>
      <c r="I245" s="1">
        <f>_xlfn.RANK.EQ(H245,$H$2:$H$1031)</f>
        <v/>
      </c>
      <c r="J245" s="5" t="n">
        <v>463</v>
      </c>
      <c r="K245" s="5" t="n">
        <v>40</v>
      </c>
      <c r="L245" s="5" t="n">
        <v>22</v>
      </c>
      <c r="M245" s="5" t="n">
        <v>21</v>
      </c>
      <c r="N245" s="5">
        <f>J245+K245+L245+M245</f>
        <v/>
      </c>
      <c r="O245" s="5">
        <f>IF(ISNUMBER(N245),N245,"")</f>
        <v/>
      </c>
      <c r="P245" s="5">
        <f>_xlfn.RANK.EQ(O245,$O$2:$O$1031)</f>
        <v/>
      </c>
      <c r="Q245" s="9" t="n">
        <v>189.5</v>
      </c>
      <c r="R245" s="9" t="n">
        <v>40.5</v>
      </c>
      <c r="S245" s="9" t="n">
        <v>22</v>
      </c>
      <c r="T245" s="9" t="n">
        <v>24</v>
      </c>
      <c r="U245" s="9">
        <f>Q245+R245+S245+T245</f>
        <v/>
      </c>
      <c r="V245" s="9">
        <f>IF(ISNUMBER(U245),U245,"")</f>
        <v/>
      </c>
      <c r="W245" s="9">
        <f>_xlfn.RANK.EQ(V245,$V$2:$V$1031)</f>
        <v/>
      </c>
      <c r="X245" s="13" t="n">
        <v>1168.9083333333</v>
      </c>
      <c r="Y245" s="13" t="n">
        <v>23</v>
      </c>
      <c r="Z245" s="13" t="n">
        <v>23</v>
      </c>
      <c r="AA245" s="13" t="n">
        <v>23</v>
      </c>
      <c r="AB245" s="13">
        <f>IF(ISNUMBER(X245),X245+N(Y245)+N(Z245)+N(AA245),X245)</f>
        <v/>
      </c>
      <c r="AC245" s="13">
        <f>IF(ISNUMBER(AB245),AB245,"")</f>
        <v/>
      </c>
      <c r="AD245" s="13">
        <f>IF(ISNUMBER(AC245),_xlfn.RANK.EQ(AC245,$AC$2:$AC$1031),"")</f>
        <v/>
      </c>
      <c r="AE245" s="15">
        <f>IF(ISNUMBER(AF245),AF245/3630,"")</f>
        <v/>
      </c>
      <c r="AF245" s="14">
        <f>IFERROR(C245+D245+E245+F245+J245+K245+L245+M245+Q245+R245+S245+T245+IF(ISNUMBER(X245),X245,0)+N(Y245)+N(Z245)+N(AA245),"")</f>
        <v/>
      </c>
      <c r="AG245" s="14">
        <f>IF(ISNUMBER(AF245),AF245,"")</f>
        <v/>
      </c>
      <c r="AH245" s="14">
        <f>IF(ISNUMBER(AG245),_xlfn.RANK.EQ(AG245,$AG$2:$AG$1031),"")</f>
        <v/>
      </c>
    </row>
    <row r="246">
      <c r="A246" s="18" t="n">
        <v>527</v>
      </c>
      <c r="B246" s="18" t="inlineStr">
        <is>
          <t>جومانا يوسف متى يوسف باسيلى</t>
        </is>
      </c>
      <c r="C246" s="1" t="n">
        <v>655.1</v>
      </c>
      <c r="D246" s="1" t="n">
        <v>24</v>
      </c>
      <c r="E246" s="1" t="n">
        <v>24</v>
      </c>
      <c r="F246" s="1" t="n">
        <v>23</v>
      </c>
      <c r="G246" s="1">
        <f>C246+D246+E246+F246</f>
        <v/>
      </c>
      <c r="H246" s="1">
        <f>IF(ISNUMBER(G246),G246,"")</f>
        <v/>
      </c>
      <c r="I246" s="1">
        <f>_xlfn.RANK.EQ(H246,$H$2:$H$1031)</f>
        <v/>
      </c>
      <c r="J246" s="5" t="n">
        <v>635</v>
      </c>
      <c r="K246" s="5" t="n">
        <v>48</v>
      </c>
      <c r="L246" s="5" t="n">
        <v>23</v>
      </c>
      <c r="M246" s="5" t="n">
        <v>25</v>
      </c>
      <c r="N246" s="5">
        <f>J246+K246+L246+M246</f>
        <v/>
      </c>
      <c r="O246" s="5">
        <f>IF(ISNUMBER(N246),N246,"")</f>
        <v/>
      </c>
      <c r="P246" s="5">
        <f>_xlfn.RANK.EQ(O246,$O$2:$O$1031)</f>
        <v/>
      </c>
      <c r="Q246" s="9" t="n">
        <v>291</v>
      </c>
      <c r="R246" s="9" t="n">
        <v>48.5</v>
      </c>
      <c r="S246" s="9" t="n">
        <v>24</v>
      </c>
      <c r="T246" s="9" t="n">
        <v>24</v>
      </c>
      <c r="U246" s="9">
        <f>Q246+R246+S246+T246</f>
        <v/>
      </c>
      <c r="V246" s="9">
        <f>IF(ISNUMBER(U246),U246,"")</f>
        <v/>
      </c>
      <c r="W246" s="9">
        <f>_xlfn.RANK.EQ(V246,$V$2:$V$1031)</f>
        <v/>
      </c>
      <c r="X246" s="13" t="n">
        <v>1559.6541666667</v>
      </c>
      <c r="Y246" s="13" t="n">
        <v>25</v>
      </c>
      <c r="Z246" s="13" t="n">
        <v>25</v>
      </c>
      <c r="AA246" s="13" t="n">
        <v>24</v>
      </c>
      <c r="AB246" s="13">
        <f>IF(ISNUMBER(X246),X246+N(Y246)+N(Z246)+N(AA246),X246)</f>
        <v/>
      </c>
      <c r="AC246" s="13">
        <f>IF(ISNUMBER(AB246),AB246,"")</f>
        <v/>
      </c>
      <c r="AD246" s="13">
        <f>IF(ISNUMBER(AC246),_xlfn.RANK.EQ(AC246,$AC$2:$AC$1031),"")</f>
        <v/>
      </c>
      <c r="AE246" s="15">
        <f>IF(ISNUMBER(AF246),AF246/3630,"")</f>
        <v/>
      </c>
      <c r="AF246" s="14">
        <f>IFERROR(C246+D246+E246+F246+J246+K246+L246+M246+Q246+R246+S246+T246+IF(ISNUMBER(X246),X246,0)+N(Y246)+N(Z246)+N(AA246),"")</f>
        <v/>
      </c>
      <c r="AG246" s="14">
        <f>IF(ISNUMBER(AF246),AF246,"")</f>
        <v/>
      </c>
      <c r="AH246" s="14">
        <f>IF(ISNUMBER(AG246),_xlfn.RANK.EQ(AG246,$AG$2:$AG$1031),"")</f>
        <v/>
      </c>
    </row>
    <row r="247">
      <c r="A247" s="18" t="n">
        <v>528</v>
      </c>
      <c r="B247" s="18" t="inlineStr">
        <is>
          <t>جون نبيل شكر الله توماس</t>
        </is>
      </c>
      <c r="C247" s="1" t="n">
        <v>578.8</v>
      </c>
      <c r="D247" s="1" t="n">
        <v>24</v>
      </c>
      <c r="E247" s="1" t="n">
        <v>22</v>
      </c>
      <c r="F247" s="1" t="n">
        <v>24</v>
      </c>
      <c r="G247" s="1">
        <f>C247+D247+E247+F247</f>
        <v/>
      </c>
      <c r="H247" s="1">
        <f>IF(ISNUMBER(G247),G247,"")</f>
        <v/>
      </c>
      <c r="I247" s="1">
        <f>_xlfn.RANK.EQ(H247,$H$2:$H$1031)</f>
        <v/>
      </c>
      <c r="J247" s="5" t="n">
        <v>548.5</v>
      </c>
      <c r="K247" s="5" t="n">
        <v>48</v>
      </c>
      <c r="L247" s="5" t="n">
        <v>22</v>
      </c>
      <c r="M247" s="5" t="n">
        <v>24</v>
      </c>
      <c r="N247" s="5">
        <f>J247+K247+L247+M247</f>
        <v/>
      </c>
      <c r="O247" s="5">
        <f>IF(ISNUMBER(N247),N247,"")</f>
        <v/>
      </c>
      <c r="P247" s="5">
        <f>_xlfn.RANK.EQ(O247,$O$2:$O$1031)</f>
        <v/>
      </c>
      <c r="Q247" s="9" t="n">
        <v>216.5</v>
      </c>
      <c r="R247" s="9" t="n">
        <v>45</v>
      </c>
      <c r="S247" s="9" t="n">
        <v>22</v>
      </c>
      <c r="T247" s="9" t="n">
        <v>24</v>
      </c>
      <c r="U247" s="9">
        <f>Q247+R247+S247+T247</f>
        <v/>
      </c>
      <c r="V247" s="9">
        <f>IF(ISNUMBER(U247),U247,"")</f>
        <v/>
      </c>
      <c r="W247" s="9">
        <f>_xlfn.RANK.EQ(V247,$V$2:$V$1031)</f>
        <v/>
      </c>
      <c r="X247" s="13" t="n">
        <v>1270.5125</v>
      </c>
      <c r="Y247" s="13" t="n">
        <v>25</v>
      </c>
      <c r="Z247" s="13" t="n">
        <v>24</v>
      </c>
      <c r="AA247" s="13" t="n">
        <v>22</v>
      </c>
      <c r="AB247" s="13">
        <f>IF(ISNUMBER(X247),X247+N(Y247)+N(Z247)+N(AA247),X247)</f>
        <v/>
      </c>
      <c r="AC247" s="13">
        <f>IF(ISNUMBER(AB247),AB247,"")</f>
        <v/>
      </c>
      <c r="AD247" s="13">
        <f>IF(ISNUMBER(AC247),_xlfn.RANK.EQ(AC247,$AC$2:$AC$1031),"")</f>
        <v/>
      </c>
      <c r="AE247" s="15">
        <f>IF(ISNUMBER(AF247),AF247/3630,"")</f>
        <v/>
      </c>
      <c r="AF247" s="14">
        <f>IFERROR(C247+D247+E247+F247+J247+K247+L247+M247+Q247+R247+S247+T247+IF(ISNUMBER(X247),X247,0)+N(Y247)+N(Z247)+N(AA247),"")</f>
        <v/>
      </c>
      <c r="AG247" s="14">
        <f>IF(ISNUMBER(AF247),AF247,"")</f>
        <v/>
      </c>
      <c r="AH247" s="14">
        <f>IF(ISNUMBER(AG247),_xlfn.RANK.EQ(AG247,$AG$2:$AG$1031),"")</f>
        <v/>
      </c>
    </row>
    <row r="248">
      <c r="A248" s="18" t="n">
        <v>529</v>
      </c>
      <c r="B248" s="18" t="inlineStr">
        <is>
          <t>جوى حاتم محمد غزاله</t>
        </is>
      </c>
      <c r="C248" s="1" t="n">
        <v>502.5</v>
      </c>
      <c r="D248" s="1" t="n">
        <v>22</v>
      </c>
      <c r="E248" s="1" t="n">
        <v>3</v>
      </c>
      <c r="F248" s="1" t="n">
        <v>22</v>
      </c>
      <c r="G248" s="1">
        <f>C248+D248+E248+F248</f>
        <v/>
      </c>
      <c r="H248" s="1">
        <f>IF(ISNUMBER(G248),G248,"")</f>
        <v/>
      </c>
      <c r="I248" s="1">
        <f>_xlfn.RANK.EQ(H248,$H$2:$H$1031)</f>
        <v/>
      </c>
      <c r="J248" s="5" t="n">
        <v>533.5</v>
      </c>
      <c r="K248" s="5" t="n">
        <v>41</v>
      </c>
      <c r="L248" s="5" t="n">
        <v>19</v>
      </c>
      <c r="M248" s="5" t="n">
        <v>18</v>
      </c>
      <c r="N248" s="5">
        <f>J248+K248+L248+M248</f>
        <v/>
      </c>
      <c r="O248" s="5">
        <f>IF(ISNUMBER(N248),N248,"")</f>
        <v/>
      </c>
      <c r="P248" s="5">
        <f>_xlfn.RANK.EQ(O248,$O$2:$O$1031)</f>
        <v/>
      </c>
      <c r="Q248" s="9" t="n">
        <v>200</v>
      </c>
      <c r="R248" s="9" t="n">
        <v>42.5</v>
      </c>
      <c r="S248" s="9" t="n">
        <v>23</v>
      </c>
      <c r="T248" s="9" t="n">
        <v>24</v>
      </c>
      <c r="U248" s="9">
        <f>Q248+R248+S248+T248</f>
        <v/>
      </c>
      <c r="V248" s="9">
        <f>IF(ISNUMBER(U248),U248,"")</f>
        <v/>
      </c>
      <c r="W248" s="9">
        <f>_xlfn.RANK.EQ(V248,$V$2:$V$1031)</f>
        <v/>
      </c>
      <c r="X248" s="13" t="n">
        <v>1362.5708333333</v>
      </c>
      <c r="Y248" s="13" t="n">
        <v>22.5</v>
      </c>
      <c r="Z248" s="13" t="n">
        <v>22</v>
      </c>
      <c r="AA248" s="13" t="n">
        <v>24</v>
      </c>
      <c r="AB248" s="13">
        <f>IF(ISNUMBER(X248),X248+N(Y248)+N(Z248)+N(AA248),X248)</f>
        <v/>
      </c>
      <c r="AC248" s="13">
        <f>IF(ISNUMBER(AB248),AB248,"")</f>
        <v/>
      </c>
      <c r="AD248" s="13">
        <f>IF(ISNUMBER(AC248),_xlfn.RANK.EQ(AC248,$AC$2:$AC$1031),"")</f>
        <v/>
      </c>
      <c r="AE248" s="15">
        <f>IF(ISNUMBER(AF248),AF248/3630,"")</f>
        <v/>
      </c>
      <c r="AF248" s="14">
        <f>IFERROR(C248+D248+E248+F248+J248+K248+L248+M248+Q248+R248+S248+T248+IF(ISNUMBER(X248),X248,0)+N(Y248)+N(Z248)+N(AA248),"")</f>
        <v/>
      </c>
      <c r="AG248" s="14">
        <f>IF(ISNUMBER(AF248),AF248,"")</f>
        <v/>
      </c>
      <c r="AH248" s="14">
        <f>IF(ISNUMBER(AG248),_xlfn.RANK.EQ(AG248,$AG$2:$AG$1031),"")</f>
        <v/>
      </c>
    </row>
    <row r="249">
      <c r="A249" s="18" t="n">
        <v>530</v>
      </c>
      <c r="B249" s="18" t="inlineStr">
        <is>
          <t>جويرية احمد ابو الفتوح سلامه</t>
        </is>
      </c>
      <c r="C249" s="1" t="n">
        <v>622.9</v>
      </c>
      <c r="D249" s="1" t="n">
        <v>25</v>
      </c>
      <c r="E249" s="1" t="n">
        <v>21</v>
      </c>
      <c r="F249" s="1" t="n">
        <v>23</v>
      </c>
      <c r="G249" s="1">
        <f>C249+D249+E249+F249</f>
        <v/>
      </c>
      <c r="H249" s="1">
        <f>IF(ISNUMBER(G249),G249,"")</f>
        <v/>
      </c>
      <c r="I249" s="1">
        <f>_xlfn.RANK.EQ(H249,$H$2:$H$1031)</f>
        <v/>
      </c>
      <c r="J249" s="5" t="n">
        <v>618.5</v>
      </c>
      <c r="K249" s="5" t="n">
        <v>45</v>
      </c>
      <c r="L249" s="5" t="n">
        <v>24</v>
      </c>
      <c r="M249" s="5" t="n">
        <v>21</v>
      </c>
      <c r="N249" s="5">
        <f>J249+K249+L249+M249</f>
        <v/>
      </c>
      <c r="O249" s="5">
        <f>IF(ISNUMBER(N249),N249,"")</f>
        <v/>
      </c>
      <c r="P249" s="5">
        <f>_xlfn.RANK.EQ(O249,$O$2:$O$1031)</f>
        <v/>
      </c>
      <c r="Q249" s="9" t="n">
        <v>268.5</v>
      </c>
      <c r="R249" s="9" t="n">
        <v>48</v>
      </c>
      <c r="S249" s="9" t="n">
        <v>25</v>
      </c>
      <c r="T249" s="9" t="n">
        <v>25</v>
      </c>
      <c r="U249" s="9">
        <f>Q249+R249+S249+T249</f>
        <v/>
      </c>
      <c r="V249" s="9">
        <f>IF(ISNUMBER(U249),U249,"")</f>
        <v/>
      </c>
      <c r="W249" s="9">
        <f>_xlfn.RANK.EQ(V249,$V$2:$V$1031)</f>
        <v/>
      </c>
      <c r="X249" s="13" t="n">
        <v>1464.7625</v>
      </c>
      <c r="Y249" s="13" t="n">
        <v>15</v>
      </c>
      <c r="Z249" s="13" t="n">
        <v>25</v>
      </c>
      <c r="AA249" s="13" t="n">
        <v>23</v>
      </c>
      <c r="AB249" s="13">
        <f>IF(ISNUMBER(X249),X249+N(Y249)+N(Z249)+N(AA249),X249)</f>
        <v/>
      </c>
      <c r="AC249" s="13">
        <f>IF(ISNUMBER(AB249),AB249,"")</f>
        <v/>
      </c>
      <c r="AD249" s="13">
        <f>IF(ISNUMBER(AC249),_xlfn.RANK.EQ(AC249,$AC$2:$AC$1031),"")</f>
        <v/>
      </c>
      <c r="AE249" s="15">
        <f>IF(ISNUMBER(AF249),AF249/3630,"")</f>
        <v/>
      </c>
      <c r="AF249" s="14">
        <f>IFERROR(C249+D249+E249+F249+J249+K249+L249+M249+Q249+R249+S249+T249+IF(ISNUMBER(X249),X249,0)+N(Y249)+N(Z249)+N(AA249),"")</f>
        <v/>
      </c>
      <c r="AG249" s="14">
        <f>IF(ISNUMBER(AF249),AF249,"")</f>
        <v/>
      </c>
      <c r="AH249" s="14">
        <f>IF(ISNUMBER(AG249),_xlfn.RANK.EQ(AG249,$AG$2:$AG$1031),"")</f>
        <v/>
      </c>
    </row>
    <row r="250">
      <c r="A250" s="18" t="n">
        <v>531</v>
      </c>
      <c r="B250" s="18" t="inlineStr">
        <is>
          <t>جويرية محمود محمد البدراوي</t>
        </is>
      </c>
      <c r="C250" s="1" t="n">
        <v>426.95</v>
      </c>
      <c r="D250" s="1" t="n">
        <v>19</v>
      </c>
      <c r="E250" s="1" t="n">
        <v>20</v>
      </c>
      <c r="F250" s="1" t="n">
        <v>19</v>
      </c>
      <c r="G250" s="1">
        <f>C250+D250+E250+F250</f>
        <v/>
      </c>
      <c r="H250" s="1">
        <f>IF(ISNUMBER(G250),G250,"")</f>
        <v/>
      </c>
      <c r="I250" s="1">
        <f>_xlfn.RANK.EQ(H250,$H$2:$H$1031)</f>
        <v/>
      </c>
      <c r="J250" s="5" t="n">
        <v>444</v>
      </c>
      <c r="K250" s="5" t="n">
        <v>36</v>
      </c>
      <c r="L250" s="5" t="n">
        <v>22</v>
      </c>
      <c r="M250" s="5" t="n">
        <v>17</v>
      </c>
      <c r="N250" s="5">
        <f>J250+K250+L250+M250</f>
        <v/>
      </c>
      <c r="O250" s="5">
        <f>IF(ISNUMBER(N250),N250,"")</f>
        <v/>
      </c>
      <c r="P250" s="5">
        <f>_xlfn.RANK.EQ(O250,$O$2:$O$1031)</f>
        <v/>
      </c>
      <c r="Q250" s="9" t="n">
        <v>178</v>
      </c>
      <c r="R250" s="9" t="n">
        <v>32.5</v>
      </c>
      <c r="S250" s="9" t="n">
        <v>25</v>
      </c>
      <c r="T250" s="9" t="n">
        <v>24.5</v>
      </c>
      <c r="U250" s="9">
        <f>Q250+R250+S250+T250</f>
        <v/>
      </c>
      <c r="V250" s="9">
        <f>IF(ISNUMBER(U250),U250,"")</f>
        <v/>
      </c>
      <c r="W250" s="9">
        <f>_xlfn.RANK.EQ(V250,$V$2:$V$1031)</f>
        <v/>
      </c>
      <c r="X250" s="13" t="inlineStr">
        <is>
          <t>راسب</t>
        </is>
      </c>
      <c r="Y250" s="13" t="n">
        <v>22</v>
      </c>
      <c r="Z250" s="13" t="n">
        <v>22</v>
      </c>
      <c r="AA250" s="13" t="n">
        <v>22</v>
      </c>
      <c r="AB250" s="13">
        <f>IF(ISNUMBER(X250),X250+N(Y250)+N(Z250)+N(AA250),X250)</f>
        <v/>
      </c>
      <c r="AC250" s="13">
        <f>IF(ISNUMBER(AB250),AB250,"")</f>
        <v/>
      </c>
      <c r="AD250" s="13">
        <f>IF(ISNUMBER(AC250),_xlfn.RANK.EQ(AC250,$AC$2:$AC$1031),"")</f>
        <v/>
      </c>
      <c r="AE250" s="15">
        <f>IF(ISNUMBER(AF250),AF250/3630,"")</f>
        <v/>
      </c>
      <c r="AF250" s="14">
        <f>IFERROR(C250+D250+E250+F250+J250+K250+L250+M250+Q250+R250+S250+T250+IF(ISNUMBER(X250),X250,0)+N(Y250)+N(Z250)+N(AA250),"")</f>
        <v/>
      </c>
      <c r="AG250" s="14">
        <f>IF(ISNUMBER(AF250),AF250,"")</f>
        <v/>
      </c>
      <c r="AH250" s="14">
        <f>IF(ISNUMBER(AG250),_xlfn.RANK.EQ(AG250,$AG$2:$AG$1031),"")</f>
        <v/>
      </c>
    </row>
    <row r="251">
      <c r="A251" s="18" t="n">
        <v>532</v>
      </c>
      <c r="B251" s="18" t="inlineStr">
        <is>
          <t>جيهان عيد احمد عبد الرازق احمد</t>
        </is>
      </c>
      <c r="C251" s="1" t="n">
        <v>612.9</v>
      </c>
      <c r="D251" s="1" t="n">
        <v>25</v>
      </c>
      <c r="E251" s="1" t="n">
        <v>25</v>
      </c>
      <c r="F251" s="1" t="n">
        <v>24</v>
      </c>
      <c r="G251" s="1">
        <f>C251+D251+E251+F251</f>
        <v/>
      </c>
      <c r="H251" s="1">
        <f>IF(ISNUMBER(G251),G251,"")</f>
        <v/>
      </c>
      <c r="I251" s="1">
        <f>_xlfn.RANK.EQ(H251,$H$2:$H$1031)</f>
        <v/>
      </c>
      <c r="J251" s="5" t="n">
        <v>597</v>
      </c>
      <c r="K251" s="5" t="n">
        <v>48</v>
      </c>
      <c r="L251" s="5" t="n">
        <v>23</v>
      </c>
      <c r="M251" s="5" t="n">
        <v>22</v>
      </c>
      <c r="N251" s="5">
        <f>J251+K251+L251+M251</f>
        <v/>
      </c>
      <c r="O251" s="5">
        <f>IF(ISNUMBER(N251),N251,"")</f>
        <v/>
      </c>
      <c r="P251" s="5">
        <f>_xlfn.RANK.EQ(O251,$O$2:$O$1031)</f>
        <v/>
      </c>
      <c r="Q251" s="9" t="n">
        <v>262.5</v>
      </c>
      <c r="R251" s="9" t="n">
        <v>47</v>
      </c>
      <c r="S251" s="9" t="n">
        <v>24</v>
      </c>
      <c r="T251" s="9" t="n">
        <v>25</v>
      </c>
      <c r="U251" s="9">
        <f>Q251+R251+S251+T251</f>
        <v/>
      </c>
      <c r="V251" s="9">
        <f>IF(ISNUMBER(U251),U251,"")</f>
        <v/>
      </c>
      <c r="W251" s="9">
        <f>_xlfn.RANK.EQ(V251,$V$2:$V$1031)</f>
        <v/>
      </c>
      <c r="X251" s="13" t="n">
        <v>1374.1125</v>
      </c>
      <c r="Y251" s="13" t="n">
        <v>24.5</v>
      </c>
      <c r="Z251" s="13" t="n">
        <v>24</v>
      </c>
      <c r="AA251" s="13" t="n">
        <v>24</v>
      </c>
      <c r="AB251" s="13">
        <f>IF(ISNUMBER(X251),X251+N(Y251)+N(Z251)+N(AA251),X251)</f>
        <v/>
      </c>
      <c r="AC251" s="13">
        <f>IF(ISNUMBER(AB251),AB251,"")</f>
        <v/>
      </c>
      <c r="AD251" s="13">
        <f>IF(ISNUMBER(AC251),_xlfn.RANK.EQ(AC251,$AC$2:$AC$1031),"")</f>
        <v/>
      </c>
      <c r="AE251" s="15">
        <f>IF(ISNUMBER(AF251),AF251/3630,"")</f>
        <v/>
      </c>
      <c r="AF251" s="14">
        <f>IFERROR(C251+D251+E251+F251+J251+K251+L251+M251+Q251+R251+S251+T251+IF(ISNUMBER(X251),X251,0)+N(Y251)+N(Z251)+N(AA251),"")</f>
        <v/>
      </c>
      <c r="AG251" s="14">
        <f>IF(ISNUMBER(AF251),AF251,"")</f>
        <v/>
      </c>
      <c r="AH251" s="14">
        <f>IF(ISNUMBER(AG251),_xlfn.RANK.EQ(AG251,$AG$2:$AG$1031),"")</f>
        <v/>
      </c>
    </row>
    <row r="252">
      <c r="A252" s="18" t="n">
        <v>533</v>
      </c>
      <c r="B252" s="18" t="inlineStr">
        <is>
          <t>حاتم احمد على محمد سويدان</t>
        </is>
      </c>
      <c r="C252" s="1" t="n">
        <v>593.9</v>
      </c>
      <c r="D252" s="1" t="n">
        <v>23</v>
      </c>
      <c r="E252" s="1" t="n">
        <v>25</v>
      </c>
      <c r="F252" s="1" t="n">
        <v>21</v>
      </c>
      <c r="G252" s="1">
        <f>C252+D252+E252+F252</f>
        <v/>
      </c>
      <c r="H252" s="1">
        <f>IF(ISNUMBER(G252),G252,"")</f>
        <v/>
      </c>
      <c r="I252" s="1">
        <f>_xlfn.RANK.EQ(H252,$H$2:$H$1031)</f>
        <v/>
      </c>
      <c r="J252" s="5" t="n">
        <v>562</v>
      </c>
      <c r="K252" s="5" t="n">
        <v>48</v>
      </c>
      <c r="L252" s="5" t="n">
        <v>24</v>
      </c>
      <c r="M252" s="5" t="n">
        <v>18</v>
      </c>
      <c r="N252" s="5">
        <f>J252+K252+L252+M252</f>
        <v/>
      </c>
      <c r="O252" s="5">
        <f>IF(ISNUMBER(N252),N252,"")</f>
        <v/>
      </c>
      <c r="P252" s="5">
        <f>_xlfn.RANK.EQ(O252,$O$2:$O$1031)</f>
        <v/>
      </c>
      <c r="Q252" s="9" t="n">
        <v>251</v>
      </c>
      <c r="R252" s="9" t="n">
        <v>44.5</v>
      </c>
      <c r="S252" s="9" t="n">
        <v>24</v>
      </c>
      <c r="T252" s="9" t="n">
        <v>25</v>
      </c>
      <c r="U252" s="9">
        <f>Q252+R252+S252+T252</f>
        <v/>
      </c>
      <c r="V252" s="9">
        <f>IF(ISNUMBER(U252),U252,"")</f>
        <v/>
      </c>
      <c r="W252" s="9">
        <f>_xlfn.RANK.EQ(V252,$V$2:$V$1031)</f>
        <v/>
      </c>
      <c r="X252" s="13" t="n">
        <v>1348.4833333333</v>
      </c>
      <c r="Y252" s="13" t="n">
        <v>25</v>
      </c>
      <c r="Z252" s="13" t="n">
        <v>25</v>
      </c>
      <c r="AA252" s="13" t="n">
        <v>23</v>
      </c>
      <c r="AB252" s="13">
        <f>IF(ISNUMBER(X252),X252+N(Y252)+N(Z252)+N(AA252),X252)</f>
        <v/>
      </c>
      <c r="AC252" s="13">
        <f>IF(ISNUMBER(AB252),AB252,"")</f>
        <v/>
      </c>
      <c r="AD252" s="13">
        <f>IF(ISNUMBER(AC252),_xlfn.RANK.EQ(AC252,$AC$2:$AC$1031),"")</f>
        <v/>
      </c>
      <c r="AE252" s="15">
        <f>IF(ISNUMBER(AF252),AF252/3630,"")</f>
        <v/>
      </c>
      <c r="AF252" s="14">
        <f>IFERROR(C252+D252+E252+F252+J252+K252+L252+M252+Q252+R252+S252+T252+IF(ISNUMBER(X252),X252,0)+N(Y252)+N(Z252)+N(AA252),"")</f>
        <v/>
      </c>
      <c r="AG252" s="14">
        <f>IF(ISNUMBER(AF252),AF252,"")</f>
        <v/>
      </c>
      <c r="AH252" s="14">
        <f>IF(ISNUMBER(AG252),_xlfn.RANK.EQ(AG252,$AG$2:$AG$1031),"")</f>
        <v/>
      </c>
    </row>
    <row r="253">
      <c r="A253" s="18" t="n">
        <v>535</v>
      </c>
      <c r="B253" s="18" t="inlineStr">
        <is>
          <t>حازم احمد عبد الوهاب احمد  قوطة</t>
        </is>
      </c>
      <c r="C253" s="1" t="n">
        <v>464</v>
      </c>
      <c r="D253" s="1" t="n">
        <v>23</v>
      </c>
      <c r="E253" s="1" t="n">
        <v>23</v>
      </c>
      <c r="F253" s="1" t="n">
        <v>22</v>
      </c>
      <c r="G253" s="1">
        <f>C253+D253+E253+F253</f>
        <v/>
      </c>
      <c r="H253" s="1">
        <f>IF(ISNUMBER(G253),G253,"")</f>
        <v/>
      </c>
      <c r="I253" s="1">
        <f>_xlfn.RANK.EQ(H253,$H$2:$H$1031)</f>
        <v/>
      </c>
      <c r="J253" s="5" t="n">
        <v>504.5</v>
      </c>
      <c r="K253" s="5" t="n">
        <v>42</v>
      </c>
      <c r="L253" s="5" t="n">
        <v>15</v>
      </c>
      <c r="M253" s="5" t="n">
        <v>20</v>
      </c>
      <c r="N253" s="5">
        <f>J253+K253+L253+M253</f>
        <v/>
      </c>
      <c r="O253" s="5">
        <f>IF(ISNUMBER(N253),N253,"")</f>
        <v/>
      </c>
      <c r="P253" s="5">
        <f>_xlfn.RANK.EQ(O253,$O$2:$O$1031)</f>
        <v/>
      </c>
      <c r="Q253" s="9" t="n">
        <v>208.5</v>
      </c>
      <c r="R253" s="9" t="n">
        <v>43</v>
      </c>
      <c r="S253" s="9" t="n">
        <v>21</v>
      </c>
      <c r="T253" s="9" t="n">
        <v>24</v>
      </c>
      <c r="U253" s="9">
        <f>Q253+R253+S253+T253</f>
        <v/>
      </c>
      <c r="V253" s="9">
        <f>IF(ISNUMBER(U253),U253,"")</f>
        <v/>
      </c>
      <c r="W253" s="9">
        <f>_xlfn.RANK.EQ(V253,$V$2:$V$1031)</f>
        <v/>
      </c>
      <c r="X253" s="13" t="n">
        <v>1201.6041666667</v>
      </c>
      <c r="Y253" s="13" t="n">
        <v>24.5</v>
      </c>
      <c r="Z253" s="13" t="n">
        <v>24</v>
      </c>
      <c r="AA253" s="13" t="n">
        <v>17</v>
      </c>
      <c r="AB253" s="13">
        <f>IF(ISNUMBER(X253),X253+N(Y253)+N(Z253)+N(AA253),X253)</f>
        <v/>
      </c>
      <c r="AC253" s="13">
        <f>IF(ISNUMBER(AB253),AB253,"")</f>
        <v/>
      </c>
      <c r="AD253" s="13">
        <f>IF(ISNUMBER(AC253),_xlfn.RANK.EQ(AC253,$AC$2:$AC$1031),"")</f>
        <v/>
      </c>
      <c r="AE253" s="15">
        <f>IF(ISNUMBER(AF253),AF253/3630,"")</f>
        <v/>
      </c>
      <c r="AF253" s="14">
        <f>IFERROR(C253+D253+E253+F253+J253+K253+L253+M253+Q253+R253+S253+T253+IF(ISNUMBER(X253),X253,0)+N(Y253)+N(Z253)+N(AA253),"")</f>
        <v/>
      </c>
      <c r="AG253" s="14">
        <f>IF(ISNUMBER(AF253),AF253,"")</f>
        <v/>
      </c>
      <c r="AH253" s="14">
        <f>IF(ISNUMBER(AG253),_xlfn.RANK.EQ(AG253,$AG$2:$AG$1031),"")</f>
        <v/>
      </c>
    </row>
    <row r="254">
      <c r="A254" s="18" t="n">
        <v>536</v>
      </c>
      <c r="B254" s="18" t="inlineStr">
        <is>
          <t>حازم احمد محمد الصادق جمعه</t>
        </is>
      </c>
      <c r="C254" s="1" t="n">
        <v>627.3</v>
      </c>
      <c r="D254" s="1" t="n">
        <v>25</v>
      </c>
      <c r="E254" s="1" t="n">
        <v>25</v>
      </c>
      <c r="F254" s="1" t="n">
        <v>24</v>
      </c>
      <c r="G254" s="1">
        <f>C254+D254+E254+F254</f>
        <v/>
      </c>
      <c r="H254" s="1">
        <f>IF(ISNUMBER(G254),G254,"")</f>
        <v/>
      </c>
      <c r="I254" s="1">
        <f>_xlfn.RANK.EQ(H254,$H$2:$H$1031)</f>
        <v/>
      </c>
      <c r="J254" s="5" t="n">
        <v>601</v>
      </c>
      <c r="K254" s="5" t="n">
        <v>47</v>
      </c>
      <c r="L254" s="5" t="n">
        <v>23</v>
      </c>
      <c r="M254" s="5" t="n">
        <v>23</v>
      </c>
      <c r="N254" s="5">
        <f>J254+K254+L254+M254</f>
        <v/>
      </c>
      <c r="O254" s="5">
        <f>IF(ISNUMBER(N254),N254,"")</f>
        <v/>
      </c>
      <c r="P254" s="5">
        <f>_xlfn.RANK.EQ(O254,$O$2:$O$1031)</f>
        <v/>
      </c>
      <c r="Q254" s="9" t="n">
        <v>252</v>
      </c>
      <c r="R254" s="9" t="n">
        <v>46.5</v>
      </c>
      <c r="S254" s="9" t="n">
        <v>24</v>
      </c>
      <c r="T254" s="9" t="n">
        <v>25</v>
      </c>
      <c r="U254" s="9">
        <f>Q254+R254+S254+T254</f>
        <v/>
      </c>
      <c r="V254" s="9">
        <f>IF(ISNUMBER(U254),U254,"")</f>
        <v/>
      </c>
      <c r="W254" s="9">
        <f>_xlfn.RANK.EQ(V254,$V$2:$V$1031)</f>
        <v/>
      </c>
      <c r="X254" s="13" t="n">
        <v>1357.1125</v>
      </c>
      <c r="Y254" s="13" t="n">
        <v>25</v>
      </c>
      <c r="Z254" s="13" t="n">
        <v>24</v>
      </c>
      <c r="AA254" s="13" t="n">
        <v>25</v>
      </c>
      <c r="AB254" s="13">
        <f>IF(ISNUMBER(X254),X254+N(Y254)+N(Z254)+N(AA254),X254)</f>
        <v/>
      </c>
      <c r="AC254" s="13">
        <f>IF(ISNUMBER(AB254),AB254,"")</f>
        <v/>
      </c>
      <c r="AD254" s="13">
        <f>IF(ISNUMBER(AC254),_xlfn.RANK.EQ(AC254,$AC$2:$AC$1031),"")</f>
        <v/>
      </c>
      <c r="AE254" s="15">
        <f>IF(ISNUMBER(AF254),AF254/3630,"")</f>
        <v/>
      </c>
      <c r="AF254" s="14">
        <f>IFERROR(C254+D254+E254+F254+J254+K254+L254+M254+Q254+R254+S254+T254+IF(ISNUMBER(X254),X254,0)+N(Y254)+N(Z254)+N(AA254),"")</f>
        <v/>
      </c>
      <c r="AG254" s="14">
        <f>IF(ISNUMBER(AF254),AF254,"")</f>
        <v/>
      </c>
      <c r="AH254" s="14">
        <f>IF(ISNUMBER(AG254),_xlfn.RANK.EQ(AG254,$AG$2:$AG$1031),"")</f>
        <v/>
      </c>
    </row>
    <row r="255">
      <c r="A255" s="18" t="n">
        <v>538</v>
      </c>
      <c r="B255" s="18" t="inlineStr">
        <is>
          <t>حازم خميس عبدالجواد سيد عطوان</t>
        </is>
      </c>
      <c r="C255" s="1" t="n">
        <v>616.9</v>
      </c>
      <c r="D255" s="1" t="n">
        <v>25</v>
      </c>
      <c r="E255" s="1" t="n">
        <v>25</v>
      </c>
      <c r="F255" s="1" t="n">
        <v>22</v>
      </c>
      <c r="G255" s="1">
        <f>C255+D255+E255+F255</f>
        <v/>
      </c>
      <c r="H255" s="1">
        <f>IF(ISNUMBER(G255),G255,"")</f>
        <v/>
      </c>
      <c r="I255" s="1">
        <f>_xlfn.RANK.EQ(H255,$H$2:$H$1031)</f>
        <v/>
      </c>
      <c r="J255" s="5" t="n">
        <v>616</v>
      </c>
      <c r="K255" s="5" t="n">
        <v>48</v>
      </c>
      <c r="L255" s="5" t="n">
        <v>22</v>
      </c>
      <c r="M255" s="5" t="n">
        <v>22</v>
      </c>
      <c r="N255" s="5">
        <f>J255+K255+L255+M255</f>
        <v/>
      </c>
      <c r="O255" s="5">
        <f>IF(ISNUMBER(N255),N255,"")</f>
        <v/>
      </c>
      <c r="P255" s="5">
        <f>_xlfn.RANK.EQ(O255,$O$2:$O$1031)</f>
        <v/>
      </c>
      <c r="Q255" s="9" t="n">
        <v>258</v>
      </c>
      <c r="R255" s="9" t="n">
        <v>47</v>
      </c>
      <c r="S255" s="9" t="n">
        <v>22</v>
      </c>
      <c r="T255" s="9" t="n">
        <v>25</v>
      </c>
      <c r="U255" s="9">
        <f>Q255+R255+S255+T255</f>
        <v/>
      </c>
      <c r="V255" s="9">
        <f>IF(ISNUMBER(U255),U255,"")</f>
        <v/>
      </c>
      <c r="W255" s="9">
        <f>_xlfn.RANK.EQ(V255,$V$2:$V$1031)</f>
        <v/>
      </c>
      <c r="X255" s="13" t="n">
        <v>1409.1833333333</v>
      </c>
      <c r="Y255" s="13" t="n">
        <v>25</v>
      </c>
      <c r="Z255" s="13" t="n">
        <v>23</v>
      </c>
      <c r="AA255" s="13" t="n">
        <v>20</v>
      </c>
      <c r="AB255" s="13">
        <f>IF(ISNUMBER(X255),X255+N(Y255)+N(Z255)+N(AA255),X255)</f>
        <v/>
      </c>
      <c r="AC255" s="13">
        <f>IF(ISNUMBER(AB255),AB255,"")</f>
        <v/>
      </c>
      <c r="AD255" s="13">
        <f>IF(ISNUMBER(AC255),_xlfn.RANK.EQ(AC255,$AC$2:$AC$1031),"")</f>
        <v/>
      </c>
      <c r="AE255" s="15">
        <f>IF(ISNUMBER(AF255),AF255/3630,"")</f>
        <v/>
      </c>
      <c r="AF255" s="14">
        <f>IFERROR(C255+D255+E255+F255+J255+K255+L255+M255+Q255+R255+S255+T255+IF(ISNUMBER(X255),X255,0)+N(Y255)+N(Z255)+N(AA255),"")</f>
        <v/>
      </c>
      <c r="AG255" s="14">
        <f>IF(ISNUMBER(AF255),AF255,"")</f>
        <v/>
      </c>
      <c r="AH255" s="14">
        <f>IF(ISNUMBER(AG255),_xlfn.RANK.EQ(AG255,$AG$2:$AG$1031),"")</f>
        <v/>
      </c>
    </row>
    <row r="256">
      <c r="A256" s="18" t="n">
        <v>540</v>
      </c>
      <c r="B256" s="18" t="inlineStr">
        <is>
          <t>حازم علاء السيد السيد</t>
        </is>
      </c>
      <c r="C256" s="1" t="n">
        <v>435</v>
      </c>
      <c r="D256" s="1" t="n">
        <v>23</v>
      </c>
      <c r="E256" s="1" t="n">
        <v>25</v>
      </c>
      <c r="F256" s="1" t="n">
        <v>24</v>
      </c>
      <c r="G256" s="1">
        <f>C256+D256+E256+F256</f>
        <v/>
      </c>
      <c r="H256" s="1">
        <f>IF(ISNUMBER(G256),G256,"")</f>
        <v/>
      </c>
      <c r="I256" s="1">
        <f>_xlfn.RANK.EQ(H256,$H$2:$H$1031)</f>
        <v/>
      </c>
      <c r="J256" s="5" t="n">
        <v>414.5</v>
      </c>
      <c r="K256" s="5" t="n">
        <v>44</v>
      </c>
      <c r="L256" s="5" t="n">
        <v>17</v>
      </c>
      <c r="M256" s="5" t="n">
        <v>17</v>
      </c>
      <c r="N256" s="5">
        <f>J256+K256+L256+M256</f>
        <v/>
      </c>
      <c r="O256" s="5">
        <f>IF(ISNUMBER(N256),N256,"")</f>
        <v/>
      </c>
      <c r="P256" s="5">
        <f>_xlfn.RANK.EQ(O256,$O$2:$O$1031)</f>
        <v/>
      </c>
      <c r="Q256" s="9" t="n">
        <v>150</v>
      </c>
      <c r="R256" s="9" t="n">
        <v>36</v>
      </c>
      <c r="S256" s="9" t="n">
        <v>24</v>
      </c>
      <c r="T256" s="9" t="n">
        <v>23.5</v>
      </c>
      <c r="U256" s="9">
        <f>Q256+R256+S256+T256</f>
        <v/>
      </c>
      <c r="V256" s="9">
        <f>IF(ISNUMBER(U256),U256,"")</f>
        <v/>
      </c>
      <c r="W256" s="9">
        <f>_xlfn.RANK.EQ(V256,$V$2:$V$1031)</f>
        <v/>
      </c>
      <c r="X256" s="13" t="inlineStr">
        <is>
          <t>راسب</t>
        </is>
      </c>
      <c r="Y256" s="13" t="n">
        <v>24</v>
      </c>
      <c r="Z256" s="13" t="n">
        <v>24</v>
      </c>
      <c r="AA256" s="13" t="n">
        <v>16</v>
      </c>
      <c r="AB256" s="13">
        <f>IF(ISNUMBER(X256),X256+N(Y256)+N(Z256)+N(AA256),X256)</f>
        <v/>
      </c>
      <c r="AC256" s="13">
        <f>IF(ISNUMBER(AB256),AB256,"")</f>
        <v/>
      </c>
      <c r="AD256" s="13">
        <f>IF(ISNUMBER(AC256),_xlfn.RANK.EQ(AC256,$AC$2:$AC$1031),"")</f>
        <v/>
      </c>
      <c r="AE256" s="15">
        <f>IF(ISNUMBER(AF256),AF256/3630,"")</f>
        <v/>
      </c>
      <c r="AF256" s="14">
        <f>IFERROR(C256+D256+E256+F256+J256+K256+L256+M256+Q256+R256+S256+T256+IF(ISNUMBER(X256),X256,0)+N(Y256)+N(Z256)+N(AA256),"")</f>
        <v/>
      </c>
      <c r="AG256" s="14">
        <f>IF(ISNUMBER(AF256),AF256,"")</f>
        <v/>
      </c>
      <c r="AH256" s="14">
        <f>IF(ISNUMBER(AG256),_xlfn.RANK.EQ(AG256,$AG$2:$AG$1031),"")</f>
        <v/>
      </c>
    </row>
    <row r="257">
      <c r="A257" s="18" t="n">
        <v>541</v>
      </c>
      <c r="B257" s="18" t="inlineStr">
        <is>
          <t>حازم على السيد هاشم</t>
        </is>
      </c>
      <c r="C257" s="1" t="n">
        <v>579.6</v>
      </c>
      <c r="D257" s="1" t="n"/>
      <c r="E257" s="1" t="n">
        <v>22</v>
      </c>
      <c r="F257" s="1" t="n">
        <v>19</v>
      </c>
      <c r="G257" s="1">
        <f>C257+D257+E257+F257</f>
        <v/>
      </c>
      <c r="H257" s="1">
        <f>IF(ISNUMBER(G257),G257,"")</f>
        <v/>
      </c>
      <c r="I257" s="1">
        <f>_xlfn.RANK.EQ(H257,$H$2:$H$1031)</f>
        <v/>
      </c>
      <c r="J257" s="5" t="n">
        <v>569</v>
      </c>
      <c r="K257" s="5" t="n">
        <v>41</v>
      </c>
      <c r="L257" s="5" t="n">
        <v>18</v>
      </c>
      <c r="M257" s="5" t="n">
        <v>21</v>
      </c>
      <c r="N257" s="5">
        <f>J257+K257+L257+M257</f>
        <v/>
      </c>
      <c r="O257" s="5">
        <f>IF(ISNUMBER(N257),N257,"")</f>
        <v/>
      </c>
      <c r="P257" s="5">
        <f>_xlfn.RANK.EQ(O257,$O$2:$O$1031)</f>
        <v/>
      </c>
      <c r="Q257" s="9" t="n">
        <v>240</v>
      </c>
      <c r="R257" s="9" t="n">
        <v>40</v>
      </c>
      <c r="S257" s="9" t="n">
        <v>21</v>
      </c>
      <c r="T257" s="9" t="n">
        <v>25</v>
      </c>
      <c r="U257" s="9">
        <f>Q257+R257+S257+T257</f>
        <v/>
      </c>
      <c r="V257" s="9">
        <f>IF(ISNUMBER(U257),U257,"")</f>
        <v/>
      </c>
      <c r="W257" s="9">
        <f>_xlfn.RANK.EQ(V257,$V$2:$V$1031)</f>
        <v/>
      </c>
      <c r="X257" s="13" t="n">
        <v>1384.5458333333</v>
      </c>
      <c r="Y257" s="13" t="n">
        <v>25</v>
      </c>
      <c r="Z257" s="13" t="n">
        <v>25</v>
      </c>
      <c r="AA257" s="13" t="n">
        <v>22</v>
      </c>
      <c r="AB257" s="13">
        <f>IF(ISNUMBER(X257),X257+N(Y257)+N(Z257)+N(AA257),X257)</f>
        <v/>
      </c>
      <c r="AC257" s="13">
        <f>IF(ISNUMBER(AB257),AB257,"")</f>
        <v/>
      </c>
      <c r="AD257" s="13">
        <f>IF(ISNUMBER(AC257),_xlfn.RANK.EQ(AC257,$AC$2:$AC$1031),"")</f>
        <v/>
      </c>
      <c r="AE257" s="15">
        <f>IF(ISNUMBER(AF257),AF257/3630,"")</f>
        <v/>
      </c>
      <c r="AF257" s="14">
        <f>IFERROR(C257+D257+E257+F257+J257+K257+L257+M257+Q257+R257+S257+T257+IF(ISNUMBER(X257),X257,0)+N(Y257)+N(Z257)+N(AA257),"")</f>
        <v/>
      </c>
      <c r="AG257" s="14">
        <f>IF(ISNUMBER(AF257),AF257,"")</f>
        <v/>
      </c>
      <c r="AH257" s="14">
        <f>IF(ISNUMBER(AG257),_xlfn.RANK.EQ(AG257,$AG$2:$AG$1031),"")</f>
        <v/>
      </c>
    </row>
    <row r="258">
      <c r="A258" s="18" t="n">
        <v>544</v>
      </c>
      <c r="B258" s="18" t="inlineStr">
        <is>
          <t>حبيبه ابراهيم زكي ابراهيم</t>
        </is>
      </c>
      <c r="C258" s="1" t="n">
        <v>584.8</v>
      </c>
      <c r="D258" s="1" t="n">
        <v>24</v>
      </c>
      <c r="E258" s="1" t="n">
        <v>25</v>
      </c>
      <c r="F258" s="1" t="n">
        <v>24</v>
      </c>
      <c r="G258" s="1">
        <f>C258+D258+E258+F258</f>
        <v/>
      </c>
      <c r="H258" s="1">
        <f>IF(ISNUMBER(G258),G258,"")</f>
        <v/>
      </c>
      <c r="I258" s="1">
        <f>_xlfn.RANK.EQ(H258,$H$2:$H$1031)</f>
        <v/>
      </c>
      <c r="J258" s="5" t="n">
        <v>591.85</v>
      </c>
      <c r="K258" s="5" t="n">
        <v>45</v>
      </c>
      <c r="L258" s="5" t="n">
        <v>21</v>
      </c>
      <c r="M258" s="5" t="n">
        <v>25</v>
      </c>
      <c r="N258" s="5">
        <f>J258+K258+L258+M258</f>
        <v/>
      </c>
      <c r="O258" s="5">
        <f>IF(ISNUMBER(N258),N258,"")</f>
        <v/>
      </c>
      <c r="P258" s="5">
        <f>_xlfn.RANK.EQ(O258,$O$2:$O$1031)</f>
        <v/>
      </c>
      <c r="Q258" s="9" t="n">
        <v>278</v>
      </c>
      <c r="R258" s="9" t="n">
        <v>48</v>
      </c>
      <c r="S258" s="9" t="n">
        <v>25</v>
      </c>
      <c r="T258" s="9" t="n">
        <v>25</v>
      </c>
      <c r="U258" s="9">
        <f>Q258+R258+S258+T258</f>
        <v/>
      </c>
      <c r="V258" s="9">
        <f>IF(ISNUMBER(U258),U258,"")</f>
        <v/>
      </c>
      <c r="W258" s="9">
        <f>_xlfn.RANK.EQ(V258,$V$2:$V$1031)</f>
        <v/>
      </c>
      <c r="X258" s="13" t="n">
        <v>1501.4</v>
      </c>
      <c r="Y258" s="13" t="n">
        <v>24.5</v>
      </c>
      <c r="Z258" s="13" t="n">
        <v>24</v>
      </c>
      <c r="AA258" s="13" t="n">
        <v>24</v>
      </c>
      <c r="AB258" s="13">
        <f>IF(ISNUMBER(X258),X258+N(Y258)+N(Z258)+N(AA258),X258)</f>
        <v/>
      </c>
      <c r="AC258" s="13">
        <f>IF(ISNUMBER(AB258),AB258,"")</f>
        <v/>
      </c>
      <c r="AD258" s="13">
        <f>IF(ISNUMBER(AC258),_xlfn.RANK.EQ(AC258,$AC$2:$AC$1031),"")</f>
        <v/>
      </c>
      <c r="AE258" s="15">
        <f>IF(ISNUMBER(AF258),AF258/3630,"")</f>
        <v/>
      </c>
      <c r="AF258" s="14">
        <f>IFERROR(C258+D258+E258+F258+J258+K258+L258+M258+Q258+R258+S258+T258+IF(ISNUMBER(X258),X258,0)+N(Y258)+N(Z258)+N(AA258),"")</f>
        <v/>
      </c>
      <c r="AG258" s="14">
        <f>IF(ISNUMBER(AF258),AF258,"")</f>
        <v/>
      </c>
      <c r="AH258" s="14">
        <f>IF(ISNUMBER(AG258),_xlfn.RANK.EQ(AG258,$AG$2:$AG$1031),"")</f>
        <v/>
      </c>
    </row>
    <row r="259">
      <c r="A259" s="18" t="n">
        <v>545</v>
      </c>
      <c r="B259" s="18" t="inlineStr">
        <is>
          <t>حبيبه احمد فتحي عبدالباقي  القريعي</t>
        </is>
      </c>
      <c r="C259" s="1" t="n">
        <v>630.7</v>
      </c>
      <c r="D259" s="1" t="n">
        <v>22</v>
      </c>
      <c r="E259" s="1" t="n">
        <v>25</v>
      </c>
      <c r="F259" s="1" t="n">
        <v>23</v>
      </c>
      <c r="G259" s="1">
        <f>C259+D259+E259+F259</f>
        <v/>
      </c>
      <c r="H259" s="1">
        <f>IF(ISNUMBER(G259),G259,"")</f>
        <v/>
      </c>
      <c r="I259" s="1">
        <f>_xlfn.RANK.EQ(H259,$H$2:$H$1031)</f>
        <v/>
      </c>
      <c r="J259" s="5" t="n">
        <v>630.85</v>
      </c>
      <c r="K259" s="5" t="n">
        <v>48</v>
      </c>
      <c r="L259" s="5" t="n">
        <v>20</v>
      </c>
      <c r="M259" s="5" t="n">
        <v>24</v>
      </c>
      <c r="N259" s="5">
        <f>J259+K259+L259+M259</f>
        <v/>
      </c>
      <c r="O259" s="5">
        <f>IF(ISNUMBER(N259),N259,"")</f>
        <v/>
      </c>
      <c r="P259" s="5">
        <f>_xlfn.RANK.EQ(O259,$O$2:$O$1031)</f>
        <v/>
      </c>
      <c r="Q259" s="9" t="n">
        <v>276</v>
      </c>
      <c r="R259" s="9" t="n">
        <v>45.5</v>
      </c>
      <c r="S259" s="9" t="n">
        <v>24</v>
      </c>
      <c r="T259" s="9" t="n">
        <v>25</v>
      </c>
      <c r="U259" s="9">
        <f>Q259+R259+S259+T259</f>
        <v/>
      </c>
      <c r="V259" s="9">
        <f>IF(ISNUMBER(U259),U259,"")</f>
        <v/>
      </c>
      <c r="W259" s="9">
        <f>_xlfn.RANK.EQ(V259,$V$2:$V$1031)</f>
        <v/>
      </c>
      <c r="X259" s="13" t="n">
        <v>1461.925</v>
      </c>
      <c r="Y259" s="13" t="n">
        <v>24</v>
      </c>
      <c r="Z259" s="13" t="n">
        <v>24</v>
      </c>
      <c r="AA259" s="13" t="n">
        <v>21</v>
      </c>
      <c r="AB259" s="13">
        <f>IF(ISNUMBER(X259),X259+N(Y259)+N(Z259)+N(AA259),X259)</f>
        <v/>
      </c>
      <c r="AC259" s="13">
        <f>IF(ISNUMBER(AB259),AB259,"")</f>
        <v/>
      </c>
      <c r="AD259" s="13">
        <f>IF(ISNUMBER(AC259),_xlfn.RANK.EQ(AC259,$AC$2:$AC$1031),"")</f>
        <v/>
      </c>
      <c r="AE259" s="15">
        <f>IF(ISNUMBER(AF259),AF259/3630,"")</f>
        <v/>
      </c>
      <c r="AF259" s="14">
        <f>IFERROR(C259+D259+E259+F259+J259+K259+L259+M259+Q259+R259+S259+T259+IF(ISNUMBER(X259),X259,0)+N(Y259)+N(Z259)+N(AA259),"")</f>
        <v/>
      </c>
      <c r="AG259" s="14">
        <f>IF(ISNUMBER(AF259),AF259,"")</f>
        <v/>
      </c>
      <c r="AH259" s="14">
        <f>IF(ISNUMBER(AG259),_xlfn.RANK.EQ(AG259,$AG$2:$AG$1031),"")</f>
        <v/>
      </c>
    </row>
    <row r="260">
      <c r="A260" s="18" t="n">
        <v>546</v>
      </c>
      <c r="B260" s="18" t="inlineStr">
        <is>
          <t>حبيبه السيد مشحوت مبروك حسين</t>
        </is>
      </c>
      <c r="C260" s="1" t="n">
        <v>643.2</v>
      </c>
      <c r="D260" s="1" t="n">
        <v>25</v>
      </c>
      <c r="E260" s="1" t="n">
        <v>25</v>
      </c>
      <c r="F260" s="1" t="n">
        <v>23</v>
      </c>
      <c r="G260" s="1">
        <f>C260+D260+E260+F260</f>
        <v/>
      </c>
      <c r="H260" s="1">
        <f>IF(ISNUMBER(G260),G260,"")</f>
        <v/>
      </c>
      <c r="I260" s="1">
        <f>_xlfn.RANK.EQ(H260,$H$2:$H$1031)</f>
        <v/>
      </c>
      <c r="J260" s="5" t="n">
        <v>623</v>
      </c>
      <c r="K260" s="5" t="n">
        <v>47</v>
      </c>
      <c r="L260" s="5" t="n">
        <v>22</v>
      </c>
      <c r="M260" s="5" t="n">
        <v>25</v>
      </c>
      <c r="N260" s="5">
        <f>J260+K260+L260+M260</f>
        <v/>
      </c>
      <c r="O260" s="5">
        <f>IF(ISNUMBER(N260),N260,"")</f>
        <v/>
      </c>
      <c r="P260" s="5">
        <f>_xlfn.RANK.EQ(O260,$O$2:$O$1031)</f>
        <v/>
      </c>
      <c r="Q260" s="9" t="n">
        <v>271</v>
      </c>
      <c r="R260" s="9" t="n">
        <v>47.5</v>
      </c>
      <c r="S260" s="9" t="n">
        <v>24</v>
      </c>
      <c r="T260" s="9" t="n">
        <v>24</v>
      </c>
      <c r="U260" s="9">
        <f>Q260+R260+S260+T260</f>
        <v/>
      </c>
      <c r="V260" s="9">
        <f>IF(ISNUMBER(U260),U260,"")</f>
        <v/>
      </c>
      <c r="W260" s="9">
        <f>_xlfn.RANK.EQ(V260,$V$2:$V$1031)</f>
        <v/>
      </c>
      <c r="X260" s="13" t="n">
        <v>1563.875</v>
      </c>
      <c r="Y260" s="13" t="n">
        <v>25</v>
      </c>
      <c r="Z260" s="13" t="n">
        <v>23</v>
      </c>
      <c r="AA260" s="13" t="n">
        <v>24</v>
      </c>
      <c r="AB260" s="13">
        <f>IF(ISNUMBER(X260),X260+N(Y260)+N(Z260)+N(AA260),X260)</f>
        <v/>
      </c>
      <c r="AC260" s="13">
        <f>IF(ISNUMBER(AB260),AB260,"")</f>
        <v/>
      </c>
      <c r="AD260" s="13">
        <f>IF(ISNUMBER(AC260),_xlfn.RANK.EQ(AC260,$AC$2:$AC$1031),"")</f>
        <v/>
      </c>
      <c r="AE260" s="15">
        <f>IF(ISNUMBER(AF260),AF260/3630,"")</f>
        <v/>
      </c>
      <c r="AF260" s="14">
        <f>IFERROR(C260+D260+E260+F260+J260+K260+L260+M260+Q260+R260+S260+T260+IF(ISNUMBER(X260),X260,0)+N(Y260)+N(Z260)+N(AA260),"")</f>
        <v/>
      </c>
      <c r="AG260" s="14">
        <f>IF(ISNUMBER(AF260),AF260,"")</f>
        <v/>
      </c>
      <c r="AH260" s="14">
        <f>IF(ISNUMBER(AG260),_xlfn.RANK.EQ(AG260,$AG$2:$AG$1031),"")</f>
        <v/>
      </c>
    </row>
    <row r="261">
      <c r="A261" s="18" t="n">
        <v>547</v>
      </c>
      <c r="B261" s="18" t="inlineStr">
        <is>
          <t>حبيبه ايهاب محمد البرقوقي</t>
        </is>
      </c>
      <c r="C261" s="1" t="n">
        <v>415</v>
      </c>
      <c r="D261" s="1" t="n"/>
      <c r="E261" s="1" t="n">
        <v>20</v>
      </c>
      <c r="F261" s="1" t="n">
        <v>18</v>
      </c>
      <c r="G261" s="1">
        <f>C261+D261+E261+F261</f>
        <v/>
      </c>
      <c r="H261" s="1">
        <f>IF(ISNUMBER(G261),G261,"")</f>
        <v/>
      </c>
      <c r="I261" s="1">
        <f>_xlfn.RANK.EQ(H261,$H$2:$H$1031)</f>
        <v/>
      </c>
      <c r="J261" s="5" t="n">
        <v>468.7</v>
      </c>
      <c r="K261" s="5" t="n">
        <v>35</v>
      </c>
      <c r="L261" s="5" t="n">
        <v>18</v>
      </c>
      <c r="M261" s="5" t="n">
        <v>15</v>
      </c>
      <c r="N261" s="5">
        <f>J261+K261+L261+M261</f>
        <v/>
      </c>
      <c r="O261" s="5">
        <f>IF(ISNUMBER(N261),N261,"")</f>
        <v/>
      </c>
      <c r="P261" s="5">
        <f>_xlfn.RANK.EQ(O261,$O$2:$O$1031)</f>
        <v/>
      </c>
      <c r="Q261" s="9" t="n">
        <v>213</v>
      </c>
      <c r="R261" s="9" t="n">
        <v>35.5</v>
      </c>
      <c r="S261" s="9" t="n">
        <v>21</v>
      </c>
      <c r="T261" s="9" t="n">
        <v>21</v>
      </c>
      <c r="U261" s="9">
        <f>Q261+R261+S261+T261</f>
        <v/>
      </c>
      <c r="V261" s="9">
        <f>IF(ISNUMBER(U261),U261,"")</f>
        <v/>
      </c>
      <c r="W261" s="9">
        <f>_xlfn.RANK.EQ(V261,$V$2:$V$1031)</f>
        <v/>
      </c>
      <c r="X261" s="13" t="inlineStr">
        <is>
          <t>راسب</t>
        </is>
      </c>
      <c r="Y261" s="13" t="n">
        <v>22</v>
      </c>
      <c r="Z261" s="13" t="n">
        <v>20</v>
      </c>
      <c r="AA261" s="13" t="n">
        <v>23</v>
      </c>
      <c r="AB261" s="13">
        <f>IF(ISNUMBER(X261),X261+N(Y261)+N(Z261)+N(AA261),X261)</f>
        <v/>
      </c>
      <c r="AC261" s="13">
        <f>IF(ISNUMBER(AB261),AB261,"")</f>
        <v/>
      </c>
      <c r="AD261" s="13">
        <f>IF(ISNUMBER(AC261),_xlfn.RANK.EQ(AC261,$AC$2:$AC$1031),"")</f>
        <v/>
      </c>
      <c r="AE261" s="15">
        <f>IF(ISNUMBER(AF261),AF261/3630,"")</f>
        <v/>
      </c>
      <c r="AF261" s="14">
        <f>IFERROR(C261+D261+E261+F261+J261+K261+L261+M261+Q261+R261+S261+T261+IF(ISNUMBER(X261),X261,0)+N(Y261)+N(Z261)+N(AA261),"")</f>
        <v/>
      </c>
      <c r="AG261" s="14">
        <f>IF(ISNUMBER(AF261),AF261,"")</f>
        <v/>
      </c>
      <c r="AH261" s="14">
        <f>IF(ISNUMBER(AG261),_xlfn.RANK.EQ(AG261,$AG$2:$AG$1031),"")</f>
        <v/>
      </c>
    </row>
    <row r="262">
      <c r="A262" s="18" t="n">
        <v>548</v>
      </c>
      <c r="B262" s="18" t="inlineStr">
        <is>
          <t>حبيبه جمال عبدالستار عبد الرحمن عبد الغفار</t>
        </is>
      </c>
      <c r="C262" s="1" t="n">
        <v>588.7</v>
      </c>
      <c r="D262" s="1" t="n">
        <v>25</v>
      </c>
      <c r="E262" s="1" t="n">
        <v>23</v>
      </c>
      <c r="F262" s="1" t="n">
        <v>24</v>
      </c>
      <c r="G262" s="1">
        <f>C262+D262+E262+F262</f>
        <v/>
      </c>
      <c r="H262" s="1">
        <f>IF(ISNUMBER(G262),G262,"")</f>
        <v/>
      </c>
      <c r="I262" s="1">
        <f>_xlfn.RANK.EQ(H262,$H$2:$H$1031)</f>
        <v/>
      </c>
      <c r="J262" s="5" t="n">
        <v>523</v>
      </c>
      <c r="K262" s="5" t="n">
        <v>44</v>
      </c>
      <c r="L262" s="5" t="n">
        <v>21</v>
      </c>
      <c r="M262" s="5" t="n">
        <v>25</v>
      </c>
      <c r="N262" s="5">
        <f>J262+K262+L262+M262</f>
        <v/>
      </c>
      <c r="O262" s="5">
        <f>IF(ISNUMBER(N262),N262,"")</f>
        <v/>
      </c>
      <c r="P262" s="5">
        <f>_xlfn.RANK.EQ(O262,$O$2:$O$1031)</f>
        <v/>
      </c>
      <c r="Q262" s="9" t="n">
        <v>228</v>
      </c>
      <c r="R262" s="9" t="n">
        <v>44.5</v>
      </c>
      <c r="S262" s="9" t="n">
        <v>24</v>
      </c>
      <c r="T262" s="9" t="n">
        <v>25</v>
      </c>
      <c r="U262" s="9">
        <f>Q262+R262+S262+T262</f>
        <v/>
      </c>
      <c r="V262" s="9">
        <f>IF(ISNUMBER(U262),U262,"")</f>
        <v/>
      </c>
      <c r="W262" s="9">
        <f>_xlfn.RANK.EQ(V262,$V$2:$V$1031)</f>
        <v/>
      </c>
      <c r="X262" s="13" t="n">
        <v>1444.9916666667</v>
      </c>
      <c r="Y262" s="13" t="n">
        <v>25</v>
      </c>
      <c r="Z262" s="13" t="n">
        <v>24</v>
      </c>
      <c r="AA262" s="13" t="n">
        <v>25</v>
      </c>
      <c r="AB262" s="13">
        <f>IF(ISNUMBER(X262),X262+N(Y262)+N(Z262)+N(AA262),X262)</f>
        <v/>
      </c>
      <c r="AC262" s="13">
        <f>IF(ISNUMBER(AB262),AB262,"")</f>
        <v/>
      </c>
      <c r="AD262" s="13">
        <f>IF(ISNUMBER(AC262),_xlfn.RANK.EQ(AC262,$AC$2:$AC$1031),"")</f>
        <v/>
      </c>
      <c r="AE262" s="15">
        <f>IF(ISNUMBER(AF262),AF262/3630,"")</f>
        <v/>
      </c>
      <c r="AF262" s="14">
        <f>IFERROR(C262+D262+E262+F262+J262+K262+L262+M262+Q262+R262+S262+T262+IF(ISNUMBER(X262),X262,0)+N(Y262)+N(Z262)+N(AA262),"")</f>
        <v/>
      </c>
      <c r="AG262" s="14">
        <f>IF(ISNUMBER(AF262),AF262,"")</f>
        <v/>
      </c>
      <c r="AH262" s="14">
        <f>IF(ISNUMBER(AG262),_xlfn.RANK.EQ(AG262,$AG$2:$AG$1031),"")</f>
        <v/>
      </c>
    </row>
    <row r="263">
      <c r="A263" s="18" t="n">
        <v>549</v>
      </c>
      <c r="B263" s="18" t="inlineStr">
        <is>
          <t>حبيبه حسن محمد حسن  رزق</t>
        </is>
      </c>
      <c r="C263" s="1" t="n">
        <v>497.4</v>
      </c>
      <c r="D263" s="1" t="n">
        <v>21</v>
      </c>
      <c r="E263" s="1" t="n">
        <v>19</v>
      </c>
      <c r="F263" s="1" t="n">
        <v>18</v>
      </c>
      <c r="G263" s="1">
        <f>C263+D263+E263+F263</f>
        <v/>
      </c>
      <c r="H263" s="1">
        <f>IF(ISNUMBER(G263),G263,"")</f>
        <v/>
      </c>
      <c r="I263" s="1">
        <f>_xlfn.RANK.EQ(H263,$H$2:$H$1031)</f>
        <v/>
      </c>
      <c r="J263" s="5" t="n">
        <v>485.35</v>
      </c>
      <c r="K263" s="5" t="n">
        <v>44</v>
      </c>
      <c r="L263" s="5" t="n">
        <v>20</v>
      </c>
      <c r="M263" s="5" t="n">
        <v>22</v>
      </c>
      <c r="N263" s="5">
        <f>J263+K263+L263+M263</f>
        <v/>
      </c>
      <c r="O263" s="5">
        <f>IF(ISNUMBER(N263),N263,"")</f>
        <v/>
      </c>
      <c r="P263" s="5">
        <f>_xlfn.RANK.EQ(O263,$O$2:$O$1031)</f>
        <v/>
      </c>
      <c r="Q263" s="9" t="n">
        <v>194.5</v>
      </c>
      <c r="R263" s="9" t="n">
        <v>36.5</v>
      </c>
      <c r="S263" s="9" t="n">
        <v>19</v>
      </c>
      <c r="T263" s="9" t="n">
        <v>24</v>
      </c>
      <c r="U263" s="9">
        <f>Q263+R263+S263+T263</f>
        <v/>
      </c>
      <c r="V263" s="9">
        <f>IF(ISNUMBER(U263),U263,"")</f>
        <v/>
      </c>
      <c r="W263" s="9">
        <f>_xlfn.RANK.EQ(V263,$V$2:$V$1031)</f>
        <v/>
      </c>
      <c r="X263" s="13" t="inlineStr">
        <is>
          <t>راسب</t>
        </is>
      </c>
      <c r="Y263" s="13" t="n">
        <v>25</v>
      </c>
      <c r="Z263" s="13" t="n">
        <v>20</v>
      </c>
      <c r="AA263" s="13" t="n">
        <v>21</v>
      </c>
      <c r="AB263" s="13">
        <f>IF(ISNUMBER(X263),X263+N(Y263)+N(Z263)+N(AA263),X263)</f>
        <v/>
      </c>
      <c r="AC263" s="13">
        <f>IF(ISNUMBER(AB263),AB263,"")</f>
        <v/>
      </c>
      <c r="AD263" s="13">
        <f>IF(ISNUMBER(AC263),_xlfn.RANK.EQ(AC263,$AC$2:$AC$1031),"")</f>
        <v/>
      </c>
      <c r="AE263" s="15">
        <f>IF(ISNUMBER(AF263),AF263/3630,"")</f>
        <v/>
      </c>
      <c r="AF263" s="14">
        <f>IFERROR(C263+D263+E263+F263+J263+K263+L263+M263+Q263+R263+S263+T263+IF(ISNUMBER(X263),X263,0)+N(Y263)+N(Z263)+N(AA263),"")</f>
        <v/>
      </c>
      <c r="AG263" s="14">
        <f>IF(ISNUMBER(AF263),AF263,"")</f>
        <v/>
      </c>
      <c r="AH263" s="14">
        <f>IF(ISNUMBER(AG263),_xlfn.RANK.EQ(AG263,$AG$2:$AG$1031),"")</f>
        <v/>
      </c>
    </row>
    <row r="264">
      <c r="A264" s="18" t="n">
        <v>550</v>
      </c>
      <c r="B264" s="18" t="inlineStr">
        <is>
          <t>حبيبه خالد محمد عبد الغنى ناجى</t>
        </is>
      </c>
      <c r="C264" s="1" t="n">
        <v>607.3</v>
      </c>
      <c r="D264" s="1" t="n">
        <v>25</v>
      </c>
      <c r="E264" s="1" t="n">
        <v>23</v>
      </c>
      <c r="F264" s="1" t="n">
        <v>17</v>
      </c>
      <c r="G264" s="1">
        <f>C264+D264+E264+F264</f>
        <v/>
      </c>
      <c r="H264" s="1">
        <f>IF(ISNUMBER(G264),G264,"")</f>
        <v/>
      </c>
      <c r="I264" s="1">
        <f>_xlfn.RANK.EQ(H264,$H$2:$H$1031)</f>
        <v/>
      </c>
      <c r="J264" s="5" t="n">
        <v>591.85</v>
      </c>
      <c r="K264" s="5" t="n">
        <v>47</v>
      </c>
      <c r="L264" s="5" t="n">
        <v>23</v>
      </c>
      <c r="M264" s="5" t="n">
        <v>19</v>
      </c>
      <c r="N264" s="5">
        <f>J264+K264+L264+M264</f>
        <v/>
      </c>
      <c r="O264" s="5">
        <f>IF(ISNUMBER(N264),N264,"")</f>
        <v/>
      </c>
      <c r="P264" s="5">
        <f>_xlfn.RANK.EQ(O264,$O$2:$O$1031)</f>
        <v/>
      </c>
      <c r="Q264" s="9" t="n">
        <v>250</v>
      </c>
      <c r="R264" s="9" t="n">
        <v>44.5</v>
      </c>
      <c r="S264" s="9" t="n">
        <v>22</v>
      </c>
      <c r="T264" s="9" t="n">
        <v>24</v>
      </c>
      <c r="U264" s="9">
        <f>Q264+R264+S264+T264</f>
        <v/>
      </c>
      <c r="V264" s="9">
        <f>IF(ISNUMBER(U264),U264,"")</f>
        <v/>
      </c>
      <c r="W264" s="9">
        <f>_xlfn.RANK.EQ(V264,$V$2:$V$1031)</f>
        <v/>
      </c>
      <c r="X264" s="13" t="n">
        <v>1384.6041666667</v>
      </c>
      <c r="Y264" s="13" t="n">
        <v>24</v>
      </c>
      <c r="Z264" s="13" t="n">
        <v>22</v>
      </c>
      <c r="AA264" s="13" t="n">
        <v>24</v>
      </c>
      <c r="AB264" s="13">
        <f>IF(ISNUMBER(X264),X264+N(Y264)+N(Z264)+N(AA264),X264)</f>
        <v/>
      </c>
      <c r="AC264" s="13">
        <f>IF(ISNUMBER(AB264),AB264,"")</f>
        <v/>
      </c>
      <c r="AD264" s="13">
        <f>IF(ISNUMBER(AC264),_xlfn.RANK.EQ(AC264,$AC$2:$AC$1031),"")</f>
        <v/>
      </c>
      <c r="AE264" s="15">
        <f>IF(ISNUMBER(AF264),AF264/3630,"")</f>
        <v/>
      </c>
      <c r="AF264" s="14">
        <f>IFERROR(C264+D264+E264+F264+J264+K264+L264+M264+Q264+R264+S264+T264+IF(ISNUMBER(X264),X264,0)+N(Y264)+N(Z264)+N(AA264),"")</f>
        <v/>
      </c>
      <c r="AG264" s="14">
        <f>IF(ISNUMBER(AF264),AF264,"")</f>
        <v/>
      </c>
      <c r="AH264" s="14">
        <f>IF(ISNUMBER(AG264),_xlfn.RANK.EQ(AG264,$AG$2:$AG$1031),"")</f>
        <v/>
      </c>
    </row>
    <row r="265">
      <c r="A265" s="18" t="n">
        <v>551</v>
      </c>
      <c r="B265" s="18" t="inlineStr">
        <is>
          <t>حبيبه محمد السيد  فضل الله عبدالحليم</t>
        </is>
      </c>
      <c r="C265" s="1" t="n">
        <v>543.3</v>
      </c>
      <c r="D265" s="1" t="n">
        <v>25</v>
      </c>
      <c r="E265" s="1" t="n">
        <v>23</v>
      </c>
      <c r="F265" s="1" t="n">
        <v>17</v>
      </c>
      <c r="G265" s="1">
        <f>C265+D265+E265+F265</f>
        <v/>
      </c>
      <c r="H265" s="1">
        <f>IF(ISNUMBER(G265),G265,"")</f>
        <v/>
      </c>
      <c r="I265" s="1">
        <f>_xlfn.RANK.EQ(H265,$H$2:$H$1031)</f>
        <v/>
      </c>
      <c r="J265" s="5" t="n">
        <v>501.85</v>
      </c>
      <c r="K265" s="5" t="n">
        <v>34</v>
      </c>
      <c r="L265" s="5" t="n">
        <v>20</v>
      </c>
      <c r="M265" s="5" t="n">
        <v>20</v>
      </c>
      <c r="N265" s="5">
        <f>J265+K265+L265+M265</f>
        <v/>
      </c>
      <c r="O265" s="5">
        <f>IF(ISNUMBER(N265),N265,"")</f>
        <v/>
      </c>
      <c r="P265" s="5">
        <f>_xlfn.RANK.EQ(O265,$O$2:$O$1031)</f>
        <v/>
      </c>
      <c r="Q265" s="9" t="n">
        <v>201</v>
      </c>
      <c r="R265" s="9" t="n">
        <v>40</v>
      </c>
      <c r="S265" s="9" t="n">
        <v>25</v>
      </c>
      <c r="T265" s="9" t="n">
        <v>23</v>
      </c>
      <c r="U265" s="9">
        <f>Q265+R265+S265+T265</f>
        <v/>
      </c>
      <c r="V265" s="9">
        <f>IF(ISNUMBER(U265),U265,"")</f>
        <v/>
      </c>
      <c r="W265" s="9">
        <f>_xlfn.RANK.EQ(V265,$V$2:$V$1031)</f>
        <v/>
      </c>
      <c r="X265" s="13" t="n">
        <v>1162.3916666667</v>
      </c>
      <c r="Y265" s="13" t="n">
        <v>24</v>
      </c>
      <c r="Z265" s="13" t="n">
        <v>22</v>
      </c>
      <c r="AA265" s="13" t="n">
        <v>21</v>
      </c>
      <c r="AB265" s="13">
        <f>IF(ISNUMBER(X265),X265+N(Y265)+N(Z265)+N(AA265),X265)</f>
        <v/>
      </c>
      <c r="AC265" s="13">
        <f>IF(ISNUMBER(AB265),AB265,"")</f>
        <v/>
      </c>
      <c r="AD265" s="13">
        <f>IF(ISNUMBER(AC265),_xlfn.RANK.EQ(AC265,$AC$2:$AC$1031),"")</f>
        <v/>
      </c>
      <c r="AE265" s="15">
        <f>IF(ISNUMBER(AF265),AF265/3630,"")</f>
        <v/>
      </c>
      <c r="AF265" s="14">
        <f>IFERROR(C265+D265+E265+F265+J265+K265+L265+M265+Q265+R265+S265+T265+IF(ISNUMBER(X265),X265,0)+N(Y265)+N(Z265)+N(AA265),"")</f>
        <v/>
      </c>
      <c r="AG265" s="14">
        <f>IF(ISNUMBER(AF265),AF265,"")</f>
        <v/>
      </c>
      <c r="AH265" s="14">
        <f>IF(ISNUMBER(AG265),_xlfn.RANK.EQ(AG265,$AG$2:$AG$1031),"")</f>
        <v/>
      </c>
    </row>
    <row r="266">
      <c r="A266" s="18" t="n">
        <v>552</v>
      </c>
      <c r="B266" s="18" t="inlineStr">
        <is>
          <t>حبيبه محمد عبدالقادر عبدالحميد</t>
        </is>
      </c>
      <c r="C266" s="1" t="n">
        <v>499.8</v>
      </c>
      <c r="D266" s="1" t="n">
        <v>24</v>
      </c>
      <c r="E266" s="1" t="n">
        <v>19</v>
      </c>
      <c r="F266" s="1" t="n">
        <v>21</v>
      </c>
      <c r="G266" s="1">
        <f>C266+D266+E266+F266</f>
        <v/>
      </c>
      <c r="H266" s="1">
        <f>IF(ISNUMBER(G266),G266,"")</f>
        <v/>
      </c>
      <c r="I266" s="1">
        <f>_xlfn.RANK.EQ(H266,$H$2:$H$1031)</f>
        <v/>
      </c>
      <c r="J266" s="5" t="n">
        <v>492.5</v>
      </c>
      <c r="K266" s="5" t="n">
        <v>39</v>
      </c>
      <c r="L266" s="5" t="n">
        <v>19</v>
      </c>
      <c r="M266" s="5" t="n">
        <v>21</v>
      </c>
      <c r="N266" s="5">
        <f>J266+K266+L266+M266</f>
        <v/>
      </c>
      <c r="O266" s="5">
        <f>IF(ISNUMBER(N266),N266,"")</f>
        <v/>
      </c>
      <c r="P266" s="5">
        <f>_xlfn.RANK.EQ(O266,$O$2:$O$1031)</f>
        <v/>
      </c>
      <c r="Q266" s="9" t="n">
        <v>231</v>
      </c>
      <c r="R266" s="9" t="n">
        <v>43.5</v>
      </c>
      <c r="S266" s="9" t="n">
        <v>21</v>
      </c>
      <c r="T266" s="9" t="n">
        <v>23</v>
      </c>
      <c r="U266" s="9">
        <f>Q266+R266+S266+T266</f>
        <v/>
      </c>
      <c r="V266" s="9">
        <f>IF(ISNUMBER(U266),U266,"")</f>
        <v/>
      </c>
      <c r="W266" s="9">
        <f>_xlfn.RANK.EQ(V266,$V$2:$V$1031)</f>
        <v/>
      </c>
      <c r="X266" s="13" t="n">
        <v>1200.1625</v>
      </c>
      <c r="Y266" s="13" t="n">
        <v>23</v>
      </c>
      <c r="Z266" s="13" t="n">
        <v>22</v>
      </c>
      <c r="AA266" s="13" t="n">
        <v>24</v>
      </c>
      <c r="AB266" s="13">
        <f>IF(ISNUMBER(X266),X266+N(Y266)+N(Z266)+N(AA266),X266)</f>
        <v/>
      </c>
      <c r="AC266" s="13">
        <f>IF(ISNUMBER(AB266),AB266,"")</f>
        <v/>
      </c>
      <c r="AD266" s="13">
        <f>IF(ISNUMBER(AC266),_xlfn.RANK.EQ(AC266,$AC$2:$AC$1031),"")</f>
        <v/>
      </c>
      <c r="AE266" s="15">
        <f>IF(ISNUMBER(AF266),AF266/3630,"")</f>
        <v/>
      </c>
      <c r="AF266" s="14">
        <f>IFERROR(C266+D266+E266+F266+J266+K266+L266+M266+Q266+R266+S266+T266+IF(ISNUMBER(X266),X266,0)+N(Y266)+N(Z266)+N(AA266),"")</f>
        <v/>
      </c>
      <c r="AG266" s="14">
        <f>IF(ISNUMBER(AF266),AF266,"")</f>
        <v/>
      </c>
      <c r="AH266" s="14">
        <f>IF(ISNUMBER(AG266),_xlfn.RANK.EQ(AG266,$AG$2:$AG$1031),"")</f>
        <v/>
      </c>
    </row>
    <row r="267">
      <c r="A267" s="18" t="n">
        <v>553</v>
      </c>
      <c r="B267" s="18" t="inlineStr">
        <is>
          <t>حبيبه وائل محمد احمد حامد</t>
        </is>
      </c>
      <c r="C267" s="1" t="n">
        <v>628.2</v>
      </c>
      <c r="D267" s="1" t="n">
        <v>25</v>
      </c>
      <c r="E267" s="1" t="n">
        <v>24</v>
      </c>
      <c r="F267" s="1" t="n">
        <v>22</v>
      </c>
      <c r="G267" s="1">
        <f>C267+D267+E267+F267</f>
        <v/>
      </c>
      <c r="H267" s="1">
        <f>IF(ISNUMBER(G267),G267,"")</f>
        <v/>
      </c>
      <c r="I267" s="1">
        <f>_xlfn.RANK.EQ(H267,$H$2:$H$1031)</f>
        <v/>
      </c>
      <c r="J267" s="5" t="n">
        <v>622</v>
      </c>
      <c r="K267" s="5" t="n">
        <v>47</v>
      </c>
      <c r="L267" s="5" t="n">
        <v>18</v>
      </c>
      <c r="M267" s="5" t="n">
        <v>25</v>
      </c>
      <c r="N267" s="5">
        <f>J267+K267+L267+M267</f>
        <v/>
      </c>
      <c r="O267" s="5">
        <f>IF(ISNUMBER(N267),N267,"")</f>
        <v/>
      </c>
      <c r="P267" s="5">
        <f>_xlfn.RANK.EQ(O267,$O$2:$O$1031)</f>
        <v/>
      </c>
      <c r="Q267" s="9" t="n">
        <v>272</v>
      </c>
      <c r="R267" s="9" t="n">
        <v>48.5</v>
      </c>
      <c r="S267" s="9" t="n">
        <v>24</v>
      </c>
      <c r="T267" s="9" t="n">
        <v>25</v>
      </c>
      <c r="U267" s="9">
        <f>Q267+R267+S267+T267</f>
        <v/>
      </c>
      <c r="V267" s="9">
        <f>IF(ISNUMBER(U267),U267,"")</f>
        <v/>
      </c>
      <c r="W267" s="9">
        <f>_xlfn.RANK.EQ(V267,$V$2:$V$1031)</f>
        <v/>
      </c>
      <c r="X267" s="13" t="n">
        <v>1490.1583333333</v>
      </c>
      <c r="Y267" s="13" t="n">
        <v>25</v>
      </c>
      <c r="Z267" s="13" t="n">
        <v>25</v>
      </c>
      <c r="AA267" s="13" t="n">
        <v>24</v>
      </c>
      <c r="AB267" s="13">
        <f>IF(ISNUMBER(X267),X267+N(Y267)+N(Z267)+N(AA267),X267)</f>
        <v/>
      </c>
      <c r="AC267" s="13">
        <f>IF(ISNUMBER(AB267),AB267,"")</f>
        <v/>
      </c>
      <c r="AD267" s="13">
        <f>IF(ISNUMBER(AC267),_xlfn.RANK.EQ(AC267,$AC$2:$AC$1031),"")</f>
        <v/>
      </c>
      <c r="AE267" s="15">
        <f>IF(ISNUMBER(AF267),AF267/3630,"")</f>
        <v/>
      </c>
      <c r="AF267" s="14">
        <f>IFERROR(C267+D267+E267+F267+J267+K267+L267+M267+Q267+R267+S267+T267+IF(ISNUMBER(X267),X267,0)+N(Y267)+N(Z267)+N(AA267),"")</f>
        <v/>
      </c>
      <c r="AG267" s="14">
        <f>IF(ISNUMBER(AF267),AF267,"")</f>
        <v/>
      </c>
      <c r="AH267" s="14">
        <f>IF(ISNUMBER(AG267),_xlfn.RANK.EQ(AG267,$AG$2:$AG$1031),"")</f>
        <v/>
      </c>
    </row>
    <row r="268">
      <c r="A268" s="18" t="n">
        <v>563</v>
      </c>
      <c r="B268" s="18" t="inlineStr">
        <is>
          <t>حسام نصر الدين صبحي يوسف بسيوني جبر</t>
        </is>
      </c>
      <c r="C268" s="1" t="n">
        <v>526.8</v>
      </c>
      <c r="D268" s="1" t="n">
        <v>23</v>
      </c>
      <c r="E268" s="1" t="n">
        <v>20</v>
      </c>
      <c r="F268" s="1" t="n">
        <v>20</v>
      </c>
      <c r="G268" s="1">
        <f>C268+D268+E268+F268</f>
        <v/>
      </c>
      <c r="H268" s="1">
        <f>IF(ISNUMBER(G268),G268,"")</f>
        <v/>
      </c>
      <c r="I268" s="1">
        <f>_xlfn.RANK.EQ(H268,$H$2:$H$1031)</f>
        <v/>
      </c>
      <c r="J268" s="5" t="n">
        <v>540</v>
      </c>
      <c r="K268" s="5" t="n">
        <v>41</v>
      </c>
      <c r="L268" s="5" t="n">
        <v>22</v>
      </c>
      <c r="M268" s="5" t="n">
        <v>21</v>
      </c>
      <c r="N268" s="5">
        <f>J268+K268+L268+M268</f>
        <v/>
      </c>
      <c r="O268" s="5">
        <f>IF(ISNUMBER(N268),N268,"")</f>
        <v/>
      </c>
      <c r="P268" s="5">
        <f>_xlfn.RANK.EQ(O268,$O$2:$O$1031)</f>
        <v/>
      </c>
      <c r="Q268" s="9" t="n">
        <v>220.5</v>
      </c>
      <c r="R268" s="9" t="n">
        <v>43.5</v>
      </c>
      <c r="S268" s="9" t="n">
        <v>22</v>
      </c>
      <c r="T268" s="9" t="n">
        <v>24</v>
      </c>
      <c r="U268" s="9">
        <f>Q268+R268+S268+T268</f>
        <v/>
      </c>
      <c r="V268" s="9">
        <f>IF(ISNUMBER(U268),U268,"")</f>
        <v/>
      </c>
      <c r="W268" s="9">
        <f>_xlfn.RANK.EQ(V268,$V$2:$V$1031)</f>
        <v/>
      </c>
      <c r="X268" s="13" t="n">
        <v>1286.4166666667</v>
      </c>
      <c r="Y268" s="13" t="n">
        <v>22</v>
      </c>
      <c r="Z268" s="13" t="n">
        <v>23</v>
      </c>
      <c r="AA268" s="13" t="n">
        <v>25</v>
      </c>
      <c r="AB268" s="13">
        <f>IF(ISNUMBER(X268),X268+N(Y268)+N(Z268)+N(AA268),X268)</f>
        <v/>
      </c>
      <c r="AC268" s="13">
        <f>IF(ISNUMBER(AB268),AB268,"")</f>
        <v/>
      </c>
      <c r="AD268" s="13">
        <f>IF(ISNUMBER(AC268),_xlfn.RANK.EQ(AC268,$AC$2:$AC$1031),"")</f>
        <v/>
      </c>
      <c r="AE268" s="15">
        <f>IF(ISNUMBER(AF268),AF268/3630,"")</f>
        <v/>
      </c>
      <c r="AF268" s="14">
        <f>IFERROR(C268+D268+E268+F268+J268+K268+L268+M268+Q268+R268+S268+T268+IF(ISNUMBER(X268),X268,0)+N(Y268)+N(Z268)+N(AA268),"")</f>
        <v/>
      </c>
      <c r="AG268" s="14">
        <f>IF(ISNUMBER(AF268),AF268,"")</f>
        <v/>
      </c>
      <c r="AH268" s="14">
        <f>IF(ISNUMBER(AG268),_xlfn.RANK.EQ(AG268,$AG$2:$AG$1031),"")</f>
        <v/>
      </c>
    </row>
    <row r="269">
      <c r="A269" s="18" t="n">
        <v>564</v>
      </c>
      <c r="B269" s="18" t="inlineStr">
        <is>
          <t>حسن احمد حسن احمد برغوت</t>
        </is>
      </c>
      <c r="C269" s="1" t="n">
        <v>497.2</v>
      </c>
      <c r="D269" s="1" t="n">
        <v>24</v>
      </c>
      <c r="E269" s="1" t="n">
        <v>15</v>
      </c>
      <c r="F269" s="1" t="n">
        <v>20</v>
      </c>
      <c r="G269" s="1">
        <f>C269+D269+E269+F269</f>
        <v/>
      </c>
      <c r="H269" s="1">
        <f>IF(ISNUMBER(G269),G269,"")</f>
        <v/>
      </c>
      <c r="I269" s="1">
        <f>_xlfn.RANK.EQ(H269,$H$2:$H$1031)</f>
        <v/>
      </c>
      <c r="J269" s="5" t="n">
        <v>437.5</v>
      </c>
      <c r="K269" s="5" t="n">
        <v>42</v>
      </c>
      <c r="L269" s="5" t="n">
        <v>18</v>
      </c>
      <c r="M269" s="5" t="n">
        <v>12</v>
      </c>
      <c r="N269" s="5">
        <f>J269+K269+L269+M269</f>
        <v/>
      </c>
      <c r="O269" s="5">
        <f>IF(ISNUMBER(N269),N269,"")</f>
        <v/>
      </c>
      <c r="P269" s="5">
        <f>_xlfn.RANK.EQ(O269,$O$2:$O$1031)</f>
        <v/>
      </c>
      <c r="Q269" s="9" t="n">
        <v>159.5</v>
      </c>
      <c r="R269" s="9" t="n">
        <v>34.5</v>
      </c>
      <c r="S269" s="9" t="n">
        <v>22</v>
      </c>
      <c r="T269" s="9" t="n">
        <v>20</v>
      </c>
      <c r="U269" s="9">
        <f>Q269+R269+S269+T269</f>
        <v/>
      </c>
      <c r="V269" s="9">
        <f>IF(ISNUMBER(U269),U269,"")</f>
        <v/>
      </c>
      <c r="W269" s="9">
        <f>_xlfn.RANK.EQ(V269,$V$2:$V$1031)</f>
        <v/>
      </c>
      <c r="X269" s="13" t="inlineStr">
        <is>
          <t>راسب</t>
        </is>
      </c>
      <c r="Y269" s="13" t="n">
        <v>24</v>
      </c>
      <c r="Z269" s="13" t="n">
        <v>19.5</v>
      </c>
      <c r="AA269" s="13" t="n">
        <v>18</v>
      </c>
      <c r="AB269" s="13">
        <f>IF(ISNUMBER(X269),X269+N(Y269)+N(Z269)+N(AA269),X269)</f>
        <v/>
      </c>
      <c r="AC269" s="13">
        <f>IF(ISNUMBER(AB269),AB269,"")</f>
        <v/>
      </c>
      <c r="AD269" s="13">
        <f>IF(ISNUMBER(AC269),_xlfn.RANK.EQ(AC269,$AC$2:$AC$1031),"")</f>
        <v/>
      </c>
      <c r="AE269" s="15">
        <f>IF(ISNUMBER(AF269),AF269/3630,"")</f>
        <v/>
      </c>
      <c r="AF269" s="14">
        <f>IFERROR(C269+D269+E269+F269+J269+K269+L269+M269+Q269+R269+S269+T269+IF(ISNUMBER(X269),X269,0)+N(Y269)+N(Z269)+N(AA269),"")</f>
        <v/>
      </c>
      <c r="AG269" s="14">
        <f>IF(ISNUMBER(AF269),AF269,"")</f>
        <v/>
      </c>
      <c r="AH269" s="14">
        <f>IF(ISNUMBER(AG269),_xlfn.RANK.EQ(AG269,$AG$2:$AG$1031),"")</f>
        <v/>
      </c>
    </row>
    <row r="270">
      <c r="A270" s="18" t="n">
        <v>567</v>
      </c>
      <c r="B270" s="18" t="inlineStr">
        <is>
          <t>حسن صلاح سعد عبده ابو طور</t>
        </is>
      </c>
      <c r="C270" s="1" t="n">
        <v>507.1</v>
      </c>
      <c r="D270" s="1" t="n">
        <v>24</v>
      </c>
      <c r="E270" s="1" t="n">
        <v>23</v>
      </c>
      <c r="F270" s="1" t="n">
        <v>22</v>
      </c>
      <c r="G270" s="1">
        <f>C270+D270+E270+F270</f>
        <v/>
      </c>
      <c r="H270" s="1">
        <f>IF(ISNUMBER(G270),G270,"")</f>
        <v/>
      </c>
      <c r="I270" s="1">
        <f>_xlfn.RANK.EQ(H270,$H$2:$H$1031)</f>
        <v/>
      </c>
      <c r="J270" s="5" t="n">
        <v>608.35</v>
      </c>
      <c r="K270" s="5" t="n">
        <v>47</v>
      </c>
      <c r="L270" s="5" t="n">
        <v>24</v>
      </c>
      <c r="M270" s="5" t="n">
        <v>23</v>
      </c>
      <c r="N270" s="5">
        <f>J270+K270+L270+M270</f>
        <v/>
      </c>
      <c r="O270" s="5">
        <f>IF(ISNUMBER(N270),N270,"")</f>
        <v/>
      </c>
      <c r="P270" s="5">
        <f>_xlfn.RANK.EQ(O270,$O$2:$O$1031)</f>
        <v/>
      </c>
      <c r="Q270" s="9" t="n">
        <v>263</v>
      </c>
      <c r="R270" s="9" t="n">
        <v>47</v>
      </c>
      <c r="S270" s="9" t="n">
        <v>24</v>
      </c>
      <c r="T270" s="9" t="n">
        <v>25</v>
      </c>
      <c r="U270" s="9">
        <f>Q270+R270+S270+T270</f>
        <v/>
      </c>
      <c r="V270" s="9">
        <f>IF(ISNUMBER(U270),U270,"")</f>
        <v/>
      </c>
      <c r="W270" s="9">
        <f>_xlfn.RANK.EQ(V270,$V$2:$V$1031)</f>
        <v/>
      </c>
      <c r="X270" s="13" t="n">
        <v>1502.6291666667</v>
      </c>
      <c r="Y270" s="13" t="n">
        <v>25</v>
      </c>
      <c r="Z270" s="13" t="n">
        <v>24.5</v>
      </c>
      <c r="AA270" s="13" t="n">
        <v>22</v>
      </c>
      <c r="AB270" s="13">
        <f>IF(ISNUMBER(X270),X270+N(Y270)+N(Z270)+N(AA270),X270)</f>
        <v/>
      </c>
      <c r="AC270" s="13">
        <f>IF(ISNUMBER(AB270),AB270,"")</f>
        <v/>
      </c>
      <c r="AD270" s="13">
        <f>IF(ISNUMBER(AC270),_xlfn.RANK.EQ(AC270,$AC$2:$AC$1031),"")</f>
        <v/>
      </c>
      <c r="AE270" s="15">
        <f>IF(ISNUMBER(AF270),AF270/3630,"")</f>
        <v/>
      </c>
      <c r="AF270" s="14">
        <f>IFERROR(C270+D270+E270+F270+J270+K270+L270+M270+Q270+R270+S270+T270+IF(ISNUMBER(X270),X270,0)+N(Y270)+N(Z270)+N(AA270),"")</f>
        <v/>
      </c>
      <c r="AG270" s="14">
        <f>IF(ISNUMBER(AF270),AF270,"")</f>
        <v/>
      </c>
      <c r="AH270" s="14">
        <f>IF(ISNUMBER(AG270),_xlfn.RANK.EQ(AG270,$AG$2:$AG$1031),"")</f>
        <v/>
      </c>
    </row>
    <row r="271">
      <c r="A271" s="18" t="n">
        <v>572</v>
      </c>
      <c r="B271" s="18" t="inlineStr">
        <is>
          <t>حسن محمد حسن محمد حسن البخشوان</t>
        </is>
      </c>
      <c r="C271" s="1" t="n">
        <v>636.8</v>
      </c>
      <c r="D271" s="1" t="n">
        <v>24</v>
      </c>
      <c r="E271" s="1" t="n">
        <v>25</v>
      </c>
      <c r="F271" s="1" t="n">
        <v>23</v>
      </c>
      <c r="G271" s="1">
        <f>C271+D271+E271+F271</f>
        <v/>
      </c>
      <c r="H271" s="1">
        <f>IF(ISNUMBER(G271),G271,"")</f>
        <v/>
      </c>
      <c r="I271" s="1">
        <f>_xlfn.RANK.EQ(H271,$H$2:$H$1031)</f>
        <v/>
      </c>
      <c r="J271" s="5" t="n">
        <v>631.5</v>
      </c>
      <c r="K271" s="5" t="n">
        <v>49</v>
      </c>
      <c r="L271" s="5" t="n">
        <v>21</v>
      </c>
      <c r="M271" s="5" t="n">
        <v>23</v>
      </c>
      <c r="N271" s="5">
        <f>J271+K271+L271+M271</f>
        <v/>
      </c>
      <c r="O271" s="5">
        <f>IF(ISNUMBER(N271),N271,"")</f>
        <v/>
      </c>
      <c r="P271" s="5">
        <f>_xlfn.RANK.EQ(O271,$O$2:$O$1031)</f>
        <v/>
      </c>
      <c r="Q271" s="9" t="n">
        <v>283</v>
      </c>
      <c r="R271" s="9" t="n">
        <v>48.5</v>
      </c>
      <c r="S271" s="9" t="n">
        <v>24</v>
      </c>
      <c r="T271" s="9" t="n">
        <v>25</v>
      </c>
      <c r="U271" s="9">
        <f>Q271+R271+S271+T271</f>
        <v/>
      </c>
      <c r="V271" s="9">
        <f>IF(ISNUMBER(U271),U271,"")</f>
        <v/>
      </c>
      <c r="W271" s="9">
        <f>_xlfn.RANK.EQ(V271,$V$2:$V$1031)</f>
        <v/>
      </c>
      <c r="X271" s="13" t="n">
        <v>1540.7916666667</v>
      </c>
      <c r="Y271" s="13" t="n">
        <v>25</v>
      </c>
      <c r="Z271" s="13" t="n">
        <v>24.5</v>
      </c>
      <c r="AA271" s="13" t="n">
        <v>25</v>
      </c>
      <c r="AB271" s="13">
        <f>IF(ISNUMBER(X271),X271+N(Y271)+N(Z271)+N(AA271),X271)</f>
        <v/>
      </c>
      <c r="AC271" s="13">
        <f>IF(ISNUMBER(AB271),AB271,"")</f>
        <v/>
      </c>
      <c r="AD271" s="13">
        <f>IF(ISNUMBER(AC271),_xlfn.RANK.EQ(AC271,$AC$2:$AC$1031),"")</f>
        <v/>
      </c>
      <c r="AE271" s="15">
        <f>IF(ISNUMBER(AF271),AF271/3630,"")</f>
        <v/>
      </c>
      <c r="AF271" s="14">
        <f>IFERROR(C271+D271+E271+F271+J271+K271+L271+M271+Q271+R271+S271+T271+IF(ISNUMBER(X271),X271,0)+N(Y271)+N(Z271)+N(AA271),"")</f>
        <v/>
      </c>
      <c r="AG271" s="14">
        <f>IF(ISNUMBER(AF271),AF271,"")</f>
        <v/>
      </c>
      <c r="AH271" s="14">
        <f>IF(ISNUMBER(AG271),_xlfn.RANK.EQ(AG271,$AG$2:$AG$1031),"")</f>
        <v/>
      </c>
    </row>
    <row r="272">
      <c r="A272" s="18" t="n">
        <v>573</v>
      </c>
      <c r="B272" s="18" t="inlineStr">
        <is>
          <t>حسن محمود عوض عبدالعزيز يونس</t>
        </is>
      </c>
      <c r="C272" s="1" t="n">
        <v>611.8</v>
      </c>
      <c r="D272" s="1" t="n">
        <v>23</v>
      </c>
      <c r="E272" s="1" t="n">
        <v>23</v>
      </c>
      <c r="F272" s="1" t="n">
        <v>20</v>
      </c>
      <c r="G272" s="1">
        <f>C272+D272+E272+F272</f>
        <v/>
      </c>
      <c r="H272" s="1">
        <f>IF(ISNUMBER(G272),G272,"")</f>
        <v/>
      </c>
      <c r="I272" s="1">
        <f>_xlfn.RANK.EQ(H272,$H$2:$H$1031)</f>
        <v/>
      </c>
      <c r="J272" s="5" t="n">
        <v>591.25</v>
      </c>
      <c r="K272" s="5" t="n">
        <v>46</v>
      </c>
      <c r="L272" s="5" t="n">
        <v>22</v>
      </c>
      <c r="M272" s="5" t="n">
        <v>21</v>
      </c>
      <c r="N272" s="5">
        <f>J272+K272+L272+M272</f>
        <v/>
      </c>
      <c r="O272" s="5">
        <f>IF(ISNUMBER(N272),N272,"")</f>
        <v/>
      </c>
      <c r="P272" s="5">
        <f>_xlfn.RANK.EQ(O272,$O$2:$O$1031)</f>
        <v/>
      </c>
      <c r="Q272" s="9" t="n">
        <v>264</v>
      </c>
      <c r="R272" s="9" t="n">
        <v>43.5</v>
      </c>
      <c r="S272" s="9" t="n">
        <v>22</v>
      </c>
      <c r="T272" s="9" t="n">
        <v>24</v>
      </c>
      <c r="U272" s="9">
        <f>Q272+R272+S272+T272</f>
        <v/>
      </c>
      <c r="V272" s="9">
        <f>IF(ISNUMBER(U272),U272,"")</f>
        <v/>
      </c>
      <c r="W272" s="9">
        <f>_xlfn.RANK.EQ(V272,$V$2:$V$1031)</f>
        <v/>
      </c>
      <c r="X272" s="13" t="n">
        <v>1497.4958333333</v>
      </c>
      <c r="Y272" s="13" t="n">
        <v>23</v>
      </c>
      <c r="Z272" s="13" t="n">
        <v>24.5</v>
      </c>
      <c r="AA272" s="13" t="n">
        <v>24</v>
      </c>
      <c r="AB272" s="13">
        <f>IF(ISNUMBER(X272),X272+N(Y272)+N(Z272)+N(AA272),X272)</f>
        <v/>
      </c>
      <c r="AC272" s="13">
        <f>IF(ISNUMBER(AB272),AB272,"")</f>
        <v/>
      </c>
      <c r="AD272" s="13">
        <f>IF(ISNUMBER(AC272),_xlfn.RANK.EQ(AC272,$AC$2:$AC$1031),"")</f>
        <v/>
      </c>
      <c r="AE272" s="15">
        <f>IF(ISNUMBER(AF272),AF272/3630,"")</f>
        <v/>
      </c>
      <c r="AF272" s="14">
        <f>IFERROR(C272+D272+E272+F272+J272+K272+L272+M272+Q272+R272+S272+T272+IF(ISNUMBER(X272),X272,0)+N(Y272)+N(Z272)+N(AA272),"")</f>
        <v/>
      </c>
      <c r="AG272" s="14">
        <f>IF(ISNUMBER(AF272),AF272,"")</f>
        <v/>
      </c>
      <c r="AH272" s="14">
        <f>IF(ISNUMBER(AG272),_xlfn.RANK.EQ(AG272,$AG$2:$AG$1031),"")</f>
        <v/>
      </c>
    </row>
    <row r="273">
      <c r="A273" s="18" t="n">
        <v>595</v>
      </c>
      <c r="B273" s="18" t="inlineStr">
        <is>
          <t>احمد وائل أحمد الدخس  (تعديل ترتيب)</t>
        </is>
      </c>
      <c r="C273" s="1" t="n">
        <v>601.9</v>
      </c>
      <c r="D273" s="1" t="n">
        <v>23</v>
      </c>
      <c r="E273" s="1" t="n">
        <v>25</v>
      </c>
      <c r="F273" s="1" t="n">
        <v>22</v>
      </c>
      <c r="G273" s="1">
        <f>C273+D273+E273+F273</f>
        <v/>
      </c>
      <c r="H273" s="1">
        <f>IF(ISNUMBER(G273),G273,"")</f>
        <v/>
      </c>
      <c r="I273" s="1">
        <f>_xlfn.RANK.EQ(H273,$H$2:$H$1031)</f>
        <v/>
      </c>
      <c r="J273" s="5" t="n">
        <v>592.85</v>
      </c>
      <c r="K273" s="5" t="n">
        <v>47</v>
      </c>
      <c r="L273" s="5" t="n">
        <v>25</v>
      </c>
      <c r="M273" s="5" t="n">
        <v>17</v>
      </c>
      <c r="N273" s="5">
        <f>J273+K273+L273+M273</f>
        <v/>
      </c>
      <c r="O273" s="5">
        <f>IF(ISNUMBER(N273),N273,"")</f>
        <v/>
      </c>
      <c r="P273" s="5">
        <f>_xlfn.RANK.EQ(O273,$O$2:$O$1031)</f>
        <v/>
      </c>
      <c r="Q273" s="9" t="n">
        <v>266.5</v>
      </c>
      <c r="R273" s="9" t="n">
        <v>45.5</v>
      </c>
      <c r="S273" s="9" t="n">
        <v>24</v>
      </c>
      <c r="T273" s="9" t="n">
        <v>24</v>
      </c>
      <c r="U273" s="9">
        <f>Q273+R273+S273+T273</f>
        <v/>
      </c>
      <c r="V273" s="9">
        <f>IF(ISNUMBER(U273),U273,"")</f>
        <v/>
      </c>
      <c r="W273" s="9">
        <f>_xlfn.RANK.EQ(V273,$V$2:$V$1031)</f>
        <v/>
      </c>
      <c r="X273" s="13" t="n">
        <v>1382.3583333333</v>
      </c>
      <c r="Y273" s="13" t="n">
        <v>24</v>
      </c>
      <c r="Z273" s="13" t="n">
        <v>21.07</v>
      </c>
      <c r="AA273" s="13" t="n">
        <v>22</v>
      </c>
      <c r="AB273" s="13">
        <f>IF(ISNUMBER(X273),X273+N(Y273)+N(Z273)+N(AA273),X273)</f>
        <v/>
      </c>
      <c r="AC273" s="13">
        <f>IF(ISNUMBER(AB273),AB273,"")</f>
        <v/>
      </c>
      <c r="AD273" s="13">
        <f>IF(ISNUMBER(AC273),_xlfn.RANK.EQ(AC273,$AC$2:$AC$1031),"")</f>
        <v/>
      </c>
      <c r="AE273" s="15">
        <f>IF(ISNUMBER(AF273),AF273/3630,"")</f>
        <v/>
      </c>
      <c r="AF273" s="14">
        <f>IFERROR(C273+D273+E273+F273+J273+K273+L273+M273+Q273+R273+S273+T273+IF(ISNUMBER(X273),X273,0)+N(Y273)+N(Z273)+N(AA273),"")</f>
        <v/>
      </c>
      <c r="AG273" s="14">
        <f>IF(ISNUMBER(AF273),AF273,"")</f>
        <v/>
      </c>
      <c r="AH273" s="14">
        <f>IF(ISNUMBER(AG273),_xlfn.RANK.EQ(AG273,$AG$2:$AG$1031),"")</f>
        <v/>
      </c>
    </row>
    <row r="274">
      <c r="A274" s="18" t="n">
        <v>596</v>
      </c>
      <c r="B274" s="18" t="inlineStr">
        <is>
          <t>حمزه احمد جابر تهامى</t>
        </is>
      </c>
      <c r="C274" s="1" t="n">
        <v>537.7</v>
      </c>
      <c r="D274" s="1" t="n">
        <v>23</v>
      </c>
      <c r="E274" s="1" t="n">
        <v>19</v>
      </c>
      <c r="F274" s="1" t="n">
        <v>23</v>
      </c>
      <c r="G274" s="1">
        <f>C274+D274+E274+F274</f>
        <v/>
      </c>
      <c r="H274" s="1">
        <f>IF(ISNUMBER(G274),G274,"")</f>
        <v/>
      </c>
      <c r="I274" s="1">
        <f>_xlfn.RANK.EQ(H274,$H$2:$H$1031)</f>
        <v/>
      </c>
      <c r="J274" s="5" t="n">
        <v>473.7</v>
      </c>
      <c r="K274" s="5" t="n">
        <v>39</v>
      </c>
      <c r="L274" s="5" t="n">
        <v>21</v>
      </c>
      <c r="M274" s="5" t="n">
        <v>20</v>
      </c>
      <c r="N274" s="5">
        <f>J274+K274+L274+M274</f>
        <v/>
      </c>
      <c r="O274" s="5">
        <f>IF(ISNUMBER(N274),N274,"")</f>
        <v/>
      </c>
      <c r="P274" s="5">
        <f>_xlfn.RANK.EQ(O274,$O$2:$O$1031)</f>
        <v/>
      </c>
      <c r="Q274" s="9" t="n">
        <v>212.5</v>
      </c>
      <c r="R274" s="9" t="n">
        <v>42</v>
      </c>
      <c r="S274" s="9" t="n">
        <v>25</v>
      </c>
      <c r="T274" s="9" t="n">
        <v>25</v>
      </c>
      <c r="U274" s="9">
        <f>Q274+R274+S274+T274</f>
        <v/>
      </c>
      <c r="V274" s="9">
        <f>IF(ISNUMBER(U274),U274,"")</f>
        <v/>
      </c>
      <c r="W274" s="9">
        <f>_xlfn.RANK.EQ(V274,$V$2:$V$1031)</f>
        <v/>
      </c>
      <c r="X274" s="13" t="n">
        <v>1369.7125</v>
      </c>
      <c r="Y274" s="13" t="n">
        <v>25</v>
      </c>
      <c r="Z274" s="13" t="n">
        <v>23.73</v>
      </c>
      <c r="AA274" s="13" t="n">
        <v>22</v>
      </c>
      <c r="AB274" s="13">
        <f>IF(ISNUMBER(X274),X274+N(Y274)+N(Z274)+N(AA274),X274)</f>
        <v/>
      </c>
      <c r="AC274" s="13">
        <f>IF(ISNUMBER(AB274),AB274,"")</f>
        <v/>
      </c>
      <c r="AD274" s="13">
        <f>IF(ISNUMBER(AC274),_xlfn.RANK.EQ(AC274,$AC$2:$AC$1031),"")</f>
        <v/>
      </c>
      <c r="AE274" s="15">
        <f>IF(ISNUMBER(AF274),AF274/3630,"")</f>
        <v/>
      </c>
      <c r="AF274" s="14">
        <f>IFERROR(C274+D274+E274+F274+J274+K274+L274+M274+Q274+R274+S274+T274+IF(ISNUMBER(X274),X274,0)+N(Y274)+N(Z274)+N(AA274),"")</f>
        <v/>
      </c>
      <c r="AG274" s="14">
        <f>IF(ISNUMBER(AF274),AF274,"")</f>
        <v/>
      </c>
      <c r="AH274" s="14">
        <f>IF(ISNUMBER(AG274),_xlfn.RANK.EQ(AG274,$AG$2:$AG$1031),"")</f>
        <v/>
      </c>
    </row>
    <row r="275">
      <c r="A275" s="18" t="n">
        <v>603</v>
      </c>
      <c r="B275" s="18" t="inlineStr">
        <is>
          <t>حمزه مصطفى احمد محمد عبدالرازق</t>
        </is>
      </c>
      <c r="C275" s="1" t="n">
        <v>658</v>
      </c>
      <c r="D275" s="1" t="n">
        <v>24</v>
      </c>
      <c r="E275" s="1" t="n">
        <v>25</v>
      </c>
      <c r="F275" s="1" t="n">
        <v>23</v>
      </c>
      <c r="G275" s="1">
        <f>C275+D275+E275+F275</f>
        <v/>
      </c>
      <c r="H275" s="1">
        <f>IF(ISNUMBER(G275),G275,"")</f>
        <v/>
      </c>
      <c r="I275" s="1">
        <f>_xlfn.RANK.EQ(H275,$H$2:$H$1031)</f>
        <v/>
      </c>
      <c r="J275" s="5" t="n">
        <v>638</v>
      </c>
      <c r="K275" s="5" t="n">
        <v>49</v>
      </c>
      <c r="L275" s="5" t="n">
        <v>22</v>
      </c>
      <c r="M275" s="5" t="n">
        <v>24</v>
      </c>
      <c r="N275" s="5">
        <f>J275+K275+L275+M275</f>
        <v/>
      </c>
      <c r="O275" s="5">
        <f>IF(ISNUMBER(N275),N275,"")</f>
        <v/>
      </c>
      <c r="P275" s="5">
        <f>_xlfn.RANK.EQ(O275,$O$2:$O$1031)</f>
        <v/>
      </c>
      <c r="Q275" s="9" t="n">
        <v>280</v>
      </c>
      <c r="R275" s="9" t="n">
        <v>49</v>
      </c>
      <c r="S275" s="9" t="n">
        <v>24</v>
      </c>
      <c r="T275" s="9" t="n">
        <v>25</v>
      </c>
      <c r="U275" s="9">
        <f>Q275+R275+S275+T275</f>
        <v/>
      </c>
      <c r="V275" s="9">
        <f>IF(ISNUMBER(U275),U275,"")</f>
        <v/>
      </c>
      <c r="W275" s="9">
        <f>_xlfn.RANK.EQ(V275,$V$2:$V$1031)</f>
        <v/>
      </c>
      <c r="X275" s="13" t="n">
        <v>1532.4416666667</v>
      </c>
      <c r="Y275" s="13" t="n">
        <v>25</v>
      </c>
      <c r="Z275" s="13" t="n">
        <v>23.97</v>
      </c>
      <c r="AA275" s="13" t="n">
        <v>25</v>
      </c>
      <c r="AB275" s="13">
        <f>IF(ISNUMBER(X275),X275+N(Y275)+N(Z275)+N(AA275),X275)</f>
        <v/>
      </c>
      <c r="AC275" s="13">
        <f>IF(ISNUMBER(AB275),AB275,"")</f>
        <v/>
      </c>
      <c r="AD275" s="13">
        <f>IF(ISNUMBER(AC275),_xlfn.RANK.EQ(AC275,$AC$2:$AC$1031),"")</f>
        <v/>
      </c>
      <c r="AE275" s="15">
        <f>IF(ISNUMBER(AF275),AF275/3630,"")</f>
        <v/>
      </c>
      <c r="AF275" s="14">
        <f>IFERROR(C275+D275+E275+F275+J275+K275+L275+M275+Q275+R275+S275+T275+IF(ISNUMBER(X275),X275,0)+N(Y275)+N(Z275)+N(AA275),"")</f>
        <v/>
      </c>
      <c r="AG275" s="14">
        <f>IF(ISNUMBER(AF275),AF275,"")</f>
        <v/>
      </c>
      <c r="AH275" s="14">
        <f>IF(ISNUMBER(AG275),_xlfn.RANK.EQ(AG275,$AG$2:$AG$1031),"")</f>
        <v/>
      </c>
    </row>
    <row r="276">
      <c r="A276" s="18" t="n">
        <v>605</v>
      </c>
      <c r="B276" s="18" t="inlineStr">
        <is>
          <t>حنان اشرف السيد شعبان العوضى</t>
        </is>
      </c>
      <c r="C276" s="1" t="n">
        <v>508.6</v>
      </c>
      <c r="D276" s="1" t="n">
        <v>23</v>
      </c>
      <c r="E276" s="1" t="n">
        <v>21</v>
      </c>
      <c r="F276" s="1" t="n">
        <v>25</v>
      </c>
      <c r="G276" s="1">
        <f>C276+D276+E276+F276</f>
        <v/>
      </c>
      <c r="H276" s="1">
        <f>IF(ISNUMBER(G276),G276,"")</f>
        <v/>
      </c>
      <c r="I276" s="1">
        <f>_xlfn.RANK.EQ(H276,$H$2:$H$1031)</f>
        <v/>
      </c>
      <c r="J276" s="5" t="n">
        <v>512</v>
      </c>
      <c r="K276" s="5" t="n">
        <v>47</v>
      </c>
      <c r="L276" s="5" t="n">
        <v>21</v>
      </c>
      <c r="M276" s="5" t="n">
        <v>19</v>
      </c>
      <c r="N276" s="5">
        <f>J276+K276+L276+M276</f>
        <v/>
      </c>
      <c r="O276" s="5">
        <f>IF(ISNUMBER(N276),N276,"")</f>
        <v/>
      </c>
      <c r="P276" s="5">
        <f>_xlfn.RANK.EQ(O276,$O$2:$O$1031)</f>
        <v/>
      </c>
      <c r="Q276" s="9" t="n">
        <v>217.5</v>
      </c>
      <c r="R276" s="9" t="n">
        <v>45</v>
      </c>
      <c r="S276" s="9" t="n">
        <v>23</v>
      </c>
      <c r="T276" s="9" t="n">
        <v>24</v>
      </c>
      <c r="U276" s="9">
        <f>Q276+R276+S276+T276</f>
        <v/>
      </c>
      <c r="V276" s="9">
        <f>IF(ISNUMBER(U276),U276,"")</f>
        <v/>
      </c>
      <c r="W276" s="9">
        <f>_xlfn.RANK.EQ(V276,$V$2:$V$1031)</f>
        <v/>
      </c>
      <c r="X276" s="13" t="n">
        <v>1338.3333333333</v>
      </c>
      <c r="Y276" s="13" t="n">
        <v>25</v>
      </c>
      <c r="Z276" s="13" t="n">
        <v>24</v>
      </c>
      <c r="AA276" s="13" t="n">
        <v>22</v>
      </c>
      <c r="AB276" s="13">
        <f>IF(ISNUMBER(X276),X276+N(Y276)+N(Z276)+N(AA276),X276)</f>
        <v/>
      </c>
      <c r="AC276" s="13">
        <f>IF(ISNUMBER(AB276),AB276,"")</f>
        <v/>
      </c>
      <c r="AD276" s="13">
        <f>IF(ISNUMBER(AC276),_xlfn.RANK.EQ(AC276,$AC$2:$AC$1031),"")</f>
        <v/>
      </c>
      <c r="AE276" s="15">
        <f>IF(ISNUMBER(AF276),AF276/3630,"")</f>
        <v/>
      </c>
      <c r="AF276" s="14">
        <f>IFERROR(C276+D276+E276+F276+J276+K276+L276+M276+Q276+R276+S276+T276+IF(ISNUMBER(X276),X276,0)+N(Y276)+N(Z276)+N(AA276),"")</f>
        <v/>
      </c>
      <c r="AG276" s="14">
        <f>IF(ISNUMBER(AF276),AF276,"")</f>
        <v/>
      </c>
      <c r="AH276" s="14">
        <f>IF(ISNUMBER(AG276),_xlfn.RANK.EQ(AG276,$AG$2:$AG$1031),"")</f>
        <v/>
      </c>
    </row>
    <row r="277">
      <c r="A277" s="18" t="n">
        <v>606</v>
      </c>
      <c r="B277" s="18" t="inlineStr">
        <is>
          <t>حنان عصام محمد كامل دغيم</t>
        </is>
      </c>
      <c r="C277" s="1" t="n">
        <v>651.1</v>
      </c>
      <c r="D277" s="1" t="n">
        <v>24</v>
      </c>
      <c r="E277" s="1" t="n">
        <v>25</v>
      </c>
      <c r="F277" s="1" t="n">
        <v>24</v>
      </c>
      <c r="G277" s="1">
        <f>C277+D277+E277+F277</f>
        <v/>
      </c>
      <c r="H277" s="1">
        <f>IF(ISNUMBER(G277),G277,"")</f>
        <v/>
      </c>
      <c r="I277" s="1">
        <f>_xlfn.RANK.EQ(H277,$H$2:$H$1031)</f>
        <v/>
      </c>
      <c r="J277" s="5" t="n">
        <v>643.85</v>
      </c>
      <c r="K277" s="5" t="n">
        <v>49</v>
      </c>
      <c r="L277" s="5" t="n">
        <v>23</v>
      </c>
      <c r="M277" s="5" t="n">
        <v>24</v>
      </c>
      <c r="N277" s="5">
        <f>J277+K277+L277+M277</f>
        <v/>
      </c>
      <c r="O277" s="5">
        <f>IF(ISNUMBER(N277),N277,"")</f>
        <v/>
      </c>
      <c r="P277" s="5">
        <f>_xlfn.RANK.EQ(O277,$O$2:$O$1031)</f>
        <v/>
      </c>
      <c r="Q277" s="9" t="n">
        <v>293</v>
      </c>
      <c r="R277" s="9" t="n">
        <v>49.5</v>
      </c>
      <c r="S277" s="9" t="n">
        <v>24</v>
      </c>
      <c r="T277" s="9" t="n">
        <v>25</v>
      </c>
      <c r="U277" s="9">
        <f>Q277+R277+S277+T277</f>
        <v/>
      </c>
      <c r="V277" s="9">
        <f>IF(ISNUMBER(U277),U277,"")</f>
        <v/>
      </c>
      <c r="W277" s="9">
        <f>_xlfn.RANK.EQ(V277,$V$2:$V$1031)</f>
        <v/>
      </c>
      <c r="X277" s="13" t="n">
        <v>1587.4375</v>
      </c>
      <c r="Y277" s="13" t="n">
        <v>25</v>
      </c>
      <c r="Z277" s="13" t="n">
        <v>24</v>
      </c>
      <c r="AA277" s="13" t="n">
        <v>25</v>
      </c>
      <c r="AB277" s="13">
        <f>IF(ISNUMBER(X277),X277+N(Y277)+N(Z277)+N(AA277),X277)</f>
        <v/>
      </c>
      <c r="AC277" s="13">
        <f>IF(ISNUMBER(AB277),AB277,"")</f>
        <v/>
      </c>
      <c r="AD277" s="13">
        <f>IF(ISNUMBER(AC277),_xlfn.RANK.EQ(AC277,$AC$2:$AC$1031),"")</f>
        <v/>
      </c>
      <c r="AE277" s="15">
        <f>IF(ISNUMBER(AF277),AF277/3630,"")</f>
        <v/>
      </c>
      <c r="AF277" s="14">
        <f>IFERROR(C277+D277+E277+F277+J277+K277+L277+M277+Q277+R277+S277+T277+IF(ISNUMBER(X277),X277,0)+N(Y277)+N(Z277)+N(AA277),"")</f>
        <v/>
      </c>
      <c r="AG277" s="14">
        <f>IF(ISNUMBER(AF277),AF277,"")</f>
        <v/>
      </c>
      <c r="AH277" s="14">
        <f>IF(ISNUMBER(AG277),_xlfn.RANK.EQ(AG277,$AG$2:$AG$1031),"")</f>
        <v/>
      </c>
    </row>
    <row r="278">
      <c r="A278" s="18" t="n">
        <v>607</v>
      </c>
      <c r="B278" s="18" t="inlineStr">
        <is>
          <t>حنان علاء الدين جابر طلحة</t>
        </is>
      </c>
      <c r="C278" s="1" t="e">
        <v>#N/A</v>
      </c>
      <c r="D278" s="1" t="n">
        <v>25</v>
      </c>
      <c r="E278" s="1" t="n">
        <v>23</v>
      </c>
      <c r="F278" s="1" t="n">
        <v>23</v>
      </c>
      <c r="G278" s="1">
        <f>C278+D278+E278+F278</f>
        <v/>
      </c>
      <c r="H278" s="1">
        <f>IF(ISNUMBER(G278),G278,"")</f>
        <v/>
      </c>
      <c r="I278" s="1">
        <f>_xlfn.RANK.EQ(H278,$H$2:$H$1031)</f>
        <v/>
      </c>
      <c r="J278" s="5" t="n">
        <v>567</v>
      </c>
      <c r="K278" s="5" t="n">
        <v>45</v>
      </c>
      <c r="L278" s="5" t="n">
        <v>24</v>
      </c>
      <c r="M278" s="5" t="n">
        <v>24</v>
      </c>
      <c r="N278" s="5">
        <f>J278+K278+L278+M278</f>
        <v/>
      </c>
      <c r="O278" s="5">
        <f>IF(ISNUMBER(N278),N278,"")</f>
        <v/>
      </c>
      <c r="P278" s="5">
        <f>_xlfn.RANK.EQ(O278,$O$2:$O$1031)</f>
        <v/>
      </c>
      <c r="Q278" s="9" t="n">
        <v>256</v>
      </c>
      <c r="R278" s="9" t="n">
        <v>46.5</v>
      </c>
      <c r="S278" s="9" t="n">
        <v>24</v>
      </c>
      <c r="T278" s="9" t="n">
        <v>25</v>
      </c>
      <c r="U278" s="9">
        <f>Q278+R278+S278+T278</f>
        <v/>
      </c>
      <c r="V278" s="9">
        <f>IF(ISNUMBER(U278),U278,"")</f>
        <v/>
      </c>
      <c r="W278" s="9">
        <f>_xlfn.RANK.EQ(V278,$V$2:$V$1031)</f>
        <v/>
      </c>
      <c r="X278" s="13" t="n">
        <v>1470.1291666667</v>
      </c>
      <c r="Y278" s="13" t="n">
        <v>24</v>
      </c>
      <c r="Z278" s="13" t="n">
        <v>25</v>
      </c>
      <c r="AA278" s="13" t="n">
        <v>24</v>
      </c>
      <c r="AB278" s="13">
        <f>IF(ISNUMBER(X278),X278+N(Y278)+N(Z278)+N(AA278),X278)</f>
        <v/>
      </c>
      <c r="AC278" s="13">
        <f>IF(ISNUMBER(AB278),AB278,"")</f>
        <v/>
      </c>
      <c r="AD278" s="13">
        <f>IF(ISNUMBER(AC278),_xlfn.RANK.EQ(AC278,$AC$2:$AC$1031),"")</f>
        <v/>
      </c>
      <c r="AE278" s="15">
        <f>IF(ISNUMBER(AF278),AF278/3630,"")</f>
        <v/>
      </c>
      <c r="AF278" s="14">
        <f>IFERROR(C278+D278+E278+F278+J278+K278+L278+M278+Q278+R278+S278+T278+IF(ISNUMBER(X278),X278,0)+N(Y278)+N(Z278)+N(AA278),"")</f>
        <v/>
      </c>
      <c r="AG278" s="14">
        <f>IF(ISNUMBER(AF278),AF278,"")</f>
        <v/>
      </c>
      <c r="AH278" s="14">
        <f>IF(ISNUMBER(AG278),_xlfn.RANK.EQ(AG278,$AG$2:$AG$1031),"")</f>
        <v/>
      </c>
    </row>
    <row r="279">
      <c r="A279" s="18" t="n">
        <v>608</v>
      </c>
      <c r="B279" s="18" t="inlineStr">
        <is>
          <t>حنين احمد ابراهيم احمد يونس</t>
        </is>
      </c>
      <c r="C279" s="1" t="n">
        <v>612.8</v>
      </c>
      <c r="D279" s="1" t="n">
        <v>22</v>
      </c>
      <c r="E279" s="1" t="n">
        <v>25</v>
      </c>
      <c r="F279" s="1" t="n">
        <v>23</v>
      </c>
      <c r="G279" s="1">
        <f>C279+D279+E279+F279</f>
        <v/>
      </c>
      <c r="H279" s="1">
        <f>IF(ISNUMBER(G279),G279,"")</f>
        <v/>
      </c>
      <c r="I279" s="1">
        <f>_xlfn.RANK.EQ(H279,$H$2:$H$1031)</f>
        <v/>
      </c>
      <c r="J279" s="5" t="n">
        <v>607.85</v>
      </c>
      <c r="K279" s="5" t="n">
        <v>48</v>
      </c>
      <c r="L279" s="5" t="n">
        <v>22</v>
      </c>
      <c r="M279" s="5" t="n">
        <v>24</v>
      </c>
      <c r="N279" s="5">
        <f>J279+K279+L279+M279</f>
        <v/>
      </c>
      <c r="O279" s="5">
        <f>IF(ISNUMBER(N279),N279,"")</f>
        <v/>
      </c>
      <c r="P279" s="5">
        <f>_xlfn.RANK.EQ(O279,$O$2:$O$1031)</f>
        <v/>
      </c>
      <c r="Q279" s="9" t="n">
        <v>273</v>
      </c>
      <c r="R279" s="9" t="n">
        <v>47.5</v>
      </c>
      <c r="S279" s="9" t="n">
        <v>24</v>
      </c>
      <c r="T279" s="9" t="n">
        <v>25</v>
      </c>
      <c r="U279" s="9">
        <f>Q279+R279+S279+T279</f>
        <v/>
      </c>
      <c r="V279" s="9">
        <f>IF(ISNUMBER(U279),U279,"")</f>
        <v/>
      </c>
      <c r="W279" s="9">
        <f>_xlfn.RANK.EQ(V279,$V$2:$V$1031)</f>
        <v/>
      </c>
      <c r="X279" s="13" t="n">
        <v>1452.7208333333</v>
      </c>
      <c r="Y279" s="13" t="n">
        <v>25</v>
      </c>
      <c r="Z279" s="13" t="n">
        <v>24</v>
      </c>
      <c r="AA279" s="13" t="n">
        <v>24</v>
      </c>
      <c r="AB279" s="13">
        <f>IF(ISNUMBER(X279),X279+N(Y279)+N(Z279)+N(AA279),X279)</f>
        <v/>
      </c>
      <c r="AC279" s="13">
        <f>IF(ISNUMBER(AB279),AB279,"")</f>
        <v/>
      </c>
      <c r="AD279" s="13">
        <f>IF(ISNUMBER(AC279),_xlfn.RANK.EQ(AC279,$AC$2:$AC$1031),"")</f>
        <v/>
      </c>
      <c r="AE279" s="15">
        <f>IF(ISNUMBER(AF279),AF279/3630,"")</f>
        <v/>
      </c>
      <c r="AF279" s="14">
        <f>IFERROR(C279+D279+E279+F279+J279+K279+L279+M279+Q279+R279+S279+T279+IF(ISNUMBER(X279),X279,0)+N(Y279)+N(Z279)+N(AA279),"")</f>
        <v/>
      </c>
      <c r="AG279" s="14">
        <f>IF(ISNUMBER(AF279),AF279,"")</f>
        <v/>
      </c>
      <c r="AH279" s="14">
        <f>IF(ISNUMBER(AG279),_xlfn.RANK.EQ(AG279,$AG$2:$AG$1031),"")</f>
        <v/>
      </c>
    </row>
    <row r="280">
      <c r="A280" s="18" t="n">
        <v>609</v>
      </c>
      <c r="B280" s="18" t="inlineStr">
        <is>
          <t>حنين اشرف محمد عبد الفتاح</t>
        </is>
      </c>
      <c r="C280" s="1" t="n">
        <v>597.2</v>
      </c>
      <c r="D280" s="1" t="n">
        <v>22</v>
      </c>
      <c r="E280" s="1" t="n">
        <v>24</v>
      </c>
      <c r="F280" s="1" t="n">
        <v>24</v>
      </c>
      <c r="G280" s="1">
        <f>C280+D280+E280+F280</f>
        <v/>
      </c>
      <c r="H280" s="1">
        <f>IF(ISNUMBER(G280),G280,"")</f>
        <v/>
      </c>
      <c r="I280" s="1">
        <f>_xlfn.RANK.EQ(H280,$H$2:$H$1031)</f>
        <v/>
      </c>
      <c r="J280" s="5" t="n">
        <v>600.7</v>
      </c>
      <c r="K280" s="5" t="n">
        <v>46</v>
      </c>
      <c r="L280" s="5" t="n">
        <v>22</v>
      </c>
      <c r="M280" s="5" t="n">
        <v>24</v>
      </c>
      <c r="N280" s="5">
        <f>J280+K280+L280+M280</f>
        <v/>
      </c>
      <c r="O280" s="5">
        <f>IF(ISNUMBER(N280),N280,"")</f>
        <v/>
      </c>
      <c r="P280" s="5">
        <f>_xlfn.RANK.EQ(O280,$O$2:$O$1031)</f>
        <v/>
      </c>
      <c r="Q280" s="9" t="n">
        <v>244</v>
      </c>
      <c r="R280" s="9" t="n">
        <v>49</v>
      </c>
      <c r="S280" s="9" t="inlineStr">
        <is>
          <t xml:space="preserve"> ب</t>
        </is>
      </c>
      <c r="T280" s="9" t="n">
        <v>15</v>
      </c>
      <c r="U280" s="9">
        <f>Q280+R280+S280+T280</f>
        <v/>
      </c>
      <c r="V280" s="9">
        <f>IF(ISNUMBER(U280),U280,"")</f>
        <v/>
      </c>
      <c r="W280" s="9">
        <f>_xlfn.RANK.EQ(V280,$V$2:$V$1031)</f>
        <v/>
      </c>
      <c r="X280" s="13" t="n">
        <v>1436.7791666667</v>
      </c>
      <c r="Y280" s="13" t="n">
        <v>25</v>
      </c>
      <c r="Z280" s="13" t="n">
        <v>25</v>
      </c>
      <c r="AA280" s="13" t="n">
        <v>25</v>
      </c>
      <c r="AB280" s="13">
        <f>IF(ISNUMBER(X280),X280+N(Y280)+N(Z280)+N(AA280),X280)</f>
        <v/>
      </c>
      <c r="AC280" s="13">
        <f>IF(ISNUMBER(AB280),AB280,"")</f>
        <v/>
      </c>
      <c r="AD280" s="13">
        <f>IF(ISNUMBER(AC280),_xlfn.RANK.EQ(AC280,$AC$2:$AC$1031),"")</f>
        <v/>
      </c>
      <c r="AE280" s="15">
        <f>IF(ISNUMBER(AF280),AF280/3630,"")</f>
        <v/>
      </c>
      <c r="AF280" s="14">
        <f>IFERROR(C280+D280+E280+F280+J280+K280+L280+M280+Q280+R280+S280+T280+IF(ISNUMBER(X280),X280,0)+N(Y280)+N(Z280)+N(AA280),"")</f>
        <v/>
      </c>
      <c r="AG280" s="14">
        <f>IF(ISNUMBER(AF280),AF280,"")</f>
        <v/>
      </c>
      <c r="AH280" s="14">
        <f>IF(ISNUMBER(AG280),_xlfn.RANK.EQ(AG280,$AG$2:$AG$1031),"")</f>
        <v/>
      </c>
    </row>
    <row r="281">
      <c r="A281" s="18" t="n">
        <v>610</v>
      </c>
      <c r="B281" s="18" t="inlineStr">
        <is>
          <t>حنين باسم عبدالفتاح الامشيطى</t>
        </is>
      </c>
      <c r="C281" s="1" t="n">
        <v>630</v>
      </c>
      <c r="D281" s="1" t="n">
        <v>25</v>
      </c>
      <c r="E281" s="1" t="n">
        <v>25</v>
      </c>
      <c r="F281" s="1" t="n">
        <v>23</v>
      </c>
      <c r="G281" s="1">
        <f>C281+D281+E281+F281</f>
        <v/>
      </c>
      <c r="H281" s="1">
        <f>IF(ISNUMBER(G281),G281,"")</f>
        <v/>
      </c>
      <c r="I281" s="1">
        <f>_xlfn.RANK.EQ(H281,$H$2:$H$1031)</f>
        <v/>
      </c>
      <c r="J281" s="5" t="n">
        <v>614.55</v>
      </c>
      <c r="K281" s="5" t="n">
        <v>47</v>
      </c>
      <c r="L281" s="5" t="n">
        <v>22</v>
      </c>
      <c r="M281" s="5" t="n">
        <v>24</v>
      </c>
      <c r="N281" s="5">
        <f>J281+K281+L281+M281</f>
        <v/>
      </c>
      <c r="O281" s="5">
        <f>IF(ISNUMBER(N281),N281,"")</f>
        <v/>
      </c>
      <c r="P281" s="5">
        <f>_xlfn.RANK.EQ(O281,$O$2:$O$1031)</f>
        <v/>
      </c>
      <c r="Q281" s="9" t="n">
        <v>274</v>
      </c>
      <c r="R281" s="9" t="n">
        <v>48</v>
      </c>
      <c r="S281" s="9" t="n">
        <v>24</v>
      </c>
      <c r="T281" s="9" t="n">
        <v>24</v>
      </c>
      <c r="U281" s="9">
        <f>Q281+R281+S281+T281</f>
        <v/>
      </c>
      <c r="V281" s="9">
        <f>IF(ISNUMBER(U281),U281,"")</f>
        <v/>
      </c>
      <c r="W281" s="9">
        <f>_xlfn.RANK.EQ(V281,$V$2:$V$1031)</f>
        <v/>
      </c>
      <c r="X281" s="13" t="n">
        <v>1494.4</v>
      </c>
      <c r="Y281" s="13" t="n">
        <v>25</v>
      </c>
      <c r="Z281" s="13" t="n">
        <v>24</v>
      </c>
      <c r="AA281" s="13" t="n">
        <v>23</v>
      </c>
      <c r="AB281" s="13">
        <f>IF(ISNUMBER(X281),X281+N(Y281)+N(Z281)+N(AA281),X281)</f>
        <v/>
      </c>
      <c r="AC281" s="13">
        <f>IF(ISNUMBER(AB281),AB281,"")</f>
        <v/>
      </c>
      <c r="AD281" s="13">
        <f>IF(ISNUMBER(AC281),_xlfn.RANK.EQ(AC281,$AC$2:$AC$1031),"")</f>
        <v/>
      </c>
      <c r="AE281" s="15">
        <f>IF(ISNUMBER(AF281),AF281/3630,"")</f>
        <v/>
      </c>
      <c r="AF281" s="14">
        <f>IFERROR(C281+D281+E281+F281+J281+K281+L281+M281+Q281+R281+S281+T281+IF(ISNUMBER(X281),X281,0)+N(Y281)+N(Z281)+N(AA281),"")</f>
        <v/>
      </c>
      <c r="AG281" s="14">
        <f>IF(ISNUMBER(AF281),AF281,"")</f>
        <v/>
      </c>
      <c r="AH281" s="14">
        <f>IF(ISNUMBER(AG281),_xlfn.RANK.EQ(AG281,$AG$2:$AG$1031),"")</f>
        <v/>
      </c>
    </row>
    <row r="282">
      <c r="A282" s="18" t="n">
        <v>613</v>
      </c>
      <c r="B282" s="18" t="inlineStr">
        <is>
          <t>حنين طارق عبد الفتاح عبدالقوى عطا</t>
        </is>
      </c>
      <c r="C282" s="1" t="n">
        <v>414</v>
      </c>
      <c r="D282" s="1" t="n">
        <v>13</v>
      </c>
      <c r="E282" s="1" t="n">
        <v>17</v>
      </c>
      <c r="F282" s="1" t="n">
        <v>13</v>
      </c>
      <c r="G282" s="1">
        <f>C282+D282+E282+F282</f>
        <v/>
      </c>
      <c r="H282" s="1">
        <f>IF(ISNUMBER(G282),G282,"")</f>
        <v/>
      </c>
      <c r="I282" s="1">
        <f>_xlfn.RANK.EQ(H282,$H$2:$H$1031)</f>
        <v/>
      </c>
      <c r="J282" s="5" t="n">
        <v>407.6</v>
      </c>
      <c r="K282" s="5" t="n">
        <v>28</v>
      </c>
      <c r="L282" s="5" t="n">
        <v>16</v>
      </c>
      <c r="M282" s="5" t="n">
        <v>10</v>
      </c>
      <c r="N282" s="5">
        <f>J282+K282+L282+M282</f>
        <v/>
      </c>
      <c r="O282" s="5">
        <f>IF(ISNUMBER(N282),N282,"")</f>
        <v/>
      </c>
      <c r="P282" s="5">
        <f>_xlfn.RANK.EQ(O282,$O$2:$O$1031)</f>
        <v/>
      </c>
      <c r="Q282" s="9" t="n">
        <v>151.5</v>
      </c>
      <c r="R282" s="9" t="n">
        <v>28.5</v>
      </c>
      <c r="S282" s="9" t="n">
        <v>19</v>
      </c>
      <c r="T282" s="9" t="n">
        <v>21</v>
      </c>
      <c r="U282" s="9">
        <f>Q282+R282+S282+T282</f>
        <v/>
      </c>
      <c r="V282" s="9">
        <f>IF(ISNUMBER(U282),U282,"")</f>
        <v/>
      </c>
      <c r="W282" s="9">
        <f>_xlfn.RANK.EQ(V282,$V$2:$V$1031)</f>
        <v/>
      </c>
      <c r="X282" s="13" t="inlineStr">
        <is>
          <t>راسب</t>
        </is>
      </c>
      <c r="Y282" s="13" t="n">
        <v>22</v>
      </c>
      <c r="Z282" s="13" t="n">
        <v>15</v>
      </c>
      <c r="AA282" s="13" t="n">
        <v>20</v>
      </c>
      <c r="AB282" s="13">
        <f>IF(ISNUMBER(X282),X282+N(Y282)+N(Z282)+N(AA282),X282)</f>
        <v/>
      </c>
      <c r="AC282" s="13">
        <f>IF(ISNUMBER(AB282),AB282,"")</f>
        <v/>
      </c>
      <c r="AD282" s="13">
        <f>IF(ISNUMBER(AC282),_xlfn.RANK.EQ(AC282,$AC$2:$AC$1031),"")</f>
        <v/>
      </c>
      <c r="AE282" s="15">
        <f>IF(ISNUMBER(AF282),AF282/3630,"")</f>
        <v/>
      </c>
      <c r="AF282" s="14">
        <f>IFERROR(C282+D282+E282+F282+J282+K282+L282+M282+Q282+R282+S282+T282+IF(ISNUMBER(X282),X282,0)+N(Y282)+N(Z282)+N(AA282),"")</f>
        <v/>
      </c>
      <c r="AG282" s="14">
        <f>IF(ISNUMBER(AF282),AF282,"")</f>
        <v/>
      </c>
      <c r="AH282" s="14">
        <f>IF(ISNUMBER(AG282),_xlfn.RANK.EQ(AG282,$AG$2:$AG$1031),"")</f>
        <v/>
      </c>
    </row>
    <row r="283">
      <c r="A283" s="18" t="n">
        <v>614</v>
      </c>
      <c r="B283" s="18" t="inlineStr">
        <is>
          <t>حنين عبد الحميد محمد ابو ضيف فرغلى</t>
        </is>
      </c>
      <c r="C283" s="1" t="n">
        <v>418</v>
      </c>
      <c r="D283" s="1" t="n">
        <v>16</v>
      </c>
      <c r="E283" s="1" t="n">
        <v>21</v>
      </c>
      <c r="F283" s="1" t="n">
        <v>22</v>
      </c>
      <c r="G283" s="1">
        <f>C283+D283+E283+F283</f>
        <v/>
      </c>
      <c r="H283" s="1">
        <f>IF(ISNUMBER(G283),G283,"")</f>
        <v/>
      </c>
      <c r="I283" s="1">
        <f>_xlfn.RANK.EQ(H283,$H$2:$H$1031)</f>
        <v/>
      </c>
      <c r="J283" s="5" t="n">
        <v>414.5</v>
      </c>
      <c r="K283" s="5" t="n">
        <v>25</v>
      </c>
      <c r="L283" s="5" t="n">
        <v>16</v>
      </c>
      <c r="M283" s="5" t="n">
        <v>16</v>
      </c>
      <c r="N283" s="5">
        <f>J283+K283+L283+M283</f>
        <v/>
      </c>
      <c r="O283" s="5">
        <f>IF(ISNUMBER(N283),N283,"")</f>
        <v/>
      </c>
      <c r="P283" s="5">
        <f>_xlfn.RANK.EQ(O283,$O$2:$O$1031)</f>
        <v/>
      </c>
      <c r="Q283" s="9" t="n">
        <v>148</v>
      </c>
      <c r="R283" s="9" t="n">
        <v>36</v>
      </c>
      <c r="S283" s="9" t="n">
        <v>23</v>
      </c>
      <c r="T283" s="9" t="n">
        <v>21</v>
      </c>
      <c r="U283" s="9">
        <f>Q283+R283+S283+T283</f>
        <v/>
      </c>
      <c r="V283" s="9">
        <f>IF(ISNUMBER(U283),U283,"")</f>
        <v/>
      </c>
      <c r="W283" s="9">
        <f>_xlfn.RANK.EQ(V283,$V$2:$V$1031)</f>
        <v/>
      </c>
      <c r="X283" s="13" t="inlineStr">
        <is>
          <t>راسب</t>
        </is>
      </c>
      <c r="Y283" s="13" t="n">
        <v>22</v>
      </c>
      <c r="Z283" s="13" t="n">
        <v>24</v>
      </c>
      <c r="AA283" s="13" t="n">
        <v>25</v>
      </c>
      <c r="AB283" s="13">
        <f>IF(ISNUMBER(X283),X283+N(Y283)+N(Z283)+N(AA283),X283)</f>
        <v/>
      </c>
      <c r="AC283" s="13">
        <f>IF(ISNUMBER(AB283),AB283,"")</f>
        <v/>
      </c>
      <c r="AD283" s="13">
        <f>IF(ISNUMBER(AC283),_xlfn.RANK.EQ(AC283,$AC$2:$AC$1031),"")</f>
        <v/>
      </c>
      <c r="AE283" s="15">
        <f>IF(ISNUMBER(AF283),AF283/3630,"")</f>
        <v/>
      </c>
      <c r="AF283" s="14">
        <f>IFERROR(C283+D283+E283+F283+J283+K283+L283+M283+Q283+R283+S283+T283+IF(ISNUMBER(X283),X283,0)+N(Y283)+N(Z283)+N(AA283),"")</f>
        <v/>
      </c>
      <c r="AG283" s="14">
        <f>IF(ISNUMBER(AF283),AF283,"")</f>
        <v/>
      </c>
      <c r="AH283" s="14">
        <f>IF(ISNUMBER(AG283),_xlfn.RANK.EQ(AG283,$AG$2:$AG$1031),"")</f>
        <v/>
      </c>
    </row>
    <row r="284">
      <c r="A284" s="18" t="n">
        <v>615</v>
      </c>
      <c r="B284" s="18" t="inlineStr">
        <is>
          <t>حنين محمد حليم السيد</t>
        </is>
      </c>
      <c r="C284" s="1" t="n">
        <v>645.9</v>
      </c>
      <c r="D284" s="1" t="n">
        <v>25</v>
      </c>
      <c r="E284" s="1" t="n">
        <v>24</v>
      </c>
      <c r="F284" s="1" t="n">
        <v>24</v>
      </c>
      <c r="G284" s="1">
        <f>C284+D284+E284+F284</f>
        <v/>
      </c>
      <c r="H284" s="1">
        <f>IF(ISNUMBER(G284),G284,"")</f>
        <v/>
      </c>
      <c r="I284" s="1">
        <f>_xlfn.RANK.EQ(H284,$H$2:$H$1031)</f>
        <v/>
      </c>
      <c r="J284" s="5" t="n">
        <v>641.4</v>
      </c>
      <c r="K284" s="5" t="n">
        <v>47</v>
      </c>
      <c r="L284" s="5" t="n">
        <v>25</v>
      </c>
      <c r="M284" s="5" t="n">
        <v>23</v>
      </c>
      <c r="N284" s="5">
        <f>J284+K284+L284+M284</f>
        <v/>
      </c>
      <c r="O284" s="5">
        <f>IF(ISNUMBER(N284),N284,"")</f>
        <v/>
      </c>
      <c r="P284" s="5">
        <f>_xlfn.RANK.EQ(O284,$O$2:$O$1031)</f>
        <v/>
      </c>
      <c r="Q284" s="9" t="n">
        <v>285</v>
      </c>
      <c r="R284" s="9" t="n">
        <v>48.5</v>
      </c>
      <c r="S284" s="9" t="n">
        <v>25</v>
      </c>
      <c r="T284" s="9" t="n">
        <v>25</v>
      </c>
      <c r="U284" s="9">
        <f>Q284+R284+S284+T284</f>
        <v/>
      </c>
      <c r="V284" s="9">
        <f>IF(ISNUMBER(U284),U284,"")</f>
        <v/>
      </c>
      <c r="W284" s="9">
        <f>_xlfn.RANK.EQ(V284,$V$2:$V$1031)</f>
        <v/>
      </c>
      <c r="X284" s="13" t="n">
        <v>1581.1083333333</v>
      </c>
      <c r="Y284" s="13" t="n">
        <v>25</v>
      </c>
      <c r="Z284" s="13" t="n">
        <v>25</v>
      </c>
      <c r="AA284" s="13" t="n">
        <v>25</v>
      </c>
      <c r="AB284" s="13">
        <f>IF(ISNUMBER(X284),X284+N(Y284)+N(Z284)+N(AA284),X284)</f>
        <v/>
      </c>
      <c r="AC284" s="13">
        <f>IF(ISNUMBER(AB284),AB284,"")</f>
        <v/>
      </c>
      <c r="AD284" s="13">
        <f>IF(ISNUMBER(AC284),_xlfn.RANK.EQ(AC284,$AC$2:$AC$1031),"")</f>
        <v/>
      </c>
      <c r="AE284" s="15">
        <f>IF(ISNUMBER(AF284),AF284/3630,"")</f>
        <v/>
      </c>
      <c r="AF284" s="14">
        <f>IFERROR(C284+D284+E284+F284+J284+K284+L284+M284+Q284+R284+S284+T284+IF(ISNUMBER(X284),X284,0)+N(Y284)+N(Z284)+N(AA284),"")</f>
        <v/>
      </c>
      <c r="AG284" s="14">
        <f>IF(ISNUMBER(AF284),AF284,"")</f>
        <v/>
      </c>
      <c r="AH284" s="14">
        <f>IF(ISNUMBER(AG284),_xlfn.RANK.EQ(AG284,$AG$2:$AG$1031),"")</f>
        <v/>
      </c>
    </row>
    <row r="285">
      <c r="A285" s="18" t="n">
        <v>616</v>
      </c>
      <c r="B285" s="18" t="inlineStr">
        <is>
          <t>حنين هانى محمد زغلول حسن</t>
        </is>
      </c>
      <c r="C285" s="1" t="n">
        <v>615.8</v>
      </c>
      <c r="D285" s="1" t="n">
        <v>25</v>
      </c>
      <c r="E285" s="1" t="n">
        <v>25</v>
      </c>
      <c r="F285" s="1" t="n">
        <v>22</v>
      </c>
      <c r="G285" s="1">
        <f>C285+D285+E285+F285</f>
        <v/>
      </c>
      <c r="H285" s="1">
        <f>IF(ISNUMBER(G285),G285,"")</f>
        <v/>
      </c>
      <c r="I285" s="1">
        <f>_xlfn.RANK.EQ(H285,$H$2:$H$1031)</f>
        <v/>
      </c>
      <c r="J285" s="5" t="n">
        <v>595.05</v>
      </c>
      <c r="K285" s="5" t="n">
        <v>49</v>
      </c>
      <c r="L285" s="5" t="n">
        <v>21</v>
      </c>
      <c r="M285" s="5" t="n">
        <v>23</v>
      </c>
      <c r="N285" s="5">
        <f>J285+K285+L285+M285</f>
        <v/>
      </c>
      <c r="O285" s="5">
        <f>IF(ISNUMBER(N285),N285,"")</f>
        <v/>
      </c>
      <c r="P285" s="5">
        <f>_xlfn.RANK.EQ(O285,$O$2:$O$1031)</f>
        <v/>
      </c>
      <c r="Q285" s="9" t="n">
        <v>269</v>
      </c>
      <c r="R285" s="9" t="n">
        <v>49</v>
      </c>
      <c r="S285" s="9" t="n">
        <v>24</v>
      </c>
      <c r="T285" s="9" t="n">
        <v>25</v>
      </c>
      <c r="U285" s="9">
        <f>Q285+R285+S285+T285</f>
        <v/>
      </c>
      <c r="V285" s="9">
        <f>IF(ISNUMBER(U285),U285,"")</f>
        <v/>
      </c>
      <c r="W285" s="9">
        <f>_xlfn.RANK.EQ(V285,$V$2:$V$1031)</f>
        <v/>
      </c>
      <c r="X285" s="13" t="n">
        <v>1439.4666666667</v>
      </c>
      <c r="Y285" s="13" t="n">
        <v>25</v>
      </c>
      <c r="Z285" s="13" t="n">
        <v>25</v>
      </c>
      <c r="AA285" s="13" t="n">
        <v>23</v>
      </c>
      <c r="AB285" s="13">
        <f>IF(ISNUMBER(X285),X285+N(Y285)+N(Z285)+N(AA285),X285)</f>
        <v/>
      </c>
      <c r="AC285" s="13">
        <f>IF(ISNUMBER(AB285),AB285,"")</f>
        <v/>
      </c>
      <c r="AD285" s="13">
        <f>IF(ISNUMBER(AC285),_xlfn.RANK.EQ(AC285,$AC$2:$AC$1031),"")</f>
        <v/>
      </c>
      <c r="AE285" s="15">
        <f>IF(ISNUMBER(AF285),AF285/3630,"")</f>
        <v/>
      </c>
      <c r="AF285" s="14">
        <f>IFERROR(C285+D285+E285+F285+J285+K285+L285+M285+Q285+R285+S285+T285+IF(ISNUMBER(X285),X285,0)+N(Y285)+N(Z285)+N(AA285),"")</f>
        <v/>
      </c>
      <c r="AG285" s="14">
        <f>IF(ISNUMBER(AF285),AF285,"")</f>
        <v/>
      </c>
      <c r="AH285" s="14">
        <f>IF(ISNUMBER(AG285),_xlfn.RANK.EQ(AG285,$AG$2:$AG$1031),"")</f>
        <v/>
      </c>
    </row>
    <row r="286">
      <c r="A286" s="18" t="n">
        <v>629</v>
      </c>
      <c r="B286" s="18" t="inlineStr">
        <is>
          <t>خالد فيصل إسماعيل بهنسي</t>
        </is>
      </c>
      <c r="C286" s="1" t="n">
        <v>474.5</v>
      </c>
      <c r="D286" s="1" t="n">
        <v>20</v>
      </c>
      <c r="E286" s="1" t="n">
        <v>19</v>
      </c>
      <c r="F286" s="1" t="n">
        <v>17</v>
      </c>
      <c r="G286" s="1">
        <f>C286+D286+E286+F286</f>
        <v/>
      </c>
      <c r="H286" s="1">
        <f>IF(ISNUMBER(G286),G286,"")</f>
        <v/>
      </c>
      <c r="I286" s="1">
        <f>_xlfn.RANK.EQ(H286,$H$2:$H$1031)</f>
        <v/>
      </c>
      <c r="J286" s="5" t="n">
        <v>508</v>
      </c>
      <c r="K286" s="5" t="n">
        <v>43</v>
      </c>
      <c r="L286" s="5" t="n">
        <v>16</v>
      </c>
      <c r="M286" s="5" t="n">
        <v>20</v>
      </c>
      <c r="N286" s="5">
        <f>J286+K286+L286+M286</f>
        <v/>
      </c>
      <c r="O286" s="5">
        <f>IF(ISNUMBER(N286),N286,"")</f>
        <v/>
      </c>
      <c r="P286" s="5">
        <f>_xlfn.RANK.EQ(O286,$O$2:$O$1031)</f>
        <v/>
      </c>
      <c r="Q286" s="9" t="n">
        <v>241</v>
      </c>
      <c r="R286" s="9" t="n">
        <v>42</v>
      </c>
      <c r="S286" s="9" t="n">
        <v>24</v>
      </c>
      <c r="T286" s="9" t="n">
        <v>23</v>
      </c>
      <c r="U286" s="9">
        <f>Q286+R286+S286+T286</f>
        <v/>
      </c>
      <c r="V286" s="9">
        <f>IF(ISNUMBER(U286),U286,"")</f>
        <v/>
      </c>
      <c r="W286" s="9">
        <f>_xlfn.RANK.EQ(V286,$V$2:$V$1031)</f>
        <v/>
      </c>
      <c r="X286" s="13" t="n">
        <v>1270.125</v>
      </c>
      <c r="Y286" s="13" t="n">
        <v>20</v>
      </c>
      <c r="Z286" s="13" t="n">
        <v>23</v>
      </c>
      <c r="AA286" s="13" t="n">
        <v>23</v>
      </c>
      <c r="AB286" s="13">
        <f>IF(ISNUMBER(X286),X286+N(Y286)+N(Z286)+N(AA286),X286)</f>
        <v/>
      </c>
      <c r="AC286" s="13">
        <f>IF(ISNUMBER(AB286),AB286,"")</f>
        <v/>
      </c>
      <c r="AD286" s="13">
        <f>IF(ISNUMBER(AC286),_xlfn.RANK.EQ(AC286,$AC$2:$AC$1031),"")</f>
        <v/>
      </c>
      <c r="AE286" s="15">
        <f>IF(ISNUMBER(AF286),AF286/3630,"")</f>
        <v/>
      </c>
      <c r="AF286" s="14">
        <f>IFERROR(C286+D286+E286+F286+J286+K286+L286+M286+Q286+R286+S286+T286+IF(ISNUMBER(X286),X286,0)+N(Y286)+N(Z286)+N(AA286),"")</f>
        <v/>
      </c>
      <c r="AG286" s="14">
        <f>IF(ISNUMBER(AF286),AF286,"")</f>
        <v/>
      </c>
      <c r="AH286" s="14">
        <f>IF(ISNUMBER(AG286),_xlfn.RANK.EQ(AG286,$AG$2:$AG$1031),"")</f>
        <v/>
      </c>
    </row>
    <row r="287">
      <c r="A287" s="18" t="n">
        <v>633</v>
      </c>
      <c r="B287" s="18" t="inlineStr">
        <is>
          <t>خالد محمود كامل محمد علي المادنه</t>
        </is>
      </c>
      <c r="C287" s="1" t="n">
        <v>491.8</v>
      </c>
      <c r="D287" s="1" t="n">
        <v>24</v>
      </c>
      <c r="E287" s="1" t="n"/>
      <c r="F287" s="1" t="n">
        <v>23</v>
      </c>
      <c r="G287" s="1">
        <f>C287+D287+E287+F287</f>
        <v/>
      </c>
      <c r="H287" s="1">
        <f>IF(ISNUMBER(G287),G287,"")</f>
        <v/>
      </c>
      <c r="I287" s="1">
        <f>_xlfn.RANK.EQ(H287,$H$2:$H$1031)</f>
        <v/>
      </c>
      <c r="J287" s="5" t="n">
        <v>552.45</v>
      </c>
      <c r="K287" s="5" t="n">
        <v>44</v>
      </c>
      <c r="L287" s="5" t="n">
        <v>23</v>
      </c>
      <c r="M287" s="5" t="n">
        <v>22</v>
      </c>
      <c r="N287" s="5">
        <f>J287+K287+L287+M287</f>
        <v/>
      </c>
      <c r="O287" s="5">
        <f>IF(ISNUMBER(N287),N287,"")</f>
        <v/>
      </c>
      <c r="P287" s="5">
        <f>_xlfn.RANK.EQ(O287,$O$2:$O$1031)</f>
        <v/>
      </c>
      <c r="Q287" s="9" t="n">
        <v>240.5</v>
      </c>
      <c r="R287" s="9" t="n">
        <v>45.5</v>
      </c>
      <c r="S287" s="9" t="n">
        <v>24</v>
      </c>
      <c r="T287" s="9" t="n">
        <v>24</v>
      </c>
      <c r="U287" s="9">
        <f>Q287+R287+S287+T287</f>
        <v/>
      </c>
      <c r="V287" s="9">
        <f>IF(ISNUMBER(U287),U287,"")</f>
        <v/>
      </c>
      <c r="W287" s="9">
        <f>_xlfn.RANK.EQ(V287,$V$2:$V$1031)</f>
        <v/>
      </c>
      <c r="X287" s="13" t="n">
        <v>1462.5333333333</v>
      </c>
      <c r="Y287" s="13" t="n">
        <v>24</v>
      </c>
      <c r="Z287" s="13" t="n">
        <v>24</v>
      </c>
      <c r="AA287" s="13" t="n">
        <v>24</v>
      </c>
      <c r="AB287" s="13">
        <f>IF(ISNUMBER(X287),X287+N(Y287)+N(Z287)+N(AA287),X287)</f>
        <v/>
      </c>
      <c r="AC287" s="13">
        <f>IF(ISNUMBER(AB287),AB287,"")</f>
        <v/>
      </c>
      <c r="AD287" s="13">
        <f>IF(ISNUMBER(AC287),_xlfn.RANK.EQ(AC287,$AC$2:$AC$1031),"")</f>
        <v/>
      </c>
      <c r="AE287" s="15">
        <f>IF(ISNUMBER(AF287),AF287/3630,"")</f>
        <v/>
      </c>
      <c r="AF287" s="14">
        <f>IFERROR(C287+D287+E287+F287+J287+K287+L287+M287+Q287+R287+S287+T287+IF(ISNUMBER(X287),X287,0)+N(Y287)+N(Z287)+N(AA287),"")</f>
        <v/>
      </c>
      <c r="AG287" s="14">
        <f>IF(ISNUMBER(AF287),AF287,"")</f>
        <v/>
      </c>
      <c r="AH287" s="14">
        <f>IF(ISNUMBER(AG287),_xlfn.RANK.EQ(AG287,$AG$2:$AG$1031),"")</f>
        <v/>
      </c>
    </row>
    <row r="288">
      <c r="A288" s="18" t="n">
        <v>637</v>
      </c>
      <c r="B288" s="18" t="inlineStr">
        <is>
          <t>خديجة احمد فوزى احمد</t>
        </is>
      </c>
      <c r="C288" s="1" t="n">
        <v>596.8</v>
      </c>
      <c r="D288" s="1" t="n">
        <v>25</v>
      </c>
      <c r="E288" s="1" t="n">
        <v>25</v>
      </c>
      <c r="F288" s="1" t="n">
        <v>23</v>
      </c>
      <c r="G288" s="1">
        <f>C288+D288+E288+F288</f>
        <v/>
      </c>
      <c r="H288" s="1">
        <f>IF(ISNUMBER(G288),G288,"")</f>
        <v/>
      </c>
      <c r="I288" s="1">
        <f>_xlfn.RANK.EQ(H288,$H$2:$H$1031)</f>
        <v/>
      </c>
      <c r="J288" s="5" t="n">
        <v>615.95</v>
      </c>
      <c r="K288" s="5" t="n">
        <v>48</v>
      </c>
      <c r="L288" s="5" t="n">
        <v>22</v>
      </c>
      <c r="M288" s="5" t="n">
        <v>24</v>
      </c>
      <c r="N288" s="5">
        <f>J288+K288+L288+M288</f>
        <v/>
      </c>
      <c r="O288" s="5">
        <f>IF(ISNUMBER(N288),N288,"")</f>
        <v/>
      </c>
      <c r="P288" s="5">
        <f>_xlfn.RANK.EQ(O288,$O$2:$O$1031)</f>
        <v/>
      </c>
      <c r="Q288" s="9" t="n">
        <v>268</v>
      </c>
      <c r="R288" s="9" t="n">
        <v>48.5</v>
      </c>
      <c r="S288" s="9" t="n">
        <v>25</v>
      </c>
      <c r="T288" s="9" t="n">
        <v>25</v>
      </c>
      <c r="U288" s="9">
        <f>Q288+R288+S288+T288</f>
        <v/>
      </c>
      <c r="V288" s="9">
        <f>IF(ISNUMBER(U288),U288,"")</f>
        <v/>
      </c>
      <c r="W288" s="9">
        <f>_xlfn.RANK.EQ(V288,$V$2:$V$1031)</f>
        <v/>
      </c>
      <c r="X288" s="13" t="n">
        <v>1523.1333333333</v>
      </c>
      <c r="Y288" s="13" t="n">
        <v>25</v>
      </c>
      <c r="Z288" s="13" t="n">
        <v>23</v>
      </c>
      <c r="AA288" s="13" t="n">
        <v>24</v>
      </c>
      <c r="AB288" s="13">
        <f>IF(ISNUMBER(X288),X288+N(Y288)+N(Z288)+N(AA288),X288)</f>
        <v/>
      </c>
      <c r="AC288" s="13">
        <f>IF(ISNUMBER(AB288),AB288,"")</f>
        <v/>
      </c>
      <c r="AD288" s="13">
        <f>IF(ISNUMBER(AC288),_xlfn.RANK.EQ(AC288,$AC$2:$AC$1031),"")</f>
        <v/>
      </c>
      <c r="AE288" s="15">
        <f>IF(ISNUMBER(AF288),AF288/3630,"")</f>
        <v/>
      </c>
      <c r="AF288" s="14">
        <f>IFERROR(C288+D288+E288+F288+J288+K288+L288+M288+Q288+R288+S288+T288+IF(ISNUMBER(X288),X288,0)+N(Y288)+N(Z288)+N(AA288),"")</f>
        <v/>
      </c>
      <c r="AG288" s="14">
        <f>IF(ISNUMBER(AF288),AF288,"")</f>
        <v/>
      </c>
      <c r="AH288" s="14">
        <f>IF(ISNUMBER(AG288),_xlfn.RANK.EQ(AG288,$AG$2:$AG$1031),"")</f>
        <v/>
      </c>
    </row>
    <row r="289">
      <c r="A289" s="18" t="n">
        <v>648</v>
      </c>
      <c r="B289" s="18" t="inlineStr">
        <is>
          <t>دارين حاتم ابوالهدى  محمد</t>
        </is>
      </c>
      <c r="C289" s="1" t="n">
        <v>454.5</v>
      </c>
      <c r="D289" s="1" t="n">
        <v>23</v>
      </c>
      <c r="E289" s="1" t="n">
        <v>20</v>
      </c>
      <c r="F289" s="1" t="n">
        <v>20</v>
      </c>
      <c r="G289" s="1">
        <f>C289+D289+E289+F289</f>
        <v/>
      </c>
      <c r="H289" s="1">
        <f>IF(ISNUMBER(G289),G289,"")</f>
        <v/>
      </c>
      <c r="I289" s="1">
        <f>_xlfn.RANK.EQ(H289,$H$2:$H$1031)</f>
        <v/>
      </c>
      <c r="J289" s="5" t="n">
        <v>468.95</v>
      </c>
      <c r="K289" s="5" t="n">
        <v>45</v>
      </c>
      <c r="L289" s="5" t="n">
        <v>24</v>
      </c>
      <c r="M289" s="5" t="n">
        <v>23</v>
      </c>
      <c r="N289" s="5">
        <f>J289+K289+L289+M289</f>
        <v/>
      </c>
      <c r="O289" s="5">
        <f>IF(ISNUMBER(N289),N289,"")</f>
        <v/>
      </c>
      <c r="P289" s="5">
        <f>_xlfn.RANK.EQ(O289,$O$2:$O$1031)</f>
        <v/>
      </c>
      <c r="Q289" s="9" t="n">
        <v>233</v>
      </c>
      <c r="R289" s="9" t="n">
        <v>44.5</v>
      </c>
      <c r="S289" s="9" t="n">
        <v>25</v>
      </c>
      <c r="T289" s="9" t="n">
        <v>25</v>
      </c>
      <c r="U289" s="9">
        <f>Q289+R289+S289+T289</f>
        <v/>
      </c>
      <c r="V289" s="9">
        <f>IF(ISNUMBER(U289),U289,"")</f>
        <v/>
      </c>
      <c r="W289" s="9">
        <f>_xlfn.RANK.EQ(V289,$V$2:$V$1031)</f>
        <v/>
      </c>
      <c r="X289" s="13" t="n">
        <v>1371.8625</v>
      </c>
      <c r="Y289" s="13" t="n">
        <v>25</v>
      </c>
      <c r="Z289" s="13" t="n">
        <v>25</v>
      </c>
      <c r="AA289" s="13" t="n">
        <v>24</v>
      </c>
      <c r="AB289" s="13">
        <f>IF(ISNUMBER(X289),X289+N(Y289)+N(Z289)+N(AA289),X289)</f>
        <v/>
      </c>
      <c r="AC289" s="13">
        <f>IF(ISNUMBER(AB289),AB289,"")</f>
        <v/>
      </c>
      <c r="AD289" s="13">
        <f>IF(ISNUMBER(AC289),_xlfn.RANK.EQ(AC289,$AC$2:$AC$1031),"")</f>
        <v/>
      </c>
      <c r="AE289" s="15">
        <f>IF(ISNUMBER(AF289),AF289/3630,"")</f>
        <v/>
      </c>
      <c r="AF289" s="14">
        <f>IFERROR(C289+D289+E289+F289+J289+K289+L289+M289+Q289+R289+S289+T289+IF(ISNUMBER(X289),X289,0)+N(Y289)+N(Z289)+N(AA289),"")</f>
        <v/>
      </c>
      <c r="AG289" s="14">
        <f>IF(ISNUMBER(AF289),AF289,"")</f>
        <v/>
      </c>
      <c r="AH289" s="14">
        <f>IF(ISNUMBER(AG289),_xlfn.RANK.EQ(AG289,$AG$2:$AG$1031),"")</f>
        <v/>
      </c>
    </row>
    <row r="290">
      <c r="A290" s="18" t="n">
        <v>649</v>
      </c>
      <c r="B290" s="18" t="inlineStr">
        <is>
          <t>دارين خالد سعد عبد المجيد عطية</t>
        </is>
      </c>
      <c r="C290" s="1" t="n">
        <v>507.1</v>
      </c>
      <c r="D290" s="1" t="n">
        <v>21</v>
      </c>
      <c r="E290" s="1" t="n">
        <v>24</v>
      </c>
      <c r="F290" s="1" t="n">
        <v>23</v>
      </c>
      <c r="G290" s="1">
        <f>C290+D290+E290+F290</f>
        <v/>
      </c>
      <c r="H290" s="1">
        <f>IF(ISNUMBER(G290),G290,"")</f>
        <v/>
      </c>
      <c r="I290" s="1">
        <f>_xlfn.RANK.EQ(H290,$H$2:$H$1031)</f>
        <v/>
      </c>
      <c r="J290" s="5" t="n">
        <v>558.3</v>
      </c>
      <c r="K290" s="5" t="n">
        <v>45</v>
      </c>
      <c r="L290" s="5" t="n">
        <v>21</v>
      </c>
      <c r="M290" s="5" t="n">
        <v>20</v>
      </c>
      <c r="N290" s="5">
        <f>J290+K290+L290+M290</f>
        <v/>
      </c>
      <c r="O290" s="5">
        <f>IF(ISNUMBER(N290),N290,"")</f>
        <v/>
      </c>
      <c r="P290" s="5">
        <f>_xlfn.RANK.EQ(O290,$O$2:$O$1031)</f>
        <v/>
      </c>
      <c r="Q290" s="9" t="n">
        <v>258.75</v>
      </c>
      <c r="R290" s="9" t="n">
        <v>45</v>
      </c>
      <c r="S290" s="9" t="n">
        <v>24</v>
      </c>
      <c r="T290" s="9" t="n">
        <v>25</v>
      </c>
      <c r="U290" s="9">
        <f>Q290+R290+S290+T290</f>
        <v/>
      </c>
      <c r="V290" s="9">
        <f>IF(ISNUMBER(U290),U290,"")</f>
        <v/>
      </c>
      <c r="W290" s="9">
        <f>_xlfn.RANK.EQ(V290,$V$2:$V$1031)</f>
        <v/>
      </c>
      <c r="X290" s="13" t="n">
        <v>1329.8708333333</v>
      </c>
      <c r="Y290" s="13" t="n">
        <v>25</v>
      </c>
      <c r="Z290" s="13" t="n">
        <v>25</v>
      </c>
      <c r="AA290" s="13" t="n">
        <v>22</v>
      </c>
      <c r="AB290" s="13">
        <f>IF(ISNUMBER(X290),X290+N(Y290)+N(Z290)+N(AA290),X290)</f>
        <v/>
      </c>
      <c r="AC290" s="13">
        <f>IF(ISNUMBER(AB290),AB290,"")</f>
        <v/>
      </c>
      <c r="AD290" s="13">
        <f>IF(ISNUMBER(AC290),_xlfn.RANK.EQ(AC290,$AC$2:$AC$1031),"")</f>
        <v/>
      </c>
      <c r="AE290" s="15">
        <f>IF(ISNUMBER(AF290),AF290/3630,"")</f>
        <v/>
      </c>
      <c r="AF290" s="14">
        <f>IFERROR(C290+D290+E290+F290+J290+K290+L290+M290+Q290+R290+S290+T290+IF(ISNUMBER(X290),X290,0)+N(Y290)+N(Z290)+N(AA290),"")</f>
        <v/>
      </c>
      <c r="AG290" s="14">
        <f>IF(ISNUMBER(AF290),AF290,"")</f>
        <v/>
      </c>
      <c r="AH290" s="14">
        <f>IF(ISNUMBER(AG290),_xlfn.RANK.EQ(AG290,$AG$2:$AG$1031),"")</f>
        <v/>
      </c>
    </row>
    <row r="291">
      <c r="A291" s="18" t="n">
        <v>660</v>
      </c>
      <c r="B291" s="18" t="inlineStr">
        <is>
          <t>دنيا عبد الفتاح ابراهيم عبدالفتاح ناجي</t>
        </is>
      </c>
      <c r="C291" s="1" t="n">
        <v>576</v>
      </c>
      <c r="D291" s="1" t="n">
        <v>21</v>
      </c>
      <c r="E291" s="1" t="n">
        <v>22</v>
      </c>
      <c r="F291" s="1" t="n">
        <v>20</v>
      </c>
      <c r="G291" s="1">
        <f>C291+D291+E291+F291</f>
        <v/>
      </c>
      <c r="H291" s="1">
        <f>IF(ISNUMBER(G291),G291,"")</f>
        <v/>
      </c>
      <c r="I291" s="1">
        <f>_xlfn.RANK.EQ(H291,$H$2:$H$1031)</f>
        <v/>
      </c>
      <c r="J291" s="5" t="n">
        <v>559.85</v>
      </c>
      <c r="K291" s="5" t="n">
        <v>46</v>
      </c>
      <c r="L291" s="5" t="n">
        <v>21</v>
      </c>
      <c r="M291" s="5" t="n">
        <v>20</v>
      </c>
      <c r="N291" s="5">
        <f>J291+K291+L291+M291</f>
        <v/>
      </c>
      <c r="O291" s="5">
        <f>IF(ISNUMBER(N291),N291,"")</f>
        <v/>
      </c>
      <c r="P291" s="5">
        <f>_xlfn.RANK.EQ(O291,$O$2:$O$1031)</f>
        <v/>
      </c>
      <c r="Q291" s="9" t="n">
        <v>252</v>
      </c>
      <c r="R291" s="9" t="n">
        <v>46</v>
      </c>
      <c r="S291" s="9" t="n">
        <v>22</v>
      </c>
      <c r="T291" s="9" t="n">
        <v>24</v>
      </c>
      <c r="U291" s="9">
        <f>Q291+R291+S291+T291</f>
        <v/>
      </c>
      <c r="V291" s="9">
        <f>IF(ISNUMBER(U291),U291,"")</f>
        <v/>
      </c>
      <c r="W291" s="9">
        <f>_xlfn.RANK.EQ(V291,$V$2:$V$1031)</f>
        <v/>
      </c>
      <c r="X291" s="13" t="n">
        <v>1366.8625</v>
      </c>
      <c r="Y291" s="13" t="n">
        <v>25</v>
      </c>
      <c r="Z291" s="13" t="n">
        <v>22.5</v>
      </c>
      <c r="AA291" s="13" t="n">
        <v>22</v>
      </c>
      <c r="AB291" s="13">
        <f>IF(ISNUMBER(X291),X291+N(Y291)+N(Z291)+N(AA291),X291)</f>
        <v/>
      </c>
      <c r="AC291" s="13">
        <f>IF(ISNUMBER(AB291),AB291,"")</f>
        <v/>
      </c>
      <c r="AD291" s="13">
        <f>IF(ISNUMBER(AC291),_xlfn.RANK.EQ(AC291,$AC$2:$AC$1031),"")</f>
        <v/>
      </c>
      <c r="AE291" s="15">
        <f>IF(ISNUMBER(AF291),AF291/3630,"")</f>
        <v/>
      </c>
      <c r="AF291" s="14">
        <f>IFERROR(C291+D291+E291+F291+J291+K291+L291+M291+Q291+R291+S291+T291+IF(ISNUMBER(X291),X291,0)+N(Y291)+N(Z291)+N(AA291),"")</f>
        <v/>
      </c>
      <c r="AG291" s="14">
        <f>IF(ISNUMBER(AF291),AF291,"")</f>
        <v/>
      </c>
      <c r="AH291" s="14">
        <f>IF(ISNUMBER(AG291),_xlfn.RANK.EQ(AG291,$AG$2:$AG$1031),"")</f>
        <v/>
      </c>
    </row>
    <row r="292">
      <c r="A292" s="18" t="n">
        <v>662</v>
      </c>
      <c r="B292" s="18" t="inlineStr">
        <is>
          <t>دنيا عصام حسين الوردانى</t>
        </is>
      </c>
      <c r="C292" s="1" t="n">
        <v>563.1</v>
      </c>
      <c r="D292" s="1" t="n">
        <v>23</v>
      </c>
      <c r="E292" s="1" t="n">
        <v>21</v>
      </c>
      <c r="F292" s="1" t="n">
        <v>20</v>
      </c>
      <c r="G292" s="1">
        <f>C292+D292+E292+F292</f>
        <v/>
      </c>
      <c r="H292" s="1">
        <f>IF(ISNUMBER(G292),G292,"")</f>
        <v/>
      </c>
      <c r="I292" s="1">
        <f>_xlfn.RANK.EQ(H292,$H$2:$H$1031)</f>
        <v/>
      </c>
      <c r="J292" s="5" t="n">
        <v>554.05</v>
      </c>
      <c r="K292" s="5" t="n">
        <v>44</v>
      </c>
      <c r="L292" s="5" t="n">
        <v>21</v>
      </c>
      <c r="M292" s="5" t="n">
        <v>18</v>
      </c>
      <c r="N292" s="5">
        <f>J292+K292+L292+M292</f>
        <v/>
      </c>
      <c r="O292" s="5">
        <f>IF(ISNUMBER(N292),N292,"")</f>
        <v/>
      </c>
      <c r="P292" s="5">
        <f>_xlfn.RANK.EQ(O292,$O$2:$O$1031)</f>
        <v/>
      </c>
      <c r="Q292" s="9" t="n">
        <v>245.5</v>
      </c>
      <c r="R292" s="9" t="n">
        <v>41.5</v>
      </c>
      <c r="S292" s="9" t="n">
        <v>21</v>
      </c>
      <c r="T292" s="9" t="n">
        <v>24</v>
      </c>
      <c r="U292" s="9">
        <f>Q292+R292+S292+T292</f>
        <v/>
      </c>
      <c r="V292" s="9">
        <f>IF(ISNUMBER(U292),U292,"")</f>
        <v/>
      </c>
      <c r="W292" s="9">
        <f>_xlfn.RANK.EQ(V292,$V$2:$V$1031)</f>
        <v/>
      </c>
      <c r="X292" s="13" t="n">
        <v>1279.3166666667</v>
      </c>
      <c r="Y292" s="13" t="n">
        <v>25</v>
      </c>
      <c r="Z292" s="13" t="n">
        <v>25</v>
      </c>
      <c r="AA292" s="13" t="n">
        <v>21</v>
      </c>
      <c r="AB292" s="13">
        <f>IF(ISNUMBER(X292),X292+N(Y292)+N(Z292)+N(AA292),X292)</f>
        <v/>
      </c>
      <c r="AC292" s="13">
        <f>IF(ISNUMBER(AB292),AB292,"")</f>
        <v/>
      </c>
      <c r="AD292" s="13">
        <f>IF(ISNUMBER(AC292),_xlfn.RANK.EQ(AC292,$AC$2:$AC$1031),"")</f>
        <v/>
      </c>
      <c r="AE292" s="15">
        <f>IF(ISNUMBER(AF292),AF292/3630,"")</f>
        <v/>
      </c>
      <c r="AF292" s="14">
        <f>IFERROR(C292+D292+E292+F292+J292+K292+L292+M292+Q292+R292+S292+T292+IF(ISNUMBER(X292),X292,0)+N(Y292)+N(Z292)+N(AA292),"")</f>
        <v/>
      </c>
      <c r="AG292" s="14">
        <f>IF(ISNUMBER(AF292),AF292,"")</f>
        <v/>
      </c>
      <c r="AH292" s="14">
        <f>IF(ISNUMBER(AG292),_xlfn.RANK.EQ(AG292,$AG$2:$AG$1031),"")</f>
        <v/>
      </c>
    </row>
    <row r="293">
      <c r="A293" s="18" t="n">
        <v>665</v>
      </c>
      <c r="B293" s="18" t="inlineStr">
        <is>
          <t>دينا خميس حسنين محمد حسنين</t>
        </is>
      </c>
      <c r="C293" s="1" t="n">
        <v>564.4</v>
      </c>
      <c r="D293" s="1" t="n">
        <v>25</v>
      </c>
      <c r="E293" s="1" t="n">
        <v>25</v>
      </c>
      <c r="F293" s="1" t="n">
        <v>24</v>
      </c>
      <c r="G293" s="1">
        <f>C293+D293+E293+F293</f>
        <v/>
      </c>
      <c r="H293" s="1">
        <f>IF(ISNUMBER(G293),G293,"")</f>
        <v/>
      </c>
      <c r="I293" s="1">
        <f>_xlfn.RANK.EQ(H293,$H$2:$H$1031)</f>
        <v/>
      </c>
      <c r="J293" s="5" t="n">
        <v>590.65</v>
      </c>
      <c r="K293" s="5" t="n">
        <v>45</v>
      </c>
      <c r="L293" s="5" t="n">
        <v>22</v>
      </c>
      <c r="M293" s="5" t="n">
        <v>23</v>
      </c>
      <c r="N293" s="5">
        <f>J293+K293+L293+M293</f>
        <v/>
      </c>
      <c r="O293" s="5">
        <f>IF(ISNUMBER(N293),N293,"")</f>
        <v/>
      </c>
      <c r="P293" s="5">
        <f>_xlfn.RANK.EQ(O293,$O$2:$O$1031)</f>
        <v/>
      </c>
      <c r="Q293" s="9" t="n">
        <v>246</v>
      </c>
      <c r="R293" s="9" t="n">
        <v>48.5</v>
      </c>
      <c r="S293" s="9" t="n">
        <v>25</v>
      </c>
      <c r="T293" s="9" t="n">
        <v>24</v>
      </c>
      <c r="U293" s="9">
        <f>Q293+R293+S293+T293</f>
        <v/>
      </c>
      <c r="V293" s="9">
        <f>IF(ISNUMBER(U293),U293,"")</f>
        <v/>
      </c>
      <c r="W293" s="9">
        <f>_xlfn.RANK.EQ(V293,$V$2:$V$1031)</f>
        <v/>
      </c>
      <c r="X293" s="13" t="n">
        <v>1435.7416666667</v>
      </c>
      <c r="Y293" s="13" t="n">
        <v>25</v>
      </c>
      <c r="Z293" s="13" t="n">
        <v>23</v>
      </c>
      <c r="AA293" s="13" t="n">
        <v>24</v>
      </c>
      <c r="AB293" s="13">
        <f>IF(ISNUMBER(X293),X293+N(Y293)+N(Z293)+N(AA293),X293)</f>
        <v/>
      </c>
      <c r="AC293" s="13">
        <f>IF(ISNUMBER(AB293),AB293,"")</f>
        <v/>
      </c>
      <c r="AD293" s="13">
        <f>IF(ISNUMBER(AC293),_xlfn.RANK.EQ(AC293,$AC$2:$AC$1031),"")</f>
        <v/>
      </c>
      <c r="AE293" s="15">
        <f>IF(ISNUMBER(AF293),AF293/3630,"")</f>
        <v/>
      </c>
      <c r="AF293" s="14">
        <f>IFERROR(C293+D293+E293+F293+J293+K293+L293+M293+Q293+R293+S293+T293+IF(ISNUMBER(X293),X293,0)+N(Y293)+N(Z293)+N(AA293),"")</f>
        <v/>
      </c>
      <c r="AG293" s="14">
        <f>IF(ISNUMBER(AF293),AF293,"")</f>
        <v/>
      </c>
      <c r="AH293" s="14">
        <f>IF(ISNUMBER(AG293),_xlfn.RANK.EQ(AG293,$AG$2:$AG$1031),"")</f>
        <v/>
      </c>
    </row>
    <row r="294">
      <c r="A294" s="18" t="n">
        <v>666</v>
      </c>
      <c r="B294" s="18" t="inlineStr">
        <is>
          <t>دينا عبدالحميد حلمى عبدالحميد الشماع</t>
        </is>
      </c>
      <c r="C294" s="1" t="n">
        <v>490.9</v>
      </c>
      <c r="D294" s="1" t="n">
        <v>24</v>
      </c>
      <c r="E294" s="1" t="n">
        <v>20</v>
      </c>
      <c r="F294" s="1" t="n">
        <v>20</v>
      </c>
      <c r="G294" s="1">
        <f>C294+D294+E294+F294</f>
        <v/>
      </c>
      <c r="H294" s="1">
        <f>IF(ISNUMBER(G294),G294,"")</f>
        <v/>
      </c>
      <c r="I294" s="1">
        <f>_xlfn.RANK.EQ(H294,$H$2:$H$1031)</f>
        <v/>
      </c>
      <c r="J294" s="5" t="n">
        <v>466.55</v>
      </c>
      <c r="K294" s="5" t="n">
        <v>44</v>
      </c>
      <c r="L294" s="5" t="n">
        <v>19</v>
      </c>
      <c r="M294" s="5" t="n">
        <v>19</v>
      </c>
      <c r="N294" s="5">
        <f>J294+K294+L294+M294</f>
        <v/>
      </c>
      <c r="O294" s="5">
        <f>IF(ISNUMBER(N294),N294,"")</f>
        <v/>
      </c>
      <c r="P294" s="5">
        <f>_xlfn.RANK.EQ(O294,$O$2:$O$1031)</f>
        <v/>
      </c>
      <c r="Q294" s="9" t="n">
        <v>197.5</v>
      </c>
      <c r="R294" s="9" t="n">
        <v>40.5</v>
      </c>
      <c r="S294" s="9" t="n">
        <v>23</v>
      </c>
      <c r="T294" s="9" t="n">
        <v>24</v>
      </c>
      <c r="U294" s="9">
        <f>Q294+R294+S294+T294</f>
        <v/>
      </c>
      <c r="V294" s="9">
        <f>IF(ISNUMBER(U294),U294,"")</f>
        <v/>
      </c>
      <c r="W294" s="9">
        <f>_xlfn.RANK.EQ(V294,$V$2:$V$1031)</f>
        <v/>
      </c>
      <c r="X294" s="13" t="inlineStr">
        <is>
          <t>راسب</t>
        </is>
      </c>
      <c r="Y294" s="13" t="n">
        <v>24</v>
      </c>
      <c r="Z294" s="13" t="n">
        <v>18.5</v>
      </c>
      <c r="AA294" s="13" t="n">
        <v>23</v>
      </c>
      <c r="AB294" s="13">
        <f>IF(ISNUMBER(X294),X294+N(Y294)+N(Z294)+N(AA294),X294)</f>
        <v/>
      </c>
      <c r="AC294" s="13">
        <f>IF(ISNUMBER(AB294),AB294,"")</f>
        <v/>
      </c>
      <c r="AD294" s="13">
        <f>IF(ISNUMBER(AC294),_xlfn.RANK.EQ(AC294,$AC$2:$AC$1031),"")</f>
        <v/>
      </c>
      <c r="AE294" s="15">
        <f>IF(ISNUMBER(AF294),AF294/3630,"")</f>
        <v/>
      </c>
      <c r="AF294" s="14">
        <f>IFERROR(C294+D294+E294+F294+J294+K294+L294+M294+Q294+R294+S294+T294+IF(ISNUMBER(X294),X294,0)+N(Y294)+N(Z294)+N(AA294),"")</f>
        <v/>
      </c>
      <c r="AG294" s="14">
        <f>IF(ISNUMBER(AF294),AF294,"")</f>
        <v/>
      </c>
      <c r="AH294" s="14">
        <f>IF(ISNUMBER(AG294),_xlfn.RANK.EQ(AG294,$AG$2:$AG$1031),"")</f>
        <v/>
      </c>
    </row>
    <row r="295">
      <c r="A295" s="18" t="n">
        <v>667</v>
      </c>
      <c r="B295" s="18" t="inlineStr">
        <is>
          <t>دينا مجدى ابراهيم حسن ابراهيم</t>
        </is>
      </c>
      <c r="C295" s="1" t="n">
        <v>602.2</v>
      </c>
      <c r="D295" s="1" t="n">
        <v>22</v>
      </c>
      <c r="E295" s="1" t="n">
        <v>24</v>
      </c>
      <c r="F295" s="1" t="n">
        <v>23</v>
      </c>
      <c r="G295" s="1">
        <f>C295+D295+E295+F295</f>
        <v/>
      </c>
      <c r="H295" s="1">
        <f>IF(ISNUMBER(G295),G295,"")</f>
        <v/>
      </c>
      <c r="I295" s="1">
        <f>_xlfn.RANK.EQ(H295,$H$2:$H$1031)</f>
        <v/>
      </c>
      <c r="J295" s="5" t="n">
        <v>605.5</v>
      </c>
      <c r="K295" s="5" t="n">
        <v>47</v>
      </c>
      <c r="L295" s="5" t="n">
        <v>22</v>
      </c>
      <c r="M295" s="5" t="n">
        <v>20</v>
      </c>
      <c r="N295" s="5">
        <f>J295+K295+L295+M295</f>
        <v/>
      </c>
      <c r="O295" s="5">
        <f>IF(ISNUMBER(N295),N295,"")</f>
        <v/>
      </c>
      <c r="P295" s="5">
        <f>_xlfn.RANK.EQ(O295,$O$2:$O$1031)</f>
        <v/>
      </c>
      <c r="Q295" s="9" t="n">
        <v>264</v>
      </c>
      <c r="R295" s="9" t="n">
        <v>47</v>
      </c>
      <c r="S295" s="9" t="n">
        <v>25</v>
      </c>
      <c r="T295" s="9" t="n">
        <v>25</v>
      </c>
      <c r="U295" s="9">
        <f>Q295+R295+S295+T295</f>
        <v/>
      </c>
      <c r="V295" s="9">
        <f>IF(ISNUMBER(U295),U295,"")</f>
        <v/>
      </c>
      <c r="W295" s="9">
        <f>_xlfn.RANK.EQ(V295,$V$2:$V$1031)</f>
        <v/>
      </c>
      <c r="X295" s="13" t="n">
        <v>1458.7416666667</v>
      </c>
      <c r="Y295" s="13" t="n">
        <v>25</v>
      </c>
      <c r="Z295" s="13" t="n">
        <v>25</v>
      </c>
      <c r="AA295" s="13" t="n">
        <v>24</v>
      </c>
      <c r="AB295" s="13">
        <f>IF(ISNUMBER(X295),X295+N(Y295)+N(Z295)+N(AA295),X295)</f>
        <v/>
      </c>
      <c r="AC295" s="13">
        <f>IF(ISNUMBER(AB295),AB295,"")</f>
        <v/>
      </c>
      <c r="AD295" s="13">
        <f>IF(ISNUMBER(AC295),_xlfn.RANK.EQ(AC295,$AC$2:$AC$1031),"")</f>
        <v/>
      </c>
      <c r="AE295" s="15">
        <f>IF(ISNUMBER(AF295),AF295/3630,"")</f>
        <v/>
      </c>
      <c r="AF295" s="14">
        <f>IFERROR(C295+D295+E295+F295+J295+K295+L295+M295+Q295+R295+S295+T295+IF(ISNUMBER(X295),X295,0)+N(Y295)+N(Z295)+N(AA295),"")</f>
        <v/>
      </c>
      <c r="AG295" s="14">
        <f>IF(ISNUMBER(AF295),AF295,"")</f>
        <v/>
      </c>
      <c r="AH295" s="14">
        <f>IF(ISNUMBER(AG295),_xlfn.RANK.EQ(AG295,$AG$2:$AG$1031),"")</f>
        <v/>
      </c>
    </row>
    <row r="296">
      <c r="A296" s="18" t="n">
        <v>677</v>
      </c>
      <c r="B296" s="18" t="inlineStr">
        <is>
          <t>رانيا محمود محمد احمد الجيزاوي</t>
        </is>
      </c>
      <c r="C296" s="1" t="n">
        <v>603.7</v>
      </c>
      <c r="D296" s="1" t="n">
        <v>24</v>
      </c>
      <c r="E296" s="1" t="n">
        <v>23</v>
      </c>
      <c r="F296" s="1" t="n">
        <v>24</v>
      </c>
      <c r="G296" s="1">
        <f>C296+D296+E296+F296</f>
        <v/>
      </c>
      <c r="H296" s="1">
        <f>IF(ISNUMBER(G296),G296,"")</f>
        <v/>
      </c>
      <c r="I296" s="1">
        <f>_xlfn.RANK.EQ(H296,$H$2:$H$1031)</f>
        <v/>
      </c>
      <c r="J296" s="5" t="n">
        <v>578.95</v>
      </c>
      <c r="K296" s="5" t="n">
        <v>34</v>
      </c>
      <c r="L296" s="5" t="n">
        <v>19</v>
      </c>
      <c r="M296" s="5" t="n">
        <v>16</v>
      </c>
      <c r="N296" s="5">
        <f>J296+K296+L296+M296</f>
        <v/>
      </c>
      <c r="O296" s="5">
        <f>IF(ISNUMBER(N296),N296,"")</f>
        <v/>
      </c>
      <c r="P296" s="5">
        <f>_xlfn.RANK.EQ(O296,$O$2:$O$1031)</f>
        <v/>
      </c>
      <c r="Q296" s="9" t="n">
        <v>229</v>
      </c>
      <c r="R296" s="9" t="n">
        <v>43.5</v>
      </c>
      <c r="S296" s="9" t="n">
        <v>23</v>
      </c>
      <c r="T296" s="9" t="n">
        <v>22</v>
      </c>
      <c r="U296" s="9">
        <f>Q296+R296+S296+T296</f>
        <v/>
      </c>
      <c r="V296" s="9">
        <f>IF(ISNUMBER(U296),U296,"")</f>
        <v/>
      </c>
      <c r="W296" s="9">
        <f>_xlfn.RANK.EQ(V296,$V$2:$V$1031)</f>
        <v/>
      </c>
      <c r="X296" s="13" t="n">
        <v>1248.8875</v>
      </c>
      <c r="Y296" s="13" t="n">
        <v>25</v>
      </c>
      <c r="Z296" s="13" t="n">
        <v>23</v>
      </c>
      <c r="AA296" s="13" t="n">
        <v>22</v>
      </c>
      <c r="AB296" s="13">
        <f>IF(ISNUMBER(X296),X296+N(Y296)+N(Z296)+N(AA296),X296)</f>
        <v/>
      </c>
      <c r="AC296" s="13">
        <f>IF(ISNUMBER(AB296),AB296,"")</f>
        <v/>
      </c>
      <c r="AD296" s="13">
        <f>IF(ISNUMBER(AC296),_xlfn.RANK.EQ(AC296,$AC$2:$AC$1031),"")</f>
        <v/>
      </c>
      <c r="AE296" s="15">
        <f>IF(ISNUMBER(AF296),AF296/3630,"")</f>
        <v/>
      </c>
      <c r="AF296" s="14">
        <f>IFERROR(C296+D296+E296+F296+J296+K296+L296+M296+Q296+R296+S296+T296+IF(ISNUMBER(X296),X296,0)+N(Y296)+N(Z296)+N(AA296),"")</f>
        <v/>
      </c>
      <c r="AG296" s="14">
        <f>IF(ISNUMBER(AF296),AF296,"")</f>
        <v/>
      </c>
      <c r="AH296" s="14">
        <f>IF(ISNUMBER(AG296),_xlfn.RANK.EQ(AG296,$AG$2:$AG$1031),"")</f>
        <v/>
      </c>
    </row>
    <row r="297">
      <c r="A297" s="18" t="n">
        <v>681</v>
      </c>
      <c r="B297" s="18" t="inlineStr">
        <is>
          <t>رأفت احمد عبد الباسط عبد الحميد</t>
        </is>
      </c>
      <c r="C297" s="1" t="n">
        <v>571.2</v>
      </c>
      <c r="D297" s="1" t="n">
        <v>24</v>
      </c>
      <c r="E297" s="1" t="n">
        <v>23</v>
      </c>
      <c r="F297" s="1" t="n">
        <v>22</v>
      </c>
      <c r="G297" s="1">
        <f>C297+D297+E297+F297</f>
        <v/>
      </c>
      <c r="H297" s="1">
        <f>IF(ISNUMBER(G297),G297,"")</f>
        <v/>
      </c>
      <c r="I297" s="1">
        <f>_xlfn.RANK.EQ(H297,$H$2:$H$1031)</f>
        <v/>
      </c>
      <c r="J297" s="5" t="n">
        <v>489.25</v>
      </c>
      <c r="K297" s="5" t="n">
        <v>36</v>
      </c>
      <c r="L297" s="5" t="n">
        <v>22</v>
      </c>
      <c r="M297" s="5" t="n">
        <v>14</v>
      </c>
      <c r="N297" s="5">
        <f>J297+K297+L297+M297</f>
        <v/>
      </c>
      <c r="O297" s="5">
        <f>IF(ISNUMBER(N297),N297,"")</f>
        <v/>
      </c>
      <c r="P297" s="5">
        <f>_xlfn.RANK.EQ(O297,$O$2:$O$1031)</f>
        <v/>
      </c>
      <c r="Q297" s="9" t="n">
        <v>175</v>
      </c>
      <c r="R297" s="9" t="n">
        <v>37</v>
      </c>
      <c r="S297" s="9" t="n">
        <v>21</v>
      </c>
      <c r="T297" s="9" t="n">
        <v>22</v>
      </c>
      <c r="U297" s="9">
        <f>Q297+R297+S297+T297</f>
        <v/>
      </c>
      <c r="V297" s="9">
        <f>IF(ISNUMBER(U297),U297,"")</f>
        <v/>
      </c>
      <c r="W297" s="9">
        <f>_xlfn.RANK.EQ(V297,$V$2:$V$1031)</f>
        <v/>
      </c>
      <c r="X297" s="13" t="inlineStr">
        <is>
          <t>راسب</t>
        </is>
      </c>
      <c r="Y297" s="13" t="n">
        <v>24</v>
      </c>
      <c r="Z297" s="13" t="n">
        <v>20</v>
      </c>
      <c r="AA297" s="13" t="n">
        <v>16</v>
      </c>
      <c r="AB297" s="13">
        <f>IF(ISNUMBER(X297),X297+N(Y297)+N(Z297)+N(AA297),X297)</f>
        <v/>
      </c>
      <c r="AC297" s="13">
        <f>IF(ISNUMBER(AB297),AB297,"")</f>
        <v/>
      </c>
      <c r="AD297" s="13">
        <f>IF(ISNUMBER(AC297),_xlfn.RANK.EQ(AC297,$AC$2:$AC$1031),"")</f>
        <v/>
      </c>
      <c r="AE297" s="15">
        <f>IF(ISNUMBER(AF297),AF297/3630,"")</f>
        <v/>
      </c>
      <c r="AF297" s="14">
        <f>IFERROR(C297+D297+E297+F297+J297+K297+L297+M297+Q297+R297+S297+T297+IF(ISNUMBER(X297),X297,0)+N(Y297)+N(Z297)+N(AA297),"")</f>
        <v/>
      </c>
      <c r="AG297" s="14">
        <f>IF(ISNUMBER(AF297),AF297,"")</f>
        <v/>
      </c>
      <c r="AH297" s="14">
        <f>IF(ISNUMBER(AG297),_xlfn.RANK.EQ(AG297,$AG$2:$AG$1031),"")</f>
        <v/>
      </c>
    </row>
    <row r="298">
      <c r="A298" s="18" t="n">
        <v>686</v>
      </c>
      <c r="B298" s="18" t="inlineStr">
        <is>
          <t>رحمه احمد ابو الدهب توفيق</t>
        </is>
      </c>
      <c r="C298" s="1" t="n">
        <v>539.6</v>
      </c>
      <c r="D298" s="1" t="n">
        <v>23</v>
      </c>
      <c r="E298" s="1" t="n">
        <v>20</v>
      </c>
      <c r="F298" s="1" t="n">
        <v>23</v>
      </c>
      <c r="G298" s="1">
        <f>C298+D298+E298+F298</f>
        <v/>
      </c>
      <c r="H298" s="1">
        <f>IF(ISNUMBER(G298),G298,"")</f>
        <v/>
      </c>
      <c r="I298" s="1">
        <f>_xlfn.RANK.EQ(H298,$H$2:$H$1031)</f>
        <v/>
      </c>
      <c r="J298" s="5" t="n">
        <v>587.275</v>
      </c>
      <c r="K298" s="5" t="n">
        <v>47</v>
      </c>
      <c r="L298" s="5" t="n">
        <v>23</v>
      </c>
      <c r="M298" s="5" t="n">
        <v>23</v>
      </c>
      <c r="N298" s="5">
        <f>J298+K298+L298+M298</f>
        <v/>
      </c>
      <c r="O298" s="5">
        <f>IF(ISNUMBER(N298),N298,"")</f>
        <v/>
      </c>
      <c r="P298" s="5">
        <f>_xlfn.RANK.EQ(O298,$O$2:$O$1031)</f>
        <v/>
      </c>
      <c r="Q298" s="9" t="n">
        <v>250</v>
      </c>
      <c r="R298" s="9" t="n">
        <v>46.5</v>
      </c>
      <c r="S298" s="9" t="n">
        <v>23</v>
      </c>
      <c r="T298" s="9" t="n">
        <v>25</v>
      </c>
      <c r="U298" s="9">
        <f>Q298+R298+S298+T298</f>
        <v/>
      </c>
      <c r="V298" s="9">
        <f>IF(ISNUMBER(U298),U298,"")</f>
        <v/>
      </c>
      <c r="W298" s="9">
        <f>_xlfn.RANK.EQ(V298,$V$2:$V$1031)</f>
        <v/>
      </c>
      <c r="X298" s="13" t="n">
        <v>1395.4458333333</v>
      </c>
      <c r="Y298" s="13" t="n">
        <v>24.5</v>
      </c>
      <c r="Z298" s="13" t="n">
        <v>25</v>
      </c>
      <c r="AA298" s="13" t="n">
        <v>25</v>
      </c>
      <c r="AB298" s="13">
        <f>IF(ISNUMBER(X298),X298+N(Y298)+N(Z298)+N(AA298),X298)</f>
        <v/>
      </c>
      <c r="AC298" s="13">
        <f>IF(ISNUMBER(AB298),AB298,"")</f>
        <v/>
      </c>
      <c r="AD298" s="13">
        <f>IF(ISNUMBER(AC298),_xlfn.RANK.EQ(AC298,$AC$2:$AC$1031),"")</f>
        <v/>
      </c>
      <c r="AE298" s="15">
        <f>IF(ISNUMBER(AF298),AF298/3630,"")</f>
        <v/>
      </c>
      <c r="AF298" s="14">
        <f>IFERROR(C298+D298+E298+F298+J298+K298+L298+M298+Q298+R298+S298+T298+IF(ISNUMBER(X298),X298,0)+N(Y298)+N(Z298)+N(AA298),"")</f>
        <v/>
      </c>
      <c r="AG298" s="14">
        <f>IF(ISNUMBER(AF298),AF298,"")</f>
        <v/>
      </c>
      <c r="AH298" s="14">
        <f>IF(ISNUMBER(AG298),_xlfn.RANK.EQ(AG298,$AG$2:$AG$1031),"")</f>
        <v/>
      </c>
    </row>
    <row r="299">
      <c r="A299" s="18" t="n">
        <v>687</v>
      </c>
      <c r="B299" s="18" t="inlineStr">
        <is>
          <t>رحمه صبحى ابراهيم عبدالحفيظ</t>
        </is>
      </c>
      <c r="C299" s="1" t="n">
        <v>519.8</v>
      </c>
      <c r="D299" s="1" t="n">
        <v>23</v>
      </c>
      <c r="E299" s="1" t="n">
        <v>21</v>
      </c>
      <c r="F299" s="1" t="n">
        <v>21</v>
      </c>
      <c r="G299" s="1">
        <f>C299+D299+E299+F299</f>
        <v/>
      </c>
      <c r="H299" s="1">
        <f>IF(ISNUMBER(G299),G299,"")</f>
        <v/>
      </c>
      <c r="I299" s="1">
        <f>_xlfn.RANK.EQ(H299,$H$2:$H$1031)</f>
        <v/>
      </c>
      <c r="J299" s="5" t="n">
        <v>513.75</v>
      </c>
      <c r="K299" s="5" t="n">
        <v>43</v>
      </c>
      <c r="L299" s="5" t="n">
        <v>20</v>
      </c>
      <c r="M299" s="5" t="n">
        <v>19</v>
      </c>
      <c r="N299" s="5">
        <f>J299+K299+L299+M299</f>
        <v/>
      </c>
      <c r="O299" s="5">
        <f>IF(ISNUMBER(N299),N299,"")</f>
        <v/>
      </c>
      <c r="P299" s="5">
        <f>_xlfn.RANK.EQ(O299,$O$2:$O$1031)</f>
        <v/>
      </c>
      <c r="Q299" s="9" t="inlineStr">
        <is>
          <t>راسب</t>
        </is>
      </c>
      <c r="R299" s="9" t="n">
        <v>44.5</v>
      </c>
      <c r="S299" s="9" t="n">
        <v>22</v>
      </c>
      <c r="T299" s="9" t="n">
        <v>23</v>
      </c>
      <c r="U299" s="9">
        <f>Q299+R299+S299+T299</f>
        <v/>
      </c>
      <c r="V299" s="9">
        <f>IF(ISNUMBER(U299),U299,"")</f>
        <v/>
      </c>
      <c r="W299" s="9">
        <f>_xlfn.RANK.EQ(V299,$V$2:$V$1031)</f>
        <v/>
      </c>
      <c r="X299" s="13" t="n">
        <v>1339.0875</v>
      </c>
      <c r="Y299" s="13" t="n">
        <v>24</v>
      </c>
      <c r="Z299" s="13" t="n">
        <v>25</v>
      </c>
      <c r="AA299" s="13" t="n">
        <v>22</v>
      </c>
      <c r="AB299" s="13">
        <f>IF(ISNUMBER(X299),X299+N(Y299)+N(Z299)+N(AA299),X299)</f>
        <v/>
      </c>
      <c r="AC299" s="13">
        <f>IF(ISNUMBER(AB299),AB299,"")</f>
        <v/>
      </c>
      <c r="AD299" s="13">
        <f>IF(ISNUMBER(AC299),_xlfn.RANK.EQ(AC299,$AC$2:$AC$1031),"")</f>
        <v/>
      </c>
      <c r="AE299" s="15">
        <f>IF(ISNUMBER(AF299),AF299/3630,"")</f>
        <v/>
      </c>
      <c r="AF299" s="14">
        <f>IFERROR(C299+D299+E299+F299+J299+K299+L299+M299+Q299+R299+S299+T299+IF(ISNUMBER(X299),X299,0)+N(Y299)+N(Z299)+N(AA299),"")</f>
        <v/>
      </c>
      <c r="AG299" s="14">
        <f>IF(ISNUMBER(AF299),AF299,"")</f>
        <v/>
      </c>
      <c r="AH299" s="14">
        <f>IF(ISNUMBER(AG299),_xlfn.RANK.EQ(AG299,$AG$2:$AG$1031),"")</f>
        <v/>
      </c>
    </row>
    <row r="300">
      <c r="A300" s="18" t="n">
        <v>688</v>
      </c>
      <c r="B300" s="18" t="inlineStr">
        <is>
          <t>رحمه عطيه فضل ابو شليته</t>
        </is>
      </c>
      <c r="C300" s="1" t="n">
        <v>507.6</v>
      </c>
      <c r="D300" s="1" t="n">
        <v>23</v>
      </c>
      <c r="E300" s="1" t="n">
        <v>19</v>
      </c>
      <c r="F300" s="1" t="n">
        <v>23</v>
      </c>
      <c r="G300" s="1">
        <f>C300+D300+E300+F300</f>
        <v/>
      </c>
      <c r="H300" s="1">
        <f>IF(ISNUMBER(G300),G300,"")</f>
        <v/>
      </c>
      <c r="I300" s="1">
        <f>_xlfn.RANK.EQ(H300,$H$2:$H$1031)</f>
        <v/>
      </c>
      <c r="J300" s="5" t="n">
        <v>481.675</v>
      </c>
      <c r="K300" s="5" t="n">
        <v>40</v>
      </c>
      <c r="L300" s="5" t="n">
        <v>24</v>
      </c>
      <c r="M300" s="5" t="n">
        <v>22</v>
      </c>
      <c r="N300" s="5">
        <f>J300+K300+L300+M300</f>
        <v/>
      </c>
      <c r="O300" s="5">
        <f>IF(ISNUMBER(N300),N300,"")</f>
        <v/>
      </c>
      <c r="P300" s="5">
        <f>_xlfn.RANK.EQ(O300,$O$2:$O$1031)</f>
        <v/>
      </c>
      <c r="Q300" s="9" t="n">
        <v>229</v>
      </c>
      <c r="R300" s="9" t="n">
        <v>36</v>
      </c>
      <c r="S300" s="9" t="n">
        <v>23</v>
      </c>
      <c r="T300" s="9" t="n">
        <v>24</v>
      </c>
      <c r="U300" s="9">
        <f>Q300+R300+S300+T300</f>
        <v/>
      </c>
      <c r="V300" s="9">
        <f>IF(ISNUMBER(U300),U300,"")</f>
        <v/>
      </c>
      <c r="W300" s="9">
        <f>_xlfn.RANK.EQ(V300,$V$2:$V$1031)</f>
        <v/>
      </c>
      <c r="X300" s="13" t="inlineStr">
        <is>
          <t>راسب</t>
        </is>
      </c>
      <c r="Y300" s="13" t="n">
        <v>23.5</v>
      </c>
      <c r="Z300" s="13" t="n">
        <v>19</v>
      </c>
      <c r="AA300" s="13" t="n">
        <v>21</v>
      </c>
      <c r="AB300" s="13">
        <f>IF(ISNUMBER(X300),X300+N(Y300)+N(Z300)+N(AA300),X300)</f>
        <v/>
      </c>
      <c r="AC300" s="13">
        <f>IF(ISNUMBER(AB300),AB300,"")</f>
        <v/>
      </c>
      <c r="AD300" s="13">
        <f>IF(ISNUMBER(AC300),_xlfn.RANK.EQ(AC300,$AC$2:$AC$1031),"")</f>
        <v/>
      </c>
      <c r="AE300" s="15">
        <f>IF(ISNUMBER(AF300),AF300/3630,"")</f>
        <v/>
      </c>
      <c r="AF300" s="14">
        <f>IFERROR(C300+D300+E300+F300+J300+K300+L300+M300+Q300+R300+S300+T300+IF(ISNUMBER(X300),X300,0)+N(Y300)+N(Z300)+N(AA300),"")</f>
        <v/>
      </c>
      <c r="AG300" s="14">
        <f>IF(ISNUMBER(AF300),AF300,"")</f>
        <v/>
      </c>
      <c r="AH300" s="14">
        <f>IF(ISNUMBER(AG300),_xlfn.RANK.EQ(AG300,$AG$2:$AG$1031),"")</f>
        <v/>
      </c>
    </row>
    <row r="301">
      <c r="A301" s="18" t="n">
        <v>689</v>
      </c>
      <c r="B301" s="18" t="inlineStr">
        <is>
          <t>رحمه عماد ابو المجد صديق احمد</t>
        </is>
      </c>
      <c r="C301" s="1" t="n">
        <v>567.6</v>
      </c>
      <c r="D301" s="1" t="n">
        <v>21</v>
      </c>
      <c r="E301" s="1" t="n">
        <v>22</v>
      </c>
      <c r="F301" s="1" t="n">
        <v>21</v>
      </c>
      <c r="G301" s="1">
        <f>C301+D301+E301+F301</f>
        <v/>
      </c>
      <c r="H301" s="1">
        <f>IF(ISNUMBER(G301),G301,"")</f>
        <v/>
      </c>
      <c r="I301" s="1">
        <f>_xlfn.RANK.EQ(H301,$H$2:$H$1031)</f>
        <v/>
      </c>
      <c r="J301" s="5" t="n">
        <v>581</v>
      </c>
      <c r="K301" s="5" t="n">
        <v>44</v>
      </c>
      <c r="L301" s="5" t="n">
        <v>19</v>
      </c>
      <c r="M301" s="5" t="n">
        <v>21</v>
      </c>
      <c r="N301" s="5">
        <f>J301+K301+L301+M301</f>
        <v/>
      </c>
      <c r="O301" s="5">
        <f>IF(ISNUMBER(N301),N301,"")</f>
        <v/>
      </c>
      <c r="P301" s="5">
        <f>_xlfn.RANK.EQ(O301,$O$2:$O$1031)</f>
        <v/>
      </c>
      <c r="Q301" s="9" t="n">
        <v>223</v>
      </c>
      <c r="R301" s="9" t="n">
        <v>47</v>
      </c>
      <c r="S301" s="9" t="n">
        <v>22</v>
      </c>
      <c r="T301" s="9" t="n">
        <v>24</v>
      </c>
      <c r="U301" s="9">
        <f>Q301+R301+S301+T301</f>
        <v/>
      </c>
      <c r="V301" s="9">
        <f>IF(ISNUMBER(U301),U301,"")</f>
        <v/>
      </c>
      <c r="W301" s="9">
        <f>_xlfn.RANK.EQ(V301,$V$2:$V$1031)</f>
        <v/>
      </c>
      <c r="X301" s="13" t="n">
        <v>1172.5541666667</v>
      </c>
      <c r="Y301" s="13" t="n">
        <v>23.5</v>
      </c>
      <c r="Z301" s="13" t="n">
        <v>23</v>
      </c>
      <c r="AA301" s="13" t="n">
        <v>23</v>
      </c>
      <c r="AB301" s="13">
        <f>IF(ISNUMBER(X301),X301+N(Y301)+N(Z301)+N(AA301),X301)</f>
        <v/>
      </c>
      <c r="AC301" s="13">
        <f>IF(ISNUMBER(AB301),AB301,"")</f>
        <v/>
      </c>
      <c r="AD301" s="13">
        <f>IF(ISNUMBER(AC301),_xlfn.RANK.EQ(AC301,$AC$2:$AC$1031),"")</f>
        <v/>
      </c>
      <c r="AE301" s="15">
        <f>IF(ISNUMBER(AF301),AF301/3630,"")</f>
        <v/>
      </c>
      <c r="AF301" s="14">
        <f>IFERROR(C301+D301+E301+F301+J301+K301+L301+M301+Q301+R301+S301+T301+IF(ISNUMBER(X301),X301,0)+N(Y301)+N(Z301)+N(AA301),"")</f>
        <v/>
      </c>
      <c r="AG301" s="14">
        <f>IF(ISNUMBER(AF301),AF301,"")</f>
        <v/>
      </c>
      <c r="AH301" s="14">
        <f>IF(ISNUMBER(AG301),_xlfn.RANK.EQ(AG301,$AG$2:$AG$1031),"")</f>
        <v/>
      </c>
    </row>
    <row r="302">
      <c r="A302" s="18" t="n">
        <v>691</v>
      </c>
      <c r="B302" s="18" t="inlineStr">
        <is>
          <t>رحمه محمد سعيد درويش البواب</t>
        </is>
      </c>
      <c r="C302" s="1" t="n">
        <v>584.9</v>
      </c>
      <c r="D302" s="1" t="n">
        <v>24</v>
      </c>
      <c r="E302" s="1" t="n">
        <v>24</v>
      </c>
      <c r="F302" s="1" t="n">
        <v>23</v>
      </c>
      <c r="G302" s="1">
        <f>C302+D302+E302+F302</f>
        <v/>
      </c>
      <c r="H302" s="1">
        <f>IF(ISNUMBER(G302),G302,"")</f>
        <v/>
      </c>
      <c r="I302" s="1">
        <f>_xlfn.RANK.EQ(H302,$H$2:$H$1031)</f>
        <v/>
      </c>
      <c r="J302" s="5" t="n">
        <v>635</v>
      </c>
      <c r="K302" s="5" t="n">
        <v>48</v>
      </c>
      <c r="L302" s="5" t="n">
        <v>22</v>
      </c>
      <c r="M302" s="5" t="n">
        <v>25</v>
      </c>
      <c r="N302" s="5">
        <f>J302+K302+L302+M302</f>
        <v/>
      </c>
      <c r="O302" s="5">
        <f>IF(ISNUMBER(N302),N302,"")</f>
        <v/>
      </c>
      <c r="P302" s="5">
        <f>_xlfn.RANK.EQ(O302,$O$2:$O$1031)</f>
        <v/>
      </c>
      <c r="Q302" s="9" t="n">
        <v>281</v>
      </c>
      <c r="R302" s="9" t="n">
        <v>46.5</v>
      </c>
      <c r="S302" s="9" t="n">
        <v>24</v>
      </c>
      <c r="T302" s="9" t="n">
        <v>25</v>
      </c>
      <c r="U302" s="9">
        <f>Q302+R302+S302+T302</f>
        <v/>
      </c>
      <c r="V302" s="9">
        <f>IF(ISNUMBER(U302),U302,"")</f>
        <v/>
      </c>
      <c r="W302" s="9">
        <f>_xlfn.RANK.EQ(V302,$V$2:$V$1031)</f>
        <v/>
      </c>
      <c r="X302" s="13" t="n">
        <v>1514.0625</v>
      </c>
      <c r="Y302" s="13" t="n">
        <v>25</v>
      </c>
      <c r="Z302" s="13" t="n">
        <v>25</v>
      </c>
      <c r="AA302" s="13" t="n">
        <v>23</v>
      </c>
      <c r="AB302" s="13">
        <f>IF(ISNUMBER(X302),X302+N(Y302)+N(Z302)+N(AA302),X302)</f>
        <v/>
      </c>
      <c r="AC302" s="13">
        <f>IF(ISNUMBER(AB302),AB302,"")</f>
        <v/>
      </c>
      <c r="AD302" s="13">
        <f>IF(ISNUMBER(AC302),_xlfn.RANK.EQ(AC302,$AC$2:$AC$1031),"")</f>
        <v/>
      </c>
      <c r="AE302" s="15">
        <f>IF(ISNUMBER(AF302),AF302/3630,"")</f>
        <v/>
      </c>
      <c r="AF302" s="14">
        <f>IFERROR(C302+D302+E302+F302+J302+K302+L302+M302+Q302+R302+S302+T302+IF(ISNUMBER(X302),X302,0)+N(Y302)+N(Z302)+N(AA302),"")</f>
        <v/>
      </c>
      <c r="AG302" s="14">
        <f>IF(ISNUMBER(AF302),AF302,"")</f>
        <v/>
      </c>
      <c r="AH302" s="14">
        <f>IF(ISNUMBER(AG302),_xlfn.RANK.EQ(AG302,$AG$2:$AG$1031),"")</f>
        <v/>
      </c>
    </row>
    <row r="303">
      <c r="A303" s="18" t="n">
        <v>692</v>
      </c>
      <c r="B303" s="18" t="inlineStr">
        <is>
          <t>رحمه محمد علي توحيد  على</t>
        </is>
      </c>
      <c r="C303" s="1" t="n">
        <v>607.8</v>
      </c>
      <c r="D303" s="1" t="n">
        <v>25</v>
      </c>
      <c r="E303" s="1" t="n">
        <v>24</v>
      </c>
      <c r="F303" s="1" t="n">
        <v>23</v>
      </c>
      <c r="G303" s="1">
        <f>C303+D303+E303+F303</f>
        <v/>
      </c>
      <c r="H303" s="1">
        <f>IF(ISNUMBER(G303),G303,"")</f>
        <v/>
      </c>
      <c r="I303" s="1">
        <f>_xlfn.RANK.EQ(H303,$H$2:$H$1031)</f>
        <v/>
      </c>
      <c r="J303" s="5" t="n">
        <v>611.85</v>
      </c>
      <c r="K303" s="5" t="n">
        <v>45</v>
      </c>
      <c r="L303" s="5" t="n">
        <v>22</v>
      </c>
      <c r="M303" s="5" t="n">
        <v>25</v>
      </c>
      <c r="N303" s="5">
        <f>J303+K303+L303+M303</f>
        <v/>
      </c>
      <c r="O303" s="5">
        <f>IF(ISNUMBER(N303),N303,"")</f>
        <v/>
      </c>
      <c r="P303" s="5">
        <f>_xlfn.RANK.EQ(O303,$O$2:$O$1031)</f>
        <v/>
      </c>
      <c r="Q303" s="9" t="n">
        <v>265</v>
      </c>
      <c r="R303" s="9" t="n">
        <v>45.5</v>
      </c>
      <c r="S303" s="9" t="n">
        <v>25</v>
      </c>
      <c r="T303" s="9" t="n">
        <v>24</v>
      </c>
      <c r="U303" s="9">
        <f>Q303+R303+S303+T303</f>
        <v/>
      </c>
      <c r="V303" s="9">
        <f>IF(ISNUMBER(U303),U303,"")</f>
        <v/>
      </c>
      <c r="W303" s="9">
        <f>_xlfn.RANK.EQ(V303,$V$2:$V$1031)</f>
        <v/>
      </c>
      <c r="X303" s="13" t="n">
        <v>1442.0416666667</v>
      </c>
      <c r="Y303" s="13" t="n">
        <v>24.5</v>
      </c>
      <c r="Z303" s="13" t="n">
        <v>24</v>
      </c>
      <c r="AA303" s="13" t="n">
        <v>24</v>
      </c>
      <c r="AB303" s="13">
        <f>IF(ISNUMBER(X303),X303+N(Y303)+N(Z303)+N(AA303),X303)</f>
        <v/>
      </c>
      <c r="AC303" s="13">
        <f>IF(ISNUMBER(AB303),AB303,"")</f>
        <v/>
      </c>
      <c r="AD303" s="13">
        <f>IF(ISNUMBER(AC303),_xlfn.RANK.EQ(AC303,$AC$2:$AC$1031),"")</f>
        <v/>
      </c>
      <c r="AE303" s="15">
        <f>IF(ISNUMBER(AF303),AF303/3630,"")</f>
        <v/>
      </c>
      <c r="AF303" s="14">
        <f>IFERROR(C303+D303+E303+F303+J303+K303+L303+M303+Q303+R303+S303+T303+IF(ISNUMBER(X303),X303,0)+N(Y303)+N(Z303)+N(AA303),"")</f>
        <v/>
      </c>
      <c r="AG303" s="14">
        <f>IF(ISNUMBER(AF303),AF303,"")</f>
        <v/>
      </c>
      <c r="AH303" s="14">
        <f>IF(ISNUMBER(AG303),_xlfn.RANK.EQ(AG303,$AG$2:$AG$1031),"")</f>
        <v/>
      </c>
    </row>
    <row r="304">
      <c r="A304" s="18" t="n">
        <v>693</v>
      </c>
      <c r="B304" s="18" t="inlineStr">
        <is>
          <t>رزان احمد محمد رفعت البدراني</t>
        </is>
      </c>
      <c r="C304" s="1" t="n">
        <v>448.6</v>
      </c>
      <c r="D304" s="1" t="n">
        <v>19</v>
      </c>
      <c r="E304" s="1" t="n">
        <v>22</v>
      </c>
      <c r="F304" s="1" t="n">
        <v>20</v>
      </c>
      <c r="G304" s="1">
        <f>C304+D304+E304+F304</f>
        <v/>
      </c>
      <c r="H304" s="1">
        <f>IF(ISNUMBER(G304),G304,"")</f>
        <v/>
      </c>
      <c r="I304" s="1">
        <f>_xlfn.RANK.EQ(H304,$H$2:$H$1031)</f>
        <v/>
      </c>
      <c r="J304" s="5" t="n">
        <v>479.275</v>
      </c>
      <c r="K304" s="5" t="n">
        <v>38</v>
      </c>
      <c r="L304" s="5" t="n">
        <v>21</v>
      </c>
      <c r="M304" s="5" t="n">
        <v>21</v>
      </c>
      <c r="N304" s="5">
        <f>J304+K304+L304+M304</f>
        <v/>
      </c>
      <c r="O304" s="5">
        <f>IF(ISNUMBER(N304),N304,"")</f>
        <v/>
      </c>
      <c r="P304" s="5">
        <f>_xlfn.RANK.EQ(O304,$O$2:$O$1031)</f>
        <v/>
      </c>
      <c r="Q304" s="9" t="inlineStr">
        <is>
          <t>راسب</t>
        </is>
      </c>
      <c r="R304" s="9" t="n">
        <v>37.5</v>
      </c>
      <c r="S304" s="9" t="n">
        <v>23</v>
      </c>
      <c r="T304" s="9" t="n">
        <v>23</v>
      </c>
      <c r="U304" s="9">
        <f>Q304+R304+S304+T304</f>
        <v/>
      </c>
      <c r="V304" s="9">
        <f>IF(ISNUMBER(U304),U304,"")</f>
        <v/>
      </c>
      <c r="W304" s="9">
        <f>_xlfn.RANK.EQ(V304,$V$2:$V$1031)</f>
        <v/>
      </c>
      <c r="X304" s="13" t="n">
        <v>1237.3125</v>
      </c>
      <c r="Y304" s="13" t="n">
        <v>24.5</v>
      </c>
      <c r="Z304" s="13" t="n">
        <v>21</v>
      </c>
      <c r="AA304" s="13" t="n">
        <v>21</v>
      </c>
      <c r="AB304" s="13">
        <f>IF(ISNUMBER(X304),X304+N(Y304)+N(Z304)+N(AA304),X304)</f>
        <v/>
      </c>
      <c r="AC304" s="13">
        <f>IF(ISNUMBER(AB304),AB304,"")</f>
        <v/>
      </c>
      <c r="AD304" s="13">
        <f>IF(ISNUMBER(AC304),_xlfn.RANK.EQ(AC304,$AC$2:$AC$1031),"")</f>
        <v/>
      </c>
      <c r="AE304" s="15">
        <f>IF(ISNUMBER(AF304),AF304/3630,"")</f>
        <v/>
      </c>
      <c r="AF304" s="14">
        <f>IFERROR(C304+D304+E304+F304+J304+K304+L304+M304+Q304+R304+S304+T304+IF(ISNUMBER(X304),X304,0)+N(Y304)+N(Z304)+N(AA304),"")</f>
        <v/>
      </c>
      <c r="AG304" s="14">
        <f>IF(ISNUMBER(AF304),AF304,"")</f>
        <v/>
      </c>
      <c r="AH304" s="14">
        <f>IF(ISNUMBER(AG304),_xlfn.RANK.EQ(AG304,$AG$2:$AG$1031),"")</f>
        <v/>
      </c>
    </row>
    <row r="305">
      <c r="A305" s="18" t="n">
        <v>701</v>
      </c>
      <c r="B305" s="18" t="inlineStr">
        <is>
          <t>رضوان احمد ابراهيم محمد ابو دلال</t>
        </is>
      </c>
      <c r="C305" s="1" t="n">
        <v>629.6</v>
      </c>
      <c r="D305" s="1" t="n">
        <v>24</v>
      </c>
      <c r="E305" s="1" t="n">
        <v>22</v>
      </c>
      <c r="F305" s="1" t="n">
        <v>22</v>
      </c>
      <c r="G305" s="1">
        <f>C305+D305+E305+F305</f>
        <v/>
      </c>
      <c r="H305" s="1">
        <f>IF(ISNUMBER(G305),G305,"")</f>
        <v/>
      </c>
      <c r="I305" s="1">
        <f>_xlfn.RANK.EQ(H305,$H$2:$H$1031)</f>
        <v/>
      </c>
      <c r="J305" s="5" t="n">
        <v>614.85</v>
      </c>
      <c r="K305" s="5" t="n">
        <v>47</v>
      </c>
      <c r="L305" s="5" t="n">
        <v>23</v>
      </c>
      <c r="M305" s="5" t="n">
        <v>23</v>
      </c>
      <c r="N305" s="5">
        <f>J305+K305+L305+M305</f>
        <v/>
      </c>
      <c r="O305" s="5">
        <f>IF(ISNUMBER(N305),N305,"")</f>
        <v/>
      </c>
      <c r="P305" s="5">
        <f>_xlfn.RANK.EQ(O305,$O$2:$O$1031)</f>
        <v/>
      </c>
      <c r="Q305" s="9" t="n">
        <v>264</v>
      </c>
      <c r="R305" s="9" t="n">
        <v>48</v>
      </c>
      <c r="S305" s="9" t="n">
        <v>23</v>
      </c>
      <c r="T305" s="9" t="n">
        <v>24</v>
      </c>
      <c r="U305" s="9">
        <f>Q305+R305+S305+T305</f>
        <v/>
      </c>
      <c r="V305" s="9">
        <f>IF(ISNUMBER(U305),U305,"")</f>
        <v/>
      </c>
      <c r="W305" s="9">
        <f>_xlfn.RANK.EQ(V305,$V$2:$V$1031)</f>
        <v/>
      </c>
      <c r="X305" s="13" t="n">
        <v>1448.65</v>
      </c>
      <c r="Y305" s="13" t="n">
        <v>24.5</v>
      </c>
      <c r="Z305" s="13" t="n">
        <v>21</v>
      </c>
      <c r="AA305" s="13" t="n">
        <v>23</v>
      </c>
      <c r="AB305" s="13">
        <f>IF(ISNUMBER(X305),X305+N(Y305)+N(Z305)+N(AA305),X305)</f>
        <v/>
      </c>
      <c r="AC305" s="13">
        <f>IF(ISNUMBER(AB305),AB305,"")</f>
        <v/>
      </c>
      <c r="AD305" s="13">
        <f>IF(ISNUMBER(AC305),_xlfn.RANK.EQ(AC305,$AC$2:$AC$1031),"")</f>
        <v/>
      </c>
      <c r="AE305" s="15">
        <f>IF(ISNUMBER(AF305),AF305/3630,"")</f>
        <v/>
      </c>
      <c r="AF305" s="14">
        <f>IFERROR(C305+D305+E305+F305+J305+K305+L305+M305+Q305+R305+S305+T305+IF(ISNUMBER(X305),X305,0)+N(Y305)+N(Z305)+N(AA305),"")</f>
        <v/>
      </c>
      <c r="AG305" s="14">
        <f>IF(ISNUMBER(AF305),AF305,"")</f>
        <v/>
      </c>
      <c r="AH305" s="14">
        <f>IF(ISNUMBER(AG305),_xlfn.RANK.EQ(AG305,$AG$2:$AG$1031),"")</f>
        <v/>
      </c>
    </row>
    <row r="306">
      <c r="A306" s="18" t="n">
        <v>703</v>
      </c>
      <c r="B306" s="18" t="inlineStr">
        <is>
          <t>رضوة احمد شحات يوسف خليفة</t>
        </is>
      </c>
      <c r="C306" s="1" t="n">
        <v>464.8</v>
      </c>
      <c r="D306" s="1" t="n">
        <v>20</v>
      </c>
      <c r="E306" s="1" t="n">
        <v>23</v>
      </c>
      <c r="F306" s="1" t="n">
        <v>18</v>
      </c>
      <c r="G306" s="1">
        <f>C306+D306+E306+F306</f>
        <v/>
      </c>
      <c r="H306" s="1">
        <f>IF(ISNUMBER(G306),G306,"")</f>
        <v/>
      </c>
      <c r="I306" s="1">
        <f>_xlfn.RANK.EQ(H306,$H$2:$H$1031)</f>
        <v/>
      </c>
      <c r="J306" s="5" t="n">
        <v>477.6</v>
      </c>
      <c r="K306" s="5" t="n">
        <v>38</v>
      </c>
      <c r="L306" s="5" t="n">
        <v>20</v>
      </c>
      <c r="M306" s="5" t="n">
        <v>14</v>
      </c>
      <c r="N306" s="5">
        <f>J306+K306+L306+M306</f>
        <v/>
      </c>
      <c r="O306" s="5">
        <f>IF(ISNUMBER(N306),N306,"")</f>
        <v/>
      </c>
      <c r="P306" s="5">
        <f>_xlfn.RANK.EQ(O306,$O$2:$O$1031)</f>
        <v/>
      </c>
      <c r="Q306" s="9" t="n">
        <v>236</v>
      </c>
      <c r="R306" s="9" t="n">
        <v>35.5</v>
      </c>
      <c r="S306" s="9" t="n">
        <v>22</v>
      </c>
      <c r="T306" s="9" t="n">
        <v>23</v>
      </c>
      <c r="U306" s="9">
        <f>Q306+R306+S306+T306</f>
        <v/>
      </c>
      <c r="V306" s="9">
        <f>IF(ISNUMBER(U306),U306,"")</f>
        <v/>
      </c>
      <c r="W306" s="9">
        <f>_xlfn.RANK.EQ(V306,$V$2:$V$1031)</f>
        <v/>
      </c>
      <c r="X306" s="13" t="n">
        <v>1276.4375</v>
      </c>
      <c r="Y306" s="13" t="n">
        <v>22</v>
      </c>
      <c r="Z306" s="13" t="n">
        <v>20</v>
      </c>
      <c r="AA306" s="13" t="n">
        <v>19</v>
      </c>
      <c r="AB306" s="13">
        <f>IF(ISNUMBER(X306),X306+N(Y306)+N(Z306)+N(AA306),X306)</f>
        <v/>
      </c>
      <c r="AC306" s="13">
        <f>IF(ISNUMBER(AB306),AB306,"")</f>
        <v/>
      </c>
      <c r="AD306" s="13">
        <f>IF(ISNUMBER(AC306),_xlfn.RANK.EQ(AC306,$AC$2:$AC$1031),"")</f>
        <v/>
      </c>
      <c r="AE306" s="15">
        <f>IF(ISNUMBER(AF306),AF306/3630,"")</f>
        <v/>
      </c>
      <c r="AF306" s="14">
        <f>IFERROR(C306+D306+E306+F306+J306+K306+L306+M306+Q306+R306+S306+T306+IF(ISNUMBER(X306),X306,0)+N(Y306)+N(Z306)+N(AA306),"")</f>
        <v/>
      </c>
      <c r="AG306" s="14">
        <f>IF(ISNUMBER(AF306),AF306,"")</f>
        <v/>
      </c>
      <c r="AH306" s="14">
        <f>IF(ISNUMBER(AG306),_xlfn.RANK.EQ(AG306,$AG$2:$AG$1031),"")</f>
        <v/>
      </c>
    </row>
    <row r="307">
      <c r="A307" s="18" t="n">
        <v>704</v>
      </c>
      <c r="B307" s="18" t="inlineStr">
        <is>
          <t>رضوى محمد علي محمد</t>
        </is>
      </c>
      <c r="C307" s="1" t="n">
        <v>523.6</v>
      </c>
      <c r="D307" s="1" t="n">
        <v>21</v>
      </c>
      <c r="E307" s="1" t="n">
        <v>23</v>
      </c>
      <c r="F307" s="1" t="n">
        <v>20</v>
      </c>
      <c r="G307" s="1">
        <f>C307+D307+E307+F307</f>
        <v/>
      </c>
      <c r="H307" s="1">
        <f>IF(ISNUMBER(G307),G307,"")</f>
        <v/>
      </c>
      <c r="I307" s="1">
        <f>_xlfn.RANK.EQ(H307,$H$2:$H$1031)</f>
        <v/>
      </c>
      <c r="J307" s="5" t="n">
        <v>513.55</v>
      </c>
      <c r="K307" s="5" t="n">
        <v>43</v>
      </c>
      <c r="L307" s="5" t="n">
        <v>19</v>
      </c>
      <c r="M307" s="5" t="n">
        <v>19</v>
      </c>
      <c r="N307" s="5">
        <f>J307+K307+L307+M307</f>
        <v/>
      </c>
      <c r="O307" s="5">
        <f>IF(ISNUMBER(N307),N307,"")</f>
        <v/>
      </c>
      <c r="P307" s="5">
        <f>_xlfn.RANK.EQ(O307,$O$2:$O$1031)</f>
        <v/>
      </c>
      <c r="Q307" s="9" t="n">
        <v>197</v>
      </c>
      <c r="R307" s="9" t="n">
        <v>41</v>
      </c>
      <c r="S307" s="9" t="n">
        <v>23</v>
      </c>
      <c r="T307" s="9" t="n">
        <v>23</v>
      </c>
      <c r="U307" s="9">
        <f>Q307+R307+S307+T307</f>
        <v/>
      </c>
      <c r="V307" s="9">
        <f>IF(ISNUMBER(U307),U307,"")</f>
        <v/>
      </c>
      <c r="W307" s="9">
        <f>_xlfn.RANK.EQ(V307,$V$2:$V$1031)</f>
        <v/>
      </c>
      <c r="X307" s="13" t="n">
        <v>1268.9833333333</v>
      </c>
      <c r="Y307" s="13" t="n">
        <v>25</v>
      </c>
      <c r="Z307" s="13" t="n">
        <v>25</v>
      </c>
      <c r="AA307" s="13" t="n">
        <v>21</v>
      </c>
      <c r="AB307" s="13">
        <f>IF(ISNUMBER(X307),X307+N(Y307)+N(Z307)+N(AA307),X307)</f>
        <v/>
      </c>
      <c r="AC307" s="13">
        <f>IF(ISNUMBER(AB307),AB307,"")</f>
        <v/>
      </c>
      <c r="AD307" s="13">
        <f>IF(ISNUMBER(AC307),_xlfn.RANK.EQ(AC307,$AC$2:$AC$1031),"")</f>
        <v/>
      </c>
      <c r="AE307" s="15">
        <f>IF(ISNUMBER(AF307),AF307/3630,"")</f>
        <v/>
      </c>
      <c r="AF307" s="14">
        <f>IFERROR(C307+D307+E307+F307+J307+K307+L307+M307+Q307+R307+S307+T307+IF(ISNUMBER(X307),X307,0)+N(Y307)+N(Z307)+N(AA307),"")</f>
        <v/>
      </c>
      <c r="AG307" s="14">
        <f>IF(ISNUMBER(AF307),AF307,"")</f>
        <v/>
      </c>
      <c r="AH307" s="14">
        <f>IF(ISNUMBER(AG307),_xlfn.RANK.EQ(AG307,$AG$2:$AG$1031),"")</f>
        <v/>
      </c>
    </row>
    <row r="308">
      <c r="A308" s="18" t="n">
        <v>715</v>
      </c>
      <c r="B308" s="18" t="inlineStr">
        <is>
          <t>رفيده جلال على درويش</t>
        </is>
      </c>
      <c r="C308" s="1" t="n">
        <v>419</v>
      </c>
      <c r="D308" s="1" t="n">
        <v>18</v>
      </c>
      <c r="E308" s="1" t="n">
        <v>17</v>
      </c>
      <c r="F308" s="1" t="n">
        <v>17</v>
      </c>
      <c r="G308" s="1">
        <f>C308+D308+E308+F308</f>
        <v/>
      </c>
      <c r="H308" s="1">
        <f>IF(ISNUMBER(G308),G308,"")</f>
        <v/>
      </c>
      <c r="I308" s="1">
        <f>_xlfn.RANK.EQ(H308,$H$2:$H$1031)</f>
        <v/>
      </c>
      <c r="J308" s="5" t="n">
        <v>417.1</v>
      </c>
      <c r="K308" s="5" t="n">
        <v>32</v>
      </c>
      <c r="L308" s="5" t="n">
        <v>18</v>
      </c>
      <c r="M308" s="5" t="n">
        <v>10</v>
      </c>
      <c r="N308" s="5">
        <f>J308+K308+L308+M308</f>
        <v/>
      </c>
      <c r="O308" s="5">
        <f>IF(ISNUMBER(N308),N308,"")</f>
        <v/>
      </c>
      <c r="P308" s="5">
        <f>_xlfn.RANK.EQ(O308,$O$2:$O$1031)</f>
        <v/>
      </c>
      <c r="Q308" s="9" t="n">
        <v>193.5</v>
      </c>
      <c r="R308" s="9" t="n">
        <v>35</v>
      </c>
      <c r="S308" s="9" t="n">
        <v>18</v>
      </c>
      <c r="T308" s="9" t="n">
        <v>22</v>
      </c>
      <c r="U308" s="9">
        <f>Q308+R308+S308+T308</f>
        <v/>
      </c>
      <c r="V308" s="9">
        <f>IF(ISNUMBER(U308),U308,"")</f>
        <v/>
      </c>
      <c r="W308" s="9">
        <f>_xlfn.RANK.EQ(V308,$V$2:$V$1031)</f>
        <v/>
      </c>
      <c r="X308" s="13" t="inlineStr">
        <is>
          <t>راسب</t>
        </is>
      </c>
      <c r="Y308" s="13" t="n">
        <v>22.5</v>
      </c>
      <c r="Z308" s="13" t="n">
        <v>19</v>
      </c>
      <c r="AA308" s="13" t="n">
        <v>16</v>
      </c>
      <c r="AB308" s="13">
        <f>IF(ISNUMBER(X308),X308+N(Y308)+N(Z308)+N(AA308),X308)</f>
        <v/>
      </c>
      <c r="AC308" s="13">
        <f>IF(ISNUMBER(AB308),AB308,"")</f>
        <v/>
      </c>
      <c r="AD308" s="13">
        <f>IF(ISNUMBER(AC308),_xlfn.RANK.EQ(AC308,$AC$2:$AC$1031),"")</f>
        <v/>
      </c>
      <c r="AE308" s="15">
        <f>IF(ISNUMBER(AF308),AF308/3630,"")</f>
        <v/>
      </c>
      <c r="AF308" s="14">
        <f>IFERROR(C308+D308+E308+F308+J308+K308+L308+M308+Q308+R308+S308+T308+IF(ISNUMBER(X308),X308,0)+N(Y308)+N(Z308)+N(AA308),"")</f>
        <v/>
      </c>
      <c r="AG308" s="14">
        <f>IF(ISNUMBER(AF308),AF308,"")</f>
        <v/>
      </c>
      <c r="AH308" s="14">
        <f>IF(ISNUMBER(AG308),_xlfn.RANK.EQ(AG308,$AG$2:$AG$1031),"")</f>
        <v/>
      </c>
    </row>
    <row r="309">
      <c r="A309" s="18" t="n">
        <v>716</v>
      </c>
      <c r="B309" s="18" t="inlineStr">
        <is>
          <t>رفيف أحمد أبو العزم رمضان</t>
        </is>
      </c>
      <c r="C309" s="1" t="n">
        <v>640.8</v>
      </c>
      <c r="D309" s="1" t="n">
        <v>25</v>
      </c>
      <c r="E309" s="1" t="n">
        <v>24</v>
      </c>
      <c r="F309" s="1" t="n">
        <v>24</v>
      </c>
      <c r="G309" s="1">
        <f>C309+D309+E309+F309</f>
        <v/>
      </c>
      <c r="H309" s="1">
        <f>IF(ISNUMBER(G309),G309,"")</f>
        <v/>
      </c>
      <c r="I309" s="1">
        <f>_xlfn.RANK.EQ(H309,$H$2:$H$1031)</f>
        <v/>
      </c>
      <c r="J309" s="5" t="n">
        <v>627.1</v>
      </c>
      <c r="K309" s="5" t="n">
        <v>48</v>
      </c>
      <c r="L309" s="5" t="n">
        <v>22</v>
      </c>
      <c r="M309" s="5" t="n">
        <v>25</v>
      </c>
      <c r="N309" s="5">
        <f>J309+K309+L309+M309</f>
        <v/>
      </c>
      <c r="O309" s="5">
        <f>IF(ISNUMBER(N309),N309,"")</f>
        <v/>
      </c>
      <c r="P309" s="5">
        <f>_xlfn.RANK.EQ(O309,$O$2:$O$1031)</f>
        <v/>
      </c>
      <c r="Q309" s="9" t="n">
        <v>289</v>
      </c>
      <c r="R309" s="9" t="n">
        <v>49</v>
      </c>
      <c r="S309" s="9" t="n">
        <v>25</v>
      </c>
      <c r="T309" s="9" t="n">
        <v>25</v>
      </c>
      <c r="U309" s="9">
        <f>Q309+R309+S309+T309</f>
        <v/>
      </c>
      <c r="V309" s="9">
        <f>IF(ISNUMBER(U309),U309,"")</f>
        <v/>
      </c>
      <c r="W309" s="9">
        <f>_xlfn.RANK.EQ(V309,$V$2:$V$1031)</f>
        <v/>
      </c>
      <c r="X309" s="13" t="n">
        <v>1579.7541666667</v>
      </c>
      <c r="Y309" s="13" t="n">
        <v>25</v>
      </c>
      <c r="Z309" s="13" t="n">
        <v>25</v>
      </c>
      <c r="AA309" s="13" t="n">
        <v>25</v>
      </c>
      <c r="AB309" s="13">
        <f>IF(ISNUMBER(X309),X309+N(Y309)+N(Z309)+N(AA309),X309)</f>
        <v/>
      </c>
      <c r="AC309" s="13">
        <f>IF(ISNUMBER(AB309),AB309,"")</f>
        <v/>
      </c>
      <c r="AD309" s="13">
        <f>IF(ISNUMBER(AC309),_xlfn.RANK.EQ(AC309,$AC$2:$AC$1031),"")</f>
        <v/>
      </c>
      <c r="AE309" s="15">
        <f>IF(ISNUMBER(AF309),AF309/3630,"")</f>
        <v/>
      </c>
      <c r="AF309" s="14">
        <f>IFERROR(C309+D309+E309+F309+J309+K309+L309+M309+Q309+R309+S309+T309+IF(ISNUMBER(X309),X309,0)+N(Y309)+N(Z309)+N(AA309),"")</f>
        <v/>
      </c>
      <c r="AG309" s="14">
        <f>IF(ISNUMBER(AF309),AF309,"")</f>
        <v/>
      </c>
      <c r="AH309" s="14">
        <f>IF(ISNUMBER(AG309),_xlfn.RANK.EQ(AG309,$AG$2:$AG$1031),"")</f>
        <v/>
      </c>
    </row>
    <row r="310">
      <c r="A310" s="18" t="n">
        <v>719</v>
      </c>
      <c r="B310" s="18" t="inlineStr">
        <is>
          <t>رنا احمد محمد أمين غازي</t>
        </is>
      </c>
      <c r="C310" s="1" t="n">
        <v>647</v>
      </c>
      <c r="D310" s="1" t="n">
        <v>25</v>
      </c>
      <c r="E310" s="1" t="n">
        <v>25</v>
      </c>
      <c r="F310" s="1" t="n">
        <v>23</v>
      </c>
      <c r="G310" s="1">
        <f>C310+D310+E310+F310</f>
        <v/>
      </c>
      <c r="H310" s="1">
        <f>IF(ISNUMBER(G310),G310,"")</f>
        <v/>
      </c>
      <c r="I310" s="1">
        <f>_xlfn.RANK.EQ(H310,$H$2:$H$1031)</f>
        <v/>
      </c>
      <c r="J310" s="5" t="n">
        <v>637.5</v>
      </c>
      <c r="K310" s="5" t="n">
        <v>47</v>
      </c>
      <c r="L310" s="5" t="n">
        <v>23</v>
      </c>
      <c r="M310" s="5" t="n">
        <v>23</v>
      </c>
      <c r="N310" s="5">
        <f>J310+K310+L310+M310</f>
        <v/>
      </c>
      <c r="O310" s="5">
        <f>IF(ISNUMBER(N310),N310,"")</f>
        <v/>
      </c>
      <c r="P310" s="5">
        <f>_xlfn.RANK.EQ(O310,$O$2:$O$1031)</f>
        <v/>
      </c>
      <c r="Q310" s="9" t="n">
        <v>280</v>
      </c>
      <c r="R310" s="9" t="n">
        <v>48.5</v>
      </c>
      <c r="S310" s="9" t="n">
        <v>25</v>
      </c>
      <c r="T310" s="9" t="n">
        <v>25</v>
      </c>
      <c r="U310" s="9">
        <f>Q310+R310+S310+T310</f>
        <v/>
      </c>
      <c r="V310" s="9">
        <f>IF(ISNUMBER(U310),U310,"")</f>
        <v/>
      </c>
      <c r="W310" s="9">
        <f>_xlfn.RANK.EQ(V310,$V$2:$V$1031)</f>
        <v/>
      </c>
      <c r="X310" s="13" t="n">
        <v>1475.4041666667</v>
      </c>
      <c r="Y310" s="13" t="n">
        <v>24</v>
      </c>
      <c r="Z310" s="13" t="n">
        <v>24</v>
      </c>
      <c r="AA310" s="13" t="n">
        <v>25</v>
      </c>
      <c r="AB310" s="13">
        <f>IF(ISNUMBER(X310),X310+N(Y310)+N(Z310)+N(AA310),X310)</f>
        <v/>
      </c>
      <c r="AC310" s="13">
        <f>IF(ISNUMBER(AB310),AB310,"")</f>
        <v/>
      </c>
      <c r="AD310" s="13">
        <f>IF(ISNUMBER(AC310),_xlfn.RANK.EQ(AC310,$AC$2:$AC$1031),"")</f>
        <v/>
      </c>
      <c r="AE310" s="15">
        <f>IF(ISNUMBER(AF310),AF310/3630,"")</f>
        <v/>
      </c>
      <c r="AF310" s="14">
        <f>IFERROR(C310+D310+E310+F310+J310+K310+L310+M310+Q310+R310+S310+T310+IF(ISNUMBER(X310),X310,0)+N(Y310)+N(Z310)+N(AA310),"")</f>
        <v/>
      </c>
      <c r="AG310" s="14">
        <f>IF(ISNUMBER(AF310),AF310,"")</f>
        <v/>
      </c>
      <c r="AH310" s="14">
        <f>IF(ISNUMBER(AG310),_xlfn.RANK.EQ(AG310,$AG$2:$AG$1031),"")</f>
        <v/>
      </c>
    </row>
    <row r="311">
      <c r="A311" s="18" t="n">
        <v>720</v>
      </c>
      <c r="B311" s="18" t="inlineStr">
        <is>
          <t>رنا اسامه حامد احمد السكنيدي</t>
        </is>
      </c>
      <c r="C311" s="1" t="e">
        <v>#N/A</v>
      </c>
      <c r="D311" s="1" t="n"/>
      <c r="E311" s="1" t="n"/>
      <c r="F311" s="1" t="n">
        <v>20</v>
      </c>
      <c r="G311" s="1">
        <f>C311+D311+E311+F311</f>
        <v/>
      </c>
      <c r="H311" s="1">
        <f>IF(ISNUMBER(G311),G311,"")</f>
        <v/>
      </c>
      <c r="I311" s="1">
        <f>_xlfn.RANK.EQ(H311,$H$2:$H$1031)</f>
        <v/>
      </c>
      <c r="J311" s="5" t="n">
        <v>594.2</v>
      </c>
      <c r="K311" s="5" t="n">
        <v>48</v>
      </c>
      <c r="L311" s="5" t="n">
        <v>21</v>
      </c>
      <c r="M311" s="5" t="n">
        <v>21</v>
      </c>
      <c r="N311" s="5">
        <f>J311+K311+L311+M311</f>
        <v/>
      </c>
      <c r="O311" s="5">
        <f>IF(ISNUMBER(N311),N311,"")</f>
        <v/>
      </c>
      <c r="P311" s="5">
        <f>_xlfn.RANK.EQ(O311,$O$2:$O$1031)</f>
        <v/>
      </c>
      <c r="Q311" s="9" t="n">
        <v>255</v>
      </c>
      <c r="R311" s="9" t="n">
        <v>42</v>
      </c>
      <c r="S311" s="9" t="n">
        <v>19</v>
      </c>
      <c r="T311" s="9" t="n">
        <v>23</v>
      </c>
      <c r="U311" s="9">
        <f>Q311+R311+S311+T311</f>
        <v/>
      </c>
      <c r="V311" s="9">
        <f>IF(ISNUMBER(U311),U311,"")</f>
        <v/>
      </c>
      <c r="W311" s="9">
        <f>_xlfn.RANK.EQ(V311,$V$2:$V$1031)</f>
        <v/>
      </c>
      <c r="X311" s="13" t="n">
        <v>1312.1541666667</v>
      </c>
      <c r="Y311" s="13" t="n">
        <v>23.5</v>
      </c>
      <c r="Z311" s="13" t="n">
        <v>22</v>
      </c>
      <c r="AA311" s="13" t="n">
        <v>22</v>
      </c>
      <c r="AB311" s="13">
        <f>IF(ISNUMBER(X311),X311+N(Y311)+N(Z311)+N(AA311),X311)</f>
        <v/>
      </c>
      <c r="AC311" s="13">
        <f>IF(ISNUMBER(AB311),AB311,"")</f>
        <v/>
      </c>
      <c r="AD311" s="13">
        <f>IF(ISNUMBER(AC311),_xlfn.RANK.EQ(AC311,$AC$2:$AC$1031),"")</f>
        <v/>
      </c>
      <c r="AE311" s="15">
        <f>IF(ISNUMBER(AF311),AF311/3630,"")</f>
        <v/>
      </c>
      <c r="AF311" s="14">
        <f>IFERROR(C311+D311+E311+F311+J311+K311+L311+M311+Q311+R311+S311+T311+IF(ISNUMBER(X311),X311,0)+N(Y311)+N(Z311)+N(AA311),"")</f>
        <v/>
      </c>
      <c r="AG311" s="14">
        <f>IF(ISNUMBER(AF311),AF311,"")</f>
        <v/>
      </c>
      <c r="AH311" s="14">
        <f>IF(ISNUMBER(AG311),_xlfn.RANK.EQ(AG311,$AG$2:$AG$1031),"")</f>
        <v/>
      </c>
    </row>
    <row r="312">
      <c r="A312" s="18" t="n">
        <v>721</v>
      </c>
      <c r="B312" s="18" t="inlineStr">
        <is>
          <t>رنا كامل حصافى حجر</t>
        </is>
      </c>
      <c r="C312" s="1" t="n">
        <v>639.8</v>
      </c>
      <c r="D312" s="1" t="n">
        <v>24</v>
      </c>
      <c r="E312" s="1" t="n">
        <v>25</v>
      </c>
      <c r="F312" s="1" t="n">
        <v>23</v>
      </c>
      <c r="G312" s="1">
        <f>C312+D312+E312+F312</f>
        <v/>
      </c>
      <c r="H312" s="1">
        <f>IF(ISNUMBER(G312),G312,"")</f>
        <v/>
      </c>
      <c r="I312" s="1">
        <f>_xlfn.RANK.EQ(H312,$H$2:$H$1031)</f>
        <v/>
      </c>
      <c r="J312" s="5" t="n">
        <v>628.05</v>
      </c>
      <c r="K312" s="5" t="n">
        <v>48</v>
      </c>
      <c r="L312" s="5" t="n">
        <v>22</v>
      </c>
      <c r="M312" s="5" t="n">
        <v>22</v>
      </c>
      <c r="N312" s="5">
        <f>J312+K312+L312+M312</f>
        <v/>
      </c>
      <c r="O312" s="5">
        <f>IF(ISNUMBER(N312),N312,"")</f>
        <v/>
      </c>
      <c r="P312" s="5">
        <f>_xlfn.RANK.EQ(O312,$O$2:$O$1031)</f>
        <v/>
      </c>
      <c r="Q312" s="9" t="n">
        <v>287.5</v>
      </c>
      <c r="R312" s="9" t="n">
        <v>49</v>
      </c>
      <c r="S312" s="9" t="n">
        <v>24</v>
      </c>
      <c r="T312" s="9" t="n">
        <v>25</v>
      </c>
      <c r="U312" s="9">
        <f>Q312+R312+S312+T312</f>
        <v/>
      </c>
      <c r="V312" s="9">
        <f>IF(ISNUMBER(U312),U312,"")</f>
        <v/>
      </c>
      <c r="W312" s="9">
        <f>_xlfn.RANK.EQ(V312,$V$2:$V$1031)</f>
        <v/>
      </c>
      <c r="X312" s="13" t="n">
        <v>1571.0458333333</v>
      </c>
      <c r="Y312" s="13" t="n">
        <v>25</v>
      </c>
      <c r="Z312" s="13" t="n">
        <v>25</v>
      </c>
      <c r="AA312" s="13" t="n">
        <v>24</v>
      </c>
      <c r="AB312" s="13">
        <f>IF(ISNUMBER(X312),X312+N(Y312)+N(Z312)+N(AA312),X312)</f>
        <v/>
      </c>
      <c r="AC312" s="13">
        <f>IF(ISNUMBER(AB312),AB312,"")</f>
        <v/>
      </c>
      <c r="AD312" s="13">
        <f>IF(ISNUMBER(AC312),_xlfn.RANK.EQ(AC312,$AC$2:$AC$1031),"")</f>
        <v/>
      </c>
      <c r="AE312" s="15">
        <f>IF(ISNUMBER(AF312),AF312/3630,"")</f>
        <v/>
      </c>
      <c r="AF312" s="14">
        <f>IFERROR(C312+D312+E312+F312+J312+K312+L312+M312+Q312+R312+S312+T312+IF(ISNUMBER(X312),X312,0)+N(Y312)+N(Z312)+N(AA312),"")</f>
        <v/>
      </c>
      <c r="AG312" s="14">
        <f>IF(ISNUMBER(AF312),AF312,"")</f>
        <v/>
      </c>
      <c r="AH312" s="14">
        <f>IF(ISNUMBER(AG312),_xlfn.RANK.EQ(AG312,$AG$2:$AG$1031),"")</f>
        <v/>
      </c>
    </row>
    <row r="313">
      <c r="A313" s="18" t="n">
        <v>722</v>
      </c>
      <c r="B313" s="18" t="inlineStr">
        <is>
          <t>رنا محمد خميس خضر</t>
        </is>
      </c>
      <c r="C313" s="1" t="n">
        <v>599.3</v>
      </c>
      <c r="D313" s="1" t="n">
        <v>23</v>
      </c>
      <c r="E313" s="1" t="n">
        <v>21</v>
      </c>
      <c r="F313" s="1" t="n">
        <v>22</v>
      </c>
      <c r="G313" s="1">
        <f>C313+D313+E313+F313</f>
        <v/>
      </c>
      <c r="H313" s="1">
        <f>IF(ISNUMBER(G313),G313,"")</f>
        <v/>
      </c>
      <c r="I313" s="1">
        <f>_xlfn.RANK.EQ(H313,$H$2:$H$1031)</f>
        <v/>
      </c>
      <c r="J313" s="5" t="n">
        <v>596.4</v>
      </c>
      <c r="K313" s="5" t="n">
        <v>44</v>
      </c>
      <c r="L313" s="5" t="n">
        <v>22</v>
      </c>
      <c r="M313" s="5" t="n">
        <v>21</v>
      </c>
      <c r="N313" s="5">
        <f>J313+K313+L313+M313</f>
        <v/>
      </c>
      <c r="O313" s="5">
        <f>IF(ISNUMBER(N313),N313,"")</f>
        <v/>
      </c>
      <c r="P313" s="5">
        <f>_xlfn.RANK.EQ(O313,$O$2:$O$1031)</f>
        <v/>
      </c>
      <c r="Q313" s="9" t="n">
        <v>253</v>
      </c>
      <c r="R313" s="9" t="n">
        <v>45.5</v>
      </c>
      <c r="S313" s="9" t="n">
        <v>22</v>
      </c>
      <c r="T313" s="9" t="n">
        <v>24</v>
      </c>
      <c r="U313" s="9">
        <f>Q313+R313+S313+T313</f>
        <v/>
      </c>
      <c r="V313" s="9">
        <f>IF(ISNUMBER(U313),U313,"")</f>
        <v/>
      </c>
      <c r="W313" s="9">
        <f>_xlfn.RANK.EQ(V313,$V$2:$V$1031)</f>
        <v/>
      </c>
      <c r="X313" s="13" t="n">
        <v>1405.1875</v>
      </c>
      <c r="Y313" s="13" t="n">
        <v>14</v>
      </c>
      <c r="Z313" s="13" t="n">
        <v>24</v>
      </c>
      <c r="AA313" s="13" t="n">
        <v>20</v>
      </c>
      <c r="AB313" s="13">
        <f>IF(ISNUMBER(X313),X313+N(Y313)+N(Z313)+N(AA313),X313)</f>
        <v/>
      </c>
      <c r="AC313" s="13">
        <f>IF(ISNUMBER(AB313),AB313,"")</f>
        <v/>
      </c>
      <c r="AD313" s="13">
        <f>IF(ISNUMBER(AC313),_xlfn.RANK.EQ(AC313,$AC$2:$AC$1031),"")</f>
        <v/>
      </c>
      <c r="AE313" s="15">
        <f>IF(ISNUMBER(AF313),AF313/3630,"")</f>
        <v/>
      </c>
      <c r="AF313" s="14">
        <f>IFERROR(C313+D313+E313+F313+J313+K313+L313+M313+Q313+R313+S313+T313+IF(ISNUMBER(X313),X313,0)+N(Y313)+N(Z313)+N(AA313),"")</f>
        <v/>
      </c>
      <c r="AG313" s="14">
        <f>IF(ISNUMBER(AF313),AF313,"")</f>
        <v/>
      </c>
      <c r="AH313" s="14">
        <f>IF(ISNUMBER(AG313),_xlfn.RANK.EQ(AG313,$AG$2:$AG$1031),"")</f>
        <v/>
      </c>
    </row>
    <row r="314">
      <c r="A314" s="18" t="n">
        <v>723</v>
      </c>
      <c r="B314" s="18" t="inlineStr">
        <is>
          <t>رنا محمد خميس مطر</t>
        </is>
      </c>
      <c r="C314" s="1" t="n">
        <v>639.1</v>
      </c>
      <c r="D314" s="1" t="n">
        <v>25</v>
      </c>
      <c r="E314" s="1" t="n">
        <v>25</v>
      </c>
      <c r="F314" s="1" t="n">
        <v>24</v>
      </c>
      <c r="G314" s="1">
        <f>C314+D314+E314+F314</f>
        <v/>
      </c>
      <c r="H314" s="1">
        <f>IF(ISNUMBER(G314),G314,"")</f>
        <v/>
      </c>
      <c r="I314" s="1">
        <f>_xlfn.RANK.EQ(H314,$H$2:$H$1031)</f>
        <v/>
      </c>
      <c r="J314" s="5" t="n">
        <v>633.55</v>
      </c>
      <c r="K314" s="5" t="n">
        <v>48</v>
      </c>
      <c r="L314" s="5" t="n">
        <v>22</v>
      </c>
      <c r="M314" s="5" t="n">
        <v>25</v>
      </c>
      <c r="N314" s="5">
        <f>J314+K314+L314+M314</f>
        <v/>
      </c>
      <c r="O314" s="5">
        <f>IF(ISNUMBER(N314),N314,"")</f>
        <v/>
      </c>
      <c r="P314" s="5">
        <f>_xlfn.RANK.EQ(O314,$O$2:$O$1031)</f>
        <v/>
      </c>
      <c r="Q314" s="9" t="n">
        <v>286.5</v>
      </c>
      <c r="R314" s="9" t="n">
        <v>48</v>
      </c>
      <c r="S314" s="9" t="n">
        <v>25</v>
      </c>
      <c r="T314" s="9" t="n">
        <v>25</v>
      </c>
      <c r="U314" s="9">
        <f>Q314+R314+S314+T314</f>
        <v/>
      </c>
      <c r="V314" s="9">
        <f>IF(ISNUMBER(U314),U314,"")</f>
        <v/>
      </c>
      <c r="W314" s="9">
        <f>_xlfn.RANK.EQ(V314,$V$2:$V$1031)</f>
        <v/>
      </c>
      <c r="X314" s="13" t="n">
        <v>1550.625</v>
      </c>
      <c r="Y314" s="13" t="n">
        <v>24.5</v>
      </c>
      <c r="Z314" s="13" t="n">
        <v>25</v>
      </c>
      <c r="AA314" s="13" t="n">
        <v>25</v>
      </c>
      <c r="AB314" s="13">
        <f>IF(ISNUMBER(X314),X314+N(Y314)+N(Z314)+N(AA314),X314)</f>
        <v/>
      </c>
      <c r="AC314" s="13">
        <f>IF(ISNUMBER(AB314),AB314,"")</f>
        <v/>
      </c>
      <c r="AD314" s="13">
        <f>IF(ISNUMBER(AC314),_xlfn.RANK.EQ(AC314,$AC$2:$AC$1031),"")</f>
        <v/>
      </c>
      <c r="AE314" s="15">
        <f>IF(ISNUMBER(AF314),AF314/3630,"")</f>
        <v/>
      </c>
      <c r="AF314" s="14">
        <f>IFERROR(C314+D314+E314+F314+J314+K314+L314+M314+Q314+R314+S314+T314+IF(ISNUMBER(X314),X314,0)+N(Y314)+N(Z314)+N(AA314),"")</f>
        <v/>
      </c>
      <c r="AG314" s="14">
        <f>IF(ISNUMBER(AF314),AF314,"")</f>
        <v/>
      </c>
      <c r="AH314" s="14">
        <f>IF(ISNUMBER(AG314),_xlfn.RANK.EQ(AG314,$AG$2:$AG$1031),"")</f>
        <v/>
      </c>
    </row>
    <row r="315">
      <c r="A315" s="18" t="n">
        <v>726</v>
      </c>
      <c r="B315" s="18" t="inlineStr">
        <is>
          <t>رنا وسيم عبد الصمد محمود الخرادلى</t>
        </is>
      </c>
      <c r="C315" s="1" t="n">
        <v>575</v>
      </c>
      <c r="D315" s="1" t="n">
        <v>25</v>
      </c>
      <c r="E315" s="1" t="n">
        <v>20</v>
      </c>
      <c r="F315" s="1" t="n">
        <v>21</v>
      </c>
      <c r="G315" s="1">
        <f>C315+D315+E315+F315</f>
        <v/>
      </c>
      <c r="H315" s="1">
        <f>IF(ISNUMBER(G315),G315,"")</f>
        <v/>
      </c>
      <c r="I315" s="1">
        <f>_xlfn.RANK.EQ(H315,$H$2:$H$1031)</f>
        <v/>
      </c>
      <c r="J315" s="5" t="n">
        <v>578.95</v>
      </c>
      <c r="K315" s="5" t="n">
        <v>48</v>
      </c>
      <c r="L315" s="5" t="n">
        <v>23</v>
      </c>
      <c r="M315" s="5" t="n">
        <v>20</v>
      </c>
      <c r="N315" s="5">
        <f>J315+K315+L315+M315</f>
        <v/>
      </c>
      <c r="O315" s="5">
        <f>IF(ISNUMBER(N315),N315,"")</f>
        <v/>
      </c>
      <c r="P315" s="5">
        <f>_xlfn.RANK.EQ(O315,$O$2:$O$1031)</f>
        <v/>
      </c>
      <c r="Q315" s="9" t="n">
        <v>255.5</v>
      </c>
      <c r="R315" s="9" t="n">
        <v>48</v>
      </c>
      <c r="S315" s="9" t="n">
        <v>25</v>
      </c>
      <c r="T315" s="9" t="n">
        <v>25</v>
      </c>
      <c r="U315" s="9">
        <f>Q315+R315+S315+T315</f>
        <v/>
      </c>
      <c r="V315" s="9">
        <f>IF(ISNUMBER(U315),U315,"")</f>
        <v/>
      </c>
      <c r="W315" s="9">
        <f>_xlfn.RANK.EQ(V315,$V$2:$V$1031)</f>
        <v/>
      </c>
      <c r="X315" s="13" t="n">
        <v>1407.2333333333</v>
      </c>
      <c r="Y315" s="13" t="n">
        <v>24.5</v>
      </c>
      <c r="Z315" s="13" t="n">
        <v>25</v>
      </c>
      <c r="AA315" s="13" t="n">
        <v>23</v>
      </c>
      <c r="AB315" s="13">
        <f>IF(ISNUMBER(X315),X315+N(Y315)+N(Z315)+N(AA315),X315)</f>
        <v/>
      </c>
      <c r="AC315" s="13">
        <f>IF(ISNUMBER(AB315),AB315,"")</f>
        <v/>
      </c>
      <c r="AD315" s="13">
        <f>IF(ISNUMBER(AC315),_xlfn.RANK.EQ(AC315,$AC$2:$AC$1031),"")</f>
        <v/>
      </c>
      <c r="AE315" s="15">
        <f>IF(ISNUMBER(AF315),AF315/3630,"")</f>
        <v/>
      </c>
      <c r="AF315" s="14">
        <f>IFERROR(C315+D315+E315+F315+J315+K315+L315+M315+Q315+R315+S315+T315+IF(ISNUMBER(X315),X315,0)+N(Y315)+N(Z315)+N(AA315),"")</f>
        <v/>
      </c>
      <c r="AG315" s="14">
        <f>IF(ISNUMBER(AF315),AF315,"")</f>
        <v/>
      </c>
      <c r="AH315" s="14">
        <f>IF(ISNUMBER(AG315),_xlfn.RANK.EQ(AG315,$AG$2:$AG$1031),"")</f>
        <v/>
      </c>
    </row>
    <row r="316">
      <c r="A316" s="18" t="n">
        <v>727</v>
      </c>
      <c r="B316" s="18" t="inlineStr">
        <is>
          <t>رنا وليد السيد علي عمر مناع</t>
        </is>
      </c>
      <c r="C316" s="1" t="n">
        <v>452.4</v>
      </c>
      <c r="D316" s="1" t="n">
        <v>23</v>
      </c>
      <c r="E316" s="1" t="n">
        <v>20</v>
      </c>
      <c r="F316" s="1" t="n">
        <v>19</v>
      </c>
      <c r="G316" s="1">
        <f>C316+D316+E316+F316</f>
        <v/>
      </c>
      <c r="H316" s="1">
        <f>IF(ISNUMBER(G316),G316,"")</f>
        <v/>
      </c>
      <c r="I316" s="1">
        <f>_xlfn.RANK.EQ(H316,$H$2:$H$1031)</f>
        <v/>
      </c>
      <c r="J316" s="5" t="n">
        <v>532.45</v>
      </c>
      <c r="K316" s="5" t="n">
        <v>41</v>
      </c>
      <c r="L316" s="5" t="n">
        <v>22</v>
      </c>
      <c r="M316" s="5" t="n">
        <v>21</v>
      </c>
      <c r="N316" s="5">
        <f>J316+K316+L316+M316</f>
        <v/>
      </c>
      <c r="O316" s="5">
        <f>IF(ISNUMBER(N316),N316,"")</f>
        <v/>
      </c>
      <c r="P316" s="5">
        <f>_xlfn.RANK.EQ(O316,$O$2:$O$1031)</f>
        <v/>
      </c>
      <c r="Q316" s="9" t="n">
        <v>234</v>
      </c>
      <c r="R316" s="9" t="n">
        <v>45</v>
      </c>
      <c r="S316" s="9" t="n">
        <v>24</v>
      </c>
      <c r="T316" s="9" t="n">
        <v>25</v>
      </c>
      <c r="U316" s="9">
        <f>Q316+R316+S316+T316</f>
        <v/>
      </c>
      <c r="V316" s="9">
        <f>IF(ISNUMBER(U316),U316,"")</f>
        <v/>
      </c>
      <c r="W316" s="9">
        <f>_xlfn.RANK.EQ(V316,$V$2:$V$1031)</f>
        <v/>
      </c>
      <c r="X316" s="13" t="n">
        <v>1293.8041666667</v>
      </c>
      <c r="Y316" s="13" t="n">
        <v>25</v>
      </c>
      <c r="Z316" s="13" t="n">
        <v>24</v>
      </c>
      <c r="AA316" s="13" t="n">
        <v>23</v>
      </c>
      <c r="AB316" s="13">
        <f>IF(ISNUMBER(X316),X316+N(Y316)+N(Z316)+N(AA316),X316)</f>
        <v/>
      </c>
      <c r="AC316" s="13">
        <f>IF(ISNUMBER(AB316),AB316,"")</f>
        <v/>
      </c>
      <c r="AD316" s="13">
        <f>IF(ISNUMBER(AC316),_xlfn.RANK.EQ(AC316,$AC$2:$AC$1031),"")</f>
        <v/>
      </c>
      <c r="AE316" s="15">
        <f>IF(ISNUMBER(AF316),AF316/3630,"")</f>
        <v/>
      </c>
      <c r="AF316" s="14">
        <f>IFERROR(C316+D316+E316+F316+J316+K316+L316+M316+Q316+R316+S316+T316+IF(ISNUMBER(X316),X316,0)+N(Y316)+N(Z316)+N(AA316),"")</f>
        <v/>
      </c>
      <c r="AG316" s="14">
        <f>IF(ISNUMBER(AF316),AF316,"")</f>
        <v/>
      </c>
      <c r="AH316" s="14">
        <f>IF(ISNUMBER(AG316),_xlfn.RANK.EQ(AG316,$AG$2:$AG$1031),"")</f>
        <v/>
      </c>
    </row>
    <row r="317">
      <c r="A317" s="18" t="n">
        <v>729</v>
      </c>
      <c r="B317" s="18" t="inlineStr">
        <is>
          <t>رنادا عبدالحميد محمد عبدالحميد الخولى</t>
        </is>
      </c>
      <c r="C317" s="1" t="n">
        <v>507.6</v>
      </c>
      <c r="D317" s="1" t="n">
        <v>24</v>
      </c>
      <c r="E317" s="1" t="n">
        <v>23</v>
      </c>
      <c r="F317" s="1" t="n">
        <v>25</v>
      </c>
      <c r="G317" s="1">
        <f>C317+D317+E317+F317</f>
        <v/>
      </c>
      <c r="H317" s="1">
        <f>IF(ISNUMBER(G317),G317,"")</f>
        <v/>
      </c>
      <c r="I317" s="1">
        <f>_xlfn.RANK.EQ(H317,$H$2:$H$1031)</f>
        <v/>
      </c>
      <c r="J317" s="5" t="n">
        <v>597.8</v>
      </c>
      <c r="K317" s="5" t="n">
        <v>46</v>
      </c>
      <c r="L317" s="5" t="n">
        <v>21</v>
      </c>
      <c r="M317" s="5" t="n">
        <v>22</v>
      </c>
      <c r="N317" s="5">
        <f>J317+K317+L317+M317</f>
        <v/>
      </c>
      <c r="O317" s="5">
        <f>IF(ISNUMBER(N317),N317,"")</f>
        <v/>
      </c>
      <c r="P317" s="5">
        <f>_xlfn.RANK.EQ(O317,$O$2:$O$1031)</f>
        <v/>
      </c>
      <c r="Q317" s="9" t="n">
        <v>232</v>
      </c>
      <c r="R317" s="9" t="n">
        <v>46</v>
      </c>
      <c r="S317" s="9" t="n">
        <v>24</v>
      </c>
      <c r="T317" s="9" t="n">
        <v>25</v>
      </c>
      <c r="U317" s="9">
        <f>Q317+R317+S317+T317</f>
        <v/>
      </c>
      <c r="V317" s="9">
        <f>IF(ISNUMBER(U317),U317,"")</f>
        <v/>
      </c>
      <c r="W317" s="9">
        <f>_xlfn.RANK.EQ(V317,$V$2:$V$1031)</f>
        <v/>
      </c>
      <c r="X317" s="13" t="n">
        <v>1470.8916666667</v>
      </c>
      <c r="Y317" s="13" t="n">
        <v>24</v>
      </c>
      <c r="Z317" s="13" t="n">
        <v>23</v>
      </c>
      <c r="AA317" s="13" t="n">
        <v>23</v>
      </c>
      <c r="AB317" s="13">
        <f>IF(ISNUMBER(X317),X317+N(Y317)+N(Z317)+N(AA317),X317)</f>
        <v/>
      </c>
      <c r="AC317" s="13">
        <f>IF(ISNUMBER(AB317),AB317,"")</f>
        <v/>
      </c>
      <c r="AD317" s="13">
        <f>IF(ISNUMBER(AC317),_xlfn.RANK.EQ(AC317,$AC$2:$AC$1031),"")</f>
        <v/>
      </c>
      <c r="AE317" s="15">
        <f>IF(ISNUMBER(AF317),AF317/3630,"")</f>
        <v/>
      </c>
      <c r="AF317" s="14">
        <f>IFERROR(C317+D317+E317+F317+J317+K317+L317+M317+Q317+R317+S317+T317+IF(ISNUMBER(X317),X317,0)+N(Y317)+N(Z317)+N(AA317),"")</f>
        <v/>
      </c>
      <c r="AG317" s="14">
        <f>IF(ISNUMBER(AF317),AF317,"")</f>
        <v/>
      </c>
      <c r="AH317" s="14">
        <f>IF(ISNUMBER(AG317),_xlfn.RANK.EQ(AG317,$AG$2:$AG$1031),"")</f>
        <v/>
      </c>
    </row>
    <row r="318">
      <c r="A318" s="18" t="n">
        <v>733</v>
      </c>
      <c r="B318" s="18" t="inlineStr">
        <is>
          <t>رندا اشرف سيد احمد عبد المقصود الجزار</t>
        </is>
      </c>
      <c r="C318" s="1" t="n">
        <v>620.2</v>
      </c>
      <c r="D318" s="1" t="n">
        <v>23</v>
      </c>
      <c r="E318" s="1" t="n">
        <v>17</v>
      </c>
      <c r="F318" s="1" t="n">
        <v>20</v>
      </c>
      <c r="G318" s="1">
        <f>C318+D318+E318+F318</f>
        <v/>
      </c>
      <c r="H318" s="1">
        <f>IF(ISNUMBER(G318),G318,"")</f>
        <v/>
      </c>
      <c r="I318" s="1">
        <f>_xlfn.RANK.EQ(H318,$H$2:$H$1031)</f>
        <v/>
      </c>
      <c r="J318" s="5" t="n">
        <v>609.5</v>
      </c>
      <c r="K318" s="5" t="n">
        <v>46</v>
      </c>
      <c r="L318" s="5" t="n">
        <v>20</v>
      </c>
      <c r="M318" s="5" t="n">
        <v>23</v>
      </c>
      <c r="N318" s="5">
        <f>J318+K318+L318+M318</f>
        <v/>
      </c>
      <c r="O318" s="5">
        <f>IF(ISNUMBER(N318),N318,"")</f>
        <v/>
      </c>
      <c r="P318" s="5">
        <f>_xlfn.RANK.EQ(O318,$O$2:$O$1031)</f>
        <v/>
      </c>
      <c r="Q318" s="9" t="n">
        <v>267.5</v>
      </c>
      <c r="R318" s="9" t="n">
        <v>44</v>
      </c>
      <c r="S318" s="9" t="n">
        <v>22</v>
      </c>
      <c r="T318" s="9" t="n">
        <v>25</v>
      </c>
      <c r="U318" s="9">
        <f>Q318+R318+S318+T318</f>
        <v/>
      </c>
      <c r="V318" s="9">
        <f>IF(ISNUMBER(U318),U318,"")</f>
        <v/>
      </c>
      <c r="W318" s="9">
        <f>_xlfn.RANK.EQ(V318,$V$2:$V$1031)</f>
        <v/>
      </c>
      <c r="X318" s="13" t="n">
        <v>1555.375</v>
      </c>
      <c r="Y318" s="13" t="n">
        <v>24</v>
      </c>
      <c r="Z318" s="13" t="n">
        <v>24</v>
      </c>
      <c r="AA318" s="13" t="n">
        <v>24</v>
      </c>
      <c r="AB318" s="13">
        <f>IF(ISNUMBER(X318),X318+N(Y318)+N(Z318)+N(AA318),X318)</f>
        <v/>
      </c>
      <c r="AC318" s="13">
        <f>IF(ISNUMBER(AB318),AB318,"")</f>
        <v/>
      </c>
      <c r="AD318" s="13">
        <f>IF(ISNUMBER(AC318),_xlfn.RANK.EQ(AC318,$AC$2:$AC$1031),"")</f>
        <v/>
      </c>
      <c r="AE318" s="15">
        <f>IF(ISNUMBER(AF318),AF318/3630,"")</f>
        <v/>
      </c>
      <c r="AF318" s="14">
        <f>IFERROR(C318+D318+E318+F318+J318+K318+L318+M318+Q318+R318+S318+T318+IF(ISNUMBER(X318),X318,0)+N(Y318)+N(Z318)+N(AA318),"")</f>
        <v/>
      </c>
      <c r="AG318" s="14">
        <f>IF(ISNUMBER(AF318),AF318,"")</f>
        <v/>
      </c>
      <c r="AH318" s="14">
        <f>IF(ISNUMBER(AG318),_xlfn.RANK.EQ(AG318,$AG$2:$AG$1031),"")</f>
        <v/>
      </c>
    </row>
    <row r="319">
      <c r="A319" s="18" t="n">
        <v>736</v>
      </c>
      <c r="B319" s="18" t="inlineStr">
        <is>
          <t>رنيم سعيد عبده محمد عبده</t>
        </is>
      </c>
      <c r="C319" s="1" t="n">
        <v>558</v>
      </c>
      <c r="D319" s="1" t="n">
        <v>23</v>
      </c>
      <c r="E319" s="1" t="n">
        <v>23</v>
      </c>
      <c r="F319" s="1" t="n">
        <v>19</v>
      </c>
      <c r="G319" s="1">
        <f>C319+D319+E319+F319</f>
        <v/>
      </c>
      <c r="H319" s="1">
        <f>IF(ISNUMBER(G319),G319,"")</f>
        <v/>
      </c>
      <c r="I319" s="1">
        <f>_xlfn.RANK.EQ(H319,$H$2:$H$1031)</f>
        <v/>
      </c>
      <c r="J319" s="5" t="n">
        <v>535.4</v>
      </c>
      <c r="K319" s="5" t="n">
        <v>46</v>
      </c>
      <c r="L319" s="5" t="n">
        <v>21</v>
      </c>
      <c r="M319" s="5" t="n">
        <v>21</v>
      </c>
      <c r="N319" s="5">
        <f>J319+K319+L319+M319</f>
        <v/>
      </c>
      <c r="O319" s="5">
        <f>IF(ISNUMBER(N319),N319,"")</f>
        <v/>
      </c>
      <c r="P319" s="5">
        <f>_xlfn.RANK.EQ(O319,$O$2:$O$1031)</f>
        <v/>
      </c>
      <c r="Q319" s="9" t="n">
        <v>227.5</v>
      </c>
      <c r="R319" s="9" t="n">
        <v>42</v>
      </c>
      <c r="S319" s="9" t="n">
        <v>25</v>
      </c>
      <c r="T319" s="9" t="n">
        <v>24</v>
      </c>
      <c r="U319" s="9">
        <f>Q319+R319+S319+T319</f>
        <v/>
      </c>
      <c r="V319" s="9">
        <f>IF(ISNUMBER(U319),U319,"")</f>
        <v/>
      </c>
      <c r="W319" s="9">
        <f>_xlfn.RANK.EQ(V319,$V$2:$V$1031)</f>
        <v/>
      </c>
      <c r="X319" s="13" t="n">
        <v>1251.3583333333</v>
      </c>
      <c r="Y319" s="13" t="n">
        <v>25</v>
      </c>
      <c r="Z319" s="13" t="n">
        <v>24</v>
      </c>
      <c r="AA319" s="13" t="n">
        <v>24</v>
      </c>
      <c r="AB319" s="13">
        <f>IF(ISNUMBER(X319),X319+N(Y319)+N(Z319)+N(AA319),X319)</f>
        <v/>
      </c>
      <c r="AC319" s="13">
        <f>IF(ISNUMBER(AB319),AB319,"")</f>
        <v/>
      </c>
      <c r="AD319" s="13">
        <f>IF(ISNUMBER(AC319),_xlfn.RANK.EQ(AC319,$AC$2:$AC$1031),"")</f>
        <v/>
      </c>
      <c r="AE319" s="15">
        <f>IF(ISNUMBER(AF319),AF319/3630,"")</f>
        <v/>
      </c>
      <c r="AF319" s="14">
        <f>IFERROR(C319+D319+E319+F319+J319+K319+L319+M319+Q319+R319+S319+T319+IF(ISNUMBER(X319),X319,0)+N(Y319)+N(Z319)+N(AA319),"")</f>
        <v/>
      </c>
      <c r="AG319" s="14">
        <f>IF(ISNUMBER(AF319),AF319,"")</f>
        <v/>
      </c>
      <c r="AH319" s="14">
        <f>IF(ISNUMBER(AG319),_xlfn.RANK.EQ(AG319,$AG$2:$AG$1031),"")</f>
        <v/>
      </c>
    </row>
    <row r="320">
      <c r="A320" s="18" t="n">
        <v>745</v>
      </c>
      <c r="B320" s="18" t="inlineStr">
        <is>
          <t>رواء رفيق مبروك اسماعيل عوض</t>
        </is>
      </c>
      <c r="C320" s="1" t="n">
        <v>649.6</v>
      </c>
      <c r="D320" s="1" t="n">
        <v>25</v>
      </c>
      <c r="E320" s="1" t="n">
        <v>25</v>
      </c>
      <c r="F320" s="1" t="n">
        <v>24</v>
      </c>
      <c r="G320" s="1">
        <f>C320+D320+E320+F320</f>
        <v/>
      </c>
      <c r="H320" s="1">
        <f>IF(ISNUMBER(G320),G320,"")</f>
        <v/>
      </c>
      <c r="I320" s="1">
        <f>_xlfn.RANK.EQ(H320,$H$2:$H$1031)</f>
        <v/>
      </c>
      <c r="J320" s="5" t="n">
        <v>636</v>
      </c>
      <c r="K320" s="5" t="n">
        <v>47</v>
      </c>
      <c r="L320" s="5" t="n">
        <v>25</v>
      </c>
      <c r="M320" s="5" t="n">
        <v>25</v>
      </c>
      <c r="N320" s="5">
        <f>J320+K320+L320+M320</f>
        <v/>
      </c>
      <c r="O320" s="5">
        <f>IF(ISNUMBER(N320),N320,"")</f>
        <v/>
      </c>
      <c r="P320" s="5">
        <f>_xlfn.RANK.EQ(O320,$O$2:$O$1031)</f>
        <v/>
      </c>
      <c r="Q320" s="9" t="n">
        <v>289</v>
      </c>
      <c r="R320" s="9" t="n">
        <v>50</v>
      </c>
      <c r="S320" s="9" t="n">
        <v>25</v>
      </c>
      <c r="T320" s="9" t="n">
        <v>25</v>
      </c>
      <c r="U320" s="9">
        <f>Q320+R320+S320+T320</f>
        <v/>
      </c>
      <c r="V320" s="9">
        <f>IF(ISNUMBER(U320),U320,"")</f>
        <v/>
      </c>
      <c r="W320" s="9">
        <f>_xlfn.RANK.EQ(V320,$V$2:$V$1031)</f>
        <v/>
      </c>
      <c r="X320" s="13" t="n">
        <v>1558.0541666667</v>
      </c>
      <c r="Y320" s="13" t="n">
        <v>25</v>
      </c>
      <c r="Z320" s="13" t="n">
        <v>25</v>
      </c>
      <c r="AA320" s="13" t="n">
        <v>24</v>
      </c>
      <c r="AB320" s="13">
        <f>IF(ISNUMBER(X320),X320+N(Y320)+N(Z320)+N(AA320),X320)</f>
        <v/>
      </c>
      <c r="AC320" s="13">
        <f>IF(ISNUMBER(AB320),AB320,"")</f>
        <v/>
      </c>
      <c r="AD320" s="13">
        <f>IF(ISNUMBER(AC320),_xlfn.RANK.EQ(AC320,$AC$2:$AC$1031),"")</f>
        <v/>
      </c>
      <c r="AE320" s="15">
        <f>IF(ISNUMBER(AF320),AF320/3630,"")</f>
        <v/>
      </c>
      <c r="AF320" s="14">
        <f>IFERROR(C320+D320+E320+F320+J320+K320+L320+M320+Q320+R320+S320+T320+IF(ISNUMBER(X320),X320,0)+N(Y320)+N(Z320)+N(AA320),"")</f>
        <v/>
      </c>
      <c r="AG320" s="14">
        <f>IF(ISNUMBER(AF320),AF320,"")</f>
        <v/>
      </c>
      <c r="AH320" s="14">
        <f>IF(ISNUMBER(AG320),_xlfn.RANK.EQ(AG320,$AG$2:$AG$1031),"")</f>
        <v/>
      </c>
    </row>
    <row r="321">
      <c r="A321" s="18" t="n">
        <v>746</v>
      </c>
      <c r="B321" s="18" t="inlineStr">
        <is>
          <t>رواء محمد عبدالله ابراهيم</t>
        </is>
      </c>
      <c r="C321" s="1" t="n">
        <v>498.2</v>
      </c>
      <c r="D321" s="1" t="n">
        <v>21</v>
      </c>
      <c r="E321" s="1" t="n">
        <v>20</v>
      </c>
      <c r="F321" s="1" t="n">
        <v>19</v>
      </c>
      <c r="G321" s="1">
        <f>C321+D321+E321+F321</f>
        <v/>
      </c>
      <c r="H321" s="1">
        <f>IF(ISNUMBER(G321),G321,"")</f>
        <v/>
      </c>
      <c r="I321" s="1">
        <f>_xlfn.RANK.EQ(H321,$H$2:$H$1031)</f>
        <v/>
      </c>
      <c r="J321" s="5" t="n">
        <v>518.5</v>
      </c>
      <c r="K321" s="5" t="n">
        <v>44</v>
      </c>
      <c r="L321" s="5" t="n">
        <v>23</v>
      </c>
      <c r="M321" s="5" t="n">
        <v>17</v>
      </c>
      <c r="N321" s="5">
        <f>J321+K321+L321+M321</f>
        <v/>
      </c>
      <c r="O321" s="5">
        <f>IF(ISNUMBER(N321),N321,"")</f>
        <v/>
      </c>
      <c r="P321" s="5">
        <f>_xlfn.RANK.EQ(O321,$O$2:$O$1031)</f>
        <v/>
      </c>
      <c r="Q321" s="9" t="n">
        <v>216</v>
      </c>
      <c r="R321" s="9" t="n">
        <v>38</v>
      </c>
      <c r="S321" s="9" t="n">
        <v>22</v>
      </c>
      <c r="T321" s="9" t="n">
        <v>23</v>
      </c>
      <c r="U321" s="9">
        <f>Q321+R321+S321+T321</f>
        <v/>
      </c>
      <c r="V321" s="9">
        <f>IF(ISNUMBER(U321),U321,"")</f>
        <v/>
      </c>
      <c r="W321" s="9">
        <f>_xlfn.RANK.EQ(V321,$V$2:$V$1031)</f>
        <v/>
      </c>
      <c r="X321" s="13" t="inlineStr">
        <is>
          <t>راسب</t>
        </is>
      </c>
      <c r="Y321" s="13" t="n">
        <v>22.5</v>
      </c>
      <c r="Z321" s="13" t="n">
        <v>16</v>
      </c>
      <c r="AA321" s="13" t="n">
        <v>16</v>
      </c>
      <c r="AB321" s="13">
        <f>IF(ISNUMBER(X321),X321+N(Y321)+N(Z321)+N(AA321),X321)</f>
        <v/>
      </c>
      <c r="AC321" s="13">
        <f>IF(ISNUMBER(AB321),AB321,"")</f>
        <v/>
      </c>
      <c r="AD321" s="13">
        <f>IF(ISNUMBER(AC321),_xlfn.RANK.EQ(AC321,$AC$2:$AC$1031),"")</f>
        <v/>
      </c>
      <c r="AE321" s="15">
        <f>IF(ISNUMBER(AF321),AF321/3630,"")</f>
        <v/>
      </c>
      <c r="AF321" s="14">
        <f>IFERROR(C321+D321+E321+F321+J321+K321+L321+M321+Q321+R321+S321+T321+IF(ISNUMBER(X321),X321,0)+N(Y321)+N(Z321)+N(AA321),"")</f>
        <v/>
      </c>
      <c r="AG321" s="14">
        <f>IF(ISNUMBER(AF321),AF321,"")</f>
        <v/>
      </c>
      <c r="AH321" s="14">
        <f>IF(ISNUMBER(AG321),_xlfn.RANK.EQ(AG321,$AG$2:$AG$1031),"")</f>
        <v/>
      </c>
    </row>
    <row r="322">
      <c r="A322" s="18" t="n">
        <v>747</v>
      </c>
      <c r="B322" s="18" t="inlineStr">
        <is>
          <t>روان احمد فضل محمود دياب</t>
        </is>
      </c>
      <c r="C322" s="1" t="n">
        <v>630.7</v>
      </c>
      <c r="D322" s="1" t="n">
        <v>24</v>
      </c>
      <c r="E322" s="1" t="n">
        <v>24</v>
      </c>
      <c r="F322" s="1" t="n">
        <v>24</v>
      </c>
      <c r="G322" s="1">
        <f>C322+D322+E322+F322</f>
        <v/>
      </c>
      <c r="H322" s="1">
        <f>IF(ISNUMBER(G322),G322,"")</f>
        <v/>
      </c>
      <c r="I322" s="1">
        <f>_xlfn.RANK.EQ(H322,$H$2:$H$1031)</f>
        <v/>
      </c>
      <c r="J322" s="5" t="n">
        <v>629.4</v>
      </c>
      <c r="K322" s="5" t="n">
        <v>49</v>
      </c>
      <c r="L322" s="5" t="n">
        <v>20</v>
      </c>
      <c r="M322" s="5" t="n">
        <v>25</v>
      </c>
      <c r="N322" s="5">
        <f>J322+K322+L322+M322</f>
        <v/>
      </c>
      <c r="O322" s="5">
        <f>IF(ISNUMBER(N322),N322,"")</f>
        <v/>
      </c>
      <c r="P322" s="5">
        <f>_xlfn.RANK.EQ(O322,$O$2:$O$1031)</f>
        <v/>
      </c>
      <c r="Q322" s="9" t="n">
        <v>286</v>
      </c>
      <c r="R322" s="9" t="n">
        <v>48.5</v>
      </c>
      <c r="S322" s="9" t="n">
        <v>23</v>
      </c>
      <c r="T322" s="9" t="n">
        <v>24</v>
      </c>
      <c r="U322" s="9">
        <f>Q322+R322+S322+T322</f>
        <v/>
      </c>
      <c r="V322" s="9">
        <f>IF(ISNUMBER(U322),U322,"")</f>
        <v/>
      </c>
      <c r="W322" s="9">
        <f>_xlfn.RANK.EQ(V322,$V$2:$V$1031)</f>
        <v/>
      </c>
      <c r="X322" s="13" t="n">
        <v>1580.9875</v>
      </c>
      <c r="Y322" s="13" t="n">
        <v>25</v>
      </c>
      <c r="Z322" s="13" t="n">
        <v>25</v>
      </c>
      <c r="AA322" s="13" t="n">
        <v>25</v>
      </c>
      <c r="AB322" s="13">
        <f>IF(ISNUMBER(X322),X322+N(Y322)+N(Z322)+N(AA322),X322)</f>
        <v/>
      </c>
      <c r="AC322" s="13">
        <f>IF(ISNUMBER(AB322),AB322,"")</f>
        <v/>
      </c>
      <c r="AD322" s="13">
        <f>IF(ISNUMBER(AC322),_xlfn.RANK.EQ(AC322,$AC$2:$AC$1031),"")</f>
        <v/>
      </c>
      <c r="AE322" s="15">
        <f>IF(ISNUMBER(AF322),AF322/3630,"")</f>
        <v/>
      </c>
      <c r="AF322" s="14">
        <f>IFERROR(C322+D322+E322+F322+J322+K322+L322+M322+Q322+R322+S322+T322+IF(ISNUMBER(X322),X322,0)+N(Y322)+N(Z322)+N(AA322),"")</f>
        <v/>
      </c>
      <c r="AG322" s="14">
        <f>IF(ISNUMBER(AF322),AF322,"")</f>
        <v/>
      </c>
      <c r="AH322" s="14">
        <f>IF(ISNUMBER(AG322),_xlfn.RANK.EQ(AG322,$AG$2:$AG$1031),"")</f>
        <v/>
      </c>
    </row>
    <row r="323">
      <c r="A323" s="18" t="n">
        <v>748</v>
      </c>
      <c r="B323" s="18" t="inlineStr">
        <is>
          <t>روان احمد محمد جابر علي المناديلى</t>
        </is>
      </c>
      <c r="C323" s="1" t="n">
        <v>424</v>
      </c>
      <c r="D323" s="1" t="n">
        <v>19</v>
      </c>
      <c r="E323" s="1" t="n">
        <v>19</v>
      </c>
      <c r="F323" s="1" t="n">
        <v>17</v>
      </c>
      <c r="G323" s="1">
        <f>C323+D323+E323+F323</f>
        <v/>
      </c>
      <c r="H323" s="1">
        <f>IF(ISNUMBER(G323),G323,"")</f>
        <v/>
      </c>
      <c r="I323" s="1">
        <f>_xlfn.RANK.EQ(H323,$H$2:$H$1031)</f>
        <v/>
      </c>
      <c r="J323" s="5" t="n">
        <v>507.8</v>
      </c>
      <c r="K323" s="5" t="n">
        <v>39</v>
      </c>
      <c r="L323" s="5" t="n">
        <v>20</v>
      </c>
      <c r="M323" s="5" t="n">
        <v>19</v>
      </c>
      <c r="N323" s="5">
        <f>J323+K323+L323+M323</f>
        <v/>
      </c>
      <c r="O323" s="5">
        <f>IF(ISNUMBER(N323),N323,"")</f>
        <v/>
      </c>
      <c r="P323" s="5">
        <f>_xlfn.RANK.EQ(O323,$O$2:$O$1031)</f>
        <v/>
      </c>
      <c r="Q323" s="9" t="n">
        <v>198.5</v>
      </c>
      <c r="R323" s="9" t="n">
        <v>37</v>
      </c>
      <c r="S323" s="9" t="n">
        <v>21</v>
      </c>
      <c r="T323" s="9" t="n">
        <v>24</v>
      </c>
      <c r="U323" s="9">
        <f>Q323+R323+S323+T323</f>
        <v/>
      </c>
      <c r="V323" s="9">
        <f>IF(ISNUMBER(U323),U323,"")</f>
        <v/>
      </c>
      <c r="W323" s="9">
        <f>_xlfn.RANK.EQ(V323,$V$2:$V$1031)</f>
        <v/>
      </c>
      <c r="X323" s="13" t="n">
        <v>1267.5416666667</v>
      </c>
      <c r="Y323" s="13" t="n">
        <v>24</v>
      </c>
      <c r="Z323" s="13" t="n">
        <v>23</v>
      </c>
      <c r="AA323" s="13" t="n">
        <v>22</v>
      </c>
      <c r="AB323" s="13">
        <f>IF(ISNUMBER(X323),X323+N(Y323)+N(Z323)+N(AA323),X323)</f>
        <v/>
      </c>
      <c r="AC323" s="13">
        <f>IF(ISNUMBER(AB323),AB323,"")</f>
        <v/>
      </c>
      <c r="AD323" s="13">
        <f>IF(ISNUMBER(AC323),_xlfn.RANK.EQ(AC323,$AC$2:$AC$1031),"")</f>
        <v/>
      </c>
      <c r="AE323" s="15">
        <f>IF(ISNUMBER(AF323),AF323/3630,"")</f>
        <v/>
      </c>
      <c r="AF323" s="14">
        <f>IFERROR(C323+D323+E323+F323+J323+K323+L323+M323+Q323+R323+S323+T323+IF(ISNUMBER(X323),X323,0)+N(Y323)+N(Z323)+N(AA323),"")</f>
        <v/>
      </c>
      <c r="AG323" s="14">
        <f>IF(ISNUMBER(AF323),AF323,"")</f>
        <v/>
      </c>
      <c r="AH323" s="14">
        <f>IF(ISNUMBER(AG323),_xlfn.RANK.EQ(AG323,$AG$2:$AG$1031),"")</f>
        <v/>
      </c>
    </row>
    <row r="324">
      <c r="A324" s="18" t="n">
        <v>749</v>
      </c>
      <c r="B324" s="18" t="inlineStr">
        <is>
          <t>روان ايمن ايوب ابراهيم بخيت</t>
        </is>
      </c>
      <c r="C324" s="1" t="n">
        <v>615.1</v>
      </c>
      <c r="D324" s="1" t="n">
        <v>25</v>
      </c>
      <c r="E324" s="1" t="n">
        <v>25</v>
      </c>
      <c r="F324" s="1" t="n">
        <v>24</v>
      </c>
      <c r="G324" s="1">
        <f>C324+D324+E324+F324</f>
        <v/>
      </c>
      <c r="H324" s="1">
        <f>IF(ISNUMBER(G324),G324,"")</f>
        <v/>
      </c>
      <c r="I324" s="1">
        <f>_xlfn.RANK.EQ(H324,$H$2:$H$1031)</f>
        <v/>
      </c>
      <c r="J324" s="5" t="n">
        <v>629.4</v>
      </c>
      <c r="K324" s="5" t="n">
        <v>47</v>
      </c>
      <c r="L324" s="5" t="n">
        <v>23</v>
      </c>
      <c r="M324" s="5" t="n">
        <v>23</v>
      </c>
      <c r="N324" s="5">
        <f>J324+K324+L324+M324</f>
        <v/>
      </c>
      <c r="O324" s="5">
        <f>IF(ISNUMBER(N324),N324,"")</f>
        <v/>
      </c>
      <c r="P324" s="5">
        <f>_xlfn.RANK.EQ(O324,$O$2:$O$1031)</f>
        <v/>
      </c>
      <c r="Q324" s="9" t="n">
        <v>278</v>
      </c>
      <c r="R324" s="9" t="n">
        <v>49</v>
      </c>
      <c r="S324" s="9" t="n">
        <v>24</v>
      </c>
      <c r="T324" s="9" t="n">
        <v>25</v>
      </c>
      <c r="U324" s="9">
        <f>Q324+R324+S324+T324</f>
        <v/>
      </c>
      <c r="V324" s="9">
        <f>IF(ISNUMBER(U324),U324,"")</f>
        <v/>
      </c>
      <c r="W324" s="9">
        <f>_xlfn.RANK.EQ(V324,$V$2:$V$1031)</f>
        <v/>
      </c>
      <c r="X324" s="13" t="n">
        <v>1461.9416666667</v>
      </c>
      <c r="Y324" s="13" t="n">
        <v>25</v>
      </c>
      <c r="Z324" s="13" t="n">
        <v>24</v>
      </c>
      <c r="AA324" s="13" t="n">
        <v>25</v>
      </c>
      <c r="AB324" s="13">
        <f>IF(ISNUMBER(X324),X324+N(Y324)+N(Z324)+N(AA324),X324)</f>
        <v/>
      </c>
      <c r="AC324" s="13">
        <f>IF(ISNUMBER(AB324),AB324,"")</f>
        <v/>
      </c>
      <c r="AD324" s="13">
        <f>IF(ISNUMBER(AC324),_xlfn.RANK.EQ(AC324,$AC$2:$AC$1031),"")</f>
        <v/>
      </c>
      <c r="AE324" s="15">
        <f>IF(ISNUMBER(AF324),AF324/3630,"")</f>
        <v/>
      </c>
      <c r="AF324" s="14">
        <f>IFERROR(C324+D324+E324+F324+J324+K324+L324+M324+Q324+R324+S324+T324+IF(ISNUMBER(X324),X324,0)+N(Y324)+N(Z324)+N(AA324),"")</f>
        <v/>
      </c>
      <c r="AG324" s="14">
        <f>IF(ISNUMBER(AF324),AF324,"")</f>
        <v/>
      </c>
      <c r="AH324" s="14">
        <f>IF(ISNUMBER(AG324),_xlfn.RANK.EQ(AG324,$AG$2:$AG$1031),"")</f>
        <v/>
      </c>
    </row>
    <row r="325">
      <c r="A325" s="18" t="n">
        <v>751</v>
      </c>
      <c r="B325" s="18" t="inlineStr">
        <is>
          <t>روان رمضان درويش عبدالله رزق</t>
        </is>
      </c>
      <c r="C325" s="1" t="n">
        <v>604.8</v>
      </c>
      <c r="D325" s="1" t="n">
        <v>25</v>
      </c>
      <c r="E325" s="1" t="n">
        <v>24</v>
      </c>
      <c r="F325" s="1" t="n">
        <v>23</v>
      </c>
      <c r="G325" s="1">
        <f>C325+D325+E325+F325</f>
        <v/>
      </c>
      <c r="H325" s="1">
        <f>IF(ISNUMBER(G325),G325,"")</f>
        <v/>
      </c>
      <c r="I325" s="1">
        <f>_xlfn.RANK.EQ(H325,$H$2:$H$1031)</f>
        <v/>
      </c>
      <c r="J325" s="5" t="n">
        <v>574</v>
      </c>
      <c r="K325" s="5" t="n">
        <v>47</v>
      </c>
      <c r="L325" s="5" t="n">
        <v>24</v>
      </c>
      <c r="M325" s="5" t="n">
        <v>21</v>
      </c>
      <c r="N325" s="5">
        <f>J325+K325+L325+M325</f>
        <v/>
      </c>
      <c r="O325" s="5">
        <f>IF(ISNUMBER(N325),N325,"")</f>
        <v/>
      </c>
      <c r="P325" s="5">
        <f>_xlfn.RANK.EQ(O325,$O$2:$O$1031)</f>
        <v/>
      </c>
      <c r="Q325" s="9" t="n">
        <v>255</v>
      </c>
      <c r="R325" s="9" t="n">
        <v>46.5</v>
      </c>
      <c r="S325" s="9" t="n">
        <v>21</v>
      </c>
      <c r="T325" s="9" t="n">
        <v>25</v>
      </c>
      <c r="U325" s="9">
        <f>Q325+R325+S325+T325</f>
        <v/>
      </c>
      <c r="V325" s="9">
        <f>IF(ISNUMBER(U325),U325,"")</f>
        <v/>
      </c>
      <c r="W325" s="9">
        <f>_xlfn.RANK.EQ(V325,$V$2:$V$1031)</f>
        <v/>
      </c>
      <c r="X325" s="13" t="n">
        <v>1447.3666666667</v>
      </c>
      <c r="Y325" s="13" t="n">
        <v>25</v>
      </c>
      <c r="Z325" s="13" t="n">
        <v>25</v>
      </c>
      <c r="AA325" s="13" t="n">
        <v>24</v>
      </c>
      <c r="AB325" s="13">
        <f>IF(ISNUMBER(X325),X325+N(Y325)+N(Z325)+N(AA325),X325)</f>
        <v/>
      </c>
      <c r="AC325" s="13">
        <f>IF(ISNUMBER(AB325),AB325,"")</f>
        <v/>
      </c>
      <c r="AD325" s="13">
        <f>IF(ISNUMBER(AC325),_xlfn.RANK.EQ(AC325,$AC$2:$AC$1031),"")</f>
        <v/>
      </c>
      <c r="AE325" s="15">
        <f>IF(ISNUMBER(AF325),AF325/3630,"")</f>
        <v/>
      </c>
      <c r="AF325" s="14">
        <f>IFERROR(C325+D325+E325+F325+J325+K325+L325+M325+Q325+R325+S325+T325+IF(ISNUMBER(X325),X325,0)+N(Y325)+N(Z325)+N(AA325),"")</f>
        <v/>
      </c>
      <c r="AG325" s="14">
        <f>IF(ISNUMBER(AF325),AF325,"")</f>
        <v/>
      </c>
      <c r="AH325" s="14">
        <f>IF(ISNUMBER(AG325),_xlfn.RANK.EQ(AG325,$AG$2:$AG$1031),"")</f>
        <v/>
      </c>
    </row>
    <row r="326">
      <c r="A326" s="18" t="n">
        <v>753</v>
      </c>
      <c r="B326" s="18" t="inlineStr">
        <is>
          <t>روان علي احمد علي بديوي</t>
        </is>
      </c>
      <c r="C326" s="1" t="n">
        <v>596</v>
      </c>
      <c r="D326" s="1" t="n">
        <v>25</v>
      </c>
      <c r="E326" s="1" t="n">
        <v>24</v>
      </c>
      <c r="F326" s="1" t="n">
        <v>21</v>
      </c>
      <c r="G326" s="1">
        <f>C326+D326+E326+F326</f>
        <v/>
      </c>
      <c r="H326" s="1">
        <f>IF(ISNUMBER(G326),G326,"")</f>
        <v/>
      </c>
      <c r="I326" s="1">
        <f>_xlfn.RANK.EQ(H326,$H$2:$H$1031)</f>
        <v/>
      </c>
      <c r="J326" s="5" t="n">
        <v>572.55</v>
      </c>
      <c r="K326" s="5" t="n">
        <v>47</v>
      </c>
      <c r="L326" s="5" t="n">
        <v>21</v>
      </c>
      <c r="M326" s="5" t="n">
        <v>24</v>
      </c>
      <c r="N326" s="5">
        <f>J326+K326+L326+M326</f>
        <v/>
      </c>
      <c r="O326" s="5">
        <f>IF(ISNUMBER(N326),N326,"")</f>
        <v/>
      </c>
      <c r="P326" s="5">
        <f>_xlfn.RANK.EQ(O326,$O$2:$O$1031)</f>
        <v/>
      </c>
      <c r="Q326" s="9" t="n">
        <v>248.5</v>
      </c>
      <c r="R326" s="9" t="n">
        <v>47</v>
      </c>
      <c r="S326" s="9" t="n">
        <v>24</v>
      </c>
      <c r="T326" s="9" t="n">
        <v>24</v>
      </c>
      <c r="U326" s="9">
        <f>Q326+R326+S326+T326</f>
        <v/>
      </c>
      <c r="V326" s="9">
        <f>IF(ISNUMBER(U326),U326,"")</f>
        <v/>
      </c>
      <c r="W326" s="9">
        <f>_xlfn.RANK.EQ(V326,$V$2:$V$1031)</f>
        <v/>
      </c>
      <c r="X326" s="13" t="n">
        <v>1394.7625</v>
      </c>
      <c r="Y326" s="13" t="n">
        <v>24.5</v>
      </c>
      <c r="Z326" s="13" t="n">
        <v>25</v>
      </c>
      <c r="AA326" s="13" t="n">
        <v>24</v>
      </c>
      <c r="AB326" s="13">
        <f>IF(ISNUMBER(X326),X326+N(Y326)+N(Z326)+N(AA326),X326)</f>
        <v/>
      </c>
      <c r="AC326" s="13">
        <f>IF(ISNUMBER(AB326),AB326,"")</f>
        <v/>
      </c>
      <c r="AD326" s="13">
        <f>IF(ISNUMBER(AC326),_xlfn.RANK.EQ(AC326,$AC$2:$AC$1031),"")</f>
        <v/>
      </c>
      <c r="AE326" s="15">
        <f>IF(ISNUMBER(AF326),AF326/3630,"")</f>
        <v/>
      </c>
      <c r="AF326" s="14">
        <f>IFERROR(C326+D326+E326+F326+J326+K326+L326+M326+Q326+R326+S326+T326+IF(ISNUMBER(X326),X326,0)+N(Y326)+N(Z326)+N(AA326),"")</f>
        <v/>
      </c>
      <c r="AG326" s="14">
        <f>IF(ISNUMBER(AF326),AF326,"")</f>
        <v/>
      </c>
      <c r="AH326" s="14">
        <f>IF(ISNUMBER(AG326),_xlfn.RANK.EQ(AG326,$AG$2:$AG$1031),"")</f>
        <v/>
      </c>
    </row>
    <row r="327">
      <c r="A327" s="18" t="n">
        <v>754</v>
      </c>
      <c r="B327" s="18" t="inlineStr">
        <is>
          <t>روان محسن انور محمد احمد السيد</t>
        </is>
      </c>
      <c r="C327" s="1" t="n">
        <v>642.1</v>
      </c>
      <c r="D327" s="1" t="n">
        <v>24</v>
      </c>
      <c r="E327" s="1" t="n">
        <v>24</v>
      </c>
      <c r="F327" s="1" t="n">
        <v>21</v>
      </c>
      <c r="G327" s="1">
        <f>C327+D327+E327+F327</f>
        <v/>
      </c>
      <c r="H327" s="1">
        <f>IF(ISNUMBER(G327),G327,"")</f>
        <v/>
      </c>
      <c r="I327" s="1">
        <f>_xlfn.RANK.EQ(H327,$H$2:$H$1031)</f>
        <v/>
      </c>
      <c r="J327" s="5" t="n">
        <v>637.55</v>
      </c>
      <c r="K327" s="5" t="n">
        <v>48</v>
      </c>
      <c r="L327" s="5" t="n">
        <v>25</v>
      </c>
      <c r="M327" s="5" t="n">
        <v>23</v>
      </c>
      <c r="N327" s="5">
        <f>J327+K327+L327+M327</f>
        <v/>
      </c>
      <c r="O327" s="5">
        <f>IF(ISNUMBER(N327),N327,"")</f>
        <v/>
      </c>
      <c r="P327" s="5">
        <f>_xlfn.RANK.EQ(O327,$O$2:$O$1031)</f>
        <v/>
      </c>
      <c r="Q327" s="9" t="n">
        <v>287</v>
      </c>
      <c r="R327" s="9" t="n">
        <v>49.5</v>
      </c>
      <c r="S327" s="9" t="n">
        <v>25</v>
      </c>
      <c r="T327" s="9" t="n">
        <v>25</v>
      </c>
      <c r="U327" s="9">
        <f>Q327+R327+S327+T327</f>
        <v/>
      </c>
      <c r="V327" s="9">
        <f>IF(ISNUMBER(U327),U327,"")</f>
        <v/>
      </c>
      <c r="W327" s="9">
        <f>_xlfn.RANK.EQ(V327,$V$2:$V$1031)</f>
        <v/>
      </c>
      <c r="X327" s="13" t="n">
        <v>1588.2333333333</v>
      </c>
      <c r="Y327" s="13" t="n">
        <v>24.5</v>
      </c>
      <c r="Z327" s="13" t="n">
        <v>25</v>
      </c>
      <c r="AA327" s="13" t="n">
        <v>24</v>
      </c>
      <c r="AB327" s="13">
        <f>IF(ISNUMBER(X327),X327+N(Y327)+N(Z327)+N(AA327),X327)</f>
        <v/>
      </c>
      <c r="AC327" s="13">
        <f>IF(ISNUMBER(AB327),AB327,"")</f>
        <v/>
      </c>
      <c r="AD327" s="13">
        <f>IF(ISNUMBER(AC327),_xlfn.RANK.EQ(AC327,$AC$2:$AC$1031),"")</f>
        <v/>
      </c>
      <c r="AE327" s="15">
        <f>IF(ISNUMBER(AF327),AF327/3630,"")</f>
        <v/>
      </c>
      <c r="AF327" s="14">
        <f>IFERROR(C327+D327+E327+F327+J327+K327+L327+M327+Q327+R327+S327+T327+IF(ISNUMBER(X327),X327,0)+N(Y327)+N(Z327)+N(AA327),"")</f>
        <v/>
      </c>
      <c r="AG327" s="14">
        <f>IF(ISNUMBER(AF327),AF327,"")</f>
        <v/>
      </c>
      <c r="AH327" s="14">
        <f>IF(ISNUMBER(AG327),_xlfn.RANK.EQ(AG327,$AG$2:$AG$1031),"")</f>
        <v/>
      </c>
    </row>
    <row r="328">
      <c r="A328" s="18" t="n">
        <v>755</v>
      </c>
      <c r="B328" s="18" t="inlineStr">
        <is>
          <t>روان محمد السيد  شحاتة</t>
        </is>
      </c>
      <c r="C328" s="1" t="n">
        <v>489.1</v>
      </c>
      <c r="D328" s="1" t="n">
        <v>23</v>
      </c>
      <c r="E328" s="1" t="n">
        <v>18</v>
      </c>
      <c r="F328" s="1" t="n">
        <v>21</v>
      </c>
      <c r="G328" s="1">
        <f>C328+D328+E328+F328</f>
        <v/>
      </c>
      <c r="H328" s="1">
        <f>IF(ISNUMBER(G328),G328,"")</f>
        <v/>
      </c>
      <c r="I328" s="1">
        <f>_xlfn.RANK.EQ(H328,$H$2:$H$1031)</f>
        <v/>
      </c>
      <c r="J328" s="5" t="n">
        <v>561.6</v>
      </c>
      <c r="K328" s="5" t="n">
        <v>44</v>
      </c>
      <c r="L328" s="5" t="n">
        <v>19</v>
      </c>
      <c r="M328" s="5" t="n">
        <v>17</v>
      </c>
      <c r="N328" s="5">
        <f>J328+K328+L328+M328</f>
        <v/>
      </c>
      <c r="O328" s="5">
        <f>IF(ISNUMBER(N328),N328,"")</f>
        <v/>
      </c>
      <c r="P328" s="5">
        <f>_xlfn.RANK.EQ(O328,$O$2:$O$1031)</f>
        <v/>
      </c>
      <c r="Q328" s="9" t="n">
        <v>205.75</v>
      </c>
      <c r="R328" s="9" t="n">
        <v>36</v>
      </c>
      <c r="S328" s="9" t="n">
        <v>23</v>
      </c>
      <c r="T328" s="9" t="n">
        <v>23</v>
      </c>
      <c r="U328" s="9">
        <f>Q328+R328+S328+T328</f>
        <v/>
      </c>
      <c r="V328" s="9">
        <f>IF(ISNUMBER(U328),U328,"")</f>
        <v/>
      </c>
      <c r="W328" s="9">
        <f>_xlfn.RANK.EQ(V328,$V$2:$V$1031)</f>
        <v/>
      </c>
      <c r="X328" s="13" t="n">
        <v>1255.4625</v>
      </c>
      <c r="Y328" s="13" t="n">
        <v>23</v>
      </c>
      <c r="Z328" s="13" t="n">
        <v>10</v>
      </c>
      <c r="AA328" s="13" t="n">
        <v>18</v>
      </c>
      <c r="AB328" s="13">
        <f>IF(ISNUMBER(X328),X328+N(Y328)+N(Z328)+N(AA328),X328)</f>
        <v/>
      </c>
      <c r="AC328" s="13">
        <f>IF(ISNUMBER(AB328),AB328,"")</f>
        <v/>
      </c>
      <c r="AD328" s="13">
        <f>IF(ISNUMBER(AC328),_xlfn.RANK.EQ(AC328,$AC$2:$AC$1031),"")</f>
        <v/>
      </c>
      <c r="AE328" s="15">
        <f>IF(ISNUMBER(AF328),AF328/3630,"")</f>
        <v/>
      </c>
      <c r="AF328" s="14">
        <f>IFERROR(C328+D328+E328+F328+J328+K328+L328+M328+Q328+R328+S328+T328+IF(ISNUMBER(X328),X328,0)+N(Y328)+N(Z328)+N(AA328),"")</f>
        <v/>
      </c>
      <c r="AG328" s="14">
        <f>IF(ISNUMBER(AF328),AF328,"")</f>
        <v/>
      </c>
      <c r="AH328" s="14">
        <f>IF(ISNUMBER(AG328),_xlfn.RANK.EQ(AG328,$AG$2:$AG$1031),"")</f>
        <v/>
      </c>
    </row>
    <row r="329">
      <c r="A329" s="18" t="n">
        <v>756</v>
      </c>
      <c r="B329" s="18" t="inlineStr">
        <is>
          <t>روان محمد عبد السلام المرشدى</t>
        </is>
      </c>
      <c r="C329" s="1" t="n">
        <v>548.8</v>
      </c>
      <c r="D329" s="1" t="n">
        <v>25</v>
      </c>
      <c r="E329" s="1" t="n">
        <v>24</v>
      </c>
      <c r="F329" s="1" t="n">
        <v>21</v>
      </c>
      <c r="G329" s="1">
        <f>C329+D329+E329+F329</f>
        <v/>
      </c>
      <c r="H329" s="1">
        <f>IF(ISNUMBER(G329),G329,"")</f>
        <v/>
      </c>
      <c r="I329" s="1">
        <f>_xlfn.RANK.EQ(H329,$H$2:$H$1031)</f>
        <v/>
      </c>
      <c r="J329" s="5" t="n">
        <v>525.8</v>
      </c>
      <c r="K329" s="5" t="n">
        <v>45</v>
      </c>
      <c r="L329" s="5" t="n">
        <v>24</v>
      </c>
      <c r="M329" s="5" t="n">
        <v>23</v>
      </c>
      <c r="N329" s="5">
        <f>J329+K329+L329+M329</f>
        <v/>
      </c>
      <c r="O329" s="5">
        <f>IF(ISNUMBER(N329),N329,"")</f>
        <v/>
      </c>
      <c r="P329" s="5">
        <f>_xlfn.RANK.EQ(O329,$O$2:$O$1031)</f>
        <v/>
      </c>
      <c r="Q329" s="9" t="n">
        <v>256</v>
      </c>
      <c r="R329" s="9" t="n">
        <v>48</v>
      </c>
      <c r="S329" s="9" t="n">
        <v>22</v>
      </c>
      <c r="T329" s="9" t="n">
        <v>24</v>
      </c>
      <c r="U329" s="9">
        <f>Q329+R329+S329+T329</f>
        <v/>
      </c>
      <c r="V329" s="9">
        <f>IF(ISNUMBER(U329),U329,"")</f>
        <v/>
      </c>
      <c r="W329" s="9">
        <f>_xlfn.RANK.EQ(V329,$V$2:$V$1031)</f>
        <v/>
      </c>
      <c r="X329" s="13" t="n">
        <v>1352.7958333333</v>
      </c>
      <c r="Y329" s="13" t="n">
        <v>24</v>
      </c>
      <c r="Z329" s="13" t="n">
        <v>25</v>
      </c>
      <c r="AA329" s="13" t="n">
        <v>25</v>
      </c>
      <c r="AB329" s="13">
        <f>IF(ISNUMBER(X329),X329+N(Y329)+N(Z329)+N(AA329),X329)</f>
        <v/>
      </c>
      <c r="AC329" s="13">
        <f>IF(ISNUMBER(AB329),AB329,"")</f>
        <v/>
      </c>
      <c r="AD329" s="13">
        <f>IF(ISNUMBER(AC329),_xlfn.RANK.EQ(AC329,$AC$2:$AC$1031),"")</f>
        <v/>
      </c>
      <c r="AE329" s="15">
        <f>IF(ISNUMBER(AF329),AF329/3630,"")</f>
        <v/>
      </c>
      <c r="AF329" s="14">
        <f>IFERROR(C329+D329+E329+F329+J329+K329+L329+M329+Q329+R329+S329+T329+IF(ISNUMBER(X329),X329,0)+N(Y329)+N(Z329)+N(AA329),"")</f>
        <v/>
      </c>
      <c r="AG329" s="14">
        <f>IF(ISNUMBER(AF329),AF329,"")</f>
        <v/>
      </c>
      <c r="AH329" s="14">
        <f>IF(ISNUMBER(AG329),_xlfn.RANK.EQ(AG329,$AG$2:$AG$1031),"")</f>
        <v/>
      </c>
    </row>
    <row r="330">
      <c r="A330" s="18" t="n">
        <v>757</v>
      </c>
      <c r="B330" s="18" t="inlineStr">
        <is>
          <t>روان محمود علي ابراهيم</t>
        </is>
      </c>
      <c r="C330" s="1" t="n">
        <v>576.6</v>
      </c>
      <c r="D330" s="1" t="n">
        <v>21</v>
      </c>
      <c r="E330" s="1" t="n">
        <v>24</v>
      </c>
      <c r="F330" s="1" t="n">
        <v>21</v>
      </c>
      <c r="G330" s="1">
        <f>C330+D330+E330+F330</f>
        <v/>
      </c>
      <c r="H330" s="1">
        <f>IF(ISNUMBER(G330),G330,"")</f>
        <v/>
      </c>
      <c r="I330" s="1">
        <f>_xlfn.RANK.EQ(H330,$H$2:$H$1031)</f>
        <v/>
      </c>
      <c r="J330" s="5" t="n">
        <v>559.45</v>
      </c>
      <c r="K330" s="5" t="n">
        <v>46</v>
      </c>
      <c r="L330" s="5" t="n">
        <v>20</v>
      </c>
      <c r="M330" s="5" t="n">
        <v>19</v>
      </c>
      <c r="N330" s="5">
        <f>J330+K330+L330+M330</f>
        <v/>
      </c>
      <c r="O330" s="5">
        <f>IF(ISNUMBER(N330),N330,"")</f>
        <v/>
      </c>
      <c r="P330" s="5">
        <f>_xlfn.RANK.EQ(O330,$O$2:$O$1031)</f>
        <v/>
      </c>
      <c r="Q330" s="9" t="n">
        <v>239</v>
      </c>
      <c r="R330" s="9" t="n">
        <v>41.5</v>
      </c>
      <c r="S330" s="9" t="n">
        <v>18</v>
      </c>
      <c r="T330" s="9" t="n">
        <v>23</v>
      </c>
      <c r="U330" s="9">
        <f>Q330+R330+S330+T330</f>
        <v/>
      </c>
      <c r="V330" s="9">
        <f>IF(ISNUMBER(U330),U330,"")</f>
        <v/>
      </c>
      <c r="W330" s="9">
        <f>_xlfn.RANK.EQ(V330,$V$2:$V$1031)</f>
        <v/>
      </c>
      <c r="X330" s="13" t="n">
        <v>1308.9833333333</v>
      </c>
      <c r="Y330" s="13" t="n">
        <v>24.5</v>
      </c>
      <c r="Z330" s="13" t="n">
        <v>23</v>
      </c>
      <c r="AA330" s="13" t="n">
        <v>20</v>
      </c>
      <c r="AB330" s="13">
        <f>IF(ISNUMBER(X330),X330+N(Y330)+N(Z330)+N(AA330),X330)</f>
        <v/>
      </c>
      <c r="AC330" s="13">
        <f>IF(ISNUMBER(AB330),AB330,"")</f>
        <v/>
      </c>
      <c r="AD330" s="13">
        <f>IF(ISNUMBER(AC330),_xlfn.RANK.EQ(AC330,$AC$2:$AC$1031),"")</f>
        <v/>
      </c>
      <c r="AE330" s="15">
        <f>IF(ISNUMBER(AF330),AF330/3630,"")</f>
        <v/>
      </c>
      <c r="AF330" s="14">
        <f>IFERROR(C330+D330+E330+F330+J330+K330+L330+M330+Q330+R330+S330+T330+IF(ISNUMBER(X330),X330,0)+N(Y330)+N(Z330)+N(AA330),"")</f>
        <v/>
      </c>
      <c r="AG330" s="14">
        <f>IF(ISNUMBER(AF330),AF330,"")</f>
        <v/>
      </c>
      <c r="AH330" s="14">
        <f>IF(ISNUMBER(AG330),_xlfn.RANK.EQ(AG330,$AG$2:$AG$1031),"")</f>
        <v/>
      </c>
    </row>
    <row r="331">
      <c r="A331" s="18" t="n">
        <v>759</v>
      </c>
      <c r="B331" s="18" t="inlineStr">
        <is>
          <t>روان ممدوح احمد احمد</t>
        </is>
      </c>
      <c r="C331" s="1" t="n">
        <v>627</v>
      </c>
      <c r="D331" s="1" t="n">
        <v>22</v>
      </c>
      <c r="E331" s="1" t="n">
        <v>22</v>
      </c>
      <c r="F331" s="1" t="n">
        <v>19</v>
      </c>
      <c r="G331" s="1">
        <f>C331+D331+E331+F331</f>
        <v/>
      </c>
      <c r="H331" s="1">
        <f>IF(ISNUMBER(G331),G331,"")</f>
        <v/>
      </c>
      <c r="I331" s="1">
        <f>_xlfn.RANK.EQ(H331,$H$2:$H$1031)</f>
        <v/>
      </c>
      <c r="J331" s="5" t="n">
        <v>610.05</v>
      </c>
      <c r="K331" s="5" t="n">
        <v>48</v>
      </c>
      <c r="L331" s="5" t="n">
        <v>23</v>
      </c>
      <c r="M331" s="5" t="n">
        <v>21</v>
      </c>
      <c r="N331" s="5">
        <f>J331+K331+L331+M331</f>
        <v/>
      </c>
      <c r="O331" s="5">
        <f>IF(ISNUMBER(N331),N331,"")</f>
        <v/>
      </c>
      <c r="P331" s="5">
        <f>_xlfn.RANK.EQ(O331,$O$2:$O$1031)</f>
        <v/>
      </c>
      <c r="Q331" s="9" t="n">
        <v>262.5</v>
      </c>
      <c r="R331" s="9" t="n">
        <v>46</v>
      </c>
      <c r="S331" s="9" t="n">
        <v>24</v>
      </c>
      <c r="T331" s="9" t="n">
        <v>23</v>
      </c>
      <c r="U331" s="9">
        <f>Q331+R331+S331+T331</f>
        <v/>
      </c>
      <c r="V331" s="9">
        <f>IF(ISNUMBER(U331),U331,"")</f>
        <v/>
      </c>
      <c r="W331" s="9">
        <f>_xlfn.RANK.EQ(V331,$V$2:$V$1031)</f>
        <v/>
      </c>
      <c r="X331" s="13" t="n">
        <v>1394.8291666667</v>
      </c>
      <c r="Y331" s="13" t="n">
        <v>23</v>
      </c>
      <c r="Z331" s="13" t="n">
        <v>25</v>
      </c>
      <c r="AA331" s="13" t="n">
        <v>23</v>
      </c>
      <c r="AB331" s="13">
        <f>IF(ISNUMBER(X331),X331+N(Y331)+N(Z331)+N(AA331),X331)</f>
        <v/>
      </c>
      <c r="AC331" s="13">
        <f>IF(ISNUMBER(AB331),AB331,"")</f>
        <v/>
      </c>
      <c r="AD331" s="13">
        <f>IF(ISNUMBER(AC331),_xlfn.RANK.EQ(AC331,$AC$2:$AC$1031),"")</f>
        <v/>
      </c>
      <c r="AE331" s="15">
        <f>IF(ISNUMBER(AF331),AF331/3630,"")</f>
        <v/>
      </c>
      <c r="AF331" s="14">
        <f>IFERROR(C331+D331+E331+F331+J331+K331+L331+M331+Q331+R331+S331+T331+IF(ISNUMBER(X331),X331,0)+N(Y331)+N(Z331)+N(AA331),"")</f>
        <v/>
      </c>
      <c r="AG331" s="14">
        <f>IF(ISNUMBER(AF331),AF331,"")</f>
        <v/>
      </c>
      <c r="AH331" s="14">
        <f>IF(ISNUMBER(AG331),_xlfn.RANK.EQ(AG331,$AG$2:$AG$1031),"")</f>
        <v/>
      </c>
    </row>
    <row r="332">
      <c r="A332" s="18" t="n">
        <v>761</v>
      </c>
      <c r="B332" s="18" t="inlineStr">
        <is>
          <t>روضه عيسى احمد موسى الفقى</t>
        </is>
      </c>
      <c r="C332" s="1" t="n">
        <v>626.3</v>
      </c>
      <c r="D332" s="1" t="n">
        <v>25</v>
      </c>
      <c r="E332" s="1" t="n">
        <v>23</v>
      </c>
      <c r="F332" s="1" t="n">
        <v>23</v>
      </c>
      <c r="G332" s="1">
        <f>C332+D332+E332+F332</f>
        <v/>
      </c>
      <c r="H332" s="1">
        <f>IF(ISNUMBER(G332),G332,"")</f>
        <v/>
      </c>
      <c r="I332" s="1">
        <f>_xlfn.RANK.EQ(H332,$H$2:$H$1031)</f>
        <v/>
      </c>
      <c r="J332" s="5" t="n">
        <v>633.25</v>
      </c>
      <c r="K332" s="5" t="n">
        <v>48</v>
      </c>
      <c r="L332" s="5" t="n">
        <v>20</v>
      </c>
      <c r="M332" s="5" t="n">
        <v>24</v>
      </c>
      <c r="N332" s="5">
        <f>J332+K332+L332+M332</f>
        <v/>
      </c>
      <c r="O332" s="5">
        <f>IF(ISNUMBER(N332),N332,"")</f>
        <v/>
      </c>
      <c r="P332" s="5">
        <f>_xlfn.RANK.EQ(O332,$O$2:$O$1031)</f>
        <v/>
      </c>
      <c r="Q332" s="9" t="n">
        <v>274.5</v>
      </c>
      <c r="R332" s="9" t="n">
        <v>48.5</v>
      </c>
      <c r="S332" s="9" t="n">
        <v>24</v>
      </c>
      <c r="T332" s="9" t="n">
        <v>25</v>
      </c>
      <c r="U332" s="9">
        <f>Q332+R332+S332+T332</f>
        <v/>
      </c>
      <c r="V332" s="9">
        <f>IF(ISNUMBER(U332),U332,"")</f>
        <v/>
      </c>
      <c r="W332" s="9">
        <f>_xlfn.RANK.EQ(V332,$V$2:$V$1031)</f>
        <v/>
      </c>
      <c r="X332" s="13" t="n">
        <v>1513.8208333333</v>
      </c>
      <c r="Y332" s="13" t="n">
        <v>24.5</v>
      </c>
      <c r="Z332" s="13" t="n">
        <v>24</v>
      </c>
      <c r="AA332" s="13" t="n">
        <v>23</v>
      </c>
      <c r="AB332" s="13">
        <f>IF(ISNUMBER(X332),X332+N(Y332)+N(Z332)+N(AA332),X332)</f>
        <v/>
      </c>
      <c r="AC332" s="13">
        <f>IF(ISNUMBER(AB332),AB332,"")</f>
        <v/>
      </c>
      <c r="AD332" s="13">
        <f>IF(ISNUMBER(AC332),_xlfn.RANK.EQ(AC332,$AC$2:$AC$1031),"")</f>
        <v/>
      </c>
      <c r="AE332" s="15">
        <f>IF(ISNUMBER(AF332),AF332/3630,"")</f>
        <v/>
      </c>
      <c r="AF332" s="14">
        <f>IFERROR(C332+D332+E332+F332+J332+K332+L332+M332+Q332+R332+S332+T332+IF(ISNUMBER(X332),X332,0)+N(Y332)+N(Z332)+N(AA332),"")</f>
        <v/>
      </c>
      <c r="AG332" s="14">
        <f>IF(ISNUMBER(AF332),AF332,"")</f>
        <v/>
      </c>
      <c r="AH332" s="14">
        <f>IF(ISNUMBER(AG332),_xlfn.RANK.EQ(AG332,$AG$2:$AG$1031),"")</f>
        <v/>
      </c>
    </row>
    <row r="333">
      <c r="A333" s="18" t="n">
        <v>762</v>
      </c>
      <c r="B333" s="18" t="inlineStr">
        <is>
          <t>روفان امجد المحب مشالي</t>
        </is>
      </c>
      <c r="C333" s="1" t="n">
        <v>509.2</v>
      </c>
      <c r="D333" s="1" t="n">
        <v>21</v>
      </c>
      <c r="E333" s="1" t="n">
        <v>22</v>
      </c>
      <c r="F333" s="1" t="n">
        <v>21</v>
      </c>
      <c r="G333" s="1">
        <f>C333+D333+E333+F333</f>
        <v/>
      </c>
      <c r="H333" s="1">
        <f>IF(ISNUMBER(G333),G333,"")</f>
        <v/>
      </c>
      <c r="I333" s="1">
        <f>_xlfn.RANK.EQ(H333,$H$2:$H$1031)</f>
        <v/>
      </c>
      <c r="J333" s="5" t="n">
        <v>513.4</v>
      </c>
      <c r="K333" s="5" t="n">
        <v>46</v>
      </c>
      <c r="L333" s="5" t="n">
        <v>22</v>
      </c>
      <c r="M333" s="5" t="n">
        <v>21</v>
      </c>
      <c r="N333" s="5">
        <f>J333+K333+L333+M333</f>
        <v/>
      </c>
      <c r="O333" s="5">
        <f>IF(ISNUMBER(N333),N333,"")</f>
        <v/>
      </c>
      <c r="P333" s="5">
        <f>_xlfn.RANK.EQ(O333,$O$2:$O$1031)</f>
        <v/>
      </c>
      <c r="Q333" s="9" t="n">
        <v>221</v>
      </c>
      <c r="R333" s="9" t="n">
        <v>45.5</v>
      </c>
      <c r="S333" s="9" t="n">
        <v>25</v>
      </c>
      <c r="T333" s="9" t="n">
        <v>25</v>
      </c>
      <c r="U333" s="9">
        <f>Q333+R333+S333+T333</f>
        <v/>
      </c>
      <c r="V333" s="9">
        <f>IF(ISNUMBER(U333),U333,"")</f>
        <v/>
      </c>
      <c r="W333" s="9">
        <f>_xlfn.RANK.EQ(V333,$V$2:$V$1031)</f>
        <v/>
      </c>
      <c r="X333" s="13" t="n">
        <v>1278.0375</v>
      </c>
      <c r="Y333" s="13" t="n">
        <v>24.5</v>
      </c>
      <c r="Z333" s="13" t="n">
        <v>22</v>
      </c>
      <c r="AA333" s="13" t="n">
        <v>23</v>
      </c>
      <c r="AB333" s="13">
        <f>IF(ISNUMBER(X333),X333+N(Y333)+N(Z333)+N(AA333),X333)</f>
        <v/>
      </c>
      <c r="AC333" s="13">
        <f>IF(ISNUMBER(AB333),AB333,"")</f>
        <v/>
      </c>
      <c r="AD333" s="13">
        <f>IF(ISNUMBER(AC333),_xlfn.RANK.EQ(AC333,$AC$2:$AC$1031),"")</f>
        <v/>
      </c>
      <c r="AE333" s="15">
        <f>IF(ISNUMBER(AF333),AF333/3630,"")</f>
        <v/>
      </c>
      <c r="AF333" s="14">
        <f>IFERROR(C333+D333+E333+F333+J333+K333+L333+M333+Q333+R333+S333+T333+IF(ISNUMBER(X333),X333,0)+N(Y333)+N(Z333)+N(AA333),"")</f>
        <v/>
      </c>
      <c r="AG333" s="14">
        <f>IF(ISNUMBER(AF333),AF333,"")</f>
        <v/>
      </c>
      <c r="AH333" s="14">
        <f>IF(ISNUMBER(AG333),_xlfn.RANK.EQ(AG333,$AG$2:$AG$1031),"")</f>
        <v/>
      </c>
    </row>
    <row r="334">
      <c r="A334" s="18" t="n">
        <v>763</v>
      </c>
      <c r="B334" s="18" t="inlineStr">
        <is>
          <t>روفانا ثروت عبد الحميد الشاذلي</t>
        </is>
      </c>
      <c r="C334" s="1" t="n">
        <v>569.4</v>
      </c>
      <c r="D334" s="1" t="n">
        <v>24</v>
      </c>
      <c r="E334" s="1" t="n">
        <v>23</v>
      </c>
      <c r="F334" s="1" t="n">
        <v>19</v>
      </c>
      <c r="G334" s="1">
        <f>C334+D334+E334+F334</f>
        <v/>
      </c>
      <c r="H334" s="1">
        <f>IF(ISNUMBER(G334),G334,"")</f>
        <v/>
      </c>
      <c r="I334" s="1">
        <f>_xlfn.RANK.EQ(H334,$H$2:$H$1031)</f>
        <v/>
      </c>
      <c r="J334" s="5" t="n">
        <v>570.1</v>
      </c>
      <c r="K334" s="5" t="n">
        <v>32</v>
      </c>
      <c r="L334" s="5" t="n">
        <v>21</v>
      </c>
      <c r="M334" s="5" t="n">
        <v>17</v>
      </c>
      <c r="N334" s="5">
        <f>J334+K334+L334+M334</f>
        <v/>
      </c>
      <c r="O334" s="5">
        <f>IF(ISNUMBER(N334),N334,"")</f>
        <v/>
      </c>
      <c r="P334" s="5">
        <f>_xlfn.RANK.EQ(O334,$O$2:$O$1031)</f>
        <v/>
      </c>
      <c r="Q334" s="9" t="n">
        <v>243.5</v>
      </c>
      <c r="R334" s="9" t="n">
        <v>35.5</v>
      </c>
      <c r="S334" s="9" t="n">
        <v>19</v>
      </c>
      <c r="T334" s="9" t="n">
        <v>18.5</v>
      </c>
      <c r="U334" s="9">
        <f>Q334+R334+S334+T334</f>
        <v/>
      </c>
      <c r="V334" s="9">
        <f>IF(ISNUMBER(U334),U334,"")</f>
        <v/>
      </c>
      <c r="W334" s="9">
        <f>_xlfn.RANK.EQ(V334,$V$2:$V$1031)</f>
        <v/>
      </c>
      <c r="X334" s="13" t="n">
        <v>1309.4291666667</v>
      </c>
      <c r="Y334" s="13" t="n">
        <v>21</v>
      </c>
      <c r="Z334" s="13" t="n">
        <v>15</v>
      </c>
      <c r="AA334" s="13" t="n">
        <v>16</v>
      </c>
      <c r="AB334" s="13">
        <f>IF(ISNUMBER(X334),X334+N(Y334)+N(Z334)+N(AA334),X334)</f>
        <v/>
      </c>
      <c r="AC334" s="13">
        <f>IF(ISNUMBER(AB334),AB334,"")</f>
        <v/>
      </c>
      <c r="AD334" s="13">
        <f>IF(ISNUMBER(AC334),_xlfn.RANK.EQ(AC334,$AC$2:$AC$1031),"")</f>
        <v/>
      </c>
      <c r="AE334" s="15">
        <f>IF(ISNUMBER(AF334),AF334/3630,"")</f>
        <v/>
      </c>
      <c r="AF334" s="14">
        <f>IFERROR(C334+D334+E334+F334+J334+K334+L334+M334+Q334+R334+S334+T334+IF(ISNUMBER(X334),X334,0)+N(Y334)+N(Z334)+N(AA334),"")</f>
        <v/>
      </c>
      <c r="AG334" s="14">
        <f>IF(ISNUMBER(AF334),AF334,"")</f>
        <v/>
      </c>
      <c r="AH334" s="14">
        <f>IF(ISNUMBER(AG334),_xlfn.RANK.EQ(AG334,$AG$2:$AG$1031),"")</f>
        <v/>
      </c>
    </row>
    <row r="335">
      <c r="A335" s="18" t="n">
        <v>764</v>
      </c>
      <c r="B335" s="18" t="inlineStr">
        <is>
          <t>روفيده محمد البكرى احمد</t>
        </is>
      </c>
      <c r="C335" s="1" t="n">
        <v>536.5</v>
      </c>
      <c r="D335" s="1" t="n">
        <v>24</v>
      </c>
      <c r="E335" s="1" t="n">
        <v>24</v>
      </c>
      <c r="F335" s="1" t="n">
        <v>23</v>
      </c>
      <c r="G335" s="1">
        <f>C335+D335+E335+F335</f>
        <v/>
      </c>
      <c r="H335" s="1">
        <f>IF(ISNUMBER(G335),G335,"")</f>
        <v/>
      </c>
      <c r="I335" s="1">
        <f>_xlfn.RANK.EQ(H335,$H$2:$H$1031)</f>
        <v/>
      </c>
      <c r="J335" s="5" t="n">
        <v>514.2</v>
      </c>
      <c r="K335" s="5" t="n">
        <v>42</v>
      </c>
      <c r="L335" s="5" t="n">
        <v>20</v>
      </c>
      <c r="M335" s="5" t="n">
        <v>16</v>
      </c>
      <c r="N335" s="5">
        <f>J335+K335+L335+M335</f>
        <v/>
      </c>
      <c r="O335" s="5">
        <f>IF(ISNUMBER(N335),N335,"")</f>
        <v/>
      </c>
      <c r="P335" s="5">
        <f>_xlfn.RANK.EQ(O335,$O$2:$O$1031)</f>
        <v/>
      </c>
      <c r="Q335" s="9" t="n">
        <v>220.5</v>
      </c>
      <c r="R335" s="9" t="n">
        <v>45.5</v>
      </c>
      <c r="S335" s="9" t="n">
        <v>21</v>
      </c>
      <c r="T335" s="9" t="n">
        <v>23.5</v>
      </c>
      <c r="U335" s="9">
        <f>Q335+R335+S335+T335</f>
        <v/>
      </c>
      <c r="V335" s="9">
        <f>IF(ISNUMBER(U335),U335,"")</f>
        <v/>
      </c>
      <c r="W335" s="9">
        <f>_xlfn.RANK.EQ(V335,$V$2:$V$1031)</f>
        <v/>
      </c>
      <c r="X335" s="13" t="n">
        <v>1285.5791666667</v>
      </c>
      <c r="Y335" s="13" t="n">
        <v>23</v>
      </c>
      <c r="Z335" s="13" t="n">
        <v>21</v>
      </c>
      <c r="AA335" s="13" t="n">
        <v>22</v>
      </c>
      <c r="AB335" s="13">
        <f>IF(ISNUMBER(X335),X335+N(Y335)+N(Z335)+N(AA335),X335)</f>
        <v/>
      </c>
      <c r="AC335" s="13">
        <f>IF(ISNUMBER(AB335),AB335,"")</f>
        <v/>
      </c>
      <c r="AD335" s="13">
        <f>IF(ISNUMBER(AC335),_xlfn.RANK.EQ(AC335,$AC$2:$AC$1031),"")</f>
        <v/>
      </c>
      <c r="AE335" s="15">
        <f>IF(ISNUMBER(AF335),AF335/3630,"")</f>
        <v/>
      </c>
      <c r="AF335" s="14">
        <f>IFERROR(C335+D335+E335+F335+J335+K335+L335+M335+Q335+R335+S335+T335+IF(ISNUMBER(X335),X335,0)+N(Y335)+N(Z335)+N(AA335),"")</f>
        <v/>
      </c>
      <c r="AG335" s="14">
        <f>IF(ISNUMBER(AF335),AF335,"")</f>
        <v/>
      </c>
      <c r="AH335" s="14">
        <f>IF(ISNUMBER(AG335),_xlfn.RANK.EQ(AG335,$AG$2:$AG$1031),"")</f>
        <v/>
      </c>
    </row>
    <row r="336">
      <c r="A336" s="18" t="n">
        <v>767</v>
      </c>
      <c r="B336" s="18" t="inlineStr">
        <is>
          <t>رؤى علي حلمي علي شعت</t>
        </is>
      </c>
      <c r="C336" s="1" t="n">
        <v>537.7</v>
      </c>
      <c r="D336" s="1" t="n">
        <v>24</v>
      </c>
      <c r="E336" s="1" t="n">
        <v>23</v>
      </c>
      <c r="F336" s="1" t="n">
        <v>22</v>
      </c>
      <c r="G336" s="1">
        <f>C336+D336+E336+F336</f>
        <v/>
      </c>
      <c r="H336" s="1">
        <f>IF(ISNUMBER(G336),G336,"")</f>
        <v/>
      </c>
      <c r="I336" s="1">
        <f>_xlfn.RANK.EQ(H336,$H$2:$H$1031)</f>
        <v/>
      </c>
      <c r="J336" s="5" t="n">
        <v>591.05</v>
      </c>
      <c r="K336" s="5" t="n">
        <v>48</v>
      </c>
      <c r="L336" s="5" t="n">
        <v>23</v>
      </c>
      <c r="M336" s="5" t="n">
        <v>24</v>
      </c>
      <c r="N336" s="5">
        <f>J336+K336+L336+M336</f>
        <v/>
      </c>
      <c r="O336" s="5">
        <f>IF(ISNUMBER(N336),N336,"")</f>
        <v/>
      </c>
      <c r="P336" s="5">
        <f>_xlfn.RANK.EQ(O336,$O$2:$O$1031)</f>
        <v/>
      </c>
      <c r="Q336" s="9" t="n">
        <v>252</v>
      </c>
      <c r="R336" s="9" t="n">
        <v>46</v>
      </c>
      <c r="S336" s="9" t="n">
        <v>25</v>
      </c>
      <c r="T336" s="9" t="n">
        <v>24</v>
      </c>
      <c r="U336" s="9">
        <f>Q336+R336+S336+T336</f>
        <v/>
      </c>
      <c r="V336" s="9">
        <f>IF(ISNUMBER(U336),U336,"")</f>
        <v/>
      </c>
      <c r="W336" s="9">
        <f>_xlfn.RANK.EQ(V336,$V$2:$V$1031)</f>
        <v/>
      </c>
      <c r="X336" s="13" t="n">
        <v>1389.2125</v>
      </c>
      <c r="Y336" s="13" t="n">
        <v>24</v>
      </c>
      <c r="Z336" s="13" t="n">
        <v>10</v>
      </c>
      <c r="AA336" s="13" t="n">
        <v>24</v>
      </c>
      <c r="AB336" s="13">
        <f>IF(ISNUMBER(X336),X336+N(Y336)+N(Z336)+N(AA336),X336)</f>
        <v/>
      </c>
      <c r="AC336" s="13">
        <f>IF(ISNUMBER(AB336),AB336,"")</f>
        <v/>
      </c>
      <c r="AD336" s="13">
        <f>IF(ISNUMBER(AC336),_xlfn.RANK.EQ(AC336,$AC$2:$AC$1031),"")</f>
        <v/>
      </c>
      <c r="AE336" s="15">
        <f>IF(ISNUMBER(AF336),AF336/3630,"")</f>
        <v/>
      </c>
      <c r="AF336" s="14">
        <f>IFERROR(C336+D336+E336+F336+J336+K336+L336+M336+Q336+R336+S336+T336+IF(ISNUMBER(X336),X336,0)+N(Y336)+N(Z336)+N(AA336),"")</f>
        <v/>
      </c>
      <c r="AG336" s="14">
        <f>IF(ISNUMBER(AF336),AF336,"")</f>
        <v/>
      </c>
      <c r="AH336" s="14">
        <f>IF(ISNUMBER(AG336),_xlfn.RANK.EQ(AG336,$AG$2:$AG$1031),"")</f>
        <v/>
      </c>
    </row>
    <row r="337">
      <c r="A337" s="18" t="n">
        <v>772</v>
      </c>
      <c r="B337" s="18" t="inlineStr">
        <is>
          <t>ريتا مجدي عزيز صبحي اسكندر</t>
        </is>
      </c>
      <c r="C337" s="1" t="n">
        <v>494.5</v>
      </c>
      <c r="D337" s="1" t="n">
        <v>22</v>
      </c>
      <c r="E337" s="1" t="n">
        <v>22</v>
      </c>
      <c r="F337" s="1" t="n">
        <v>20</v>
      </c>
      <c r="G337" s="1">
        <f>C337+D337+E337+F337</f>
        <v/>
      </c>
      <c r="H337" s="1">
        <f>IF(ISNUMBER(G337),G337,"")</f>
        <v/>
      </c>
      <c r="I337" s="1">
        <f>_xlfn.RANK.EQ(H337,$H$2:$H$1031)</f>
        <v/>
      </c>
      <c r="J337" s="5" t="n">
        <v>529.1</v>
      </c>
      <c r="K337" s="5" t="n">
        <v>44</v>
      </c>
      <c r="L337" s="5" t="n">
        <v>24</v>
      </c>
      <c r="M337" s="5" t="n">
        <v>19</v>
      </c>
      <c r="N337" s="5">
        <f>J337+K337+L337+M337</f>
        <v/>
      </c>
      <c r="O337" s="5">
        <f>IF(ISNUMBER(N337),N337,"")</f>
        <v/>
      </c>
      <c r="P337" s="5">
        <f>_xlfn.RANK.EQ(O337,$O$2:$O$1031)</f>
        <v/>
      </c>
      <c r="Q337" s="9" t="n">
        <v>204</v>
      </c>
      <c r="R337" s="9" t="n">
        <v>40</v>
      </c>
      <c r="S337" s="9" t="n">
        <v>23</v>
      </c>
      <c r="T337" s="9" t="n">
        <v>24</v>
      </c>
      <c r="U337" s="9">
        <f>Q337+R337+S337+T337</f>
        <v/>
      </c>
      <c r="V337" s="9">
        <f>IF(ISNUMBER(U337),U337,"")</f>
        <v/>
      </c>
      <c r="W337" s="9">
        <f>_xlfn.RANK.EQ(V337,$V$2:$V$1031)</f>
        <v/>
      </c>
      <c r="X337" s="13" t="inlineStr">
        <is>
          <t>راسب</t>
        </is>
      </c>
      <c r="Y337" s="13" t="n">
        <v>24.5</v>
      </c>
      <c r="Z337" s="13" t="n">
        <v>24</v>
      </c>
      <c r="AA337" s="13" t="n">
        <v>22</v>
      </c>
      <c r="AB337" s="13">
        <f>IF(ISNUMBER(X337),X337+N(Y337)+N(Z337)+N(AA337),X337)</f>
        <v/>
      </c>
      <c r="AC337" s="13">
        <f>IF(ISNUMBER(AB337),AB337,"")</f>
        <v/>
      </c>
      <c r="AD337" s="13">
        <f>IF(ISNUMBER(AC337),_xlfn.RANK.EQ(AC337,$AC$2:$AC$1031),"")</f>
        <v/>
      </c>
      <c r="AE337" s="15">
        <f>IF(ISNUMBER(AF337),AF337/3630,"")</f>
        <v/>
      </c>
      <c r="AF337" s="14">
        <f>IFERROR(C337+D337+E337+F337+J337+K337+L337+M337+Q337+R337+S337+T337+IF(ISNUMBER(X337),X337,0)+N(Y337)+N(Z337)+N(AA337),"")</f>
        <v/>
      </c>
      <c r="AG337" s="14">
        <f>IF(ISNUMBER(AF337),AF337,"")</f>
        <v/>
      </c>
      <c r="AH337" s="14">
        <f>IF(ISNUMBER(AG337),_xlfn.RANK.EQ(AG337,$AG$2:$AG$1031),"")</f>
        <v/>
      </c>
    </row>
    <row r="338">
      <c r="A338" s="18" t="n">
        <v>773</v>
      </c>
      <c r="B338" s="18" t="inlineStr">
        <is>
          <t>ريتاج ابراهيم حسن محمد</t>
        </is>
      </c>
      <c r="C338" s="1" t="n">
        <v>481.5</v>
      </c>
      <c r="D338" s="1" t="n">
        <v>23</v>
      </c>
      <c r="E338" s="1" t="n">
        <v>22</v>
      </c>
      <c r="F338" s="1" t="n">
        <v>19</v>
      </c>
      <c r="G338" s="1">
        <f>C338+D338+E338+F338</f>
        <v/>
      </c>
      <c r="H338" s="1">
        <f>IF(ISNUMBER(G338),G338,"")</f>
        <v/>
      </c>
      <c r="I338" s="1">
        <f>_xlfn.RANK.EQ(H338,$H$2:$H$1031)</f>
        <v/>
      </c>
      <c r="J338" s="5" t="n">
        <v>450.85</v>
      </c>
      <c r="K338" s="5" t="n">
        <v>40</v>
      </c>
      <c r="L338" s="5" t="n">
        <v>21</v>
      </c>
      <c r="M338" s="5" t="n">
        <v>19</v>
      </c>
      <c r="N338" s="5">
        <f>J338+K338+L338+M338</f>
        <v/>
      </c>
      <c r="O338" s="5">
        <f>IF(ISNUMBER(N338),N338,"")</f>
        <v/>
      </c>
      <c r="P338" s="5">
        <f>_xlfn.RANK.EQ(O338,$O$2:$O$1031)</f>
        <v/>
      </c>
      <c r="Q338" s="9" t="n">
        <v>219.5</v>
      </c>
      <c r="R338" s="9" t="n">
        <v>39</v>
      </c>
      <c r="S338" s="9" t="n">
        <v>24</v>
      </c>
      <c r="T338" s="9" t="n">
        <v>23.5</v>
      </c>
      <c r="U338" s="9">
        <f>Q338+R338+S338+T338</f>
        <v/>
      </c>
      <c r="V338" s="9">
        <f>IF(ISNUMBER(U338),U338,"")</f>
        <v/>
      </c>
      <c r="W338" s="9">
        <f>_xlfn.RANK.EQ(V338,$V$2:$V$1031)</f>
        <v/>
      </c>
      <c r="X338" s="13" t="n">
        <v>1260.4208333333</v>
      </c>
      <c r="Y338" s="13" t="n">
        <v>23</v>
      </c>
      <c r="Z338" s="13" t="n">
        <v>24</v>
      </c>
      <c r="AA338" s="13" t="n">
        <v>24</v>
      </c>
      <c r="AB338" s="13">
        <f>IF(ISNUMBER(X338),X338+N(Y338)+N(Z338)+N(AA338),X338)</f>
        <v/>
      </c>
      <c r="AC338" s="13">
        <f>IF(ISNUMBER(AB338),AB338,"")</f>
        <v/>
      </c>
      <c r="AD338" s="13">
        <f>IF(ISNUMBER(AC338),_xlfn.RANK.EQ(AC338,$AC$2:$AC$1031),"")</f>
        <v/>
      </c>
      <c r="AE338" s="15">
        <f>IF(ISNUMBER(AF338),AF338/3630,"")</f>
        <v/>
      </c>
      <c r="AF338" s="14">
        <f>IFERROR(C338+D338+E338+F338+J338+K338+L338+M338+Q338+R338+S338+T338+IF(ISNUMBER(X338),X338,0)+N(Y338)+N(Z338)+N(AA338),"")</f>
        <v/>
      </c>
      <c r="AG338" s="14">
        <f>IF(ISNUMBER(AF338),AF338,"")</f>
        <v/>
      </c>
      <c r="AH338" s="14">
        <f>IF(ISNUMBER(AG338),_xlfn.RANK.EQ(AG338,$AG$2:$AG$1031),"")</f>
        <v/>
      </c>
    </row>
    <row r="339">
      <c r="A339" s="18" t="n">
        <v>774</v>
      </c>
      <c r="B339" s="18" t="inlineStr">
        <is>
          <t>ريتاج محمد احمد مغربى</t>
        </is>
      </c>
      <c r="C339" s="1" t="n">
        <v>644.1</v>
      </c>
      <c r="D339" s="1" t="n">
        <v>24</v>
      </c>
      <c r="E339" s="1" t="n">
        <v>24</v>
      </c>
      <c r="F339" s="1" t="n">
        <v>23</v>
      </c>
      <c r="G339" s="1">
        <f>C339+D339+E339+F339</f>
        <v/>
      </c>
      <c r="H339" s="1">
        <f>IF(ISNUMBER(G339),G339,"")</f>
        <v/>
      </c>
      <c r="I339" s="1">
        <f>_xlfn.RANK.EQ(H339,$H$2:$H$1031)</f>
        <v/>
      </c>
      <c r="J339" s="5" t="n">
        <v>630.55</v>
      </c>
      <c r="K339" s="5" t="n">
        <v>49</v>
      </c>
      <c r="L339" s="5" t="n">
        <v>24</v>
      </c>
      <c r="M339" s="5" t="n">
        <v>24</v>
      </c>
      <c r="N339" s="5">
        <f>J339+K339+L339+M339</f>
        <v/>
      </c>
      <c r="O339" s="5">
        <f>IF(ISNUMBER(N339),N339,"")</f>
        <v/>
      </c>
      <c r="P339" s="5">
        <f>_xlfn.RANK.EQ(O339,$O$2:$O$1031)</f>
        <v/>
      </c>
      <c r="Q339" s="9" t="n">
        <v>280</v>
      </c>
      <c r="R339" s="9" t="n">
        <v>47.5</v>
      </c>
      <c r="S339" s="9" t="n">
        <v>23</v>
      </c>
      <c r="T339" s="9" t="n">
        <v>25</v>
      </c>
      <c r="U339" s="9">
        <f>Q339+R339+S339+T339</f>
        <v/>
      </c>
      <c r="V339" s="9">
        <f>IF(ISNUMBER(U339),U339,"")</f>
        <v/>
      </c>
      <c r="W339" s="9">
        <f>_xlfn.RANK.EQ(V339,$V$2:$V$1031)</f>
        <v/>
      </c>
      <c r="X339" s="13" t="n">
        <v>1585.9</v>
      </c>
      <c r="Y339" s="13" t="n">
        <v>23</v>
      </c>
      <c r="Z339" s="13" t="n">
        <v>24</v>
      </c>
      <c r="AA339" s="13" t="n">
        <v>24</v>
      </c>
      <c r="AB339" s="13">
        <f>IF(ISNUMBER(X339),X339+N(Y339)+N(Z339)+N(AA339),X339)</f>
        <v/>
      </c>
      <c r="AC339" s="13">
        <f>IF(ISNUMBER(AB339),AB339,"")</f>
        <v/>
      </c>
      <c r="AD339" s="13">
        <f>IF(ISNUMBER(AC339),_xlfn.RANK.EQ(AC339,$AC$2:$AC$1031),"")</f>
        <v/>
      </c>
      <c r="AE339" s="15">
        <f>IF(ISNUMBER(AF339),AF339/3630,"")</f>
        <v/>
      </c>
      <c r="AF339" s="14">
        <f>IFERROR(C339+D339+E339+F339+J339+K339+L339+M339+Q339+R339+S339+T339+IF(ISNUMBER(X339),X339,0)+N(Y339)+N(Z339)+N(AA339),"")</f>
        <v/>
      </c>
      <c r="AG339" s="14">
        <f>IF(ISNUMBER(AF339),AF339,"")</f>
        <v/>
      </c>
      <c r="AH339" s="14">
        <f>IF(ISNUMBER(AG339),_xlfn.RANK.EQ(AG339,$AG$2:$AG$1031),"")</f>
        <v/>
      </c>
    </row>
    <row r="340">
      <c r="A340" s="18" t="n">
        <v>776</v>
      </c>
      <c r="B340" s="18" t="inlineStr">
        <is>
          <t>ريم حسام محمد عبدالعزيز عبد المجيد</t>
        </is>
      </c>
      <c r="C340" s="1" t="n">
        <v>592.8</v>
      </c>
      <c r="D340" s="1" t="n">
        <v>22</v>
      </c>
      <c r="E340" s="1" t="n">
        <v>22</v>
      </c>
      <c r="F340" s="1" t="n">
        <v>20</v>
      </c>
      <c r="G340" s="1">
        <f>C340+D340+E340+F340</f>
        <v/>
      </c>
      <c r="H340" s="1">
        <f>IF(ISNUMBER(G340),G340,"")</f>
        <v/>
      </c>
      <c r="I340" s="1">
        <f>_xlfn.RANK.EQ(H340,$H$2:$H$1031)</f>
        <v/>
      </c>
      <c r="J340" s="5" t="n">
        <v>605.5</v>
      </c>
      <c r="K340" s="5" t="n">
        <v>42</v>
      </c>
      <c r="L340" s="5" t="n">
        <v>21</v>
      </c>
      <c r="M340" s="5" t="n">
        <v>23</v>
      </c>
      <c r="N340" s="5">
        <f>J340+K340+L340+M340</f>
        <v/>
      </c>
      <c r="O340" s="5">
        <f>IF(ISNUMBER(N340),N340,"")</f>
        <v/>
      </c>
      <c r="P340" s="5">
        <f>_xlfn.RANK.EQ(O340,$O$2:$O$1031)</f>
        <v/>
      </c>
      <c r="Q340" s="9" t="n">
        <v>262</v>
      </c>
      <c r="R340" s="9" t="n">
        <v>44</v>
      </c>
      <c r="S340" s="9" t="n">
        <v>21</v>
      </c>
      <c r="T340" s="9" t="n">
        <v>23</v>
      </c>
      <c r="U340" s="9">
        <f>Q340+R340+S340+T340</f>
        <v/>
      </c>
      <c r="V340" s="9">
        <f>IF(ISNUMBER(U340),U340,"")</f>
        <v/>
      </c>
      <c r="W340" s="9">
        <f>_xlfn.RANK.EQ(V340,$V$2:$V$1031)</f>
        <v/>
      </c>
      <c r="X340" s="13" t="n">
        <v>1381.6916666667</v>
      </c>
      <c r="Y340" s="13" t="n">
        <v>22</v>
      </c>
      <c r="Z340" s="13" t="n">
        <v>23</v>
      </c>
      <c r="AA340" s="13" t="n">
        <v>22</v>
      </c>
      <c r="AB340" s="13">
        <f>IF(ISNUMBER(X340),X340+N(Y340)+N(Z340)+N(AA340),X340)</f>
        <v/>
      </c>
      <c r="AC340" s="13">
        <f>IF(ISNUMBER(AB340),AB340,"")</f>
        <v/>
      </c>
      <c r="AD340" s="13">
        <f>IF(ISNUMBER(AC340),_xlfn.RANK.EQ(AC340,$AC$2:$AC$1031),"")</f>
        <v/>
      </c>
      <c r="AE340" s="15">
        <f>IF(ISNUMBER(AF340),AF340/3630,"")</f>
        <v/>
      </c>
      <c r="AF340" s="14">
        <f>IFERROR(C340+D340+E340+F340+J340+K340+L340+M340+Q340+R340+S340+T340+IF(ISNUMBER(X340),X340,0)+N(Y340)+N(Z340)+N(AA340),"")</f>
        <v/>
      </c>
      <c r="AG340" s="14">
        <f>IF(ISNUMBER(AF340),AF340,"")</f>
        <v/>
      </c>
      <c r="AH340" s="14">
        <f>IF(ISNUMBER(AG340),_xlfn.RANK.EQ(AG340,$AG$2:$AG$1031),"")</f>
        <v/>
      </c>
    </row>
    <row r="341">
      <c r="A341" s="18" t="n">
        <v>777</v>
      </c>
      <c r="B341" s="18" t="inlineStr">
        <is>
          <t>ريم علي مصباح علي المدبولي</t>
        </is>
      </c>
      <c r="C341" s="1" t="n">
        <v>527.6</v>
      </c>
      <c r="D341" s="1" t="n">
        <v>23</v>
      </c>
      <c r="E341" s="1" t="n">
        <v>23</v>
      </c>
      <c r="F341" s="1" t="n">
        <v>21</v>
      </c>
      <c r="G341" s="1">
        <f>C341+D341+E341+F341</f>
        <v/>
      </c>
      <c r="H341" s="1">
        <f>IF(ISNUMBER(G341),G341,"")</f>
        <v/>
      </c>
      <c r="I341" s="1">
        <f>_xlfn.RANK.EQ(H341,$H$2:$H$1031)</f>
        <v/>
      </c>
      <c r="J341" s="5" t="n">
        <v>487</v>
      </c>
      <c r="K341" s="5" t="n">
        <v>40</v>
      </c>
      <c r="L341" s="5" t="n">
        <v>17</v>
      </c>
      <c r="M341" s="5" t="n">
        <v>20</v>
      </c>
      <c r="N341" s="5">
        <f>J341+K341+L341+M341</f>
        <v/>
      </c>
      <c r="O341" s="5">
        <f>IF(ISNUMBER(N341),N341,"")</f>
        <v/>
      </c>
      <c r="P341" s="5">
        <f>_xlfn.RANK.EQ(O341,$O$2:$O$1031)</f>
        <v/>
      </c>
      <c r="Q341" s="9" t="n">
        <v>201.5</v>
      </c>
      <c r="R341" s="9" t="n">
        <v>38</v>
      </c>
      <c r="S341" s="9" t="n">
        <v>22</v>
      </c>
      <c r="T341" s="9" t="n">
        <v>24</v>
      </c>
      <c r="U341" s="9">
        <f>Q341+R341+S341+T341</f>
        <v/>
      </c>
      <c r="V341" s="9">
        <f>IF(ISNUMBER(U341),U341,"")</f>
        <v/>
      </c>
      <c r="W341" s="9">
        <f>_xlfn.RANK.EQ(V341,$V$2:$V$1031)</f>
        <v/>
      </c>
      <c r="X341" s="13" t="n">
        <v>1183.9875</v>
      </c>
      <c r="Y341" s="13" t="n">
        <v>24</v>
      </c>
      <c r="Z341" s="13" t="n">
        <v>24</v>
      </c>
      <c r="AA341" s="13" t="n">
        <v>24</v>
      </c>
      <c r="AB341" s="13">
        <f>IF(ISNUMBER(X341),X341+N(Y341)+N(Z341)+N(AA341),X341)</f>
        <v/>
      </c>
      <c r="AC341" s="13">
        <f>IF(ISNUMBER(AB341),AB341,"")</f>
        <v/>
      </c>
      <c r="AD341" s="13">
        <f>IF(ISNUMBER(AC341),_xlfn.RANK.EQ(AC341,$AC$2:$AC$1031),"")</f>
        <v/>
      </c>
      <c r="AE341" s="15">
        <f>IF(ISNUMBER(AF341),AF341/3630,"")</f>
        <v/>
      </c>
      <c r="AF341" s="14">
        <f>IFERROR(C341+D341+E341+F341+J341+K341+L341+M341+Q341+R341+S341+T341+IF(ISNUMBER(X341),X341,0)+N(Y341)+N(Z341)+N(AA341),"")</f>
        <v/>
      </c>
      <c r="AG341" s="14">
        <f>IF(ISNUMBER(AF341),AF341,"")</f>
        <v/>
      </c>
      <c r="AH341" s="14">
        <f>IF(ISNUMBER(AG341),_xlfn.RANK.EQ(AG341,$AG$2:$AG$1031),"")</f>
        <v/>
      </c>
    </row>
    <row r="342">
      <c r="A342" s="18" t="n">
        <v>780</v>
      </c>
      <c r="B342" s="18" t="inlineStr">
        <is>
          <t>ريم محمود محمد مرضي</t>
        </is>
      </c>
      <c r="C342" s="1" t="n">
        <v>527.7</v>
      </c>
      <c r="D342" s="1" t="n">
        <v>24</v>
      </c>
      <c r="E342" s="1" t="n">
        <v>16</v>
      </c>
      <c r="F342" s="1" t="n">
        <v>20</v>
      </c>
      <c r="G342" s="1">
        <f>C342+D342+E342+F342</f>
        <v/>
      </c>
      <c r="H342" s="1">
        <f>IF(ISNUMBER(G342),G342,"")</f>
        <v/>
      </c>
      <c r="I342" s="1">
        <f>_xlfn.RANK.EQ(H342,$H$2:$H$1031)</f>
        <v/>
      </c>
      <c r="J342" s="5" t="n">
        <v>489.85</v>
      </c>
      <c r="K342" s="5" t="n">
        <v>38</v>
      </c>
      <c r="L342" s="5" t="n">
        <v>18</v>
      </c>
      <c r="M342" s="5" t="n">
        <v>17</v>
      </c>
      <c r="N342" s="5">
        <f>J342+K342+L342+M342</f>
        <v/>
      </c>
      <c r="O342" s="5">
        <f>IF(ISNUMBER(N342),N342,"")</f>
        <v/>
      </c>
      <c r="P342" s="5">
        <f>_xlfn.RANK.EQ(O342,$O$2:$O$1031)</f>
        <v/>
      </c>
      <c r="Q342" s="9" t="n">
        <v>236.5</v>
      </c>
      <c r="R342" s="9" t="n">
        <v>42</v>
      </c>
      <c r="S342" s="9" t="n">
        <v>23</v>
      </c>
      <c r="T342" s="9" t="n">
        <v>24</v>
      </c>
      <c r="U342" s="9">
        <f>Q342+R342+S342+T342</f>
        <v/>
      </c>
      <c r="V342" s="9">
        <f>IF(ISNUMBER(U342),U342,"")</f>
        <v/>
      </c>
      <c r="W342" s="9">
        <f>_xlfn.RANK.EQ(V342,$V$2:$V$1031)</f>
        <v/>
      </c>
      <c r="X342" s="13" t="n">
        <v>1342.5666666667</v>
      </c>
      <c r="Y342" s="13" t="n">
        <v>23</v>
      </c>
      <c r="Z342" s="13" t="n">
        <v>23</v>
      </c>
      <c r="AA342" s="13" t="n">
        <v>25</v>
      </c>
      <c r="AB342" s="13">
        <f>IF(ISNUMBER(X342),X342+N(Y342)+N(Z342)+N(AA342),X342)</f>
        <v/>
      </c>
      <c r="AC342" s="13">
        <f>IF(ISNUMBER(AB342),AB342,"")</f>
        <v/>
      </c>
      <c r="AD342" s="13">
        <f>IF(ISNUMBER(AC342),_xlfn.RANK.EQ(AC342,$AC$2:$AC$1031),"")</f>
        <v/>
      </c>
      <c r="AE342" s="15">
        <f>IF(ISNUMBER(AF342),AF342/3630,"")</f>
        <v/>
      </c>
      <c r="AF342" s="14">
        <f>IFERROR(C342+D342+E342+F342+J342+K342+L342+M342+Q342+R342+S342+T342+IF(ISNUMBER(X342),X342,0)+N(Y342)+N(Z342)+N(AA342),"")</f>
        <v/>
      </c>
      <c r="AG342" s="14">
        <f>IF(ISNUMBER(AF342),AF342,"")</f>
        <v/>
      </c>
      <c r="AH342" s="14">
        <f>IF(ISNUMBER(AG342),_xlfn.RANK.EQ(AG342,$AG$2:$AG$1031),"")</f>
        <v/>
      </c>
    </row>
    <row r="343">
      <c r="A343" s="18" t="n">
        <v>781</v>
      </c>
      <c r="B343" s="18" t="inlineStr">
        <is>
          <t>ريم ياسر مصطفى صديق</t>
        </is>
      </c>
      <c r="C343" s="1" t="n">
        <v>452.7</v>
      </c>
      <c r="D343" s="1" t="n">
        <v>22</v>
      </c>
      <c r="E343" s="1" t="n">
        <v>21</v>
      </c>
      <c r="F343" s="1" t="n">
        <v>21</v>
      </c>
      <c r="G343" s="1">
        <f>C343+D343+E343+F343</f>
        <v/>
      </c>
      <c r="H343" s="1">
        <f>IF(ISNUMBER(G343),G343,"")</f>
        <v/>
      </c>
      <c r="I343" s="1">
        <f>_xlfn.RANK.EQ(H343,$H$2:$H$1031)</f>
        <v/>
      </c>
      <c r="J343" s="5" t="n">
        <v>499.2</v>
      </c>
      <c r="K343" s="5" t="n">
        <v>46</v>
      </c>
      <c r="L343" s="5" t="n">
        <v>22</v>
      </c>
      <c r="M343" s="5" t="n">
        <v>23</v>
      </c>
      <c r="N343" s="5">
        <f>J343+K343+L343+M343</f>
        <v/>
      </c>
      <c r="O343" s="5">
        <f>IF(ISNUMBER(N343),N343,"")</f>
        <v/>
      </c>
      <c r="P343" s="5">
        <f>_xlfn.RANK.EQ(O343,$O$2:$O$1031)</f>
        <v/>
      </c>
      <c r="Q343" s="9" t="n">
        <v>232.5</v>
      </c>
      <c r="R343" s="9" t="n">
        <v>45</v>
      </c>
      <c r="S343" s="9" t="n">
        <v>23</v>
      </c>
      <c r="T343" s="9" t="n">
        <v>24</v>
      </c>
      <c r="U343" s="9">
        <f>Q343+R343+S343+T343</f>
        <v/>
      </c>
      <c r="V343" s="9">
        <f>IF(ISNUMBER(U343),U343,"")</f>
        <v/>
      </c>
      <c r="W343" s="9">
        <f>_xlfn.RANK.EQ(V343,$V$2:$V$1031)</f>
        <v/>
      </c>
      <c r="X343" s="13" t="n">
        <v>1304.2541666667</v>
      </c>
      <c r="Y343" s="13" t="n">
        <v>22</v>
      </c>
      <c r="Z343" s="13" t="n">
        <v>22</v>
      </c>
      <c r="AA343" s="13" t="n">
        <v>21</v>
      </c>
      <c r="AB343" s="13">
        <f>IF(ISNUMBER(X343),X343+N(Y343)+N(Z343)+N(AA343),X343)</f>
        <v/>
      </c>
      <c r="AC343" s="13">
        <f>IF(ISNUMBER(AB343),AB343,"")</f>
        <v/>
      </c>
      <c r="AD343" s="13">
        <f>IF(ISNUMBER(AC343),_xlfn.RANK.EQ(AC343,$AC$2:$AC$1031),"")</f>
        <v/>
      </c>
      <c r="AE343" s="15">
        <f>IF(ISNUMBER(AF343),AF343/3630,"")</f>
        <v/>
      </c>
      <c r="AF343" s="14">
        <f>IFERROR(C343+D343+E343+F343+J343+K343+L343+M343+Q343+R343+S343+T343+IF(ISNUMBER(X343),X343,0)+N(Y343)+N(Z343)+N(AA343),"")</f>
        <v/>
      </c>
      <c r="AG343" s="14">
        <f>IF(ISNUMBER(AF343),AF343,"")</f>
        <v/>
      </c>
      <c r="AH343" s="14">
        <f>IF(ISNUMBER(AG343),_xlfn.RANK.EQ(AG343,$AG$2:$AG$1031),"")</f>
        <v/>
      </c>
    </row>
    <row r="344">
      <c r="A344" s="18" t="n">
        <v>786</v>
      </c>
      <c r="B344" s="18" t="inlineStr">
        <is>
          <t>ريناد خالد سعيد  عبد الرحمن</t>
        </is>
      </c>
      <c r="C344" s="1" t="n">
        <v>648</v>
      </c>
      <c r="D344" s="1" t="n">
        <v>24</v>
      </c>
      <c r="E344" s="1" t="n">
        <v>25</v>
      </c>
      <c r="F344" s="1" t="n">
        <v>24</v>
      </c>
      <c r="G344" s="1">
        <f>C344+D344+E344+F344</f>
        <v/>
      </c>
      <c r="H344" s="1">
        <f>IF(ISNUMBER(G344),G344,"")</f>
        <v/>
      </c>
      <c r="I344" s="1">
        <f>_xlfn.RANK.EQ(H344,$H$2:$H$1031)</f>
        <v/>
      </c>
      <c r="J344" s="5" t="n">
        <v>643.2</v>
      </c>
      <c r="K344" s="5" t="n">
        <v>49</v>
      </c>
      <c r="L344" s="5" t="n">
        <v>22</v>
      </c>
      <c r="M344" s="5" t="n">
        <v>24</v>
      </c>
      <c r="N344" s="5">
        <f>J344+K344+L344+M344</f>
        <v/>
      </c>
      <c r="O344" s="5">
        <f>IF(ISNUMBER(N344),N344,"")</f>
        <v/>
      </c>
      <c r="P344" s="5">
        <f>_xlfn.RANK.EQ(O344,$O$2:$O$1031)</f>
        <v/>
      </c>
      <c r="Q344" s="9" t="n">
        <v>292.5</v>
      </c>
      <c r="R344" s="9" t="n">
        <v>47.5</v>
      </c>
      <c r="S344" s="9" t="n">
        <v>24</v>
      </c>
      <c r="T344" s="9" t="n">
        <v>24.5</v>
      </c>
      <c r="U344" s="9">
        <f>Q344+R344+S344+T344</f>
        <v/>
      </c>
      <c r="V344" s="9">
        <f>IF(ISNUMBER(U344),U344,"")</f>
        <v/>
      </c>
      <c r="W344" s="9">
        <f>_xlfn.RANK.EQ(V344,$V$2:$V$1031)</f>
        <v/>
      </c>
      <c r="X344" s="13" t="n">
        <v>1580.1291666667</v>
      </c>
      <c r="Y344" s="13" t="n">
        <v>23</v>
      </c>
      <c r="Z344" s="13" t="n">
        <v>25</v>
      </c>
      <c r="AA344" s="13" t="n">
        <v>23</v>
      </c>
      <c r="AB344" s="13">
        <f>IF(ISNUMBER(X344),X344+N(Y344)+N(Z344)+N(AA344),X344)</f>
        <v/>
      </c>
      <c r="AC344" s="13">
        <f>IF(ISNUMBER(AB344),AB344,"")</f>
        <v/>
      </c>
      <c r="AD344" s="13">
        <f>IF(ISNUMBER(AC344),_xlfn.RANK.EQ(AC344,$AC$2:$AC$1031),"")</f>
        <v/>
      </c>
      <c r="AE344" s="15">
        <f>IF(ISNUMBER(AF344),AF344/3630,"")</f>
        <v/>
      </c>
      <c r="AF344" s="14">
        <f>IFERROR(C344+D344+E344+F344+J344+K344+L344+M344+Q344+R344+S344+T344+IF(ISNUMBER(X344),X344,0)+N(Y344)+N(Z344)+N(AA344),"")</f>
        <v/>
      </c>
      <c r="AG344" s="14">
        <f>IF(ISNUMBER(AF344),AF344,"")</f>
        <v/>
      </c>
      <c r="AH344" s="14">
        <f>IF(ISNUMBER(AG344),_xlfn.RANK.EQ(AG344,$AG$2:$AG$1031),"")</f>
        <v/>
      </c>
    </row>
    <row r="345">
      <c r="A345" s="18" t="n">
        <v>787</v>
      </c>
      <c r="B345" s="18" t="inlineStr">
        <is>
          <t>ريناد محمد اسماعيل على موسى</t>
        </is>
      </c>
      <c r="C345" s="1" t="n">
        <v>614.6</v>
      </c>
      <c r="D345" s="1" t="n">
        <v>25</v>
      </c>
      <c r="E345" s="1" t="n">
        <v>24</v>
      </c>
      <c r="F345" s="1" t="n">
        <v>22</v>
      </c>
      <c r="G345" s="1">
        <f>C345+D345+E345+F345</f>
        <v/>
      </c>
      <c r="H345" s="1">
        <f>IF(ISNUMBER(G345),G345,"")</f>
        <v/>
      </c>
      <c r="I345" s="1">
        <f>_xlfn.RANK.EQ(H345,$H$2:$H$1031)</f>
        <v/>
      </c>
      <c r="J345" s="5" t="n">
        <v>616.7</v>
      </c>
      <c r="K345" s="5" t="n">
        <v>47</v>
      </c>
      <c r="L345" s="5" t="n">
        <v>22</v>
      </c>
      <c r="M345" s="5" t="n">
        <v>23</v>
      </c>
      <c r="N345" s="5">
        <f>J345+K345+L345+M345</f>
        <v/>
      </c>
      <c r="O345" s="5">
        <f>IF(ISNUMBER(N345),N345,"")</f>
        <v/>
      </c>
      <c r="P345" s="5">
        <f>_xlfn.RANK.EQ(O345,$O$2:$O$1031)</f>
        <v/>
      </c>
      <c r="Q345" s="9" t="n">
        <v>253.5</v>
      </c>
      <c r="R345" s="9" t="n">
        <v>45</v>
      </c>
      <c r="S345" s="9" t="n">
        <v>23</v>
      </c>
      <c r="T345" s="9" t="n">
        <v>25</v>
      </c>
      <c r="U345" s="9">
        <f>Q345+R345+S345+T345</f>
        <v/>
      </c>
      <c r="V345" s="9">
        <f>IF(ISNUMBER(U345),U345,"")</f>
        <v/>
      </c>
      <c r="W345" s="9">
        <f>_xlfn.RANK.EQ(V345,$V$2:$V$1031)</f>
        <v/>
      </c>
      <c r="X345" s="13" t="n">
        <v>1523.9</v>
      </c>
      <c r="Y345" s="13" t="n">
        <v>24.5</v>
      </c>
      <c r="Z345" s="13" t="n">
        <v>25</v>
      </c>
      <c r="AA345" s="13" t="n">
        <v>24</v>
      </c>
      <c r="AB345" s="13">
        <f>IF(ISNUMBER(X345),X345+N(Y345)+N(Z345)+N(AA345),X345)</f>
        <v/>
      </c>
      <c r="AC345" s="13">
        <f>IF(ISNUMBER(AB345),AB345,"")</f>
        <v/>
      </c>
      <c r="AD345" s="13">
        <f>IF(ISNUMBER(AC345),_xlfn.RANK.EQ(AC345,$AC$2:$AC$1031),"")</f>
        <v/>
      </c>
      <c r="AE345" s="15">
        <f>IF(ISNUMBER(AF345),AF345/3630,"")</f>
        <v/>
      </c>
      <c r="AF345" s="14">
        <f>IFERROR(C345+D345+E345+F345+J345+K345+L345+M345+Q345+R345+S345+T345+IF(ISNUMBER(X345),X345,0)+N(Y345)+N(Z345)+N(AA345),"")</f>
        <v/>
      </c>
      <c r="AG345" s="14">
        <f>IF(ISNUMBER(AF345),AF345,"")</f>
        <v/>
      </c>
      <c r="AH345" s="14">
        <f>IF(ISNUMBER(AG345),_xlfn.RANK.EQ(AG345,$AG$2:$AG$1031),"")</f>
        <v/>
      </c>
    </row>
    <row r="346">
      <c r="A346" s="18" t="n">
        <v>788</v>
      </c>
      <c r="B346" s="18" t="inlineStr">
        <is>
          <t>ريناد محمد محمود نصر</t>
        </is>
      </c>
      <c r="C346" s="1" t="n">
        <v>421.5</v>
      </c>
      <c r="D346" s="1" t="n">
        <v>17</v>
      </c>
      <c r="E346" s="1" t="n">
        <v>18</v>
      </c>
      <c r="F346" s="1" t="n">
        <v>17</v>
      </c>
      <c r="G346" s="1">
        <f>C346+D346+E346+F346</f>
        <v/>
      </c>
      <c r="H346" s="1">
        <f>IF(ISNUMBER(G346),G346,"")</f>
        <v/>
      </c>
      <c r="I346" s="1">
        <f>_xlfn.RANK.EQ(H346,$H$2:$H$1031)</f>
        <v/>
      </c>
      <c r="J346" s="5" t="n">
        <v>440.25</v>
      </c>
      <c r="K346" s="5" t="n">
        <v>31</v>
      </c>
      <c r="L346" s="5" t="n">
        <v>19</v>
      </c>
      <c r="M346" s="5" t="n">
        <v>14</v>
      </c>
      <c r="N346" s="5">
        <f>J346+K346+L346+M346</f>
        <v/>
      </c>
      <c r="O346" s="5">
        <f>IF(ISNUMBER(N346),N346,"")</f>
        <v/>
      </c>
      <c r="P346" s="5">
        <f>_xlfn.RANK.EQ(O346,$O$2:$O$1031)</f>
        <v/>
      </c>
      <c r="Q346" s="9" t="n">
        <v>156.5</v>
      </c>
      <c r="R346" s="9" t="n">
        <v>29.5</v>
      </c>
      <c r="S346" s="9" t="n">
        <v>25</v>
      </c>
      <c r="T346" s="9" t="n">
        <v>23</v>
      </c>
      <c r="U346" s="9">
        <f>Q346+R346+S346+T346</f>
        <v/>
      </c>
      <c r="V346" s="9">
        <f>IF(ISNUMBER(U346),U346,"")</f>
        <v/>
      </c>
      <c r="W346" s="9">
        <f>_xlfn.RANK.EQ(V346,$V$2:$V$1031)</f>
        <v/>
      </c>
      <c r="X346" s="13" t="inlineStr">
        <is>
          <t>راسب</t>
        </is>
      </c>
      <c r="Y346" s="13" t="n">
        <v>23</v>
      </c>
      <c r="Z346" s="13" t="n">
        <v>18</v>
      </c>
      <c r="AA346" s="13" t="n">
        <v>19</v>
      </c>
      <c r="AB346" s="13">
        <f>IF(ISNUMBER(X346),X346+N(Y346)+N(Z346)+N(AA346),X346)</f>
        <v/>
      </c>
      <c r="AC346" s="13">
        <f>IF(ISNUMBER(AB346),AB346,"")</f>
        <v/>
      </c>
      <c r="AD346" s="13">
        <f>IF(ISNUMBER(AC346),_xlfn.RANK.EQ(AC346,$AC$2:$AC$1031),"")</f>
        <v/>
      </c>
      <c r="AE346" s="15">
        <f>IF(ISNUMBER(AF346),AF346/3630,"")</f>
        <v/>
      </c>
      <c r="AF346" s="14">
        <f>IFERROR(C346+D346+E346+F346+J346+K346+L346+M346+Q346+R346+S346+T346+IF(ISNUMBER(X346),X346,0)+N(Y346)+N(Z346)+N(AA346),"")</f>
        <v/>
      </c>
      <c r="AG346" s="14">
        <f>IF(ISNUMBER(AF346),AF346,"")</f>
        <v/>
      </c>
      <c r="AH346" s="14">
        <f>IF(ISNUMBER(AG346),_xlfn.RANK.EQ(AG346,$AG$2:$AG$1031),"")</f>
        <v/>
      </c>
    </row>
    <row r="347">
      <c r="A347" s="18" t="n">
        <v>791</v>
      </c>
      <c r="B347" s="18" t="inlineStr">
        <is>
          <t>ريهام جمعه مسعود محمد حماد</t>
        </is>
      </c>
      <c r="C347" s="1" t="n">
        <v>610.9</v>
      </c>
      <c r="D347" s="1" t="n">
        <v>25</v>
      </c>
      <c r="E347" s="1" t="n">
        <v>23</v>
      </c>
      <c r="F347" s="1" t="n">
        <v>23</v>
      </c>
      <c r="G347" s="1">
        <f>C347+D347+E347+F347</f>
        <v/>
      </c>
      <c r="H347" s="1">
        <f>IF(ISNUMBER(G347),G347,"")</f>
        <v/>
      </c>
      <c r="I347" s="1">
        <f>_xlfn.RANK.EQ(H347,$H$2:$H$1031)</f>
        <v/>
      </c>
      <c r="J347" s="5" t="n">
        <v>627.5</v>
      </c>
      <c r="K347" s="5" t="n">
        <v>48</v>
      </c>
      <c r="L347" s="5" t="n">
        <v>21</v>
      </c>
      <c r="M347" s="5" t="n">
        <v>24</v>
      </c>
      <c r="N347" s="5">
        <f>J347+K347+L347+M347</f>
        <v/>
      </c>
      <c r="O347" s="5">
        <f>IF(ISNUMBER(N347),N347,"")</f>
        <v/>
      </c>
      <c r="P347" s="5">
        <f>_xlfn.RANK.EQ(O347,$O$2:$O$1031)</f>
        <v/>
      </c>
      <c r="Q347" s="9" t="n">
        <v>272</v>
      </c>
      <c r="R347" s="9" t="n">
        <v>47</v>
      </c>
      <c r="S347" s="9" t="n">
        <v>24</v>
      </c>
      <c r="T347" s="9" t="n">
        <v>25</v>
      </c>
      <c r="U347" s="9">
        <f>Q347+R347+S347+T347</f>
        <v/>
      </c>
      <c r="V347" s="9">
        <f>IF(ISNUMBER(U347),U347,"")</f>
        <v/>
      </c>
      <c r="W347" s="9">
        <f>_xlfn.RANK.EQ(V347,$V$2:$V$1031)</f>
        <v/>
      </c>
      <c r="X347" s="13" t="n">
        <v>1443.4541666667</v>
      </c>
      <c r="Y347" s="13" t="n">
        <v>24</v>
      </c>
      <c r="Z347" s="13" t="n">
        <v>23</v>
      </c>
      <c r="AA347" s="13" t="n">
        <v>24</v>
      </c>
      <c r="AB347" s="13">
        <f>IF(ISNUMBER(X347),X347+N(Y347)+N(Z347)+N(AA347),X347)</f>
        <v/>
      </c>
      <c r="AC347" s="13">
        <f>IF(ISNUMBER(AB347),AB347,"")</f>
        <v/>
      </c>
      <c r="AD347" s="13">
        <f>IF(ISNUMBER(AC347),_xlfn.RANK.EQ(AC347,$AC$2:$AC$1031),"")</f>
        <v/>
      </c>
      <c r="AE347" s="15">
        <f>IF(ISNUMBER(AF347),AF347/3630,"")</f>
        <v/>
      </c>
      <c r="AF347" s="14">
        <f>IFERROR(C347+D347+E347+F347+J347+K347+L347+M347+Q347+R347+S347+T347+IF(ISNUMBER(X347),X347,0)+N(Y347)+N(Z347)+N(AA347),"")</f>
        <v/>
      </c>
      <c r="AG347" s="14">
        <f>IF(ISNUMBER(AF347),AF347,"")</f>
        <v/>
      </c>
      <c r="AH347" s="14">
        <f>IF(ISNUMBER(AG347),_xlfn.RANK.EQ(AG347,$AG$2:$AG$1031),"")</f>
        <v/>
      </c>
    </row>
    <row r="348">
      <c r="A348" s="18" t="n">
        <v>793</v>
      </c>
      <c r="B348" s="18" t="inlineStr">
        <is>
          <t>ريهام عبده على سعد درويش</t>
        </is>
      </c>
      <c r="C348" s="1" t="n">
        <v>576.1</v>
      </c>
      <c r="D348" s="1" t="n">
        <v>25</v>
      </c>
      <c r="E348" s="1" t="n">
        <v>25</v>
      </c>
      <c r="F348" s="1" t="n">
        <v>22</v>
      </c>
      <c r="G348" s="1">
        <f>C348+D348+E348+F348</f>
        <v/>
      </c>
      <c r="H348" s="1">
        <f>IF(ISNUMBER(G348),G348,"")</f>
        <v/>
      </c>
      <c r="I348" s="1">
        <f>_xlfn.RANK.EQ(H348,$H$2:$H$1031)</f>
        <v/>
      </c>
      <c r="J348" s="5" t="n">
        <v>564.6</v>
      </c>
      <c r="K348" s="5" t="n">
        <v>45</v>
      </c>
      <c r="L348" s="5" t="n">
        <v>22</v>
      </c>
      <c r="M348" s="5" t="n">
        <v>20</v>
      </c>
      <c r="N348" s="5">
        <f>J348+K348+L348+M348</f>
        <v/>
      </c>
      <c r="O348" s="5">
        <f>IF(ISNUMBER(N348),N348,"")</f>
        <v/>
      </c>
      <c r="P348" s="5">
        <f>_xlfn.RANK.EQ(O348,$O$2:$O$1031)</f>
        <v/>
      </c>
      <c r="Q348" s="9" t="n">
        <v>242</v>
      </c>
      <c r="R348" s="9" t="n">
        <v>42.5</v>
      </c>
      <c r="S348" s="9" t="n">
        <v>21</v>
      </c>
      <c r="T348" s="9" t="n">
        <v>24</v>
      </c>
      <c r="U348" s="9">
        <f>Q348+R348+S348+T348</f>
        <v/>
      </c>
      <c r="V348" s="9">
        <f>IF(ISNUMBER(U348),U348,"")</f>
        <v/>
      </c>
      <c r="W348" s="9">
        <f>_xlfn.RANK.EQ(V348,$V$2:$V$1031)</f>
        <v/>
      </c>
      <c r="X348" s="13" t="n">
        <v>1294.2583333333</v>
      </c>
      <c r="Y348" s="13" t="n">
        <v>22</v>
      </c>
      <c r="Z348" s="13" t="n">
        <v>23</v>
      </c>
      <c r="AA348" s="13" t="n">
        <v>23</v>
      </c>
      <c r="AB348" s="13">
        <f>IF(ISNUMBER(X348),X348+N(Y348)+N(Z348)+N(AA348),X348)</f>
        <v/>
      </c>
      <c r="AC348" s="13">
        <f>IF(ISNUMBER(AB348),AB348,"")</f>
        <v/>
      </c>
      <c r="AD348" s="13">
        <f>IF(ISNUMBER(AC348),_xlfn.RANK.EQ(AC348,$AC$2:$AC$1031),"")</f>
        <v/>
      </c>
      <c r="AE348" s="15">
        <f>IF(ISNUMBER(AF348),AF348/3630,"")</f>
        <v/>
      </c>
      <c r="AF348" s="14">
        <f>IFERROR(C348+D348+E348+F348+J348+K348+L348+M348+Q348+R348+S348+T348+IF(ISNUMBER(X348),X348,0)+N(Y348)+N(Z348)+N(AA348),"")</f>
        <v/>
      </c>
      <c r="AG348" s="14">
        <f>IF(ISNUMBER(AF348),AF348,"")</f>
        <v/>
      </c>
      <c r="AH348" s="14">
        <f>IF(ISNUMBER(AG348),_xlfn.RANK.EQ(AG348,$AG$2:$AG$1031),"")</f>
        <v/>
      </c>
    </row>
    <row r="349">
      <c r="A349" s="18" t="n">
        <v>801</v>
      </c>
      <c r="B349" s="18" t="inlineStr">
        <is>
          <t>زهير السيد زهير علام</t>
        </is>
      </c>
      <c r="C349" s="1" t="n">
        <v>515.6</v>
      </c>
      <c r="D349" s="1" t="n">
        <v>23</v>
      </c>
      <c r="E349" s="1" t="n">
        <v>20</v>
      </c>
      <c r="F349" s="1" t="n">
        <v>19</v>
      </c>
      <c r="G349" s="1">
        <f>C349+D349+E349+F349</f>
        <v/>
      </c>
      <c r="H349" s="1">
        <f>IF(ISNUMBER(G349),G349,"")</f>
        <v/>
      </c>
      <c r="I349" s="1">
        <f>_xlfn.RANK.EQ(H349,$H$2:$H$1031)</f>
        <v/>
      </c>
      <c r="J349" s="5" t="n">
        <v>478.45</v>
      </c>
      <c r="K349" s="5" t="n">
        <v>42</v>
      </c>
      <c r="L349" s="5" t="n">
        <v>20</v>
      </c>
      <c r="M349" s="5" t="n">
        <v>24</v>
      </c>
      <c r="N349" s="5">
        <f>J349+K349+L349+M349</f>
        <v/>
      </c>
      <c r="O349" s="5">
        <f>IF(ISNUMBER(N349),N349,"")</f>
        <v/>
      </c>
      <c r="P349" s="5">
        <f>_xlfn.RANK.EQ(O349,$O$2:$O$1031)</f>
        <v/>
      </c>
      <c r="Q349" s="9" t="n">
        <v>202</v>
      </c>
      <c r="R349" s="9" t="n">
        <v>43</v>
      </c>
      <c r="S349" s="9" t="n">
        <v>23</v>
      </c>
      <c r="T349" s="9" t="n">
        <v>24</v>
      </c>
      <c r="U349" s="9">
        <f>Q349+R349+S349+T349</f>
        <v/>
      </c>
      <c r="V349" s="9">
        <f>IF(ISNUMBER(U349),U349,"")</f>
        <v/>
      </c>
      <c r="W349" s="9">
        <f>_xlfn.RANK.EQ(V349,$V$2:$V$1031)</f>
        <v/>
      </c>
      <c r="X349" s="13" t="n">
        <v>1213.075</v>
      </c>
      <c r="Y349" s="13" t="n">
        <v>21</v>
      </c>
      <c r="Z349" s="13" t="n">
        <v>21</v>
      </c>
      <c r="AA349" s="13" t="n">
        <v>22</v>
      </c>
      <c r="AB349" s="13">
        <f>IF(ISNUMBER(X349),X349+N(Y349)+N(Z349)+N(AA349),X349)</f>
        <v/>
      </c>
      <c r="AC349" s="13">
        <f>IF(ISNUMBER(AB349),AB349,"")</f>
        <v/>
      </c>
      <c r="AD349" s="13">
        <f>IF(ISNUMBER(AC349),_xlfn.RANK.EQ(AC349,$AC$2:$AC$1031),"")</f>
        <v/>
      </c>
      <c r="AE349" s="15">
        <f>IF(ISNUMBER(AF349),AF349/3630,"")</f>
        <v/>
      </c>
      <c r="AF349" s="14">
        <f>IFERROR(C349+D349+E349+F349+J349+K349+L349+M349+Q349+R349+S349+T349+IF(ISNUMBER(X349),X349,0)+N(Y349)+N(Z349)+N(AA349),"")</f>
        <v/>
      </c>
      <c r="AG349" s="14">
        <f>IF(ISNUMBER(AF349),AF349,"")</f>
        <v/>
      </c>
      <c r="AH349" s="14">
        <f>IF(ISNUMBER(AG349),_xlfn.RANK.EQ(AG349,$AG$2:$AG$1031),"")</f>
        <v/>
      </c>
    </row>
    <row r="350">
      <c r="A350" s="18" t="n">
        <v>802</v>
      </c>
      <c r="B350" s="18" t="inlineStr">
        <is>
          <t>زياد احمد ابراهيم  طلحه</t>
        </is>
      </c>
      <c r="C350" s="1" t="n">
        <v>584.5</v>
      </c>
      <c r="D350" s="1" t="n">
        <v>25</v>
      </c>
      <c r="E350" s="1" t="n">
        <v>22</v>
      </c>
      <c r="F350" s="1" t="n">
        <v>21</v>
      </c>
      <c r="G350" s="1">
        <f>C350+D350+E350+F350</f>
        <v/>
      </c>
      <c r="H350" s="1">
        <f>IF(ISNUMBER(G350),G350,"")</f>
        <v/>
      </c>
      <c r="I350" s="1">
        <f>_xlfn.RANK.EQ(H350,$H$2:$H$1031)</f>
        <v/>
      </c>
      <c r="J350" s="5" t="n">
        <v>549.55</v>
      </c>
      <c r="K350" s="5" t="n">
        <v>43</v>
      </c>
      <c r="L350" s="5" t="n">
        <v>17</v>
      </c>
      <c r="M350" s="5" t="n">
        <v>21</v>
      </c>
      <c r="N350" s="5">
        <f>J350+K350+L350+M350</f>
        <v/>
      </c>
      <c r="O350" s="5">
        <f>IF(ISNUMBER(N350),N350,"")</f>
        <v/>
      </c>
      <c r="P350" s="5">
        <f>_xlfn.RANK.EQ(O350,$O$2:$O$1031)</f>
        <v/>
      </c>
      <c r="Q350" s="9" t="n">
        <v>227</v>
      </c>
      <c r="R350" s="9" t="n">
        <v>45.5</v>
      </c>
      <c r="S350" s="9" t="n">
        <v>24</v>
      </c>
      <c r="T350" s="9" t="n">
        <v>24</v>
      </c>
      <c r="U350" s="9">
        <f>Q350+R350+S350+T350</f>
        <v/>
      </c>
      <c r="V350" s="9">
        <f>IF(ISNUMBER(U350),U350,"")</f>
        <v/>
      </c>
      <c r="W350" s="9">
        <f>_xlfn.RANK.EQ(V350,$V$2:$V$1031)</f>
        <v/>
      </c>
      <c r="X350" s="13" t="n">
        <v>1398.9833333333</v>
      </c>
      <c r="Y350" s="13" t="n">
        <v>21</v>
      </c>
      <c r="Z350" s="13" t="n">
        <v>25</v>
      </c>
      <c r="AA350" s="13" t="n">
        <v>25</v>
      </c>
      <c r="AB350" s="13">
        <f>IF(ISNUMBER(X350),X350+N(Y350)+N(Z350)+N(AA350),X350)</f>
        <v/>
      </c>
      <c r="AC350" s="13">
        <f>IF(ISNUMBER(AB350),AB350,"")</f>
        <v/>
      </c>
      <c r="AD350" s="13">
        <f>IF(ISNUMBER(AC350),_xlfn.RANK.EQ(AC350,$AC$2:$AC$1031),"")</f>
        <v/>
      </c>
      <c r="AE350" s="15">
        <f>IF(ISNUMBER(AF350),AF350/3630,"")</f>
        <v/>
      </c>
      <c r="AF350" s="14">
        <f>IFERROR(C350+D350+E350+F350+J350+K350+L350+M350+Q350+R350+S350+T350+IF(ISNUMBER(X350),X350,0)+N(Y350)+N(Z350)+N(AA350),"")</f>
        <v/>
      </c>
      <c r="AG350" s="14">
        <f>IF(ISNUMBER(AF350),AF350,"")</f>
        <v/>
      </c>
      <c r="AH350" s="14">
        <f>IF(ISNUMBER(AG350),_xlfn.RANK.EQ(AG350,$AG$2:$AG$1031),"")</f>
        <v/>
      </c>
    </row>
    <row r="351">
      <c r="A351" s="18" t="n">
        <v>803</v>
      </c>
      <c r="B351" s="18" t="inlineStr">
        <is>
          <t>زياد ايهاب محمود ابراهيم</t>
        </is>
      </c>
      <c r="C351" s="1" t="n">
        <v>537.9</v>
      </c>
      <c r="D351" s="1" t="n">
        <v>22</v>
      </c>
      <c r="E351" s="1" t="n">
        <v>17</v>
      </c>
      <c r="F351" s="1" t="n">
        <v>16</v>
      </c>
      <c r="G351" s="1">
        <f>C351+D351+E351+F351</f>
        <v/>
      </c>
      <c r="H351" s="1">
        <f>IF(ISNUMBER(G351),G351,"")</f>
        <v/>
      </c>
      <c r="I351" s="1">
        <f>_xlfn.RANK.EQ(H351,$H$2:$H$1031)</f>
        <v/>
      </c>
      <c r="J351" s="5" t="n">
        <v>529.05</v>
      </c>
      <c r="K351" s="5" t="n">
        <v>42</v>
      </c>
      <c r="L351" s="5" t="n">
        <v>21</v>
      </c>
      <c r="M351" s="5" t="n">
        <v>17</v>
      </c>
      <c r="N351" s="5">
        <f>J351+K351+L351+M351</f>
        <v/>
      </c>
      <c r="O351" s="5">
        <f>IF(ISNUMBER(N351),N351,"")</f>
        <v/>
      </c>
      <c r="P351" s="5">
        <f>_xlfn.RANK.EQ(O351,$O$2:$O$1031)</f>
        <v/>
      </c>
      <c r="Q351" s="9" t="n">
        <v>228.5</v>
      </c>
      <c r="R351" s="9" t="n">
        <v>40</v>
      </c>
      <c r="S351" s="9" t="n">
        <v>23</v>
      </c>
      <c r="T351" s="9" t="n">
        <v>22.5</v>
      </c>
      <c r="U351" s="9">
        <f>Q351+R351+S351+T351</f>
        <v/>
      </c>
      <c r="V351" s="9">
        <f>IF(ISNUMBER(U351),U351,"")</f>
        <v/>
      </c>
      <c r="W351" s="9">
        <f>_xlfn.RANK.EQ(V351,$V$2:$V$1031)</f>
        <v/>
      </c>
      <c r="X351" s="13" t="n">
        <v>1357.8916666667</v>
      </c>
      <c r="Y351" s="13" t="n">
        <v>23</v>
      </c>
      <c r="Z351" s="13" t="n">
        <v>23</v>
      </c>
      <c r="AA351" s="13" t="n">
        <v>22</v>
      </c>
      <c r="AB351" s="13">
        <f>IF(ISNUMBER(X351),X351+N(Y351)+N(Z351)+N(AA351),X351)</f>
        <v/>
      </c>
      <c r="AC351" s="13">
        <f>IF(ISNUMBER(AB351),AB351,"")</f>
        <v/>
      </c>
      <c r="AD351" s="13">
        <f>IF(ISNUMBER(AC351),_xlfn.RANK.EQ(AC351,$AC$2:$AC$1031),"")</f>
        <v/>
      </c>
      <c r="AE351" s="15">
        <f>IF(ISNUMBER(AF351),AF351/3630,"")</f>
        <v/>
      </c>
      <c r="AF351" s="14">
        <f>IFERROR(C351+D351+E351+F351+J351+K351+L351+M351+Q351+R351+S351+T351+IF(ISNUMBER(X351),X351,0)+N(Y351)+N(Z351)+N(AA351),"")</f>
        <v/>
      </c>
      <c r="AG351" s="14">
        <f>IF(ISNUMBER(AF351),AF351,"")</f>
        <v/>
      </c>
      <c r="AH351" s="14">
        <f>IF(ISNUMBER(AG351),_xlfn.RANK.EQ(AG351,$AG$2:$AG$1031),"")</f>
        <v/>
      </c>
    </row>
    <row r="352">
      <c r="A352" s="18" t="n">
        <v>804</v>
      </c>
      <c r="B352" s="18" t="inlineStr">
        <is>
          <t>زياد جمال محمد شلبي</t>
        </is>
      </c>
      <c r="C352" s="1" t="n">
        <v>514.4</v>
      </c>
      <c r="D352" s="1" t="n">
        <v>19</v>
      </c>
      <c r="E352" s="1" t="n">
        <v>11</v>
      </c>
      <c r="F352" s="1" t="n">
        <v>10</v>
      </c>
      <c r="G352" s="1">
        <f>C352+D352+E352+F352</f>
        <v/>
      </c>
      <c r="H352" s="1">
        <f>IF(ISNUMBER(G352),G352,"")</f>
        <v/>
      </c>
      <c r="I352" s="1">
        <f>_xlfn.RANK.EQ(H352,$H$2:$H$1031)</f>
        <v/>
      </c>
      <c r="J352" s="5" t="n">
        <v>567.25</v>
      </c>
      <c r="K352" s="5" t="n">
        <v>38</v>
      </c>
      <c r="L352" s="5" t="n">
        <v>23</v>
      </c>
      <c r="M352" s="5" t="n">
        <v>17</v>
      </c>
      <c r="N352" s="5">
        <f>J352+K352+L352+M352</f>
        <v/>
      </c>
      <c r="O352" s="5">
        <f>IF(ISNUMBER(N352),N352,"")</f>
        <v/>
      </c>
      <c r="P352" s="5">
        <f>_xlfn.RANK.EQ(O352,$O$2:$O$1031)</f>
        <v/>
      </c>
      <c r="Q352" s="9" t="n">
        <v>240</v>
      </c>
      <c r="R352" s="9" t="n">
        <v>40.5</v>
      </c>
      <c r="S352" s="9" t="n">
        <v>19</v>
      </c>
      <c r="T352" s="9" t="n">
        <v>23</v>
      </c>
      <c r="U352" s="9">
        <f>Q352+R352+S352+T352</f>
        <v/>
      </c>
      <c r="V352" s="9">
        <f>IF(ISNUMBER(U352),U352,"")</f>
        <v/>
      </c>
      <c r="W352" s="9">
        <f>_xlfn.RANK.EQ(V352,$V$2:$V$1031)</f>
        <v/>
      </c>
      <c r="X352" s="13" t="n">
        <v>1398.2375</v>
      </c>
      <c r="Y352" s="13" t="n">
        <v>21</v>
      </c>
      <c r="Z352" s="13" t="n">
        <v>21</v>
      </c>
      <c r="AA352" s="13" t="n">
        <v>21</v>
      </c>
      <c r="AB352" s="13">
        <f>IF(ISNUMBER(X352),X352+N(Y352)+N(Z352)+N(AA352),X352)</f>
        <v/>
      </c>
      <c r="AC352" s="13">
        <f>IF(ISNUMBER(AB352),AB352,"")</f>
        <v/>
      </c>
      <c r="AD352" s="13">
        <f>IF(ISNUMBER(AC352),_xlfn.RANK.EQ(AC352,$AC$2:$AC$1031),"")</f>
        <v/>
      </c>
      <c r="AE352" s="15">
        <f>IF(ISNUMBER(AF352),AF352/3630,"")</f>
        <v/>
      </c>
      <c r="AF352" s="14">
        <f>IFERROR(C352+D352+E352+F352+J352+K352+L352+M352+Q352+R352+S352+T352+IF(ISNUMBER(X352),X352,0)+N(Y352)+N(Z352)+N(AA352),"")</f>
        <v/>
      </c>
      <c r="AG352" s="14">
        <f>IF(ISNUMBER(AF352),AF352,"")</f>
        <v/>
      </c>
      <c r="AH352" s="14">
        <f>IF(ISNUMBER(AG352),_xlfn.RANK.EQ(AG352,$AG$2:$AG$1031),"")</f>
        <v/>
      </c>
    </row>
    <row r="353">
      <c r="A353" s="18" t="n">
        <v>805</v>
      </c>
      <c r="B353" s="18" t="inlineStr">
        <is>
          <t>زياد حسين محمود ابراهيم</t>
        </is>
      </c>
      <c r="C353" s="1" t="n">
        <v>552.4</v>
      </c>
      <c r="D353" s="1" t="n">
        <v>23</v>
      </c>
      <c r="E353" s="1" t="n">
        <v>21</v>
      </c>
      <c r="F353" s="1" t="n">
        <v>21</v>
      </c>
      <c r="G353" s="1">
        <f>C353+D353+E353+F353</f>
        <v/>
      </c>
      <c r="H353" s="1">
        <f>IF(ISNUMBER(G353),G353,"")</f>
        <v/>
      </c>
      <c r="I353" s="1">
        <f>_xlfn.RANK.EQ(H353,$H$2:$H$1031)</f>
        <v/>
      </c>
      <c r="J353" s="5" t="n">
        <v>556.1</v>
      </c>
      <c r="K353" s="5" t="n">
        <v>42</v>
      </c>
      <c r="L353" s="5" t="n">
        <v>23</v>
      </c>
      <c r="M353" s="5" t="n">
        <v>25</v>
      </c>
      <c r="N353" s="5">
        <f>J353+K353+L353+M353</f>
        <v/>
      </c>
      <c r="O353" s="5">
        <f>IF(ISNUMBER(N353),N353,"")</f>
        <v/>
      </c>
      <c r="P353" s="5">
        <f>_xlfn.RANK.EQ(O353,$O$2:$O$1031)</f>
        <v/>
      </c>
      <c r="Q353" s="9" t="n">
        <v>253</v>
      </c>
      <c r="R353" s="9" t="n">
        <v>39</v>
      </c>
      <c r="S353" s="9" t="n">
        <v>22</v>
      </c>
      <c r="T353" s="9" t="n">
        <v>24</v>
      </c>
      <c r="U353" s="9">
        <f>Q353+R353+S353+T353</f>
        <v/>
      </c>
      <c r="V353" s="9">
        <f>IF(ISNUMBER(U353),U353,"")</f>
        <v/>
      </c>
      <c r="W353" s="9">
        <f>_xlfn.RANK.EQ(V353,$V$2:$V$1031)</f>
        <v/>
      </c>
      <c r="X353" s="13" t="n">
        <v>1399.8291666667</v>
      </c>
      <c r="Y353" s="13" t="n">
        <v>20.5</v>
      </c>
      <c r="Z353" s="13" t="n">
        <v>23</v>
      </c>
      <c r="AA353" s="13" t="n">
        <v>25</v>
      </c>
      <c r="AB353" s="13">
        <f>IF(ISNUMBER(X353),X353+N(Y353)+N(Z353)+N(AA353),X353)</f>
        <v/>
      </c>
      <c r="AC353" s="13">
        <f>IF(ISNUMBER(AB353),AB353,"")</f>
        <v/>
      </c>
      <c r="AD353" s="13">
        <f>IF(ISNUMBER(AC353),_xlfn.RANK.EQ(AC353,$AC$2:$AC$1031),"")</f>
        <v/>
      </c>
      <c r="AE353" s="15">
        <f>IF(ISNUMBER(AF353),AF353/3630,"")</f>
        <v/>
      </c>
      <c r="AF353" s="14">
        <f>IFERROR(C353+D353+E353+F353+J353+K353+L353+M353+Q353+R353+S353+T353+IF(ISNUMBER(X353),X353,0)+N(Y353)+N(Z353)+N(AA353),"")</f>
        <v/>
      </c>
      <c r="AG353" s="14">
        <f>IF(ISNUMBER(AF353),AF353,"")</f>
        <v/>
      </c>
      <c r="AH353" s="14">
        <f>IF(ISNUMBER(AG353),_xlfn.RANK.EQ(AG353,$AG$2:$AG$1031),"")</f>
        <v/>
      </c>
    </row>
    <row r="354">
      <c r="A354" s="18" t="n">
        <v>806</v>
      </c>
      <c r="B354" s="18" t="inlineStr">
        <is>
          <t>زياد خالد عبدالرحمن سويلم الدخميسي</t>
        </is>
      </c>
      <c r="C354" s="1" t="n">
        <v>494.7</v>
      </c>
      <c r="D354" s="1" t="n">
        <v>21</v>
      </c>
      <c r="E354" s="1" t="n">
        <v>18</v>
      </c>
      <c r="F354" s="1" t="n">
        <v>21</v>
      </c>
      <c r="G354" s="1">
        <f>C354+D354+E354+F354</f>
        <v/>
      </c>
      <c r="H354" s="1">
        <f>IF(ISNUMBER(G354),G354,"")</f>
        <v/>
      </c>
      <c r="I354" s="1">
        <f>_xlfn.RANK.EQ(H354,$H$2:$H$1031)</f>
        <v/>
      </c>
      <c r="J354" s="5" t="n">
        <v>564.75</v>
      </c>
      <c r="K354" s="5" t="n">
        <v>39</v>
      </c>
      <c r="L354" s="5" t="n">
        <v>20</v>
      </c>
      <c r="M354" s="5" t="n">
        <v>24</v>
      </c>
      <c r="N354" s="5">
        <f>J354+K354+L354+M354</f>
        <v/>
      </c>
      <c r="O354" s="5">
        <f>IF(ISNUMBER(N354),N354,"")</f>
        <v/>
      </c>
      <c r="P354" s="5">
        <f>_xlfn.RANK.EQ(O354,$O$2:$O$1031)</f>
        <v/>
      </c>
      <c r="Q354" s="9" t="n">
        <v>238</v>
      </c>
      <c r="R354" s="9" t="n">
        <v>40</v>
      </c>
      <c r="S354" s="9" t="n">
        <v>20</v>
      </c>
      <c r="T354" s="9" t="n">
        <v>19</v>
      </c>
      <c r="U354" s="9">
        <f>Q354+R354+S354+T354</f>
        <v/>
      </c>
      <c r="V354" s="9">
        <f>IF(ISNUMBER(U354),U354,"")</f>
        <v/>
      </c>
      <c r="W354" s="9">
        <f>_xlfn.RANK.EQ(V354,$V$2:$V$1031)</f>
        <v/>
      </c>
      <c r="X354" s="13" t="inlineStr">
        <is>
          <t>راسب</t>
        </is>
      </c>
      <c r="Y354" s="13" t="n">
        <v>22</v>
      </c>
      <c r="Z354" s="13" t="n">
        <v>23</v>
      </c>
      <c r="AA354" s="13" t="n">
        <v>20</v>
      </c>
      <c r="AB354" s="13">
        <f>IF(ISNUMBER(X354),X354+N(Y354)+N(Z354)+N(AA354),X354)</f>
        <v/>
      </c>
      <c r="AC354" s="13">
        <f>IF(ISNUMBER(AB354),AB354,"")</f>
        <v/>
      </c>
      <c r="AD354" s="13">
        <f>IF(ISNUMBER(AC354),_xlfn.RANK.EQ(AC354,$AC$2:$AC$1031),"")</f>
        <v/>
      </c>
      <c r="AE354" s="15">
        <f>IF(ISNUMBER(AF354),AF354/3630,"")</f>
        <v/>
      </c>
      <c r="AF354" s="14">
        <f>IFERROR(C354+D354+E354+F354+J354+K354+L354+M354+Q354+R354+S354+T354+IF(ISNUMBER(X354),X354,0)+N(Y354)+N(Z354)+N(AA354),"")</f>
        <v/>
      </c>
      <c r="AG354" s="14">
        <f>IF(ISNUMBER(AF354),AF354,"")</f>
        <v/>
      </c>
      <c r="AH354" s="14">
        <f>IF(ISNUMBER(AG354),_xlfn.RANK.EQ(AG354,$AG$2:$AG$1031),"")</f>
        <v/>
      </c>
    </row>
    <row r="355">
      <c r="A355" s="18" t="n">
        <v>807</v>
      </c>
      <c r="B355" s="18" t="inlineStr">
        <is>
          <t>زياد سامح عبد المنعم  الضوى</t>
        </is>
      </c>
      <c r="C355" s="1" t="n">
        <v>556.6</v>
      </c>
      <c r="D355" s="1" t="n">
        <v>23</v>
      </c>
      <c r="E355" s="1" t="n">
        <v>22</v>
      </c>
      <c r="F355" s="1" t="n">
        <v>21</v>
      </c>
      <c r="G355" s="1">
        <f>C355+D355+E355+F355</f>
        <v/>
      </c>
      <c r="H355" s="1">
        <f>IF(ISNUMBER(G355),G355,"")</f>
        <v/>
      </c>
      <c r="I355" s="1">
        <f>_xlfn.RANK.EQ(H355,$H$2:$H$1031)</f>
        <v/>
      </c>
      <c r="J355" s="5" t="n">
        <v>580.35</v>
      </c>
      <c r="K355" s="5" t="n">
        <v>45</v>
      </c>
      <c r="L355" s="5" t="n">
        <v>21</v>
      </c>
      <c r="M355" s="5" t="n">
        <v>20</v>
      </c>
      <c r="N355" s="5">
        <f>J355+K355+L355+M355</f>
        <v/>
      </c>
      <c r="O355" s="5">
        <f>IF(ISNUMBER(N355),N355,"")</f>
        <v/>
      </c>
      <c r="P355" s="5">
        <f>_xlfn.RANK.EQ(O355,$O$2:$O$1031)</f>
        <v/>
      </c>
      <c r="Q355" s="9" t="n">
        <v>236</v>
      </c>
      <c r="R355" s="9" t="n">
        <v>44.5</v>
      </c>
      <c r="S355" s="9" t="n">
        <v>21</v>
      </c>
      <c r="T355" s="9" t="n">
        <v>22.5</v>
      </c>
      <c r="U355" s="9">
        <f>Q355+R355+S355+T355</f>
        <v/>
      </c>
      <c r="V355" s="9">
        <f>IF(ISNUMBER(U355),U355,"")</f>
        <v/>
      </c>
      <c r="W355" s="9">
        <f>_xlfn.RANK.EQ(V355,$V$2:$V$1031)</f>
        <v/>
      </c>
      <c r="X355" s="13" t="n">
        <v>1410.0916666667</v>
      </c>
      <c r="Y355" s="13" t="n">
        <v>24.5</v>
      </c>
      <c r="Z355" s="13" t="n">
        <v>23</v>
      </c>
      <c r="AA355" s="13" t="n">
        <v>22</v>
      </c>
      <c r="AB355" s="13">
        <f>IF(ISNUMBER(X355),X355+N(Y355)+N(Z355)+N(AA355),X355)</f>
        <v/>
      </c>
      <c r="AC355" s="13">
        <f>IF(ISNUMBER(AB355),AB355,"")</f>
        <v/>
      </c>
      <c r="AD355" s="13">
        <f>IF(ISNUMBER(AC355),_xlfn.RANK.EQ(AC355,$AC$2:$AC$1031),"")</f>
        <v/>
      </c>
      <c r="AE355" s="15">
        <f>IF(ISNUMBER(AF355),AF355/3630,"")</f>
        <v/>
      </c>
      <c r="AF355" s="14">
        <f>IFERROR(C355+D355+E355+F355+J355+K355+L355+M355+Q355+R355+S355+T355+IF(ISNUMBER(X355),X355,0)+N(Y355)+N(Z355)+N(AA355),"")</f>
        <v/>
      </c>
      <c r="AG355" s="14">
        <f>IF(ISNUMBER(AF355),AF355,"")</f>
        <v/>
      </c>
      <c r="AH355" s="14">
        <f>IF(ISNUMBER(AG355),_xlfn.RANK.EQ(AG355,$AG$2:$AG$1031),"")</f>
        <v/>
      </c>
    </row>
    <row r="356">
      <c r="A356" s="18" t="n">
        <v>808</v>
      </c>
      <c r="B356" s="18" t="inlineStr">
        <is>
          <t>زياد سامي  خطاب  زغلوله</t>
        </is>
      </c>
      <c r="C356" s="1" t="n">
        <v>514.3</v>
      </c>
      <c r="D356" s="1" t="n">
        <v>23</v>
      </c>
      <c r="E356" s="1" t="n">
        <v>23</v>
      </c>
      <c r="F356" s="1" t="n">
        <v>21</v>
      </c>
      <c r="G356" s="1">
        <f>C356+D356+E356+F356</f>
        <v/>
      </c>
      <c r="H356" s="1">
        <f>IF(ISNUMBER(G356),G356,"")</f>
        <v/>
      </c>
      <c r="I356" s="1">
        <f>_xlfn.RANK.EQ(H356,$H$2:$H$1031)</f>
        <v/>
      </c>
      <c r="J356" s="5" t="n">
        <v>531.9</v>
      </c>
      <c r="K356" s="5" t="n">
        <v>41</v>
      </c>
      <c r="L356" s="5" t="n">
        <v>23</v>
      </c>
      <c r="M356" s="5" t="n">
        <v>24</v>
      </c>
      <c r="N356" s="5">
        <f>J356+K356+L356+M356</f>
        <v/>
      </c>
      <c r="O356" s="5">
        <f>IF(ISNUMBER(N356),N356,"")</f>
        <v/>
      </c>
      <c r="P356" s="5">
        <f>_xlfn.RANK.EQ(O356,$O$2:$O$1031)</f>
        <v/>
      </c>
      <c r="Q356" s="9" t="n">
        <v>215</v>
      </c>
      <c r="R356" s="9" t="n">
        <v>44.5</v>
      </c>
      <c r="S356" s="9" t="n">
        <v>23</v>
      </c>
      <c r="T356" s="9" t="n">
        <v>25</v>
      </c>
      <c r="U356" s="9">
        <f>Q356+R356+S356+T356</f>
        <v/>
      </c>
      <c r="V356" s="9">
        <f>IF(ISNUMBER(U356),U356,"")</f>
        <v/>
      </c>
      <c r="W356" s="9">
        <f>_xlfn.RANK.EQ(V356,$V$2:$V$1031)</f>
        <v/>
      </c>
      <c r="X356" s="13" t="n">
        <v>1321.3333333333</v>
      </c>
      <c r="Y356" s="13" t="n">
        <v>23</v>
      </c>
      <c r="Z356" s="13" t="n">
        <v>24</v>
      </c>
      <c r="AA356" s="13" t="n">
        <v>24</v>
      </c>
      <c r="AB356" s="13">
        <f>IF(ISNUMBER(X356),X356+N(Y356)+N(Z356)+N(AA356),X356)</f>
        <v/>
      </c>
      <c r="AC356" s="13">
        <f>IF(ISNUMBER(AB356),AB356,"")</f>
        <v/>
      </c>
      <c r="AD356" s="13">
        <f>IF(ISNUMBER(AC356),_xlfn.RANK.EQ(AC356,$AC$2:$AC$1031),"")</f>
        <v/>
      </c>
      <c r="AE356" s="15">
        <f>IF(ISNUMBER(AF356),AF356/3630,"")</f>
        <v/>
      </c>
      <c r="AF356" s="14">
        <f>IFERROR(C356+D356+E356+F356+J356+K356+L356+M356+Q356+R356+S356+T356+IF(ISNUMBER(X356),X356,0)+N(Y356)+N(Z356)+N(AA356),"")</f>
        <v/>
      </c>
      <c r="AG356" s="14">
        <f>IF(ISNUMBER(AF356),AF356,"")</f>
        <v/>
      </c>
      <c r="AH356" s="14">
        <f>IF(ISNUMBER(AG356),_xlfn.RANK.EQ(AG356,$AG$2:$AG$1031),"")</f>
        <v/>
      </c>
    </row>
    <row r="357">
      <c r="A357" s="18" t="n">
        <v>809</v>
      </c>
      <c r="B357" s="18" t="inlineStr">
        <is>
          <t>زياد شريف عبدالسلام ابوالخير</t>
        </is>
      </c>
      <c r="C357" s="1" t="n">
        <v>573.8</v>
      </c>
      <c r="D357" s="1" t="n">
        <v>24</v>
      </c>
      <c r="E357" s="1" t="n">
        <v>20</v>
      </c>
      <c r="F357" s="1" t="n">
        <v>23</v>
      </c>
      <c r="G357" s="1">
        <f>C357+D357+E357+F357</f>
        <v/>
      </c>
      <c r="H357" s="1">
        <f>IF(ISNUMBER(G357),G357,"")</f>
        <v/>
      </c>
      <c r="I357" s="1">
        <f>_xlfn.RANK.EQ(H357,$H$2:$H$1031)</f>
        <v/>
      </c>
      <c r="J357" s="5" t="n">
        <v>492.2</v>
      </c>
      <c r="K357" s="5" t="n">
        <v>43</v>
      </c>
      <c r="L357" s="5" t="n">
        <v>22</v>
      </c>
      <c r="M357" s="5" t="n">
        <v>23</v>
      </c>
      <c r="N357" s="5">
        <f>J357+K357+L357+M357</f>
        <v/>
      </c>
      <c r="O357" s="5">
        <f>IF(ISNUMBER(N357),N357,"")</f>
        <v/>
      </c>
      <c r="P357" s="5">
        <f>_xlfn.RANK.EQ(O357,$O$2:$O$1031)</f>
        <v/>
      </c>
      <c r="Q357" s="9" t="n">
        <v>188</v>
      </c>
      <c r="R357" s="9" t="n">
        <v>38.5</v>
      </c>
      <c r="S357" s="9" t="n">
        <v>22</v>
      </c>
      <c r="T357" s="9" t="n">
        <v>24</v>
      </c>
      <c r="U357" s="9">
        <f>Q357+R357+S357+T357</f>
        <v/>
      </c>
      <c r="V357" s="9">
        <f>IF(ISNUMBER(U357),U357,"")</f>
        <v/>
      </c>
      <c r="W357" s="9">
        <f>_xlfn.RANK.EQ(V357,$V$2:$V$1031)</f>
        <v/>
      </c>
      <c r="X357" s="13" t="inlineStr">
        <is>
          <t>راسب</t>
        </is>
      </c>
      <c r="Y357" s="13" t="n">
        <v>18</v>
      </c>
      <c r="Z357" s="13" t="n">
        <v>19</v>
      </c>
      <c r="AA357" s="13" t="n">
        <v>21</v>
      </c>
      <c r="AB357" s="13">
        <f>IF(ISNUMBER(X357),X357+N(Y357)+N(Z357)+N(AA357),X357)</f>
        <v/>
      </c>
      <c r="AC357" s="13">
        <f>IF(ISNUMBER(AB357),AB357,"")</f>
        <v/>
      </c>
      <c r="AD357" s="13">
        <f>IF(ISNUMBER(AC357),_xlfn.RANK.EQ(AC357,$AC$2:$AC$1031),"")</f>
        <v/>
      </c>
      <c r="AE357" s="15">
        <f>IF(ISNUMBER(AF357),AF357/3630,"")</f>
        <v/>
      </c>
      <c r="AF357" s="14">
        <f>IFERROR(C357+D357+E357+F357+J357+K357+L357+M357+Q357+R357+S357+T357+IF(ISNUMBER(X357),X357,0)+N(Y357)+N(Z357)+N(AA357),"")</f>
        <v/>
      </c>
      <c r="AG357" s="14">
        <f>IF(ISNUMBER(AF357),AF357,"")</f>
        <v/>
      </c>
      <c r="AH357" s="14">
        <f>IF(ISNUMBER(AG357),_xlfn.RANK.EQ(AG357,$AG$2:$AG$1031),"")</f>
        <v/>
      </c>
    </row>
    <row r="358">
      <c r="A358" s="18" t="n">
        <v>810</v>
      </c>
      <c r="B358" s="18" t="inlineStr">
        <is>
          <t>زياد علاء الدين رزق حسنين</t>
        </is>
      </c>
      <c r="C358" s="1" t="n">
        <v>616.8</v>
      </c>
      <c r="D358" s="1" t="n">
        <v>24</v>
      </c>
      <c r="E358" s="1" t="n">
        <v>16</v>
      </c>
      <c r="F358" s="1" t="n">
        <v>21</v>
      </c>
      <c r="G358" s="1">
        <f>C358+D358+E358+F358</f>
        <v/>
      </c>
      <c r="H358" s="1">
        <f>IF(ISNUMBER(G358),G358,"")</f>
        <v/>
      </c>
      <c r="I358" s="1">
        <f>_xlfn.RANK.EQ(H358,$H$2:$H$1031)</f>
        <v/>
      </c>
      <c r="J358" s="5" t="n">
        <v>572.35</v>
      </c>
      <c r="K358" s="5" t="n">
        <v>45</v>
      </c>
      <c r="L358" s="5" t="n">
        <v>21</v>
      </c>
      <c r="M358" s="5" t="n">
        <v>17</v>
      </c>
      <c r="N358" s="5">
        <f>J358+K358+L358+M358</f>
        <v/>
      </c>
      <c r="O358" s="5">
        <f>IF(ISNUMBER(N358),N358,"")</f>
        <v/>
      </c>
      <c r="P358" s="5">
        <f>_xlfn.RANK.EQ(O358,$O$2:$O$1031)</f>
        <v/>
      </c>
      <c r="Q358" s="9" t="n">
        <v>227</v>
      </c>
      <c r="R358" s="9" t="n">
        <v>37</v>
      </c>
      <c r="S358" s="9" t="n">
        <v>20</v>
      </c>
      <c r="T358" s="9" t="n">
        <v>16</v>
      </c>
      <c r="U358" s="9">
        <f>Q358+R358+S358+T358</f>
        <v/>
      </c>
      <c r="V358" s="9">
        <f>IF(ISNUMBER(U358),U358,"")</f>
        <v/>
      </c>
      <c r="W358" s="9">
        <f>_xlfn.RANK.EQ(V358,$V$2:$V$1031)</f>
        <v/>
      </c>
      <c r="X358" s="13" t="n">
        <v>1322.0375</v>
      </c>
      <c r="Y358" s="13" t="n">
        <v>22.5</v>
      </c>
      <c r="Z358" s="13" t="n">
        <v>18</v>
      </c>
      <c r="AA358" s="13" t="n">
        <v>22</v>
      </c>
      <c r="AB358" s="13">
        <f>IF(ISNUMBER(X358),X358+N(Y358)+N(Z358)+N(AA358),X358)</f>
        <v/>
      </c>
      <c r="AC358" s="13">
        <f>IF(ISNUMBER(AB358),AB358,"")</f>
        <v/>
      </c>
      <c r="AD358" s="13">
        <f>IF(ISNUMBER(AC358),_xlfn.RANK.EQ(AC358,$AC$2:$AC$1031),"")</f>
        <v/>
      </c>
      <c r="AE358" s="15">
        <f>IF(ISNUMBER(AF358),AF358/3630,"")</f>
        <v/>
      </c>
      <c r="AF358" s="14">
        <f>IFERROR(C358+D358+E358+F358+J358+K358+L358+M358+Q358+R358+S358+T358+IF(ISNUMBER(X358),X358,0)+N(Y358)+N(Z358)+N(AA358),"")</f>
        <v/>
      </c>
      <c r="AG358" s="14">
        <f>IF(ISNUMBER(AF358),AF358,"")</f>
        <v/>
      </c>
      <c r="AH358" s="14">
        <f>IF(ISNUMBER(AG358),_xlfn.RANK.EQ(AG358,$AG$2:$AG$1031),"")</f>
        <v/>
      </c>
    </row>
    <row r="359">
      <c r="A359" s="18" t="n">
        <v>811</v>
      </c>
      <c r="B359" s="18" t="inlineStr">
        <is>
          <t>زياد محمد تاج الدين عبد الجليل</t>
        </is>
      </c>
      <c r="C359" s="1" t="n">
        <v>533.2</v>
      </c>
      <c r="D359" s="1" t="n">
        <v>16</v>
      </c>
      <c r="E359" s="1" t="n">
        <v>16</v>
      </c>
      <c r="F359" s="1" t="n">
        <v>17</v>
      </c>
      <c r="G359" s="1">
        <f>C359+D359+E359+F359</f>
        <v/>
      </c>
      <c r="H359" s="1">
        <f>IF(ISNUMBER(G359),G359,"")</f>
        <v/>
      </c>
      <c r="I359" s="1">
        <f>_xlfn.RANK.EQ(H359,$H$2:$H$1031)</f>
        <v/>
      </c>
      <c r="J359" s="5" t="n">
        <v>422.9</v>
      </c>
      <c r="K359" s="5" t="n">
        <v>40</v>
      </c>
      <c r="L359" s="5" t="n">
        <v>13</v>
      </c>
      <c r="M359" s="5" t="n">
        <v>10</v>
      </c>
      <c r="N359" s="5">
        <f>J359+K359+L359+M359</f>
        <v/>
      </c>
      <c r="O359" s="5">
        <f>IF(ISNUMBER(N359),N359,"")</f>
        <v/>
      </c>
      <c r="P359" s="5">
        <f>_xlfn.RANK.EQ(O359,$O$2:$O$1031)</f>
        <v/>
      </c>
      <c r="Q359" s="9" t="n">
        <v>136.25</v>
      </c>
      <c r="R359" s="9" t="n">
        <v>23.5</v>
      </c>
      <c r="S359" s="9" t="n">
        <v>21</v>
      </c>
      <c r="T359" s="9" t="n">
        <v>19</v>
      </c>
      <c r="U359" s="9">
        <f>Q359+R359+S359+T359</f>
        <v/>
      </c>
      <c r="V359" s="9">
        <f>IF(ISNUMBER(U359),U359,"")</f>
        <v/>
      </c>
      <c r="W359" s="9">
        <f>_xlfn.RANK.EQ(V359,$V$2:$V$1031)</f>
        <v/>
      </c>
      <c r="X359" s="13" t="inlineStr">
        <is>
          <t>راسب</t>
        </is>
      </c>
      <c r="Y359" s="13" t="n">
        <v>20</v>
      </c>
      <c r="Z359" s="13" t="n">
        <v>23</v>
      </c>
      <c r="AA359" s="13" t="n">
        <v>21</v>
      </c>
      <c r="AB359" s="13">
        <f>IF(ISNUMBER(X359),X359+N(Y359)+N(Z359)+N(AA359),X359)</f>
        <v/>
      </c>
      <c r="AC359" s="13">
        <f>IF(ISNUMBER(AB359),AB359,"")</f>
        <v/>
      </c>
      <c r="AD359" s="13">
        <f>IF(ISNUMBER(AC359),_xlfn.RANK.EQ(AC359,$AC$2:$AC$1031),"")</f>
        <v/>
      </c>
      <c r="AE359" s="15">
        <f>IF(ISNUMBER(AF359),AF359/3630,"")</f>
        <v/>
      </c>
      <c r="AF359" s="14">
        <f>IFERROR(C359+D359+E359+F359+J359+K359+L359+M359+Q359+R359+S359+T359+IF(ISNUMBER(X359),X359,0)+N(Y359)+N(Z359)+N(AA359),"")</f>
        <v/>
      </c>
      <c r="AG359" s="14">
        <f>IF(ISNUMBER(AF359),AF359,"")</f>
        <v/>
      </c>
      <c r="AH359" s="14">
        <f>IF(ISNUMBER(AG359),_xlfn.RANK.EQ(AG359,$AG$2:$AG$1031),"")</f>
        <v/>
      </c>
    </row>
    <row r="360">
      <c r="A360" s="18" t="n">
        <v>812</v>
      </c>
      <c r="B360" s="18" t="inlineStr">
        <is>
          <t>زياد محمد ماهر عتمان</t>
        </is>
      </c>
      <c r="C360" s="1" t="n">
        <v>650.8</v>
      </c>
      <c r="D360" s="1" t="n">
        <v>24</v>
      </c>
      <c r="E360" s="1" t="n">
        <v>25</v>
      </c>
      <c r="F360" s="1" t="n">
        <v>23</v>
      </c>
      <c r="G360" s="1">
        <f>C360+D360+E360+F360</f>
        <v/>
      </c>
      <c r="H360" s="1">
        <f>IF(ISNUMBER(G360),G360,"")</f>
        <v/>
      </c>
      <c r="I360" s="1">
        <f>_xlfn.RANK.EQ(H360,$H$2:$H$1031)</f>
        <v/>
      </c>
      <c r="J360" s="5" t="n">
        <v>632.1</v>
      </c>
      <c r="K360" s="5" t="n">
        <v>47</v>
      </c>
      <c r="L360" s="5" t="n">
        <v>25</v>
      </c>
      <c r="M360" s="5" t="n">
        <v>25</v>
      </c>
      <c r="N360" s="5">
        <f>J360+K360+L360+M360</f>
        <v/>
      </c>
      <c r="O360" s="5">
        <f>IF(ISNUMBER(N360),N360,"")</f>
        <v/>
      </c>
      <c r="P360" s="5">
        <f>_xlfn.RANK.EQ(O360,$O$2:$O$1031)</f>
        <v/>
      </c>
      <c r="Q360" s="9" t="n">
        <v>278</v>
      </c>
      <c r="R360" s="9" t="n">
        <v>49</v>
      </c>
      <c r="S360" s="9" t="n">
        <v>25</v>
      </c>
      <c r="T360" s="9" t="n">
        <v>25</v>
      </c>
      <c r="U360" s="9">
        <f>Q360+R360+S360+T360</f>
        <v/>
      </c>
      <c r="V360" s="9">
        <f>IF(ISNUMBER(U360),U360,"")</f>
        <v/>
      </c>
      <c r="W360" s="9">
        <f>_xlfn.RANK.EQ(V360,$V$2:$V$1031)</f>
        <v/>
      </c>
      <c r="X360" s="13" t="n">
        <v>1574.9583333333</v>
      </c>
      <c r="Y360" s="13" t="n">
        <v>24.5</v>
      </c>
      <c r="Z360" s="13" t="n">
        <v>25</v>
      </c>
      <c r="AA360" s="13" t="n">
        <v>24</v>
      </c>
      <c r="AB360" s="13">
        <f>IF(ISNUMBER(X360),X360+N(Y360)+N(Z360)+N(AA360),X360)</f>
        <v/>
      </c>
      <c r="AC360" s="13">
        <f>IF(ISNUMBER(AB360),AB360,"")</f>
        <v/>
      </c>
      <c r="AD360" s="13">
        <f>IF(ISNUMBER(AC360),_xlfn.RANK.EQ(AC360,$AC$2:$AC$1031),"")</f>
        <v/>
      </c>
      <c r="AE360" s="15">
        <f>IF(ISNUMBER(AF360),AF360/3630,"")</f>
        <v/>
      </c>
      <c r="AF360" s="14">
        <f>IFERROR(C360+D360+E360+F360+J360+K360+L360+M360+Q360+R360+S360+T360+IF(ISNUMBER(X360),X360,0)+N(Y360)+N(Z360)+N(AA360),"")</f>
        <v/>
      </c>
      <c r="AG360" s="14">
        <f>IF(ISNUMBER(AF360),AF360,"")</f>
        <v/>
      </c>
      <c r="AH360" s="14">
        <f>IF(ISNUMBER(AG360),_xlfn.RANK.EQ(AG360,$AG$2:$AG$1031),"")</f>
        <v/>
      </c>
    </row>
    <row r="361">
      <c r="A361" s="18" t="n">
        <v>813</v>
      </c>
      <c r="B361" s="18" t="inlineStr">
        <is>
          <t>زياد محمود سيف النصر محمود</t>
        </is>
      </c>
      <c r="C361" s="1" t="n">
        <v>633.7</v>
      </c>
      <c r="D361" s="1" t="n">
        <v>23</v>
      </c>
      <c r="E361" s="1" t="n">
        <v>25</v>
      </c>
      <c r="F361" s="1" t="n">
        <v>22</v>
      </c>
      <c r="G361" s="1">
        <f>C361+D361+E361+F361</f>
        <v/>
      </c>
      <c r="H361" s="1">
        <f>IF(ISNUMBER(G361),G361,"")</f>
        <v/>
      </c>
      <c r="I361" s="1">
        <f>_xlfn.RANK.EQ(H361,$H$2:$H$1031)</f>
        <v/>
      </c>
      <c r="J361" s="5" t="n">
        <v>624.6</v>
      </c>
      <c r="K361" s="5" t="n">
        <v>48</v>
      </c>
      <c r="L361" s="5" t="n">
        <v>24</v>
      </c>
      <c r="M361" s="5" t="n">
        <v>24</v>
      </c>
      <c r="N361" s="5">
        <f>J361+K361+L361+M361</f>
        <v/>
      </c>
      <c r="O361" s="5">
        <f>IF(ISNUMBER(N361),N361,"")</f>
        <v/>
      </c>
      <c r="P361" s="5">
        <f>_xlfn.RANK.EQ(O361,$O$2:$O$1031)</f>
        <v/>
      </c>
      <c r="Q361" s="9" t="n">
        <v>279</v>
      </c>
      <c r="R361" s="9" t="n">
        <v>49</v>
      </c>
      <c r="S361" s="9" t="n">
        <v>25</v>
      </c>
      <c r="T361" s="9" t="n">
        <v>24</v>
      </c>
      <c r="U361" s="9">
        <f>Q361+R361+S361+T361</f>
        <v/>
      </c>
      <c r="V361" s="9">
        <f>IF(ISNUMBER(U361),U361,"")</f>
        <v/>
      </c>
      <c r="W361" s="9">
        <f>_xlfn.RANK.EQ(V361,$V$2:$V$1031)</f>
        <v/>
      </c>
      <c r="X361" s="13" t="n">
        <v>1543.5208333333</v>
      </c>
      <c r="Y361" s="13" t="n">
        <v>22</v>
      </c>
      <c r="Z361" s="13" t="n">
        <v>24</v>
      </c>
      <c r="AA361" s="13" t="n">
        <v>24</v>
      </c>
      <c r="AB361" s="13">
        <f>IF(ISNUMBER(X361),X361+N(Y361)+N(Z361)+N(AA361),X361)</f>
        <v/>
      </c>
      <c r="AC361" s="13">
        <f>IF(ISNUMBER(AB361),AB361,"")</f>
        <v/>
      </c>
      <c r="AD361" s="13">
        <f>IF(ISNUMBER(AC361),_xlfn.RANK.EQ(AC361,$AC$2:$AC$1031),"")</f>
        <v/>
      </c>
      <c r="AE361" s="15">
        <f>IF(ISNUMBER(AF361),AF361/3630,"")</f>
        <v/>
      </c>
      <c r="AF361" s="14">
        <f>IFERROR(C361+D361+E361+F361+J361+K361+L361+M361+Q361+R361+S361+T361+IF(ISNUMBER(X361),X361,0)+N(Y361)+N(Z361)+N(AA361),"")</f>
        <v/>
      </c>
      <c r="AG361" s="14">
        <f>IF(ISNUMBER(AF361),AF361,"")</f>
        <v/>
      </c>
      <c r="AH361" s="14">
        <f>IF(ISNUMBER(AG361),_xlfn.RANK.EQ(AG361,$AG$2:$AG$1031),"")</f>
        <v/>
      </c>
    </row>
    <row r="362">
      <c r="A362" s="18" t="n">
        <v>814</v>
      </c>
      <c r="B362" s="18" t="inlineStr">
        <is>
          <t>زياد محمود عبدالسلام الشناوى</t>
        </is>
      </c>
      <c r="C362" s="1" t="n">
        <v>529.5</v>
      </c>
      <c r="D362" s="1" t="n">
        <v>24</v>
      </c>
      <c r="E362" s="1" t="n">
        <v>23</v>
      </c>
      <c r="F362" s="1" t="n">
        <v>24</v>
      </c>
      <c r="G362" s="1">
        <f>C362+D362+E362+F362</f>
        <v/>
      </c>
      <c r="H362" s="1">
        <f>IF(ISNUMBER(G362),G362,"")</f>
        <v/>
      </c>
      <c r="I362" s="1">
        <f>_xlfn.RANK.EQ(H362,$H$2:$H$1031)</f>
        <v/>
      </c>
      <c r="J362" s="5" t="n">
        <v>550.75</v>
      </c>
      <c r="K362" s="5" t="n">
        <v>44</v>
      </c>
      <c r="L362" s="5" t="n">
        <v>23</v>
      </c>
      <c r="M362" s="5" t="n">
        <v>21</v>
      </c>
      <c r="N362" s="5">
        <f>J362+K362+L362+M362</f>
        <v/>
      </c>
      <c r="O362" s="5">
        <f>IF(ISNUMBER(N362),N362,"")</f>
        <v/>
      </c>
      <c r="P362" s="5">
        <f>_xlfn.RANK.EQ(O362,$O$2:$O$1031)</f>
        <v/>
      </c>
      <c r="Q362" s="9" t="n">
        <v>250</v>
      </c>
      <c r="R362" s="9" t="n">
        <v>45.5</v>
      </c>
      <c r="S362" s="9" t="n">
        <v>21</v>
      </c>
      <c r="T362" s="9" t="n">
        <v>23</v>
      </c>
      <c r="U362" s="9">
        <f>Q362+R362+S362+T362</f>
        <v/>
      </c>
      <c r="V362" s="9">
        <f>IF(ISNUMBER(U362),U362,"")</f>
        <v/>
      </c>
      <c r="W362" s="9">
        <f>_xlfn.RANK.EQ(V362,$V$2:$V$1031)</f>
        <v/>
      </c>
      <c r="X362" s="13" t="n">
        <v>1396.6458333333</v>
      </c>
      <c r="Y362" s="13" t="n">
        <v>24</v>
      </c>
      <c r="Z362" s="13" t="n">
        <v>24</v>
      </c>
      <c r="AA362" s="13" t="n">
        <v>24</v>
      </c>
      <c r="AB362" s="13">
        <f>IF(ISNUMBER(X362),X362+N(Y362)+N(Z362)+N(AA362),X362)</f>
        <v/>
      </c>
      <c r="AC362" s="13">
        <f>IF(ISNUMBER(AB362),AB362,"")</f>
        <v/>
      </c>
      <c r="AD362" s="13">
        <f>IF(ISNUMBER(AC362),_xlfn.RANK.EQ(AC362,$AC$2:$AC$1031),"")</f>
        <v/>
      </c>
      <c r="AE362" s="15">
        <f>IF(ISNUMBER(AF362),AF362/3630,"")</f>
        <v/>
      </c>
      <c r="AF362" s="14">
        <f>IFERROR(C362+D362+E362+F362+J362+K362+L362+M362+Q362+R362+S362+T362+IF(ISNUMBER(X362),X362,0)+N(Y362)+N(Z362)+N(AA362),"")</f>
        <v/>
      </c>
      <c r="AG362" s="14">
        <f>IF(ISNUMBER(AF362),AF362,"")</f>
        <v/>
      </c>
      <c r="AH362" s="14">
        <f>IF(ISNUMBER(AG362),_xlfn.RANK.EQ(AG362,$AG$2:$AG$1031),"")</f>
        <v/>
      </c>
    </row>
    <row r="363">
      <c r="A363" s="18" t="n">
        <v>816</v>
      </c>
      <c r="B363" s="18" t="inlineStr">
        <is>
          <t>زياد هشام عطية عبد المنجي دعية</t>
        </is>
      </c>
      <c r="C363" s="1" t="n">
        <v>631.9</v>
      </c>
      <c r="D363" s="1" t="n">
        <v>25</v>
      </c>
      <c r="E363" s="1" t="n">
        <v>17</v>
      </c>
      <c r="F363" s="1" t="n">
        <v>23</v>
      </c>
      <c r="G363" s="1">
        <f>C363+D363+E363+F363</f>
        <v/>
      </c>
      <c r="H363" s="1">
        <f>IF(ISNUMBER(G363),G363,"")</f>
        <v/>
      </c>
      <c r="I363" s="1">
        <f>_xlfn.RANK.EQ(H363,$H$2:$H$1031)</f>
        <v/>
      </c>
      <c r="J363" s="5" t="n">
        <v>635.4</v>
      </c>
      <c r="K363" s="5" t="n">
        <v>49</v>
      </c>
      <c r="L363" s="5" t="n">
        <v>24</v>
      </c>
      <c r="M363" s="5" t="n">
        <v>23</v>
      </c>
      <c r="N363" s="5">
        <f>J363+K363+L363+M363</f>
        <v/>
      </c>
      <c r="O363" s="5">
        <f>IF(ISNUMBER(N363),N363,"")</f>
        <v/>
      </c>
      <c r="P363" s="5">
        <f>_xlfn.RANK.EQ(O363,$O$2:$O$1031)</f>
        <v/>
      </c>
      <c r="Q363" s="9" t="n">
        <v>283</v>
      </c>
      <c r="R363" s="9" t="n">
        <v>48</v>
      </c>
      <c r="S363" s="9" t="n">
        <v>22</v>
      </c>
      <c r="T363" s="9" t="n">
        <v>25</v>
      </c>
      <c r="U363" s="9">
        <f>Q363+R363+S363+T363</f>
        <v/>
      </c>
      <c r="V363" s="9">
        <f>IF(ISNUMBER(U363),U363,"")</f>
        <v/>
      </c>
      <c r="W363" s="9">
        <f>_xlfn.RANK.EQ(V363,$V$2:$V$1031)</f>
        <v/>
      </c>
      <c r="X363" s="13" t="n">
        <v>1543.4666666667</v>
      </c>
      <c r="Y363" s="13" t="n">
        <v>23</v>
      </c>
      <c r="Z363" s="13" t="n">
        <v>25</v>
      </c>
      <c r="AA363" s="13" t="n">
        <v>25</v>
      </c>
      <c r="AB363" s="13">
        <f>IF(ISNUMBER(X363),X363+N(Y363)+N(Z363)+N(AA363),X363)</f>
        <v/>
      </c>
      <c r="AC363" s="13">
        <f>IF(ISNUMBER(AB363),AB363,"")</f>
        <v/>
      </c>
      <c r="AD363" s="13">
        <f>IF(ISNUMBER(AC363),_xlfn.RANK.EQ(AC363,$AC$2:$AC$1031),"")</f>
        <v/>
      </c>
      <c r="AE363" s="15">
        <f>IF(ISNUMBER(AF363),AF363/3630,"")</f>
        <v/>
      </c>
      <c r="AF363" s="14">
        <f>IFERROR(C363+D363+E363+F363+J363+K363+L363+M363+Q363+R363+S363+T363+IF(ISNUMBER(X363),X363,0)+N(Y363)+N(Z363)+N(AA363),"")</f>
        <v/>
      </c>
      <c r="AG363" s="14">
        <f>IF(ISNUMBER(AF363),AF363,"")</f>
        <v/>
      </c>
      <c r="AH363" s="14">
        <f>IF(ISNUMBER(AG363),_xlfn.RANK.EQ(AG363,$AG$2:$AG$1031),"")</f>
        <v/>
      </c>
    </row>
    <row r="364">
      <c r="A364" s="18" t="n">
        <v>817</v>
      </c>
      <c r="B364" s="18" t="inlineStr">
        <is>
          <t>زياد وليد نبيل السيد علي</t>
        </is>
      </c>
      <c r="C364" s="1" t="n">
        <v>621.3</v>
      </c>
      <c r="D364" s="1" t="n">
        <v>19</v>
      </c>
      <c r="E364" s="1" t="n">
        <v>23</v>
      </c>
      <c r="F364" s="1" t="n">
        <v>21</v>
      </c>
      <c r="G364" s="1">
        <f>C364+D364+E364+F364</f>
        <v/>
      </c>
      <c r="H364" s="1">
        <f>IF(ISNUMBER(G364),G364,"")</f>
        <v/>
      </c>
      <c r="I364" s="1">
        <f>_xlfn.RANK.EQ(H364,$H$2:$H$1031)</f>
        <v/>
      </c>
      <c r="J364" s="5" t="n">
        <v>615.7</v>
      </c>
      <c r="K364" s="5" t="n">
        <v>48</v>
      </c>
      <c r="L364" s="5" t="n">
        <v>22</v>
      </c>
      <c r="M364" s="5" t="n">
        <v>22</v>
      </c>
      <c r="N364" s="5">
        <f>J364+K364+L364+M364</f>
        <v/>
      </c>
      <c r="O364" s="5">
        <f>IF(ISNUMBER(N364),N364,"")</f>
        <v/>
      </c>
      <c r="P364" s="5">
        <f>_xlfn.RANK.EQ(O364,$O$2:$O$1031)</f>
        <v/>
      </c>
      <c r="Q364" s="9" t="n">
        <v>263</v>
      </c>
      <c r="R364" s="9" t="n">
        <v>41</v>
      </c>
      <c r="S364" s="9" t="n">
        <v>25</v>
      </c>
      <c r="T364" s="9" t="n">
        <v>24</v>
      </c>
      <c r="U364" s="9">
        <f>Q364+R364+S364+T364</f>
        <v/>
      </c>
      <c r="V364" s="9">
        <f>IF(ISNUMBER(U364),U364,"")</f>
        <v/>
      </c>
      <c r="W364" s="9">
        <f>_xlfn.RANK.EQ(V364,$V$2:$V$1031)</f>
        <v/>
      </c>
      <c r="X364" s="13" t="n">
        <v>1446.9125</v>
      </c>
      <c r="Y364" s="13" t="n">
        <v>23.5</v>
      </c>
      <c r="Z364" s="13" t="n">
        <v>25</v>
      </c>
      <c r="AA364" s="13" t="n">
        <v>22</v>
      </c>
      <c r="AB364" s="13">
        <f>IF(ISNUMBER(X364),X364+N(Y364)+N(Z364)+N(AA364),X364)</f>
        <v/>
      </c>
      <c r="AC364" s="13">
        <f>IF(ISNUMBER(AB364),AB364,"")</f>
        <v/>
      </c>
      <c r="AD364" s="13">
        <f>IF(ISNUMBER(AC364),_xlfn.RANK.EQ(AC364,$AC$2:$AC$1031),"")</f>
        <v/>
      </c>
      <c r="AE364" s="15">
        <f>IF(ISNUMBER(AF364),AF364/3630,"")</f>
        <v/>
      </c>
      <c r="AF364" s="14">
        <f>IFERROR(C364+D364+E364+F364+J364+K364+L364+M364+Q364+R364+S364+T364+IF(ISNUMBER(X364),X364,0)+N(Y364)+N(Z364)+N(AA364),"")</f>
        <v/>
      </c>
      <c r="AG364" s="14">
        <f>IF(ISNUMBER(AF364),AF364,"")</f>
        <v/>
      </c>
      <c r="AH364" s="14">
        <f>IF(ISNUMBER(AG364),_xlfn.RANK.EQ(AG364,$AG$2:$AG$1031),"")</f>
        <v/>
      </c>
    </row>
    <row r="365">
      <c r="A365" s="18" t="n">
        <v>837</v>
      </c>
      <c r="B365" s="18" t="inlineStr">
        <is>
          <t>زينة تامر ابراهيم القطان</t>
        </is>
      </c>
      <c r="C365" s="1" t="n">
        <v>594</v>
      </c>
      <c r="D365" s="1" t="n">
        <v>22</v>
      </c>
      <c r="E365" s="1" t="n">
        <v>24</v>
      </c>
      <c r="F365" s="1" t="n">
        <v>24</v>
      </c>
      <c r="G365" s="1">
        <f>C365+D365+E365+F365</f>
        <v/>
      </c>
      <c r="H365" s="1">
        <f>IF(ISNUMBER(G365),G365,"")</f>
        <v/>
      </c>
      <c r="I365" s="1">
        <f>_xlfn.RANK.EQ(H365,$H$2:$H$1031)</f>
        <v/>
      </c>
      <c r="J365" s="5" t="n">
        <v>594.6</v>
      </c>
      <c r="K365" s="5" t="n">
        <v>46</v>
      </c>
      <c r="L365" s="5" t="n">
        <v>22</v>
      </c>
      <c r="M365" s="5" t="n">
        <v>22</v>
      </c>
      <c r="N365" s="5">
        <f>J365+K365+L365+M365</f>
        <v/>
      </c>
      <c r="O365" s="5">
        <f>IF(ISNUMBER(N365),N365,"")</f>
        <v/>
      </c>
      <c r="P365" s="5">
        <f>_xlfn.RANK.EQ(O365,$O$2:$O$1031)</f>
        <v/>
      </c>
      <c r="Q365" s="9" t="n">
        <v>243</v>
      </c>
      <c r="R365" s="9" t="n">
        <v>46</v>
      </c>
      <c r="S365" s="9" t="n">
        <v>25</v>
      </c>
      <c r="T365" s="9" t="n">
        <v>24</v>
      </c>
      <c r="U365" s="9">
        <f>Q365+R365+S365+T365</f>
        <v/>
      </c>
      <c r="V365" s="9">
        <f>IF(ISNUMBER(U365),U365,"")</f>
        <v/>
      </c>
      <c r="W365" s="9">
        <f>_xlfn.RANK.EQ(V365,$V$2:$V$1031)</f>
        <v/>
      </c>
      <c r="X365" s="13" t="n">
        <v>1436.975</v>
      </c>
      <c r="Y365" s="13" t="n">
        <v>22.5</v>
      </c>
      <c r="Z365" s="13" t="n">
        <v>23</v>
      </c>
      <c r="AA365" s="13" t="n">
        <v>24</v>
      </c>
      <c r="AB365" s="13">
        <f>IF(ISNUMBER(X365),X365+N(Y365)+N(Z365)+N(AA365),X365)</f>
        <v/>
      </c>
      <c r="AC365" s="13">
        <f>IF(ISNUMBER(AB365),AB365,"")</f>
        <v/>
      </c>
      <c r="AD365" s="13">
        <f>IF(ISNUMBER(AC365),_xlfn.RANK.EQ(AC365,$AC$2:$AC$1031),"")</f>
        <v/>
      </c>
      <c r="AE365" s="15">
        <f>IF(ISNUMBER(AF365),AF365/3630,"")</f>
        <v/>
      </c>
      <c r="AF365" s="14">
        <f>IFERROR(C365+D365+E365+F365+J365+K365+L365+M365+Q365+R365+S365+T365+IF(ISNUMBER(X365),X365,0)+N(Y365)+N(Z365)+N(AA365),"")</f>
        <v/>
      </c>
      <c r="AG365" s="14">
        <f>IF(ISNUMBER(AF365),AF365,"")</f>
        <v/>
      </c>
      <c r="AH365" s="14">
        <f>IF(ISNUMBER(AG365),_xlfn.RANK.EQ(AG365,$AG$2:$AG$1031),"")</f>
        <v/>
      </c>
    </row>
    <row r="366">
      <c r="A366" s="18" t="n">
        <v>839</v>
      </c>
      <c r="B366" s="18" t="inlineStr">
        <is>
          <t>زينة شريف عبدالله محمود اسماعيل</t>
        </is>
      </c>
      <c r="C366" s="1" t="n">
        <v>630.5</v>
      </c>
      <c r="D366" s="1" t="n">
        <v>23</v>
      </c>
      <c r="E366" s="1" t="n">
        <v>24</v>
      </c>
      <c r="F366" s="1" t="n">
        <v>24</v>
      </c>
      <c r="G366" s="1">
        <f>C366+D366+E366+F366</f>
        <v/>
      </c>
      <c r="H366" s="1">
        <f>IF(ISNUMBER(G366),G366,"")</f>
        <v/>
      </c>
      <c r="I366" s="1">
        <f>_xlfn.RANK.EQ(H366,$H$2:$H$1031)</f>
        <v/>
      </c>
      <c r="J366" s="5" t="n">
        <v>621.75</v>
      </c>
      <c r="K366" s="5" t="n">
        <v>46</v>
      </c>
      <c r="L366" s="5" t="n">
        <v>23</v>
      </c>
      <c r="M366" s="5" t="n">
        <v>24</v>
      </c>
      <c r="N366" s="5">
        <f>J366+K366+L366+M366</f>
        <v/>
      </c>
      <c r="O366" s="5">
        <f>IF(ISNUMBER(N366),N366,"")</f>
        <v/>
      </c>
      <c r="P366" s="5">
        <f>_xlfn.RANK.EQ(O366,$O$2:$O$1031)</f>
        <v/>
      </c>
      <c r="Q366" s="9" t="n">
        <v>262</v>
      </c>
      <c r="R366" s="9" t="n">
        <v>48</v>
      </c>
      <c r="S366" s="9" t="n">
        <v>25</v>
      </c>
      <c r="T366" s="9" t="n">
        <v>25</v>
      </c>
      <c r="U366" s="9">
        <f>Q366+R366+S366+T366</f>
        <v/>
      </c>
      <c r="V366" s="9">
        <f>IF(ISNUMBER(U366),U366,"")</f>
        <v/>
      </c>
      <c r="W366" s="9">
        <f>_xlfn.RANK.EQ(V366,$V$2:$V$1031)</f>
        <v/>
      </c>
      <c r="X366" s="13" t="n">
        <v>1489.8708333333</v>
      </c>
      <c r="Y366" s="13" t="n">
        <v>24.5</v>
      </c>
      <c r="Z366" s="13" t="n">
        <v>25</v>
      </c>
      <c r="AA366" s="13" t="n">
        <v>24</v>
      </c>
      <c r="AB366" s="13">
        <f>IF(ISNUMBER(X366),X366+N(Y366)+N(Z366)+N(AA366),X366)</f>
        <v/>
      </c>
      <c r="AC366" s="13">
        <f>IF(ISNUMBER(AB366),AB366,"")</f>
        <v/>
      </c>
      <c r="AD366" s="13">
        <f>IF(ISNUMBER(AC366),_xlfn.RANK.EQ(AC366,$AC$2:$AC$1031),"")</f>
        <v/>
      </c>
      <c r="AE366" s="15">
        <f>IF(ISNUMBER(AF366),AF366/3630,"")</f>
        <v/>
      </c>
      <c r="AF366" s="14">
        <f>IFERROR(C366+D366+E366+F366+J366+K366+L366+M366+Q366+R366+S366+T366+IF(ISNUMBER(X366),X366,0)+N(Y366)+N(Z366)+N(AA366),"")</f>
        <v/>
      </c>
      <c r="AG366" s="14">
        <f>IF(ISNUMBER(AF366),AF366,"")</f>
        <v/>
      </c>
      <c r="AH366" s="14">
        <f>IF(ISNUMBER(AG366),_xlfn.RANK.EQ(AG366,$AG$2:$AG$1031),"")</f>
        <v/>
      </c>
    </row>
    <row r="367">
      <c r="A367" s="18" t="n">
        <v>840</v>
      </c>
      <c r="B367" s="18" t="inlineStr">
        <is>
          <t>زينة هشام محمود ابراهيم محمود</t>
        </is>
      </c>
      <c r="C367" s="1" t="n">
        <v>648.4</v>
      </c>
      <c r="D367" s="1" t="n">
        <v>25</v>
      </c>
      <c r="E367" s="1" t="n">
        <v>25</v>
      </c>
      <c r="F367" s="1" t="n">
        <v>24</v>
      </c>
      <c r="G367" s="1">
        <f>C367+D367+E367+F367</f>
        <v/>
      </c>
      <c r="H367" s="1">
        <f>IF(ISNUMBER(G367),G367,"")</f>
        <v/>
      </c>
      <c r="I367" s="1">
        <f>_xlfn.RANK.EQ(H367,$H$2:$H$1031)</f>
        <v/>
      </c>
      <c r="J367" s="5" t="n">
        <v>627</v>
      </c>
      <c r="K367" s="5" t="n">
        <v>48</v>
      </c>
      <c r="L367" s="5" t="n">
        <v>23</v>
      </c>
      <c r="M367" s="5" t="n">
        <v>24</v>
      </c>
      <c r="N367" s="5">
        <f>J367+K367+L367+M367</f>
        <v/>
      </c>
      <c r="O367" s="5">
        <f>IF(ISNUMBER(N367),N367,"")</f>
        <v/>
      </c>
      <c r="P367" s="5">
        <f>_xlfn.RANK.EQ(O367,$O$2:$O$1031)</f>
        <v/>
      </c>
      <c r="Q367" s="9" t="n">
        <v>274</v>
      </c>
      <c r="R367" s="9" t="n">
        <v>47</v>
      </c>
      <c r="S367" s="9" t="n">
        <v>24</v>
      </c>
      <c r="T367" s="9" t="n">
        <v>24.5</v>
      </c>
      <c r="U367" s="9">
        <f>Q367+R367+S367+T367</f>
        <v/>
      </c>
      <c r="V367" s="9">
        <f>IF(ISNUMBER(U367),U367,"")</f>
        <v/>
      </c>
      <c r="W367" s="9">
        <f>_xlfn.RANK.EQ(V367,$V$2:$V$1031)</f>
        <v/>
      </c>
      <c r="X367" s="13" t="n">
        <v>1473.4541666667</v>
      </c>
      <c r="Y367" s="13" t="n">
        <v>24.5</v>
      </c>
      <c r="Z367" s="13" t="n">
        <v>25</v>
      </c>
      <c r="AA367" s="13" t="n">
        <v>24</v>
      </c>
      <c r="AB367" s="13">
        <f>IF(ISNUMBER(X367),X367+N(Y367)+N(Z367)+N(AA367),X367)</f>
        <v/>
      </c>
      <c r="AC367" s="13">
        <f>IF(ISNUMBER(AB367),AB367,"")</f>
        <v/>
      </c>
      <c r="AD367" s="13">
        <f>IF(ISNUMBER(AC367),_xlfn.RANK.EQ(AC367,$AC$2:$AC$1031),"")</f>
        <v/>
      </c>
      <c r="AE367" s="15">
        <f>IF(ISNUMBER(AF367),AF367/3630,"")</f>
        <v/>
      </c>
      <c r="AF367" s="14">
        <f>IFERROR(C367+D367+E367+F367+J367+K367+L367+M367+Q367+R367+S367+T367+IF(ISNUMBER(X367),X367,0)+N(Y367)+N(Z367)+N(AA367),"")</f>
        <v/>
      </c>
      <c r="AG367" s="14">
        <f>IF(ISNUMBER(AF367),AF367,"")</f>
        <v/>
      </c>
      <c r="AH367" s="14">
        <f>IF(ISNUMBER(AG367),_xlfn.RANK.EQ(AG367,$AG$2:$AG$1031),"")</f>
        <v/>
      </c>
    </row>
    <row r="368">
      <c r="A368" s="18" t="n">
        <v>841</v>
      </c>
      <c r="B368" s="18" t="inlineStr">
        <is>
          <t>زينة هيثم أحمد حسين فهيم</t>
        </is>
      </c>
      <c r="C368" s="1" t="n">
        <v>655.9</v>
      </c>
      <c r="D368" s="1" t="n">
        <v>25</v>
      </c>
      <c r="E368" s="1" t="n">
        <v>24</v>
      </c>
      <c r="F368" s="1" t="n">
        <v>24</v>
      </c>
      <c r="G368" s="1">
        <f>C368+D368+E368+F368</f>
        <v/>
      </c>
      <c r="H368" s="1">
        <f>IF(ISNUMBER(G368),G368,"")</f>
        <v/>
      </c>
      <c r="I368" s="1">
        <f>_xlfn.RANK.EQ(H368,$H$2:$H$1031)</f>
        <v/>
      </c>
      <c r="J368" s="5" t="n">
        <v>634.75</v>
      </c>
      <c r="K368" s="5" t="n">
        <v>49</v>
      </c>
      <c r="L368" s="5" t="n">
        <v>22</v>
      </c>
      <c r="M368" s="5" t="n">
        <v>22</v>
      </c>
      <c r="N368" s="5">
        <f>J368+K368+L368+M368</f>
        <v/>
      </c>
      <c r="O368" s="5">
        <f>IF(ISNUMBER(N368),N368,"")</f>
        <v/>
      </c>
      <c r="P368" s="5">
        <f>_xlfn.RANK.EQ(O368,$O$2:$O$1031)</f>
        <v/>
      </c>
      <c r="Q368" s="9" t="n">
        <v>280</v>
      </c>
      <c r="R368" s="9" t="n">
        <v>49</v>
      </c>
      <c r="S368" s="9" t="n">
        <v>25</v>
      </c>
      <c r="T368" s="9" t="n">
        <v>25</v>
      </c>
      <c r="U368" s="9">
        <f>Q368+R368+S368+T368</f>
        <v/>
      </c>
      <c r="V368" s="9">
        <f>IF(ISNUMBER(U368),U368,"")</f>
        <v/>
      </c>
      <c r="W368" s="9">
        <f>_xlfn.RANK.EQ(V368,$V$2:$V$1031)</f>
        <v/>
      </c>
      <c r="X368" s="13" t="n">
        <v>1484.0416666667</v>
      </c>
      <c r="Y368" s="13" t="n">
        <v>24.5</v>
      </c>
      <c r="Z368" s="13" t="n">
        <v>25</v>
      </c>
      <c r="AA368" s="13" t="n">
        <v>24</v>
      </c>
      <c r="AB368" s="13">
        <f>IF(ISNUMBER(X368),X368+N(Y368)+N(Z368)+N(AA368),X368)</f>
        <v/>
      </c>
      <c r="AC368" s="13">
        <f>IF(ISNUMBER(AB368),AB368,"")</f>
        <v/>
      </c>
      <c r="AD368" s="13">
        <f>IF(ISNUMBER(AC368),_xlfn.RANK.EQ(AC368,$AC$2:$AC$1031),"")</f>
        <v/>
      </c>
      <c r="AE368" s="15">
        <f>IF(ISNUMBER(AF368),AF368/3630,"")</f>
        <v/>
      </c>
      <c r="AF368" s="14">
        <f>IFERROR(C368+D368+E368+F368+J368+K368+L368+M368+Q368+R368+S368+T368+IF(ISNUMBER(X368),X368,0)+N(Y368)+N(Z368)+N(AA368),"")</f>
        <v/>
      </c>
      <c r="AG368" s="14">
        <f>IF(ISNUMBER(AF368),AF368,"")</f>
        <v/>
      </c>
      <c r="AH368" s="14">
        <f>IF(ISNUMBER(AG368),_xlfn.RANK.EQ(AG368,$AG$2:$AG$1031),"")</f>
        <v/>
      </c>
    </row>
    <row r="369">
      <c r="A369" s="18" t="n">
        <v>844</v>
      </c>
      <c r="B369" s="18" t="inlineStr">
        <is>
          <t>ساره احمد مجدى زهران</t>
        </is>
      </c>
      <c r="C369" s="1" t="n">
        <v>621</v>
      </c>
      <c r="D369" s="1" t="n">
        <v>23</v>
      </c>
      <c r="E369" s="1" t="n">
        <v>24</v>
      </c>
      <c r="F369" s="1" t="n">
        <v>22</v>
      </c>
      <c r="G369" s="1">
        <f>C369+D369+E369+F369</f>
        <v/>
      </c>
      <c r="H369" s="1">
        <f>IF(ISNUMBER(G369),G369,"")</f>
        <v/>
      </c>
      <c r="I369" s="1">
        <f>_xlfn.RANK.EQ(H369,$H$2:$H$1031)</f>
        <v/>
      </c>
      <c r="J369" s="5" t="n">
        <v>605.4</v>
      </c>
      <c r="K369" s="5" t="n">
        <v>46</v>
      </c>
      <c r="L369" s="5" t="n">
        <v>21</v>
      </c>
      <c r="M369" s="5" t="n">
        <v>22</v>
      </c>
      <c r="N369" s="5">
        <f>J369+K369+L369+M369</f>
        <v/>
      </c>
      <c r="O369" s="5">
        <f>IF(ISNUMBER(N369),N369,"")</f>
        <v/>
      </c>
      <c r="P369" s="5">
        <f>_xlfn.RANK.EQ(O369,$O$2:$O$1031)</f>
        <v/>
      </c>
      <c r="Q369" s="9" t="n">
        <v>271</v>
      </c>
      <c r="R369" s="9" t="n">
        <v>45.5</v>
      </c>
      <c r="S369" s="9" t="n">
        <v>23</v>
      </c>
      <c r="T369" s="9" t="n">
        <v>24</v>
      </c>
      <c r="U369" s="9">
        <f>Q369+R369+S369+T369</f>
        <v/>
      </c>
      <c r="V369" s="9">
        <f>IF(ISNUMBER(U369),U369,"")</f>
        <v/>
      </c>
      <c r="W369" s="9">
        <f>_xlfn.RANK.EQ(V369,$V$2:$V$1031)</f>
        <v/>
      </c>
      <c r="X369" s="13" t="n">
        <v>1442.6041666667</v>
      </c>
      <c r="Y369" s="13" t="n">
        <v>23.5</v>
      </c>
      <c r="Z369" s="13" t="n">
        <v>24</v>
      </c>
      <c r="AA369" s="13" t="n">
        <v>23</v>
      </c>
      <c r="AB369" s="13">
        <f>IF(ISNUMBER(X369),X369+N(Y369)+N(Z369)+N(AA369),X369)</f>
        <v/>
      </c>
      <c r="AC369" s="13">
        <f>IF(ISNUMBER(AB369),AB369,"")</f>
        <v/>
      </c>
      <c r="AD369" s="13">
        <f>IF(ISNUMBER(AC369),_xlfn.RANK.EQ(AC369,$AC$2:$AC$1031),"")</f>
        <v/>
      </c>
      <c r="AE369" s="15">
        <f>IF(ISNUMBER(AF369),AF369/3630,"")</f>
        <v/>
      </c>
      <c r="AF369" s="14">
        <f>IFERROR(C369+D369+E369+F369+J369+K369+L369+M369+Q369+R369+S369+T369+IF(ISNUMBER(X369),X369,0)+N(Y369)+N(Z369)+N(AA369),"")</f>
        <v/>
      </c>
      <c r="AG369" s="14">
        <f>IF(ISNUMBER(AF369),AF369,"")</f>
        <v/>
      </c>
      <c r="AH369" s="14">
        <f>IF(ISNUMBER(AG369),_xlfn.RANK.EQ(AG369,$AG$2:$AG$1031),"")</f>
        <v/>
      </c>
    </row>
    <row r="370">
      <c r="A370" s="18" t="n">
        <v>845</v>
      </c>
      <c r="B370" s="18" t="inlineStr">
        <is>
          <t>ساره احمد محمد السيد اسماعيل</t>
        </is>
      </c>
      <c r="C370" s="1" t="n">
        <v>526.5</v>
      </c>
      <c r="D370" s="1" t="n">
        <v>23</v>
      </c>
      <c r="E370" s="1" t="n">
        <v>24</v>
      </c>
      <c r="F370" s="1" t="n">
        <v>23</v>
      </c>
      <c r="G370" s="1">
        <f>C370+D370+E370+F370</f>
        <v/>
      </c>
      <c r="H370" s="1">
        <f>IF(ISNUMBER(G370),G370,"")</f>
        <v/>
      </c>
      <c r="I370" s="1">
        <f>_xlfn.RANK.EQ(H370,$H$2:$H$1031)</f>
        <v/>
      </c>
      <c r="J370" s="5" t="n">
        <v>548.25</v>
      </c>
      <c r="K370" s="5" t="n">
        <v>47</v>
      </c>
      <c r="L370" s="5" t="n">
        <v>23</v>
      </c>
      <c r="M370" s="5" t="n">
        <v>24</v>
      </c>
      <c r="N370" s="5">
        <f>J370+K370+L370+M370</f>
        <v/>
      </c>
      <c r="O370" s="5">
        <f>IF(ISNUMBER(N370),N370,"")</f>
        <v/>
      </c>
      <c r="P370" s="5">
        <f>_xlfn.RANK.EQ(O370,$O$2:$O$1031)</f>
        <v/>
      </c>
      <c r="Q370" s="9" t="n">
        <v>205</v>
      </c>
      <c r="R370" s="9" t="n">
        <v>47.5</v>
      </c>
      <c r="S370" s="9" t="n">
        <v>25</v>
      </c>
      <c r="T370" s="9" t="n">
        <v>24</v>
      </c>
      <c r="U370" s="9">
        <f>Q370+R370+S370+T370</f>
        <v/>
      </c>
      <c r="V370" s="9">
        <f>IF(ISNUMBER(U370),U370,"")</f>
        <v/>
      </c>
      <c r="W370" s="9">
        <f>_xlfn.RANK.EQ(V370,$V$2:$V$1031)</f>
        <v/>
      </c>
      <c r="X370" s="13" t="n">
        <v>1232.5416666667</v>
      </c>
      <c r="Y370" s="13" t="n">
        <v>24.5</v>
      </c>
      <c r="Z370" s="13" t="n">
        <v>24</v>
      </c>
      <c r="AA370" s="13" t="n">
        <v>24</v>
      </c>
      <c r="AB370" s="13">
        <f>IF(ISNUMBER(X370),X370+N(Y370)+N(Z370)+N(AA370),X370)</f>
        <v/>
      </c>
      <c r="AC370" s="13">
        <f>IF(ISNUMBER(AB370),AB370,"")</f>
        <v/>
      </c>
      <c r="AD370" s="13">
        <f>IF(ISNUMBER(AC370),_xlfn.RANK.EQ(AC370,$AC$2:$AC$1031),"")</f>
        <v/>
      </c>
      <c r="AE370" s="15">
        <f>IF(ISNUMBER(AF370),AF370/3630,"")</f>
        <v/>
      </c>
      <c r="AF370" s="14">
        <f>IFERROR(C370+D370+E370+F370+J370+K370+L370+M370+Q370+R370+S370+T370+IF(ISNUMBER(X370),X370,0)+N(Y370)+N(Z370)+N(AA370),"")</f>
        <v/>
      </c>
      <c r="AG370" s="14">
        <f>IF(ISNUMBER(AF370),AF370,"")</f>
        <v/>
      </c>
      <c r="AH370" s="14">
        <f>IF(ISNUMBER(AG370),_xlfn.RANK.EQ(AG370,$AG$2:$AG$1031),"")</f>
        <v/>
      </c>
    </row>
    <row r="371">
      <c r="A371" s="18" t="n">
        <v>847</v>
      </c>
      <c r="B371" s="18" t="inlineStr">
        <is>
          <t>ساره العربى عبد الرازق عبد العزيز عبد الرازق</t>
        </is>
      </c>
      <c r="C371" s="1" t="n">
        <v>501.4</v>
      </c>
      <c r="D371" s="1" t="n">
        <v>20</v>
      </c>
      <c r="E371" s="1" t="n">
        <v>21</v>
      </c>
      <c r="F371" s="1" t="n">
        <v>21</v>
      </c>
      <c r="G371" s="1">
        <f>C371+D371+E371+F371</f>
        <v/>
      </c>
      <c r="H371" s="1">
        <f>IF(ISNUMBER(G371),G371,"")</f>
        <v/>
      </c>
      <c r="I371" s="1">
        <f>_xlfn.RANK.EQ(H371,$H$2:$H$1031)</f>
        <v/>
      </c>
      <c r="J371" s="5" t="n">
        <v>538.4</v>
      </c>
      <c r="K371" s="5" t="n">
        <v>47</v>
      </c>
      <c r="L371" s="5" t="n">
        <v>23</v>
      </c>
      <c r="M371" s="5" t="n">
        <v>21</v>
      </c>
      <c r="N371" s="5">
        <f>J371+K371+L371+M371</f>
        <v/>
      </c>
      <c r="O371" s="5">
        <f>IF(ISNUMBER(N371),N371,"")</f>
        <v/>
      </c>
      <c r="P371" s="5">
        <f>_xlfn.RANK.EQ(O371,$O$2:$O$1031)</f>
        <v/>
      </c>
      <c r="Q371" s="9" t="n">
        <v>216</v>
      </c>
      <c r="R371" s="9" t="n">
        <v>46.5</v>
      </c>
      <c r="S371" s="9" t="inlineStr">
        <is>
          <t>21              ل</t>
        </is>
      </c>
      <c r="T371" s="9" t="n">
        <v>24</v>
      </c>
      <c r="U371" s="9">
        <f>Q371+R371+S371+T371</f>
        <v/>
      </c>
      <c r="V371" s="9">
        <f>IF(ISNUMBER(U371),U371,"")</f>
        <v/>
      </c>
      <c r="W371" s="9">
        <f>_xlfn.RANK.EQ(V371,$V$2:$V$1031)</f>
        <v/>
      </c>
      <c r="X371" s="13" t="n">
        <v>1271.8541666667</v>
      </c>
      <c r="Y371" s="13" t="n">
        <v>22</v>
      </c>
      <c r="Z371" s="13" t="n">
        <v>24</v>
      </c>
      <c r="AA371" s="13" t="n">
        <v>23</v>
      </c>
      <c r="AB371" s="13">
        <f>IF(ISNUMBER(X371),X371+N(Y371)+N(Z371)+N(AA371),X371)</f>
        <v/>
      </c>
      <c r="AC371" s="13">
        <f>IF(ISNUMBER(AB371),AB371,"")</f>
        <v/>
      </c>
      <c r="AD371" s="13">
        <f>IF(ISNUMBER(AC371),_xlfn.RANK.EQ(AC371,$AC$2:$AC$1031),"")</f>
        <v/>
      </c>
      <c r="AE371" s="15">
        <f>IF(ISNUMBER(AF371),AF371/3630,"")</f>
        <v/>
      </c>
      <c r="AF371" s="14">
        <f>IFERROR(C371+D371+E371+F371+J371+K371+L371+M371+Q371+R371+S371+T371+IF(ISNUMBER(X371),X371,0)+N(Y371)+N(Z371)+N(AA371),"")</f>
        <v/>
      </c>
      <c r="AG371" s="14">
        <f>IF(ISNUMBER(AF371),AF371,"")</f>
        <v/>
      </c>
      <c r="AH371" s="14">
        <f>IF(ISNUMBER(AG371),_xlfn.RANK.EQ(AG371,$AG$2:$AG$1031),"")</f>
        <v/>
      </c>
    </row>
    <row r="372">
      <c r="A372" s="18" t="n">
        <v>848</v>
      </c>
      <c r="B372" s="18" t="inlineStr">
        <is>
          <t>ساره حماده محمد رضوان</t>
        </is>
      </c>
      <c r="C372" s="1" t="n">
        <v>419</v>
      </c>
      <c r="D372" s="1" t="n">
        <v>23</v>
      </c>
      <c r="E372" s="1" t="n">
        <v>14</v>
      </c>
      <c r="F372" s="1" t="n">
        <v>11</v>
      </c>
      <c r="G372" s="1">
        <f>C372+D372+E372+F372</f>
        <v/>
      </c>
      <c r="H372" s="1">
        <f>IF(ISNUMBER(G372),G372,"")</f>
        <v/>
      </c>
      <c r="I372" s="1">
        <f>_xlfn.RANK.EQ(H372,$H$2:$H$1031)</f>
        <v/>
      </c>
      <c r="J372" s="5" t="n">
        <v>398.5</v>
      </c>
      <c r="K372" s="5" t="n">
        <v>34</v>
      </c>
      <c r="L372" s="5" t="n">
        <v>19</v>
      </c>
      <c r="M372" s="5" t="n">
        <v>12</v>
      </c>
      <c r="N372" s="5">
        <f>J372+K372+L372+M372</f>
        <v/>
      </c>
      <c r="O372" s="5">
        <f>IF(ISNUMBER(N372),N372,"")</f>
        <v/>
      </c>
      <c r="P372" s="5">
        <f>_xlfn.RANK.EQ(O372,$O$2:$O$1031)</f>
        <v/>
      </c>
      <c r="Q372" s="9" t="n">
        <v>157</v>
      </c>
      <c r="R372" s="9" t="n">
        <v>33</v>
      </c>
      <c r="S372" s="9" t="n">
        <v>20</v>
      </c>
      <c r="T372" s="9" t="n">
        <v>24</v>
      </c>
      <c r="U372" s="9">
        <f>Q372+R372+S372+T372</f>
        <v/>
      </c>
      <c r="V372" s="9">
        <f>IF(ISNUMBER(U372),U372,"")</f>
        <v/>
      </c>
      <c r="W372" s="9">
        <f>_xlfn.RANK.EQ(V372,$V$2:$V$1031)</f>
        <v/>
      </c>
      <c r="X372" s="13" t="inlineStr">
        <is>
          <t>راسب</t>
        </is>
      </c>
      <c r="Y372" s="13" t="n">
        <v>21</v>
      </c>
      <c r="Z372" s="13" t="n">
        <v>17</v>
      </c>
      <c r="AA372" s="13" t="n">
        <v>21</v>
      </c>
      <c r="AB372" s="13">
        <f>IF(ISNUMBER(X372),X372+N(Y372)+N(Z372)+N(AA372),X372)</f>
        <v/>
      </c>
      <c r="AC372" s="13">
        <f>IF(ISNUMBER(AB372),AB372,"")</f>
        <v/>
      </c>
      <c r="AD372" s="13">
        <f>IF(ISNUMBER(AC372),_xlfn.RANK.EQ(AC372,$AC$2:$AC$1031),"")</f>
        <v/>
      </c>
      <c r="AE372" s="15">
        <f>IF(ISNUMBER(AF372),AF372/3630,"")</f>
        <v/>
      </c>
      <c r="AF372" s="14">
        <f>IFERROR(C372+D372+E372+F372+J372+K372+L372+M372+Q372+R372+S372+T372+IF(ISNUMBER(X372),X372,0)+N(Y372)+N(Z372)+N(AA372),"")</f>
        <v/>
      </c>
      <c r="AG372" s="14">
        <f>IF(ISNUMBER(AF372),AF372,"")</f>
        <v/>
      </c>
      <c r="AH372" s="14">
        <f>IF(ISNUMBER(AG372),_xlfn.RANK.EQ(AG372,$AG$2:$AG$1031),"")</f>
        <v/>
      </c>
    </row>
    <row r="373">
      <c r="A373" s="18" t="n">
        <v>849</v>
      </c>
      <c r="B373" s="18" t="inlineStr">
        <is>
          <t>ساره رزق محمد القاضى</t>
        </is>
      </c>
      <c r="C373" s="1" t="n">
        <v>651.7</v>
      </c>
      <c r="D373" s="1" t="n">
        <v>24</v>
      </c>
      <c r="E373" s="1" t="n">
        <v>25</v>
      </c>
      <c r="F373" s="1" t="n">
        <v>25</v>
      </c>
      <c r="G373" s="1">
        <f>C373+D373+E373+F373</f>
        <v/>
      </c>
      <c r="H373" s="1">
        <f>IF(ISNUMBER(G373),G373,"")</f>
        <v/>
      </c>
      <c r="I373" s="1">
        <f>_xlfn.RANK.EQ(H373,$H$2:$H$1031)</f>
        <v/>
      </c>
      <c r="J373" s="5" t="n">
        <v>636.4</v>
      </c>
      <c r="K373" s="5" t="n">
        <v>47</v>
      </c>
      <c r="L373" s="5" t="n">
        <v>23</v>
      </c>
      <c r="M373" s="5" t="n">
        <v>24</v>
      </c>
      <c r="N373" s="5">
        <f>J373+K373+L373+M373</f>
        <v/>
      </c>
      <c r="O373" s="5">
        <f>IF(ISNUMBER(N373),N373,"")</f>
        <v/>
      </c>
      <c r="P373" s="5">
        <f>_xlfn.RANK.EQ(O373,$O$2:$O$1031)</f>
        <v/>
      </c>
      <c r="Q373" s="9" t="n">
        <v>283</v>
      </c>
      <c r="R373" s="9" t="n">
        <v>46.5</v>
      </c>
      <c r="S373" s="9" t="n">
        <v>25</v>
      </c>
      <c r="T373" s="9" t="n">
        <v>24</v>
      </c>
      <c r="U373" s="9">
        <f>Q373+R373+S373+T373</f>
        <v/>
      </c>
      <c r="V373" s="9">
        <f>IF(ISNUMBER(U373),U373,"")</f>
        <v/>
      </c>
      <c r="W373" s="9">
        <f>_xlfn.RANK.EQ(V373,$V$2:$V$1031)</f>
        <v/>
      </c>
      <c r="X373" s="13" t="n">
        <v>1566.3416666667</v>
      </c>
      <c r="Y373" s="13" t="n">
        <v>23.5</v>
      </c>
      <c r="Z373" s="13" t="n">
        <v>25</v>
      </c>
      <c r="AA373" s="13" t="n">
        <v>25</v>
      </c>
      <c r="AB373" s="13">
        <f>IF(ISNUMBER(X373),X373+N(Y373)+N(Z373)+N(AA373),X373)</f>
        <v/>
      </c>
      <c r="AC373" s="13">
        <f>IF(ISNUMBER(AB373),AB373,"")</f>
        <v/>
      </c>
      <c r="AD373" s="13">
        <f>IF(ISNUMBER(AC373),_xlfn.RANK.EQ(AC373,$AC$2:$AC$1031),"")</f>
        <v/>
      </c>
      <c r="AE373" s="15">
        <f>IF(ISNUMBER(AF373),AF373/3630,"")</f>
        <v/>
      </c>
      <c r="AF373" s="14">
        <f>IFERROR(C373+D373+E373+F373+J373+K373+L373+M373+Q373+R373+S373+T373+IF(ISNUMBER(X373),X373,0)+N(Y373)+N(Z373)+N(AA373),"")</f>
        <v/>
      </c>
      <c r="AG373" s="14">
        <f>IF(ISNUMBER(AF373),AF373,"")</f>
        <v/>
      </c>
      <c r="AH373" s="14">
        <f>IF(ISNUMBER(AG373),_xlfn.RANK.EQ(AG373,$AG$2:$AG$1031),"")</f>
        <v/>
      </c>
    </row>
    <row r="374">
      <c r="A374" s="18" t="n">
        <v>851</v>
      </c>
      <c r="B374" s="18" t="inlineStr">
        <is>
          <t>ساره سعيد صبري حافظ هويدي</t>
        </is>
      </c>
      <c r="C374" s="1" t="n">
        <v>594.6</v>
      </c>
      <c r="D374" s="1" t="n">
        <v>25</v>
      </c>
      <c r="E374" s="1" t="n">
        <v>23</v>
      </c>
      <c r="F374" s="1" t="n">
        <v>22</v>
      </c>
      <c r="G374" s="1">
        <f>C374+D374+E374+F374</f>
        <v/>
      </c>
      <c r="H374" s="1">
        <f>IF(ISNUMBER(G374),G374,"")</f>
        <v/>
      </c>
      <c r="I374" s="1">
        <f>_xlfn.RANK.EQ(H374,$H$2:$H$1031)</f>
        <v/>
      </c>
      <c r="J374" s="5" t="n">
        <v>598.4</v>
      </c>
      <c r="K374" s="5" t="n">
        <v>48</v>
      </c>
      <c r="L374" s="5" t="n">
        <v>21</v>
      </c>
      <c r="M374" s="5" t="n">
        <v>23</v>
      </c>
      <c r="N374" s="5">
        <f>J374+K374+L374+M374</f>
        <v/>
      </c>
      <c r="O374" s="5">
        <f>IF(ISNUMBER(N374),N374,"")</f>
        <v/>
      </c>
      <c r="P374" s="5">
        <f>_xlfn.RANK.EQ(O374,$O$2:$O$1031)</f>
        <v/>
      </c>
      <c r="Q374" s="9" t="n">
        <v>258</v>
      </c>
      <c r="R374" s="9" t="n">
        <v>49.5</v>
      </c>
      <c r="S374" s="9" t="n">
        <v>23</v>
      </c>
      <c r="T374" s="9" t="n">
        <v>25</v>
      </c>
      <c r="U374" s="9">
        <f>Q374+R374+S374+T374</f>
        <v/>
      </c>
      <c r="V374" s="9">
        <f>IF(ISNUMBER(U374),U374,"")</f>
        <v/>
      </c>
      <c r="W374" s="9">
        <f>_xlfn.RANK.EQ(V374,$V$2:$V$1031)</f>
        <v/>
      </c>
      <c r="X374" s="13" t="n">
        <v>1444.7416666667</v>
      </c>
      <c r="Y374" s="13" t="n">
        <v>23.5</v>
      </c>
      <c r="Z374" s="13" t="n">
        <v>24</v>
      </c>
      <c r="AA374" s="13" t="n">
        <v>23</v>
      </c>
      <c r="AB374" s="13">
        <f>IF(ISNUMBER(X374),X374+N(Y374)+N(Z374)+N(AA374),X374)</f>
        <v/>
      </c>
      <c r="AC374" s="13">
        <f>IF(ISNUMBER(AB374),AB374,"")</f>
        <v/>
      </c>
      <c r="AD374" s="13">
        <f>IF(ISNUMBER(AC374),_xlfn.RANK.EQ(AC374,$AC$2:$AC$1031),"")</f>
        <v/>
      </c>
      <c r="AE374" s="15">
        <f>IF(ISNUMBER(AF374),AF374/3630,"")</f>
        <v/>
      </c>
      <c r="AF374" s="14">
        <f>IFERROR(C374+D374+E374+F374+J374+K374+L374+M374+Q374+R374+S374+T374+IF(ISNUMBER(X374),X374,0)+N(Y374)+N(Z374)+N(AA374),"")</f>
        <v/>
      </c>
      <c r="AG374" s="14">
        <f>IF(ISNUMBER(AF374),AF374,"")</f>
        <v/>
      </c>
      <c r="AH374" s="14">
        <f>IF(ISNUMBER(AG374),_xlfn.RANK.EQ(AG374,$AG$2:$AG$1031),"")</f>
        <v/>
      </c>
    </row>
    <row r="375">
      <c r="A375" s="18" t="n">
        <v>853</v>
      </c>
      <c r="B375" s="18" t="inlineStr">
        <is>
          <t>ساره عبدالسلام مصطفى عبدالحميد</t>
        </is>
      </c>
      <c r="C375" s="1" t="n">
        <v>481.6</v>
      </c>
      <c r="D375" s="1" t="n">
        <v>22</v>
      </c>
      <c r="E375" s="1" t="n">
        <v>22</v>
      </c>
      <c r="F375" s="1" t="n">
        <v>21</v>
      </c>
      <c r="G375" s="1">
        <f>C375+D375+E375+F375</f>
        <v/>
      </c>
      <c r="H375" s="1">
        <f>IF(ISNUMBER(G375),G375,"")</f>
        <v/>
      </c>
      <c r="I375" s="1">
        <f>_xlfn.RANK.EQ(H375,$H$2:$H$1031)</f>
        <v/>
      </c>
      <c r="J375" s="5" t="n">
        <v>461.4</v>
      </c>
      <c r="K375" s="5" t="n">
        <v>45</v>
      </c>
      <c r="L375" s="5" t="n">
        <v>21</v>
      </c>
      <c r="M375" s="5" t="n">
        <v>22</v>
      </c>
      <c r="N375" s="5">
        <f>J375+K375+L375+M375</f>
        <v/>
      </c>
      <c r="O375" s="5">
        <f>IF(ISNUMBER(N375),N375,"")</f>
        <v/>
      </c>
      <c r="P375" s="5">
        <f>_xlfn.RANK.EQ(O375,$O$2:$O$1031)</f>
        <v/>
      </c>
      <c r="Q375" s="9" t="n">
        <v>192</v>
      </c>
      <c r="R375" s="9" t="n">
        <v>45</v>
      </c>
      <c r="S375" s="9" t="n">
        <v>25</v>
      </c>
      <c r="T375" s="9" t="n">
        <v>25</v>
      </c>
      <c r="U375" s="9">
        <f>Q375+R375+S375+T375</f>
        <v/>
      </c>
      <c r="V375" s="9">
        <f>IF(ISNUMBER(U375),U375,"")</f>
        <v/>
      </c>
      <c r="W375" s="9">
        <f>_xlfn.RANK.EQ(V375,$V$2:$V$1031)</f>
        <v/>
      </c>
      <c r="X375" s="13" t="n">
        <v>1280.1625</v>
      </c>
      <c r="Y375" s="13" t="n">
        <v>22.5</v>
      </c>
      <c r="Z375" s="13" t="n">
        <v>25</v>
      </c>
      <c r="AA375" s="13" t="n">
        <v>25</v>
      </c>
      <c r="AB375" s="13">
        <f>IF(ISNUMBER(X375),X375+N(Y375)+N(Z375)+N(AA375),X375)</f>
        <v/>
      </c>
      <c r="AC375" s="13">
        <f>IF(ISNUMBER(AB375),AB375,"")</f>
        <v/>
      </c>
      <c r="AD375" s="13">
        <f>IF(ISNUMBER(AC375),_xlfn.RANK.EQ(AC375,$AC$2:$AC$1031),"")</f>
        <v/>
      </c>
      <c r="AE375" s="15">
        <f>IF(ISNUMBER(AF375),AF375/3630,"")</f>
        <v/>
      </c>
      <c r="AF375" s="14">
        <f>IFERROR(C375+D375+E375+F375+J375+K375+L375+M375+Q375+R375+S375+T375+IF(ISNUMBER(X375),X375,0)+N(Y375)+N(Z375)+N(AA375),"")</f>
        <v/>
      </c>
      <c r="AG375" s="14">
        <f>IF(ISNUMBER(AF375),AF375,"")</f>
        <v/>
      </c>
      <c r="AH375" s="14">
        <f>IF(ISNUMBER(AG375),_xlfn.RANK.EQ(AG375,$AG$2:$AG$1031),"")</f>
        <v/>
      </c>
    </row>
    <row r="376">
      <c r="A376" s="18" t="n">
        <v>854</v>
      </c>
      <c r="B376" s="18" t="inlineStr">
        <is>
          <t>ساره عبدالهادى بشير عبدالهادى قشيوط</t>
        </is>
      </c>
      <c r="C376" s="1" t="n">
        <v>558</v>
      </c>
      <c r="D376" s="1" t="n">
        <v>22</v>
      </c>
      <c r="E376" s="1" t="n">
        <v>17</v>
      </c>
      <c r="F376" s="1" t="n">
        <v>18</v>
      </c>
      <c r="G376" s="1">
        <f>C376+D376+E376+F376</f>
        <v/>
      </c>
      <c r="H376" s="1">
        <f>IF(ISNUMBER(G376),G376,"")</f>
        <v/>
      </c>
      <c r="I376" s="1">
        <f>_xlfn.RANK.EQ(H376,$H$2:$H$1031)</f>
        <v/>
      </c>
      <c r="J376" s="5" t="n">
        <v>519.85</v>
      </c>
      <c r="K376" s="5" t="n">
        <v>41</v>
      </c>
      <c r="L376" s="5" t="n">
        <v>21</v>
      </c>
      <c r="M376" s="5" t="n">
        <v>18</v>
      </c>
      <c r="N376" s="5">
        <f>J376+K376+L376+M376</f>
        <v/>
      </c>
      <c r="O376" s="5">
        <f>IF(ISNUMBER(N376),N376,"")</f>
        <v/>
      </c>
      <c r="P376" s="5">
        <f>_xlfn.RANK.EQ(O376,$O$2:$O$1031)</f>
        <v/>
      </c>
      <c r="Q376" s="9" t="inlineStr">
        <is>
          <t>راسب</t>
        </is>
      </c>
      <c r="R376" s="9" t="n">
        <v>35</v>
      </c>
      <c r="S376" s="9" t="n">
        <v>19</v>
      </c>
      <c r="T376" s="9" t="n">
        <v>21</v>
      </c>
      <c r="U376" s="9">
        <f>Q376+R376+S376+T376</f>
        <v/>
      </c>
      <c r="V376" s="9">
        <f>IF(ISNUMBER(U376),U376,"")</f>
        <v/>
      </c>
      <c r="W376" s="9">
        <f>_xlfn.RANK.EQ(V376,$V$2:$V$1031)</f>
        <v/>
      </c>
      <c r="X376" s="13" t="n">
        <v>1183.7541666667</v>
      </c>
      <c r="Y376" s="13" t="n">
        <v>18.5</v>
      </c>
      <c r="Z376" s="13" t="n">
        <v>18</v>
      </c>
      <c r="AA376" s="13" t="n">
        <v>17</v>
      </c>
      <c r="AB376" s="13">
        <f>IF(ISNUMBER(X376),X376+N(Y376)+N(Z376)+N(AA376),X376)</f>
        <v/>
      </c>
      <c r="AC376" s="13">
        <f>IF(ISNUMBER(AB376),AB376,"")</f>
        <v/>
      </c>
      <c r="AD376" s="13">
        <f>IF(ISNUMBER(AC376),_xlfn.RANK.EQ(AC376,$AC$2:$AC$1031),"")</f>
        <v/>
      </c>
      <c r="AE376" s="15">
        <f>IF(ISNUMBER(AF376),AF376/3630,"")</f>
        <v/>
      </c>
      <c r="AF376" s="14">
        <f>IFERROR(C376+D376+E376+F376+J376+K376+L376+M376+Q376+R376+S376+T376+IF(ISNUMBER(X376),X376,0)+N(Y376)+N(Z376)+N(AA376),"")</f>
        <v/>
      </c>
      <c r="AG376" s="14">
        <f>IF(ISNUMBER(AF376),AF376,"")</f>
        <v/>
      </c>
      <c r="AH376" s="14">
        <f>IF(ISNUMBER(AG376),_xlfn.RANK.EQ(AG376,$AG$2:$AG$1031),"")</f>
        <v/>
      </c>
    </row>
    <row r="377">
      <c r="A377" s="18" t="n">
        <v>856</v>
      </c>
      <c r="B377" s="18" t="inlineStr">
        <is>
          <t>ساره على ابراهيم حجر</t>
        </is>
      </c>
      <c r="C377" s="1" t="n">
        <v>640.6</v>
      </c>
      <c r="D377" s="1" t="n">
        <v>25</v>
      </c>
      <c r="E377" s="1" t="n">
        <v>23</v>
      </c>
      <c r="F377" s="1" t="n">
        <v>23</v>
      </c>
      <c r="G377" s="1">
        <f>C377+D377+E377+F377</f>
        <v/>
      </c>
      <c r="H377" s="1">
        <f>IF(ISNUMBER(G377),G377,"")</f>
        <v/>
      </c>
      <c r="I377" s="1">
        <f>_xlfn.RANK.EQ(H377,$H$2:$H$1031)</f>
        <v/>
      </c>
      <c r="J377" s="5" t="n">
        <v>628</v>
      </c>
      <c r="K377" s="5" t="n">
        <v>48</v>
      </c>
      <c r="L377" s="5" t="n">
        <v>23</v>
      </c>
      <c r="M377" s="5" t="n">
        <v>24</v>
      </c>
      <c r="N377" s="5">
        <f>J377+K377+L377+M377</f>
        <v/>
      </c>
      <c r="O377" s="5">
        <f>IF(ISNUMBER(N377),N377,"")</f>
        <v/>
      </c>
      <c r="P377" s="5">
        <f>_xlfn.RANK.EQ(O377,$O$2:$O$1031)</f>
        <v/>
      </c>
      <c r="Q377" s="9" t="n">
        <v>276</v>
      </c>
      <c r="R377" s="9" t="n">
        <v>48</v>
      </c>
      <c r="S377" s="9" t="n">
        <v>24</v>
      </c>
      <c r="T377" s="9" t="n">
        <v>25</v>
      </c>
      <c r="U377" s="9">
        <f>Q377+R377+S377+T377</f>
        <v/>
      </c>
      <c r="V377" s="9">
        <f>IF(ISNUMBER(U377),U377,"")</f>
        <v/>
      </c>
      <c r="W377" s="9">
        <f>_xlfn.RANK.EQ(V377,$V$2:$V$1031)</f>
        <v/>
      </c>
      <c r="X377" s="13" t="n">
        <v>1450.2083333333</v>
      </c>
      <c r="Y377" s="13" t="n">
        <v>23.5</v>
      </c>
      <c r="Z377" s="13" t="n">
        <v>25</v>
      </c>
      <c r="AA377" s="13" t="n">
        <v>25</v>
      </c>
      <c r="AB377" s="13">
        <f>IF(ISNUMBER(X377),X377+N(Y377)+N(Z377)+N(AA377),X377)</f>
        <v/>
      </c>
      <c r="AC377" s="13">
        <f>IF(ISNUMBER(AB377),AB377,"")</f>
        <v/>
      </c>
      <c r="AD377" s="13">
        <f>IF(ISNUMBER(AC377),_xlfn.RANK.EQ(AC377,$AC$2:$AC$1031),"")</f>
        <v/>
      </c>
      <c r="AE377" s="15">
        <f>IF(ISNUMBER(AF377),AF377/3630,"")</f>
        <v/>
      </c>
      <c r="AF377" s="14">
        <f>IFERROR(C377+D377+E377+F377+J377+K377+L377+M377+Q377+R377+S377+T377+IF(ISNUMBER(X377),X377,0)+N(Y377)+N(Z377)+N(AA377),"")</f>
        <v/>
      </c>
      <c r="AG377" s="14">
        <f>IF(ISNUMBER(AF377),AF377,"")</f>
        <v/>
      </c>
      <c r="AH377" s="14">
        <f>IF(ISNUMBER(AG377),_xlfn.RANK.EQ(AG377,$AG$2:$AG$1031),"")</f>
        <v/>
      </c>
    </row>
    <row r="378">
      <c r="A378" s="18" t="n">
        <v>859</v>
      </c>
      <c r="B378" s="18" t="inlineStr">
        <is>
          <t>ساره محمد عبدالعزيز السيسى</t>
        </is>
      </c>
      <c r="C378" s="1" t="n">
        <v>625.6</v>
      </c>
      <c r="D378" s="1" t="n">
        <v>25</v>
      </c>
      <c r="E378" s="1" t="n">
        <v>23</v>
      </c>
      <c r="F378" s="1" t="n">
        <v>23</v>
      </c>
      <c r="G378" s="1">
        <f>C378+D378+E378+F378</f>
        <v/>
      </c>
      <c r="H378" s="1">
        <f>IF(ISNUMBER(G378),G378,"")</f>
        <v/>
      </c>
      <c r="I378" s="1">
        <f>_xlfn.RANK.EQ(H378,$H$2:$H$1031)</f>
        <v/>
      </c>
      <c r="J378" s="5" t="n">
        <v>619</v>
      </c>
      <c r="K378" s="5" t="n">
        <v>48</v>
      </c>
      <c r="L378" s="5" t="n">
        <v>23</v>
      </c>
      <c r="M378" s="5" t="n">
        <v>24</v>
      </c>
      <c r="N378" s="5">
        <f>J378+K378+L378+M378</f>
        <v/>
      </c>
      <c r="O378" s="5">
        <f>IF(ISNUMBER(N378),N378,"")</f>
        <v/>
      </c>
      <c r="P378" s="5">
        <f>_xlfn.RANK.EQ(O378,$O$2:$O$1031)</f>
        <v/>
      </c>
      <c r="Q378" s="9" t="n">
        <v>269</v>
      </c>
      <c r="R378" s="9" t="n">
        <v>47</v>
      </c>
      <c r="S378" s="9" t="n">
        <v>25</v>
      </c>
      <c r="T378" s="9" t="n">
        <v>25</v>
      </c>
      <c r="U378" s="9">
        <f>Q378+R378+S378+T378</f>
        <v/>
      </c>
      <c r="V378" s="9">
        <f>IF(ISNUMBER(U378),U378,"")</f>
        <v/>
      </c>
      <c r="W378" s="9">
        <f>_xlfn.RANK.EQ(V378,$V$2:$V$1031)</f>
        <v/>
      </c>
      <c r="X378" s="13" t="n">
        <v>1445.0791666667</v>
      </c>
      <c r="Y378" s="13" t="n">
        <v>25</v>
      </c>
      <c r="Z378" s="13" t="n">
        <v>25</v>
      </c>
      <c r="AA378" s="13" t="n">
        <v>24</v>
      </c>
      <c r="AB378" s="13">
        <f>IF(ISNUMBER(X378),X378+N(Y378)+N(Z378)+N(AA378),X378)</f>
        <v/>
      </c>
      <c r="AC378" s="13">
        <f>IF(ISNUMBER(AB378),AB378,"")</f>
        <v/>
      </c>
      <c r="AD378" s="13">
        <f>IF(ISNUMBER(AC378),_xlfn.RANK.EQ(AC378,$AC$2:$AC$1031),"")</f>
        <v/>
      </c>
      <c r="AE378" s="15">
        <f>IF(ISNUMBER(AF378),AF378/3630,"")</f>
        <v/>
      </c>
      <c r="AF378" s="14">
        <f>IFERROR(C378+D378+E378+F378+J378+K378+L378+M378+Q378+R378+S378+T378+IF(ISNUMBER(X378),X378,0)+N(Y378)+N(Z378)+N(AA378),"")</f>
        <v/>
      </c>
      <c r="AG378" s="14">
        <f>IF(ISNUMBER(AF378),AF378,"")</f>
        <v/>
      </c>
      <c r="AH378" s="14">
        <f>IF(ISNUMBER(AG378),_xlfn.RANK.EQ(AG378,$AG$2:$AG$1031),"")</f>
        <v/>
      </c>
    </row>
    <row r="379">
      <c r="A379" s="18" t="n">
        <v>860</v>
      </c>
      <c r="B379" s="18" t="inlineStr">
        <is>
          <t>ساره مصطفى امين عبد الرحيم</t>
        </is>
      </c>
      <c r="C379" s="1" t="n">
        <v>630.9</v>
      </c>
      <c r="D379" s="1" t="n">
        <v>24</v>
      </c>
      <c r="E379" s="1" t="n">
        <v>22</v>
      </c>
      <c r="F379" s="1" t="n">
        <v>23</v>
      </c>
      <c r="G379" s="1">
        <f>C379+D379+E379+F379</f>
        <v/>
      </c>
      <c r="H379" s="1">
        <f>IF(ISNUMBER(G379),G379,"")</f>
        <v/>
      </c>
      <c r="I379" s="1">
        <f>_xlfn.RANK.EQ(H379,$H$2:$H$1031)</f>
        <v/>
      </c>
      <c r="J379" s="5" t="n">
        <v>616</v>
      </c>
      <c r="K379" s="5" t="n">
        <v>49</v>
      </c>
      <c r="L379" s="5" t="n">
        <v>24</v>
      </c>
      <c r="M379" s="5" t="n">
        <v>23</v>
      </c>
      <c r="N379" s="5">
        <f>J379+K379+L379+M379</f>
        <v/>
      </c>
      <c r="O379" s="5">
        <f>IF(ISNUMBER(N379),N379,"")</f>
        <v/>
      </c>
      <c r="P379" s="5">
        <f>_xlfn.RANK.EQ(O379,$O$2:$O$1031)</f>
        <v/>
      </c>
      <c r="Q379" s="9" t="n">
        <v>277</v>
      </c>
      <c r="R379" s="9" t="n">
        <v>49.5</v>
      </c>
      <c r="S379" s="9" t="n">
        <v>25</v>
      </c>
      <c r="T379" s="9" t="n">
        <v>25</v>
      </c>
      <c r="U379" s="9">
        <f>Q379+R379+S379+T379</f>
        <v/>
      </c>
      <c r="V379" s="9">
        <f>IF(ISNUMBER(U379),U379,"")</f>
        <v/>
      </c>
      <c r="W379" s="9">
        <f>_xlfn.RANK.EQ(V379,$V$2:$V$1031)</f>
        <v/>
      </c>
      <c r="X379" s="13" t="n">
        <v>1557.475</v>
      </c>
      <c r="Y379" s="13" t="n">
        <v>24.5</v>
      </c>
      <c r="Z379" s="13" t="n">
        <v>23.5</v>
      </c>
      <c r="AA379" s="13" t="n">
        <v>23</v>
      </c>
      <c r="AB379" s="13">
        <f>IF(ISNUMBER(X379),X379+N(Y379)+N(Z379)+N(AA379),X379)</f>
        <v/>
      </c>
      <c r="AC379" s="13">
        <f>IF(ISNUMBER(AB379),AB379,"")</f>
        <v/>
      </c>
      <c r="AD379" s="13">
        <f>IF(ISNUMBER(AC379),_xlfn.RANK.EQ(AC379,$AC$2:$AC$1031),"")</f>
        <v/>
      </c>
      <c r="AE379" s="15">
        <f>IF(ISNUMBER(AF379),AF379/3630,"")</f>
        <v/>
      </c>
      <c r="AF379" s="14">
        <f>IFERROR(C379+D379+E379+F379+J379+K379+L379+M379+Q379+R379+S379+T379+IF(ISNUMBER(X379),X379,0)+N(Y379)+N(Z379)+N(AA379),"")</f>
        <v/>
      </c>
      <c r="AG379" s="14">
        <f>IF(ISNUMBER(AF379),AF379,"")</f>
        <v/>
      </c>
      <c r="AH379" s="14">
        <f>IF(ISNUMBER(AG379),_xlfn.RANK.EQ(AG379,$AG$2:$AG$1031),"")</f>
        <v/>
      </c>
    </row>
    <row r="380">
      <c r="A380" s="18" t="n">
        <v>861</v>
      </c>
      <c r="B380" s="18" t="inlineStr">
        <is>
          <t>ساره معروف عبدالحليم معروف الراجحى</t>
        </is>
      </c>
      <c r="C380" s="1" t="n">
        <v>594.1</v>
      </c>
      <c r="D380" s="1" t="n">
        <v>23</v>
      </c>
      <c r="E380" s="1" t="n">
        <v>24</v>
      </c>
      <c r="F380" s="1" t="n">
        <v>22</v>
      </c>
      <c r="G380" s="1">
        <f>C380+D380+E380+F380</f>
        <v/>
      </c>
      <c r="H380" s="1">
        <f>IF(ISNUMBER(G380),G380,"")</f>
        <v/>
      </c>
      <c r="I380" s="1">
        <f>_xlfn.RANK.EQ(H380,$H$2:$H$1031)</f>
        <v/>
      </c>
      <c r="J380" s="5" t="n">
        <v>615</v>
      </c>
      <c r="K380" s="5" t="n">
        <v>44</v>
      </c>
      <c r="L380" s="5" t="n">
        <v>22</v>
      </c>
      <c r="M380" s="5" t="n">
        <v>20</v>
      </c>
      <c r="N380" s="5">
        <f>J380+K380+L380+M380</f>
        <v/>
      </c>
      <c r="O380" s="5">
        <f>IF(ISNUMBER(N380),N380,"")</f>
        <v/>
      </c>
      <c r="P380" s="5">
        <f>_xlfn.RANK.EQ(O380,$O$2:$O$1031)</f>
        <v/>
      </c>
      <c r="Q380" s="9" t="n">
        <v>261</v>
      </c>
      <c r="R380" s="9" t="n">
        <v>47</v>
      </c>
      <c r="S380" s="9" t="n">
        <v>24</v>
      </c>
      <c r="T380" s="9" t="n">
        <v>24</v>
      </c>
      <c r="U380" s="9">
        <f>Q380+R380+S380+T380</f>
        <v/>
      </c>
      <c r="V380" s="9">
        <f>IF(ISNUMBER(U380),U380,"")</f>
        <v/>
      </c>
      <c r="W380" s="9">
        <f>_xlfn.RANK.EQ(V380,$V$2:$V$1031)</f>
        <v/>
      </c>
      <c r="X380" s="13" t="n">
        <v>1392.5708333333</v>
      </c>
      <c r="Y380" s="13" t="n">
        <v>24</v>
      </c>
      <c r="Z380" s="13" t="n">
        <v>24</v>
      </c>
      <c r="AA380" s="13" t="n">
        <v>22</v>
      </c>
      <c r="AB380" s="13">
        <f>IF(ISNUMBER(X380),X380+N(Y380)+N(Z380)+N(AA380),X380)</f>
        <v/>
      </c>
      <c r="AC380" s="13">
        <f>IF(ISNUMBER(AB380),AB380,"")</f>
        <v/>
      </c>
      <c r="AD380" s="13">
        <f>IF(ISNUMBER(AC380),_xlfn.RANK.EQ(AC380,$AC$2:$AC$1031),"")</f>
        <v/>
      </c>
      <c r="AE380" s="15">
        <f>IF(ISNUMBER(AF380),AF380/3630,"")</f>
        <v/>
      </c>
      <c r="AF380" s="14">
        <f>IFERROR(C380+D380+E380+F380+J380+K380+L380+M380+Q380+R380+S380+T380+IF(ISNUMBER(X380),X380,0)+N(Y380)+N(Z380)+N(AA380),"")</f>
        <v/>
      </c>
      <c r="AG380" s="14">
        <f>IF(ISNUMBER(AF380),AF380,"")</f>
        <v/>
      </c>
      <c r="AH380" s="14">
        <f>IF(ISNUMBER(AG380),_xlfn.RANK.EQ(AG380,$AG$2:$AG$1031),"")</f>
        <v/>
      </c>
    </row>
    <row r="381">
      <c r="A381" s="18" t="n">
        <v>863</v>
      </c>
      <c r="B381" s="18" t="inlineStr">
        <is>
          <t>ساره ياسر حسن داود خليل</t>
        </is>
      </c>
      <c r="C381" s="1" t="n">
        <v>567.2</v>
      </c>
      <c r="D381" s="1" t="n">
        <v>19</v>
      </c>
      <c r="E381" s="1" t="n">
        <v>23</v>
      </c>
      <c r="F381" s="1" t="n">
        <v>18</v>
      </c>
      <c r="G381" s="1">
        <f>C381+D381+E381+F381</f>
        <v/>
      </c>
      <c r="H381" s="1">
        <f>IF(ISNUMBER(G381),G381,"")</f>
        <v/>
      </c>
      <c r="I381" s="1">
        <f>_xlfn.RANK.EQ(H381,$H$2:$H$1031)</f>
        <v/>
      </c>
      <c r="J381" s="5" t="n">
        <v>571</v>
      </c>
      <c r="K381" s="5" t="n">
        <v>36</v>
      </c>
      <c r="L381" s="5" t="n">
        <v>18</v>
      </c>
      <c r="M381" s="5" t="n">
        <v>18</v>
      </c>
      <c r="N381" s="5">
        <f>J381+K381+L381+M381</f>
        <v/>
      </c>
      <c r="O381" s="5">
        <f>IF(ISNUMBER(N381),N381,"")</f>
        <v/>
      </c>
      <c r="P381" s="5">
        <f>_xlfn.RANK.EQ(O381,$O$2:$O$1031)</f>
        <v/>
      </c>
      <c r="Q381" s="9" t="n">
        <v>263</v>
      </c>
      <c r="R381" s="9" t="n">
        <v>47.5</v>
      </c>
      <c r="S381" s="9" t="n">
        <v>22</v>
      </c>
      <c r="T381" s="9" t="n">
        <v>24</v>
      </c>
      <c r="U381" s="9">
        <f>Q381+R381+S381+T381</f>
        <v/>
      </c>
      <c r="V381" s="9">
        <f>IF(ISNUMBER(U381),U381,"")</f>
        <v/>
      </c>
      <c r="W381" s="9">
        <f>_xlfn.RANK.EQ(V381,$V$2:$V$1031)</f>
        <v/>
      </c>
      <c r="X381" s="13" t="n">
        <v>1388.1375</v>
      </c>
      <c r="Y381" s="13" t="n">
        <v>24.5</v>
      </c>
      <c r="Z381" s="13" t="n">
        <v>24</v>
      </c>
      <c r="AA381" s="13" t="n">
        <v>25</v>
      </c>
      <c r="AB381" s="13">
        <f>IF(ISNUMBER(X381),X381+N(Y381)+N(Z381)+N(AA381),X381)</f>
        <v/>
      </c>
      <c r="AC381" s="13">
        <f>IF(ISNUMBER(AB381),AB381,"")</f>
        <v/>
      </c>
      <c r="AD381" s="13">
        <f>IF(ISNUMBER(AC381),_xlfn.RANK.EQ(AC381,$AC$2:$AC$1031),"")</f>
        <v/>
      </c>
      <c r="AE381" s="15">
        <f>IF(ISNUMBER(AF381),AF381/3630,"")</f>
        <v/>
      </c>
      <c r="AF381" s="14">
        <f>IFERROR(C381+D381+E381+F381+J381+K381+L381+M381+Q381+R381+S381+T381+IF(ISNUMBER(X381),X381,0)+N(Y381)+N(Z381)+N(AA381),"")</f>
        <v/>
      </c>
      <c r="AG381" s="14">
        <f>IF(ISNUMBER(AF381),AF381,"")</f>
        <v/>
      </c>
      <c r="AH381" s="14">
        <f>IF(ISNUMBER(AG381),_xlfn.RANK.EQ(AG381,$AG$2:$AG$1031),"")</f>
        <v/>
      </c>
    </row>
    <row r="382">
      <c r="A382" s="18" t="n">
        <v>864</v>
      </c>
      <c r="B382" s="18" t="inlineStr">
        <is>
          <t>ساره يحيى عبدالحميد عواد السيد</t>
        </is>
      </c>
      <c r="C382" s="1" t="n">
        <v>459.85</v>
      </c>
      <c r="D382" s="1" t="n">
        <v>21</v>
      </c>
      <c r="E382" s="1" t="n">
        <v>18</v>
      </c>
      <c r="F382" s="1" t="n">
        <v>21</v>
      </c>
      <c r="G382" s="1">
        <f>C382+D382+E382+F382</f>
        <v/>
      </c>
      <c r="H382" s="1">
        <f>IF(ISNUMBER(G382),G382,"")</f>
        <v/>
      </c>
      <c r="I382" s="1">
        <f>_xlfn.RANK.EQ(H382,$H$2:$H$1031)</f>
        <v/>
      </c>
      <c r="J382" s="5" t="n">
        <v>569.45</v>
      </c>
      <c r="K382" s="5" t="n">
        <v>38</v>
      </c>
      <c r="L382" s="5" t="n">
        <v>20</v>
      </c>
      <c r="M382" s="5" t="n">
        <v>18</v>
      </c>
      <c r="N382" s="5">
        <f>J382+K382+L382+M382</f>
        <v/>
      </c>
      <c r="O382" s="5">
        <f>IF(ISNUMBER(N382),N382,"")</f>
        <v/>
      </c>
      <c r="P382" s="5">
        <f>_xlfn.RANK.EQ(O382,$O$2:$O$1031)</f>
        <v/>
      </c>
      <c r="Q382" s="9" t="n">
        <v>229.5</v>
      </c>
      <c r="R382" s="9" t="n">
        <v>38.5</v>
      </c>
      <c r="S382" s="9" t="n">
        <v>22</v>
      </c>
      <c r="T382" s="9" t="n">
        <v>24</v>
      </c>
      <c r="U382" s="9">
        <f>Q382+R382+S382+T382</f>
        <v/>
      </c>
      <c r="V382" s="9">
        <f>IF(ISNUMBER(U382),U382,"")</f>
        <v/>
      </c>
      <c r="W382" s="9">
        <f>_xlfn.RANK.EQ(V382,$V$2:$V$1031)</f>
        <v/>
      </c>
      <c r="X382" s="13" t="n">
        <v>1117.6916666667</v>
      </c>
      <c r="Y382" s="13" t="n">
        <v>20</v>
      </c>
      <c r="Z382" s="13" t="n">
        <v>17.5</v>
      </c>
      <c r="AA382" s="13" t="n">
        <v>20</v>
      </c>
      <c r="AB382" s="13">
        <f>IF(ISNUMBER(X382),X382+N(Y382)+N(Z382)+N(AA382),X382)</f>
        <v/>
      </c>
      <c r="AC382" s="13">
        <f>IF(ISNUMBER(AB382),AB382,"")</f>
        <v/>
      </c>
      <c r="AD382" s="13">
        <f>IF(ISNUMBER(AC382),_xlfn.RANK.EQ(AC382,$AC$2:$AC$1031),"")</f>
        <v/>
      </c>
      <c r="AE382" s="15">
        <f>IF(ISNUMBER(AF382),AF382/3630,"")</f>
        <v/>
      </c>
      <c r="AF382" s="14">
        <f>IFERROR(C382+D382+E382+F382+J382+K382+L382+M382+Q382+R382+S382+T382+IF(ISNUMBER(X382),X382,0)+N(Y382)+N(Z382)+N(AA382),"")</f>
        <v/>
      </c>
      <c r="AG382" s="14">
        <f>IF(ISNUMBER(AF382),AF382,"")</f>
        <v/>
      </c>
      <c r="AH382" s="14">
        <f>IF(ISNUMBER(AG382),_xlfn.RANK.EQ(AG382,$AG$2:$AG$1031),"")</f>
        <v/>
      </c>
    </row>
    <row r="383">
      <c r="A383" s="18" t="n">
        <v>867</v>
      </c>
      <c r="B383" s="18" t="inlineStr">
        <is>
          <t>سامح وحيد محمد شحاته عبدالرحمن</t>
        </is>
      </c>
      <c r="C383" s="1" t="n">
        <v>444.55</v>
      </c>
      <c r="D383" s="1" t="n">
        <v>24</v>
      </c>
      <c r="E383" s="1" t="n">
        <v>20</v>
      </c>
      <c r="F383" s="1" t="n">
        <v>23</v>
      </c>
      <c r="G383" s="1">
        <f>C383+D383+E383+F383</f>
        <v/>
      </c>
      <c r="H383" s="1">
        <f>IF(ISNUMBER(G383),G383,"")</f>
        <v/>
      </c>
      <c r="I383" s="1">
        <f>_xlfn.RANK.EQ(H383,$H$2:$H$1031)</f>
        <v/>
      </c>
      <c r="J383" s="5" t="n">
        <v>490.7</v>
      </c>
      <c r="K383" s="5" t="n">
        <v>42</v>
      </c>
      <c r="L383" s="5" t="n">
        <v>21</v>
      </c>
      <c r="M383" s="5" t="n">
        <v>17</v>
      </c>
      <c r="N383" s="5">
        <f>J383+K383+L383+M383</f>
        <v/>
      </c>
      <c r="O383" s="5">
        <f>IF(ISNUMBER(N383),N383,"")</f>
        <v/>
      </c>
      <c r="P383" s="5">
        <f>_xlfn.RANK.EQ(O383,$O$2:$O$1031)</f>
        <v/>
      </c>
      <c r="Q383" s="9" t="n">
        <v>199.5</v>
      </c>
      <c r="R383" s="9" t="n">
        <v>37</v>
      </c>
      <c r="S383" s="9" t="n">
        <v>24</v>
      </c>
      <c r="T383" s="9" t="n">
        <v>24</v>
      </c>
      <c r="U383" s="9">
        <f>Q383+R383+S383+T383</f>
        <v/>
      </c>
      <c r="V383" s="9">
        <f>IF(ISNUMBER(U383),U383,"")</f>
        <v/>
      </c>
      <c r="W383" s="9">
        <f>_xlfn.RANK.EQ(V383,$V$2:$V$1031)</f>
        <v/>
      </c>
      <c r="X383" s="13" t="inlineStr">
        <is>
          <t>راسب</t>
        </is>
      </c>
      <c r="Y383" s="13" t="n">
        <v>22.5</v>
      </c>
      <c r="Z383" s="13" t="n">
        <v>25</v>
      </c>
      <c r="AA383" s="13" t="n">
        <v>23</v>
      </c>
      <c r="AB383" s="13">
        <f>IF(ISNUMBER(X383),X383+N(Y383)+N(Z383)+N(AA383),X383)</f>
        <v/>
      </c>
      <c r="AC383" s="13">
        <f>IF(ISNUMBER(AB383),AB383,"")</f>
        <v/>
      </c>
      <c r="AD383" s="13">
        <f>IF(ISNUMBER(AC383),_xlfn.RANK.EQ(AC383,$AC$2:$AC$1031),"")</f>
        <v/>
      </c>
      <c r="AE383" s="15">
        <f>IF(ISNUMBER(AF383),AF383/3630,"")</f>
        <v/>
      </c>
      <c r="AF383" s="14">
        <f>IFERROR(C383+D383+E383+F383+J383+K383+L383+M383+Q383+R383+S383+T383+IF(ISNUMBER(X383),X383,0)+N(Y383)+N(Z383)+N(AA383),"")</f>
        <v/>
      </c>
      <c r="AG383" s="14">
        <f>IF(ISNUMBER(AF383),AF383,"")</f>
        <v/>
      </c>
      <c r="AH383" s="14">
        <f>IF(ISNUMBER(AG383),_xlfn.RANK.EQ(AG383,$AG$2:$AG$1031),"")</f>
        <v/>
      </c>
    </row>
    <row r="384">
      <c r="A384" s="18" t="n">
        <v>870</v>
      </c>
      <c r="B384" s="18" t="inlineStr">
        <is>
          <t>سامر عميتة ناجي سليمان بخاطرة</t>
        </is>
      </c>
      <c r="C384" s="1" t="n">
        <v>539.2</v>
      </c>
      <c r="D384" s="1" t="n">
        <v>24</v>
      </c>
      <c r="E384" s="1" t="n">
        <v>23</v>
      </c>
      <c r="F384" s="1" t="n">
        <v>19</v>
      </c>
      <c r="G384" s="1">
        <f>C384+D384+E384+F384</f>
        <v/>
      </c>
      <c r="H384" s="1">
        <f>IF(ISNUMBER(G384),G384,"")</f>
        <v/>
      </c>
      <c r="I384" s="1">
        <f>_xlfn.RANK.EQ(H384,$H$2:$H$1031)</f>
        <v/>
      </c>
      <c r="J384" s="5" t="n">
        <v>455.05</v>
      </c>
      <c r="K384" s="5" t="n">
        <v>29</v>
      </c>
      <c r="L384" s="5" t="n">
        <v>18</v>
      </c>
      <c r="M384" s="5" t="n">
        <v>18</v>
      </c>
      <c r="N384" s="5">
        <f>J384+K384+L384+M384</f>
        <v/>
      </c>
      <c r="O384" s="5">
        <f>IF(ISNUMBER(N384),N384,"")</f>
        <v/>
      </c>
      <c r="P384" s="5">
        <f>_xlfn.RANK.EQ(O384,$O$2:$O$1031)</f>
        <v/>
      </c>
      <c r="Q384" s="9" t="n">
        <v>175.5</v>
      </c>
      <c r="R384" s="9" t="n">
        <v>41.5</v>
      </c>
      <c r="S384" s="9" t="n">
        <v>25</v>
      </c>
      <c r="T384" s="9" t="n">
        <v>23</v>
      </c>
      <c r="U384" s="9">
        <f>Q384+R384+S384+T384</f>
        <v/>
      </c>
      <c r="V384" s="9">
        <f>IF(ISNUMBER(U384),U384,"")</f>
        <v/>
      </c>
      <c r="W384" s="9">
        <f>_xlfn.RANK.EQ(V384,$V$2:$V$1031)</f>
        <v/>
      </c>
      <c r="X384" s="13" t="n">
        <v>1384.0166666667</v>
      </c>
      <c r="Y384" s="13" t="n">
        <v>22.5</v>
      </c>
      <c r="Z384" s="13" t="n">
        <v>24</v>
      </c>
      <c r="AA384" s="13" t="n">
        <v>24</v>
      </c>
      <c r="AB384" s="13">
        <f>IF(ISNUMBER(X384),X384+N(Y384)+N(Z384)+N(AA384),X384)</f>
        <v/>
      </c>
      <c r="AC384" s="13">
        <f>IF(ISNUMBER(AB384),AB384,"")</f>
        <v/>
      </c>
      <c r="AD384" s="13">
        <f>IF(ISNUMBER(AC384),_xlfn.RANK.EQ(AC384,$AC$2:$AC$1031),"")</f>
        <v/>
      </c>
      <c r="AE384" s="15">
        <f>IF(ISNUMBER(AF384),AF384/3630,"")</f>
        <v/>
      </c>
      <c r="AF384" s="14">
        <f>IFERROR(C384+D384+E384+F384+J384+K384+L384+M384+Q384+R384+S384+T384+IF(ISNUMBER(X384),X384,0)+N(Y384)+N(Z384)+N(AA384),"")</f>
        <v/>
      </c>
      <c r="AG384" s="14">
        <f>IF(ISNUMBER(AF384),AF384,"")</f>
        <v/>
      </c>
      <c r="AH384" s="14">
        <f>IF(ISNUMBER(AG384),_xlfn.RANK.EQ(AG384,$AG$2:$AG$1031),"")</f>
        <v/>
      </c>
    </row>
    <row r="385">
      <c r="A385" s="18" t="n">
        <v>875</v>
      </c>
      <c r="B385" s="18" t="inlineStr">
        <is>
          <t>ساندرا عماد منصور فرح</t>
        </is>
      </c>
      <c r="C385" s="1" t="n">
        <v>538.3</v>
      </c>
      <c r="D385" s="1" t="n">
        <v>24</v>
      </c>
      <c r="E385" s="1" t="n">
        <v>22</v>
      </c>
      <c r="F385" s="1" t="n">
        <v>21</v>
      </c>
      <c r="G385" s="1">
        <f>C385+D385+E385+F385</f>
        <v/>
      </c>
      <c r="H385" s="1">
        <f>IF(ISNUMBER(G385),G385,"")</f>
        <v/>
      </c>
      <c r="I385" s="1">
        <f>_xlfn.RANK.EQ(H385,$H$2:$H$1031)</f>
        <v/>
      </c>
      <c r="J385" s="5" t="n">
        <v>564.95</v>
      </c>
      <c r="K385" s="5" t="n">
        <v>47</v>
      </c>
      <c r="L385" s="5" t="n">
        <v>23</v>
      </c>
      <c r="M385" s="5" t="n">
        <v>23</v>
      </c>
      <c r="N385" s="5">
        <f>J385+K385+L385+M385</f>
        <v/>
      </c>
      <c r="O385" s="5">
        <f>IF(ISNUMBER(N385),N385,"")</f>
        <v/>
      </c>
      <c r="P385" s="5">
        <f>_xlfn.RANK.EQ(O385,$O$2:$O$1031)</f>
        <v/>
      </c>
      <c r="Q385" s="9" t="n">
        <v>235</v>
      </c>
      <c r="R385" s="9" t="n">
        <v>46.5</v>
      </c>
      <c r="S385" s="9" t="n">
        <v>25</v>
      </c>
      <c r="T385" s="9" t="n">
        <v>23</v>
      </c>
      <c r="U385" s="9">
        <f>Q385+R385+S385+T385</f>
        <v/>
      </c>
      <c r="V385" s="9">
        <f>IF(ISNUMBER(U385),U385,"")</f>
        <v/>
      </c>
      <c r="W385" s="9">
        <f>_xlfn.RANK.EQ(V385,$V$2:$V$1031)</f>
        <v/>
      </c>
      <c r="X385" s="13" t="n">
        <v>1438.9916666667</v>
      </c>
      <c r="Y385" s="13" t="n">
        <v>23.5</v>
      </c>
      <c r="Z385" s="13" t="n">
        <v>22</v>
      </c>
      <c r="AA385" s="13" t="n">
        <v>23</v>
      </c>
      <c r="AB385" s="13">
        <f>IF(ISNUMBER(X385),X385+N(Y385)+N(Z385)+N(AA385),X385)</f>
        <v/>
      </c>
      <c r="AC385" s="13">
        <f>IF(ISNUMBER(AB385),AB385,"")</f>
        <v/>
      </c>
      <c r="AD385" s="13">
        <f>IF(ISNUMBER(AC385),_xlfn.RANK.EQ(AC385,$AC$2:$AC$1031),"")</f>
        <v/>
      </c>
      <c r="AE385" s="15">
        <f>IF(ISNUMBER(AF385),AF385/3630,"")</f>
        <v/>
      </c>
      <c r="AF385" s="14">
        <f>IFERROR(C385+D385+E385+F385+J385+K385+L385+M385+Q385+R385+S385+T385+IF(ISNUMBER(X385),X385,0)+N(Y385)+N(Z385)+N(AA385),"")</f>
        <v/>
      </c>
      <c r="AG385" s="14">
        <f>IF(ISNUMBER(AF385),AF385,"")</f>
        <v/>
      </c>
      <c r="AH385" s="14">
        <f>IF(ISNUMBER(AG385),_xlfn.RANK.EQ(AG385,$AG$2:$AG$1031),"")</f>
        <v/>
      </c>
    </row>
    <row r="386">
      <c r="A386" s="18" t="n">
        <v>876</v>
      </c>
      <c r="B386" s="18" t="inlineStr">
        <is>
          <t>ساندى حسن ابراهيم ماضى</t>
        </is>
      </c>
      <c r="C386" s="1" t="n">
        <v>554.7</v>
      </c>
      <c r="D386" s="1" t="n">
        <v>24</v>
      </c>
      <c r="E386" s="1" t="n">
        <v>17</v>
      </c>
      <c r="F386" s="1" t="n">
        <v>20</v>
      </c>
      <c r="G386" s="1">
        <f>C386+D386+E386+F386</f>
        <v/>
      </c>
      <c r="H386" s="1">
        <f>IF(ISNUMBER(G386),G386,"")</f>
        <v/>
      </c>
      <c r="I386" s="1">
        <f>_xlfn.RANK.EQ(H386,$H$2:$H$1031)</f>
        <v/>
      </c>
      <c r="J386" s="5" t="n">
        <v>467.4</v>
      </c>
      <c r="K386" s="5" t="n">
        <v>46</v>
      </c>
      <c r="L386" s="5" t="n">
        <v>21</v>
      </c>
      <c r="M386" s="5" t="n">
        <v>25</v>
      </c>
      <c r="N386" s="5">
        <f>J386+K386+L386+M386</f>
        <v/>
      </c>
      <c r="O386" s="5">
        <f>IF(ISNUMBER(N386),N386,"")</f>
        <v/>
      </c>
      <c r="P386" s="5">
        <f>_xlfn.RANK.EQ(O386,$O$2:$O$1031)</f>
        <v/>
      </c>
      <c r="Q386" s="9" t="n">
        <v>222</v>
      </c>
      <c r="R386" s="9" t="n">
        <v>42.5</v>
      </c>
      <c r="S386" s="9" t="n">
        <v>25</v>
      </c>
      <c r="T386" s="9" t="n">
        <v>25</v>
      </c>
      <c r="U386" s="9">
        <f>Q386+R386+S386+T386</f>
        <v/>
      </c>
      <c r="V386" s="9">
        <f>IF(ISNUMBER(U386),U386,"")</f>
        <v/>
      </c>
      <c r="W386" s="9">
        <f>_xlfn.RANK.EQ(V386,$V$2:$V$1031)</f>
        <v/>
      </c>
      <c r="X386" s="13" t="n">
        <v>1356.275</v>
      </c>
      <c r="Y386" s="13" t="n">
        <v>25</v>
      </c>
      <c r="Z386" s="13" t="n">
        <v>23</v>
      </c>
      <c r="AA386" s="13" t="n">
        <v>25</v>
      </c>
      <c r="AB386" s="13">
        <f>IF(ISNUMBER(X386),X386+N(Y386)+N(Z386)+N(AA386),X386)</f>
        <v/>
      </c>
      <c r="AC386" s="13">
        <f>IF(ISNUMBER(AB386),AB386,"")</f>
        <v/>
      </c>
      <c r="AD386" s="13">
        <f>IF(ISNUMBER(AC386),_xlfn.RANK.EQ(AC386,$AC$2:$AC$1031),"")</f>
        <v/>
      </c>
      <c r="AE386" s="15">
        <f>IF(ISNUMBER(AF386),AF386/3630,"")</f>
        <v/>
      </c>
      <c r="AF386" s="14">
        <f>IFERROR(C386+D386+E386+F386+J386+K386+L386+M386+Q386+R386+S386+T386+IF(ISNUMBER(X386),X386,0)+N(Y386)+N(Z386)+N(AA386),"")</f>
        <v/>
      </c>
      <c r="AG386" s="14">
        <f>IF(ISNUMBER(AF386),AF386,"")</f>
        <v/>
      </c>
      <c r="AH386" s="14">
        <f>IF(ISNUMBER(AG386),_xlfn.RANK.EQ(AG386,$AG$2:$AG$1031),"")</f>
        <v/>
      </c>
    </row>
    <row r="387">
      <c r="A387" s="18" t="n">
        <v>877</v>
      </c>
      <c r="B387" s="18" t="inlineStr">
        <is>
          <t>ساندى محمد ناصر علي محمد حسن</t>
        </is>
      </c>
      <c r="C387" s="1" t="n">
        <v>514.3</v>
      </c>
      <c r="D387" s="1" t="n">
        <v>23</v>
      </c>
      <c r="E387" s="1" t="n">
        <v>20</v>
      </c>
      <c r="F387" s="1" t="n">
        <v>20</v>
      </c>
      <c r="G387" s="1">
        <f>C387+D387+E387+F387</f>
        <v/>
      </c>
      <c r="H387" s="1">
        <f>IF(ISNUMBER(G387),G387,"")</f>
        <v/>
      </c>
      <c r="I387" s="1">
        <f>_xlfn.RANK.EQ(H387,$H$2:$H$1031)</f>
        <v/>
      </c>
      <c r="J387" s="5" t="n">
        <v>476.95</v>
      </c>
      <c r="K387" s="5" t="n">
        <v>41</v>
      </c>
      <c r="L387" s="5" t="n">
        <v>20</v>
      </c>
      <c r="M387" s="5" t="n">
        <v>20</v>
      </c>
      <c r="N387" s="5">
        <f>J387+K387+L387+M387</f>
        <v/>
      </c>
      <c r="O387" s="5">
        <f>IF(ISNUMBER(N387),N387,"")</f>
        <v/>
      </c>
      <c r="P387" s="5">
        <f>_xlfn.RANK.EQ(O387,$O$2:$O$1031)</f>
        <v/>
      </c>
      <c r="Q387" s="9" t="n">
        <v>191</v>
      </c>
      <c r="R387" s="9" t="n">
        <v>46</v>
      </c>
      <c r="S387" s="9" t="n">
        <v>25</v>
      </c>
      <c r="T387" s="9" t="n">
        <v>24</v>
      </c>
      <c r="U387" s="9">
        <f>Q387+R387+S387+T387</f>
        <v/>
      </c>
      <c r="V387" s="9">
        <f>IF(ISNUMBER(U387),U387,"")</f>
        <v/>
      </c>
      <c r="W387" s="9">
        <f>_xlfn.RANK.EQ(V387,$V$2:$V$1031)</f>
        <v/>
      </c>
      <c r="X387" s="13" t="n">
        <v>1174.1125</v>
      </c>
      <c r="Y387" s="13" t="n">
        <v>23</v>
      </c>
      <c r="Z387" s="13" t="n">
        <v>21</v>
      </c>
      <c r="AA387" s="13" t="n">
        <v>22</v>
      </c>
      <c r="AB387" s="13">
        <f>IF(ISNUMBER(X387),X387+N(Y387)+N(Z387)+N(AA387),X387)</f>
        <v/>
      </c>
      <c r="AC387" s="13">
        <f>IF(ISNUMBER(AB387),AB387,"")</f>
        <v/>
      </c>
      <c r="AD387" s="13">
        <f>IF(ISNUMBER(AC387),_xlfn.RANK.EQ(AC387,$AC$2:$AC$1031),"")</f>
        <v/>
      </c>
      <c r="AE387" s="15">
        <f>IF(ISNUMBER(AF387),AF387/3630,"")</f>
        <v/>
      </c>
      <c r="AF387" s="14">
        <f>IFERROR(C387+D387+E387+F387+J387+K387+L387+M387+Q387+R387+S387+T387+IF(ISNUMBER(X387),X387,0)+N(Y387)+N(Z387)+N(AA387),"")</f>
        <v/>
      </c>
      <c r="AG387" s="14">
        <f>IF(ISNUMBER(AF387),AF387,"")</f>
        <v/>
      </c>
      <c r="AH387" s="14">
        <f>IF(ISNUMBER(AG387),_xlfn.RANK.EQ(AG387,$AG$2:$AG$1031),"")</f>
        <v/>
      </c>
    </row>
    <row r="388">
      <c r="A388" s="18" t="n">
        <v>893</v>
      </c>
      <c r="B388" s="18" t="inlineStr">
        <is>
          <t>سراج الدين إسلام حسن السيد سليمان حجازي</t>
        </is>
      </c>
      <c r="C388" s="1" t="n">
        <v>588.9</v>
      </c>
      <c r="D388" s="1" t="n">
        <v>25</v>
      </c>
      <c r="E388" s="1" t="n">
        <v>23</v>
      </c>
      <c r="F388" s="1" t="n">
        <v>22</v>
      </c>
      <c r="G388" s="1">
        <f>C388+D388+E388+F388</f>
        <v/>
      </c>
      <c r="H388" s="1">
        <f>IF(ISNUMBER(G388),G388,"")</f>
        <v/>
      </c>
      <c r="I388" s="1">
        <f>_xlfn.RANK.EQ(H388,$H$2:$H$1031)</f>
        <v/>
      </c>
      <c r="J388" s="5" t="n">
        <v>544.5</v>
      </c>
      <c r="K388" s="5" t="n">
        <v>38</v>
      </c>
      <c r="L388" s="5" t="n">
        <v>19</v>
      </c>
      <c r="M388" s="5" t="n">
        <v>21</v>
      </c>
      <c r="N388" s="5">
        <f>J388+K388+L388+M388</f>
        <v/>
      </c>
      <c r="O388" s="5">
        <f>IF(ISNUMBER(N388),N388,"")</f>
        <v/>
      </c>
      <c r="P388" s="5">
        <f>_xlfn.RANK.EQ(O388,$O$2:$O$1031)</f>
        <v/>
      </c>
      <c r="Q388" s="9" t="n">
        <v>209</v>
      </c>
      <c r="R388" s="9" t="n">
        <v>44</v>
      </c>
      <c r="S388" s="9" t="n">
        <v>24</v>
      </c>
      <c r="T388" s="9" t="n">
        <v>23</v>
      </c>
      <c r="U388" s="9">
        <f>Q388+R388+S388+T388</f>
        <v/>
      </c>
      <c r="V388" s="9">
        <f>IF(ISNUMBER(U388),U388,"")</f>
        <v/>
      </c>
      <c r="W388" s="9">
        <f>_xlfn.RANK.EQ(V388,$V$2:$V$1031)</f>
        <v/>
      </c>
      <c r="X388" s="13" t="n">
        <v>1268.0916666667</v>
      </c>
      <c r="Y388" s="13" t="n">
        <v>22</v>
      </c>
      <c r="Z388" s="13" t="n">
        <v>22</v>
      </c>
      <c r="AA388" s="13" t="n">
        <v>23</v>
      </c>
      <c r="AB388" s="13">
        <f>IF(ISNUMBER(X388),X388+N(Y388)+N(Z388)+N(AA388),X388)</f>
        <v/>
      </c>
      <c r="AC388" s="13">
        <f>IF(ISNUMBER(AB388),AB388,"")</f>
        <v/>
      </c>
      <c r="AD388" s="13">
        <f>IF(ISNUMBER(AC388),_xlfn.RANK.EQ(AC388,$AC$2:$AC$1031),"")</f>
        <v/>
      </c>
      <c r="AE388" s="15">
        <f>IF(ISNUMBER(AF388),AF388/3630,"")</f>
        <v/>
      </c>
      <c r="AF388" s="14">
        <f>IFERROR(C388+D388+E388+F388+J388+K388+L388+M388+Q388+R388+S388+T388+IF(ISNUMBER(X388),X388,0)+N(Y388)+N(Z388)+N(AA388),"")</f>
        <v/>
      </c>
      <c r="AG388" s="14">
        <f>IF(ISNUMBER(AF388),AF388,"")</f>
        <v/>
      </c>
      <c r="AH388" s="14">
        <f>IF(ISNUMBER(AG388),_xlfn.RANK.EQ(AG388,$AG$2:$AG$1031),"")</f>
        <v/>
      </c>
    </row>
    <row r="389">
      <c r="A389" s="18" t="n">
        <v>896</v>
      </c>
      <c r="B389" s="18" t="inlineStr">
        <is>
          <t>سعاد احمد متولي عثمان علي</t>
        </is>
      </c>
      <c r="C389" s="1" t="n">
        <v>471.5</v>
      </c>
      <c r="D389" s="1" t="n">
        <v>25</v>
      </c>
      <c r="E389" s="1" t="n">
        <v>15</v>
      </c>
      <c r="F389" s="1" t="n">
        <v>22</v>
      </c>
      <c r="G389" s="1">
        <f>C389+D389+E389+F389</f>
        <v/>
      </c>
      <c r="H389" s="1">
        <f>IF(ISNUMBER(G389),G389,"")</f>
        <v/>
      </c>
      <c r="I389" s="1">
        <f>_xlfn.RANK.EQ(H389,$H$2:$H$1031)</f>
        <v/>
      </c>
      <c r="J389" s="5" t="n">
        <v>535.35</v>
      </c>
      <c r="K389" s="5" t="n">
        <v>48</v>
      </c>
      <c r="L389" s="5" t="n">
        <v>24</v>
      </c>
      <c r="M389" s="5" t="n">
        <v>22</v>
      </c>
      <c r="N389" s="5">
        <f>J389+K389+L389+M389</f>
        <v/>
      </c>
      <c r="O389" s="5">
        <f>IF(ISNUMBER(N389),N389,"")</f>
        <v/>
      </c>
      <c r="P389" s="5">
        <f>_xlfn.RANK.EQ(O389,$O$2:$O$1031)</f>
        <v/>
      </c>
      <c r="Q389" s="9" t="n">
        <v>261.5</v>
      </c>
      <c r="R389" s="9" t="n">
        <v>43</v>
      </c>
      <c r="S389" s="9" t="n">
        <v>23</v>
      </c>
      <c r="T389" s="9" t="n">
        <v>24</v>
      </c>
      <c r="U389" s="9">
        <f>Q389+R389+S389+T389</f>
        <v/>
      </c>
      <c r="V389" s="9">
        <f>IF(ISNUMBER(U389),U389,"")</f>
        <v/>
      </c>
      <c r="W389" s="9">
        <f>_xlfn.RANK.EQ(V389,$V$2:$V$1031)</f>
        <v/>
      </c>
      <c r="X389" s="13" t="n">
        <v>1343.2666666667</v>
      </c>
      <c r="Y389" s="13" t="n">
        <v>22.5</v>
      </c>
      <c r="Z389" s="13" t="n">
        <v>23</v>
      </c>
      <c r="AA389" s="13" t="n">
        <v>20</v>
      </c>
      <c r="AB389" s="13">
        <f>IF(ISNUMBER(X389),X389+N(Y389)+N(Z389)+N(AA389),X389)</f>
        <v/>
      </c>
      <c r="AC389" s="13">
        <f>IF(ISNUMBER(AB389),AB389,"")</f>
        <v/>
      </c>
      <c r="AD389" s="13">
        <f>IF(ISNUMBER(AC389),_xlfn.RANK.EQ(AC389,$AC$2:$AC$1031),"")</f>
        <v/>
      </c>
      <c r="AE389" s="15">
        <f>IF(ISNUMBER(AF389),AF389/3630,"")</f>
        <v/>
      </c>
      <c r="AF389" s="14">
        <f>IFERROR(C389+D389+E389+F389+J389+K389+L389+M389+Q389+R389+S389+T389+IF(ISNUMBER(X389),X389,0)+N(Y389)+N(Z389)+N(AA389),"")</f>
        <v/>
      </c>
      <c r="AG389" s="14">
        <f>IF(ISNUMBER(AF389),AF389,"")</f>
        <v/>
      </c>
      <c r="AH389" s="14">
        <f>IF(ISNUMBER(AG389),_xlfn.RANK.EQ(AG389,$AG$2:$AG$1031),"")</f>
        <v/>
      </c>
    </row>
    <row r="390">
      <c r="A390" s="18" t="n">
        <v>897</v>
      </c>
      <c r="B390" s="18" t="inlineStr">
        <is>
          <t>سعاد السيد سليمان يوسف</t>
        </is>
      </c>
      <c r="C390" s="1" t="n">
        <v>617.8</v>
      </c>
      <c r="D390" s="1" t="n">
        <v>19</v>
      </c>
      <c r="E390" s="1" t="n">
        <v>24</v>
      </c>
      <c r="F390" s="1" t="n">
        <v>21</v>
      </c>
      <c r="G390" s="1">
        <f>C390+D390+E390+F390</f>
        <v/>
      </c>
      <c r="H390" s="1">
        <f>IF(ISNUMBER(G390),G390,"")</f>
        <v/>
      </c>
      <c r="I390" s="1">
        <f>_xlfn.RANK.EQ(H390,$H$2:$H$1031)</f>
        <v/>
      </c>
      <c r="J390" s="5" t="n">
        <v>603.5</v>
      </c>
      <c r="K390" s="5" t="n">
        <v>42</v>
      </c>
      <c r="L390" s="5" t="n">
        <v>21</v>
      </c>
      <c r="M390" s="5" t="n">
        <v>23</v>
      </c>
      <c r="N390" s="5">
        <f>J390+K390+L390+M390</f>
        <v/>
      </c>
      <c r="O390" s="5">
        <f>IF(ISNUMBER(N390),N390,"")</f>
        <v/>
      </c>
      <c r="P390" s="5">
        <f>_xlfn.RANK.EQ(O390,$O$2:$O$1031)</f>
        <v/>
      </c>
      <c r="Q390" s="9" t="n">
        <v>259</v>
      </c>
      <c r="R390" s="9" t="n">
        <v>46.5</v>
      </c>
      <c r="S390" s="9" t="n">
        <v>24</v>
      </c>
      <c r="T390" s="9" t="n">
        <v>24</v>
      </c>
      <c r="U390" s="9">
        <f>Q390+R390+S390+T390</f>
        <v/>
      </c>
      <c r="V390" s="9">
        <f>IF(ISNUMBER(U390),U390,"")</f>
        <v/>
      </c>
      <c r="W390" s="9">
        <f>_xlfn.RANK.EQ(V390,$V$2:$V$1031)</f>
        <v/>
      </c>
      <c r="X390" s="13" t="n">
        <v>1450.225</v>
      </c>
      <c r="Y390" s="13" t="n">
        <v>25</v>
      </c>
      <c r="Z390" s="13" t="n">
        <v>24.5</v>
      </c>
      <c r="AA390" s="13" t="n">
        <v>24</v>
      </c>
      <c r="AB390" s="13">
        <f>IF(ISNUMBER(X390),X390+N(Y390)+N(Z390)+N(AA390),X390)</f>
        <v/>
      </c>
      <c r="AC390" s="13">
        <f>IF(ISNUMBER(AB390),AB390,"")</f>
        <v/>
      </c>
      <c r="AD390" s="13">
        <f>IF(ISNUMBER(AC390),_xlfn.RANK.EQ(AC390,$AC$2:$AC$1031),"")</f>
        <v/>
      </c>
      <c r="AE390" s="15">
        <f>IF(ISNUMBER(AF390),AF390/3630,"")</f>
        <v/>
      </c>
      <c r="AF390" s="14">
        <f>IFERROR(C390+D390+E390+F390+J390+K390+L390+M390+Q390+R390+S390+T390+IF(ISNUMBER(X390),X390,0)+N(Y390)+N(Z390)+N(AA390),"")</f>
        <v/>
      </c>
      <c r="AG390" s="14">
        <f>IF(ISNUMBER(AF390),AF390,"")</f>
        <v/>
      </c>
      <c r="AH390" s="14">
        <f>IF(ISNUMBER(AG390),_xlfn.RANK.EQ(AG390,$AG$2:$AG$1031),"")</f>
        <v/>
      </c>
    </row>
    <row r="391">
      <c r="A391" s="18" t="n">
        <v>902</v>
      </c>
      <c r="B391" s="18" t="inlineStr">
        <is>
          <t>سعيد محمد سعيد عبدالجواد فرج</t>
        </is>
      </c>
      <c r="C391" s="1" t="n">
        <v>626.2</v>
      </c>
      <c r="D391" s="1" t="n">
        <v>24</v>
      </c>
      <c r="E391" s="1" t="n">
        <v>25</v>
      </c>
      <c r="F391" s="1" t="n">
        <v>25</v>
      </c>
      <c r="G391" s="1">
        <f>C391+D391+E391+F391</f>
        <v/>
      </c>
      <c r="H391" s="1">
        <f>IF(ISNUMBER(G391),G391,"")</f>
        <v/>
      </c>
      <c r="I391" s="1">
        <f>_xlfn.RANK.EQ(H391,$H$2:$H$1031)</f>
        <v/>
      </c>
      <c r="J391" s="5" t="n">
        <v>610</v>
      </c>
      <c r="K391" s="5" t="n">
        <v>48</v>
      </c>
      <c r="L391" s="5" t="n">
        <v>21</v>
      </c>
      <c r="M391" s="5" t="n">
        <v>23</v>
      </c>
      <c r="N391" s="5">
        <f>J391+K391+L391+M391</f>
        <v/>
      </c>
      <c r="O391" s="5">
        <f>IF(ISNUMBER(N391),N391,"")</f>
        <v/>
      </c>
      <c r="P391" s="5">
        <f>_xlfn.RANK.EQ(O391,$O$2:$O$1031)</f>
        <v/>
      </c>
      <c r="Q391" s="9" t="n">
        <v>256</v>
      </c>
      <c r="R391" s="9" t="n">
        <v>47</v>
      </c>
      <c r="S391" s="9" t="n">
        <v>24</v>
      </c>
      <c r="T391" s="9" t="n">
        <v>25</v>
      </c>
      <c r="U391" s="9">
        <f>Q391+R391+S391+T391</f>
        <v/>
      </c>
      <c r="V391" s="9">
        <f>IF(ISNUMBER(U391),U391,"")</f>
        <v/>
      </c>
      <c r="W391" s="9">
        <f>_xlfn.RANK.EQ(V391,$V$2:$V$1031)</f>
        <v/>
      </c>
      <c r="X391" s="13" t="n">
        <v>1498.8958333333</v>
      </c>
      <c r="Y391" s="13" t="n">
        <v>24</v>
      </c>
      <c r="Z391" s="13" t="n">
        <v>25</v>
      </c>
      <c r="AA391" s="13" t="n">
        <v>23</v>
      </c>
      <c r="AB391" s="13">
        <f>IF(ISNUMBER(X391),X391+N(Y391)+N(Z391)+N(AA391),X391)</f>
        <v/>
      </c>
      <c r="AC391" s="13">
        <f>IF(ISNUMBER(AB391),AB391,"")</f>
        <v/>
      </c>
      <c r="AD391" s="13">
        <f>IF(ISNUMBER(AC391),_xlfn.RANK.EQ(AC391,$AC$2:$AC$1031),"")</f>
        <v/>
      </c>
      <c r="AE391" s="15">
        <f>IF(ISNUMBER(AF391),AF391/3630,"")</f>
        <v/>
      </c>
      <c r="AF391" s="14">
        <f>IFERROR(C391+D391+E391+F391+J391+K391+L391+M391+Q391+R391+S391+T391+IF(ISNUMBER(X391),X391,0)+N(Y391)+N(Z391)+N(AA391),"")</f>
        <v/>
      </c>
      <c r="AG391" s="14">
        <f>IF(ISNUMBER(AF391),AF391,"")</f>
        <v/>
      </c>
      <c r="AH391" s="14">
        <f>IF(ISNUMBER(AG391),_xlfn.RANK.EQ(AG391,$AG$2:$AG$1031),"")</f>
        <v/>
      </c>
    </row>
    <row r="392">
      <c r="A392" s="18" t="n">
        <v>906</v>
      </c>
      <c r="B392" s="18" t="inlineStr">
        <is>
          <t>سلسبيل متولي عبد الحميد احمد</t>
        </is>
      </c>
      <c r="C392" s="1" t="n">
        <v>555.5</v>
      </c>
      <c r="D392" s="1" t="n">
        <v>25</v>
      </c>
      <c r="E392" s="1" t="n">
        <v>22</v>
      </c>
      <c r="F392" s="1" t="n">
        <v>23</v>
      </c>
      <c r="G392" s="1">
        <f>C392+D392+E392+F392</f>
        <v/>
      </c>
      <c r="H392" s="1">
        <f>IF(ISNUMBER(G392),G392,"")</f>
        <v/>
      </c>
      <c r="I392" s="1">
        <f>_xlfn.RANK.EQ(H392,$H$2:$H$1031)</f>
        <v/>
      </c>
      <c r="J392" s="5" t="n">
        <v>549</v>
      </c>
      <c r="K392" s="5" t="n">
        <v>46</v>
      </c>
      <c r="L392" s="5" t="n">
        <v>20</v>
      </c>
      <c r="M392" s="5" t="n">
        <v>23</v>
      </c>
      <c r="N392" s="5">
        <f>J392+K392+L392+M392</f>
        <v/>
      </c>
      <c r="O392" s="5">
        <f>IF(ISNUMBER(N392),N392,"")</f>
        <v/>
      </c>
      <c r="P392" s="5">
        <f>_xlfn.RANK.EQ(O392,$O$2:$O$1031)</f>
        <v/>
      </c>
      <c r="Q392" s="9" t="n">
        <v>238.75</v>
      </c>
      <c r="R392" s="9" t="n">
        <v>46.5</v>
      </c>
      <c r="S392" s="9" t="n">
        <v>23</v>
      </c>
      <c r="T392" s="9" t="n">
        <v>25</v>
      </c>
      <c r="U392" s="9">
        <f>Q392+R392+S392+T392</f>
        <v/>
      </c>
      <c r="V392" s="9">
        <f>IF(ISNUMBER(U392),U392,"")</f>
        <v/>
      </c>
      <c r="W392" s="9">
        <f>_xlfn.RANK.EQ(V392,$V$2:$V$1031)</f>
        <v/>
      </c>
      <c r="X392" s="13" t="n">
        <v>1339.45</v>
      </c>
      <c r="Y392" s="13" t="n">
        <v>25</v>
      </c>
      <c r="Z392" s="13" t="n">
        <v>23.7</v>
      </c>
      <c r="AA392" s="13" t="n">
        <v>22</v>
      </c>
      <c r="AB392" s="13">
        <f>IF(ISNUMBER(X392),X392+N(Y392)+N(Z392)+N(AA392),X392)</f>
        <v/>
      </c>
      <c r="AC392" s="13">
        <f>IF(ISNUMBER(AB392),AB392,"")</f>
        <v/>
      </c>
      <c r="AD392" s="13">
        <f>IF(ISNUMBER(AC392),_xlfn.RANK.EQ(AC392,$AC$2:$AC$1031),"")</f>
        <v/>
      </c>
      <c r="AE392" s="15">
        <f>IF(ISNUMBER(AF392),AF392/3630,"")</f>
        <v/>
      </c>
      <c r="AF392" s="14">
        <f>IFERROR(C392+D392+E392+F392+J392+K392+L392+M392+Q392+R392+S392+T392+IF(ISNUMBER(X392),X392,0)+N(Y392)+N(Z392)+N(AA392),"")</f>
        <v/>
      </c>
      <c r="AG392" s="14">
        <f>IF(ISNUMBER(AF392),AF392,"")</f>
        <v/>
      </c>
      <c r="AH392" s="14">
        <f>IF(ISNUMBER(AG392),_xlfn.RANK.EQ(AG392,$AG$2:$AG$1031),"")</f>
        <v/>
      </c>
    </row>
    <row r="393">
      <c r="A393" s="18" t="n">
        <v>910</v>
      </c>
      <c r="B393" s="18" t="inlineStr">
        <is>
          <t>سلمى احمد محمد السيد</t>
        </is>
      </c>
      <c r="C393" s="1" t="n">
        <v>581.5</v>
      </c>
      <c r="D393" s="1" t="n">
        <v>25</v>
      </c>
      <c r="E393" s="1" t="n">
        <v>24</v>
      </c>
      <c r="F393" s="1" t="n">
        <v>22</v>
      </c>
      <c r="G393" s="1">
        <f>C393+D393+E393+F393</f>
        <v/>
      </c>
      <c r="H393" s="1">
        <f>IF(ISNUMBER(G393),G393,"")</f>
        <v/>
      </c>
      <c r="I393" s="1">
        <f>_xlfn.RANK.EQ(H393,$H$2:$H$1031)</f>
        <v/>
      </c>
      <c r="J393" s="5" t="n">
        <v>592.9</v>
      </c>
      <c r="K393" s="5" t="n">
        <v>47</v>
      </c>
      <c r="L393" s="5" t="n">
        <v>22</v>
      </c>
      <c r="M393" s="5" t="n">
        <v>21</v>
      </c>
      <c r="N393" s="5">
        <f>J393+K393+L393+M393</f>
        <v/>
      </c>
      <c r="O393" s="5">
        <f>IF(ISNUMBER(N393),N393,"")</f>
        <v/>
      </c>
      <c r="P393" s="5">
        <f>_xlfn.RANK.EQ(O393,$O$2:$O$1031)</f>
        <v/>
      </c>
      <c r="Q393" s="9" t="n">
        <v>255</v>
      </c>
      <c r="R393" s="9" t="n">
        <v>47.5</v>
      </c>
      <c r="S393" s="9" t="n">
        <v>25</v>
      </c>
      <c r="T393" s="9" t="n">
        <v>23</v>
      </c>
      <c r="U393" s="9">
        <f>Q393+R393+S393+T393</f>
        <v/>
      </c>
      <c r="V393" s="9">
        <f>IF(ISNUMBER(U393),U393,"")</f>
        <v/>
      </c>
      <c r="W393" s="9">
        <f>_xlfn.RANK.EQ(V393,$V$2:$V$1031)</f>
        <v/>
      </c>
      <c r="X393" s="13" t="n">
        <v>1398.9833333333</v>
      </c>
      <c r="Y393" s="13" t="n">
        <v>22</v>
      </c>
      <c r="Z393" s="13" t="n">
        <v>22.37</v>
      </c>
      <c r="AA393" s="13" t="n">
        <v>24</v>
      </c>
      <c r="AB393" s="13">
        <f>IF(ISNUMBER(X393),X393+N(Y393)+N(Z393)+N(AA393),X393)</f>
        <v/>
      </c>
      <c r="AC393" s="13">
        <f>IF(ISNUMBER(AB393),AB393,"")</f>
        <v/>
      </c>
      <c r="AD393" s="13">
        <f>IF(ISNUMBER(AC393),_xlfn.RANK.EQ(AC393,$AC$2:$AC$1031),"")</f>
        <v/>
      </c>
      <c r="AE393" s="15">
        <f>IF(ISNUMBER(AF393),AF393/3630,"")</f>
        <v/>
      </c>
      <c r="AF393" s="14">
        <f>IFERROR(C393+D393+E393+F393+J393+K393+L393+M393+Q393+R393+S393+T393+IF(ISNUMBER(X393),X393,0)+N(Y393)+N(Z393)+N(AA393),"")</f>
        <v/>
      </c>
      <c r="AG393" s="14">
        <f>IF(ISNUMBER(AF393),AF393,"")</f>
        <v/>
      </c>
      <c r="AH393" s="14">
        <f>IF(ISNUMBER(AG393),_xlfn.RANK.EQ(AG393,$AG$2:$AG$1031),"")</f>
        <v/>
      </c>
    </row>
    <row r="394">
      <c r="A394" s="18" t="n">
        <v>912</v>
      </c>
      <c r="B394" s="18" t="inlineStr">
        <is>
          <t>سلمى سليمان  عبدالعزيز  سليمان</t>
        </is>
      </c>
      <c r="C394" s="1" t="n">
        <v>531.7</v>
      </c>
      <c r="D394" s="1" t="n">
        <v>20</v>
      </c>
      <c r="E394" s="1" t="n">
        <v>20</v>
      </c>
      <c r="F394" s="1" t="n">
        <v>17</v>
      </c>
      <c r="G394" s="1">
        <f>C394+D394+E394+F394</f>
        <v/>
      </c>
      <c r="H394" s="1">
        <f>IF(ISNUMBER(G394),G394,"")</f>
        <v/>
      </c>
      <c r="I394" s="1">
        <f>_xlfn.RANK.EQ(H394,$H$2:$H$1031)</f>
        <v/>
      </c>
      <c r="J394" s="5" t="n">
        <v>470</v>
      </c>
      <c r="K394" s="5" t="n">
        <v>34</v>
      </c>
      <c r="L394" s="5" t="n">
        <v>17</v>
      </c>
      <c r="M394" s="5" t="n">
        <v>18</v>
      </c>
      <c r="N394" s="5">
        <f>J394+K394+L394+M394</f>
        <v/>
      </c>
      <c r="O394" s="5">
        <f>IF(ISNUMBER(N394),N394,"")</f>
        <v/>
      </c>
      <c r="P394" s="5">
        <f>_xlfn.RANK.EQ(O394,$O$2:$O$1031)</f>
        <v/>
      </c>
      <c r="Q394" s="9" t="n">
        <v>217.5</v>
      </c>
      <c r="R394" s="9" t="n">
        <v>41</v>
      </c>
      <c r="S394" s="9" t="n">
        <v>25</v>
      </c>
      <c r="T394" s="9" t="n">
        <v>24</v>
      </c>
      <c r="U394" s="9">
        <f>Q394+R394+S394+T394</f>
        <v/>
      </c>
      <c r="V394" s="9">
        <f>IF(ISNUMBER(U394),U394,"")</f>
        <v/>
      </c>
      <c r="W394" s="9">
        <f>_xlfn.RANK.EQ(V394,$V$2:$V$1031)</f>
        <v/>
      </c>
      <c r="X394" s="13" t="n">
        <v>1254.9625</v>
      </c>
      <c r="Y394" s="13" t="n">
        <v>24.5</v>
      </c>
      <c r="Z394" s="13" t="n">
        <v>23.37</v>
      </c>
      <c r="AA394" s="13" t="n">
        <v>24</v>
      </c>
      <c r="AB394" s="13">
        <f>IF(ISNUMBER(X394),X394+N(Y394)+N(Z394)+N(AA394),X394)</f>
        <v/>
      </c>
      <c r="AC394" s="13">
        <f>IF(ISNUMBER(AB394),AB394,"")</f>
        <v/>
      </c>
      <c r="AD394" s="13">
        <f>IF(ISNUMBER(AC394),_xlfn.RANK.EQ(AC394,$AC$2:$AC$1031),"")</f>
        <v/>
      </c>
      <c r="AE394" s="15">
        <f>IF(ISNUMBER(AF394),AF394/3630,"")</f>
        <v/>
      </c>
      <c r="AF394" s="14">
        <f>IFERROR(C394+D394+E394+F394+J394+K394+L394+M394+Q394+R394+S394+T394+IF(ISNUMBER(X394),X394,0)+N(Y394)+N(Z394)+N(AA394),"")</f>
        <v/>
      </c>
      <c r="AG394" s="14">
        <f>IF(ISNUMBER(AF394),AF394,"")</f>
        <v/>
      </c>
      <c r="AH394" s="14">
        <f>IF(ISNUMBER(AG394),_xlfn.RANK.EQ(AG394,$AG$2:$AG$1031),"")</f>
        <v/>
      </c>
    </row>
    <row r="395">
      <c r="A395" s="18" t="n">
        <v>913</v>
      </c>
      <c r="B395" s="18" t="inlineStr">
        <is>
          <t>سلمى شحات فاروق عبد الرحمن محمد</t>
        </is>
      </c>
      <c r="C395" s="1" t="n">
        <v>615</v>
      </c>
      <c r="D395" s="1" t="n">
        <v>25</v>
      </c>
      <c r="E395" s="1" t="n">
        <v>25</v>
      </c>
      <c r="F395" s="1" t="n">
        <v>24</v>
      </c>
      <c r="G395" s="1">
        <f>C395+D395+E395+F395</f>
        <v/>
      </c>
      <c r="H395" s="1">
        <f>IF(ISNUMBER(G395),G395,"")</f>
        <v/>
      </c>
      <c r="I395" s="1">
        <f>_xlfn.RANK.EQ(H395,$H$2:$H$1031)</f>
        <v/>
      </c>
      <c r="J395" s="5" t="n">
        <v>616.35</v>
      </c>
      <c r="K395" s="5" t="n">
        <v>49</v>
      </c>
      <c r="L395" s="5" t="n">
        <v>22</v>
      </c>
      <c r="M395" s="5" t="n">
        <v>25</v>
      </c>
      <c r="N395" s="5">
        <f>J395+K395+L395+M395</f>
        <v/>
      </c>
      <c r="O395" s="5">
        <f>IF(ISNUMBER(N395),N395,"")</f>
        <v/>
      </c>
      <c r="P395" s="5">
        <f>_xlfn.RANK.EQ(O395,$O$2:$O$1031)</f>
        <v/>
      </c>
      <c r="Q395" s="9" t="n">
        <v>280</v>
      </c>
      <c r="R395" s="9" t="n">
        <v>49.5</v>
      </c>
      <c r="S395" s="9" t="n">
        <v>23</v>
      </c>
      <c r="T395" s="9" t="n">
        <v>24</v>
      </c>
      <c r="U395" s="9">
        <f>Q395+R395+S395+T395</f>
        <v/>
      </c>
      <c r="V395" s="9">
        <f>IF(ISNUMBER(U395),U395,"")</f>
        <v/>
      </c>
      <c r="W395" s="9">
        <f>_xlfn.RANK.EQ(V395,$V$2:$V$1031)</f>
        <v/>
      </c>
      <c r="X395" s="13" t="inlineStr">
        <is>
          <t>غ ب</t>
        </is>
      </c>
      <c r="Y395" s="13" t="n">
        <v>24</v>
      </c>
      <c r="Z395" s="13" t="n">
        <v>24.03</v>
      </c>
      <c r="AA395" s="13" t="n">
        <v>25</v>
      </c>
      <c r="AB395" s="13">
        <f>IF(ISNUMBER(X395),X395+N(Y395)+N(Z395)+N(AA395),X395)</f>
        <v/>
      </c>
      <c r="AC395" s="13">
        <f>IF(ISNUMBER(AB395),AB395,"")</f>
        <v/>
      </c>
      <c r="AD395" s="13">
        <f>IF(ISNUMBER(AC395),_xlfn.RANK.EQ(AC395,$AC$2:$AC$1031),"")</f>
        <v/>
      </c>
      <c r="AE395" s="15">
        <f>IF(ISNUMBER(AF395),AF395/3630,"")</f>
        <v/>
      </c>
      <c r="AF395" s="14">
        <f>IFERROR(C395+D395+E395+F395+J395+K395+L395+M395+Q395+R395+S395+T395+IF(ISNUMBER(X395),X395,0)+N(Y395)+N(Z395)+N(AA395),"")</f>
        <v/>
      </c>
      <c r="AG395" s="14">
        <f>IF(ISNUMBER(AF395),AF395,"")</f>
        <v/>
      </c>
      <c r="AH395" s="14">
        <f>IF(ISNUMBER(AG395),_xlfn.RANK.EQ(AG395,$AG$2:$AG$1031),"")</f>
        <v/>
      </c>
    </row>
    <row r="396">
      <c r="A396" s="18" t="n">
        <v>915</v>
      </c>
      <c r="B396" s="18" t="inlineStr">
        <is>
          <t>سلمى عباده على على القاضى</t>
        </is>
      </c>
      <c r="C396" s="1" t="n">
        <v>566.4</v>
      </c>
      <c r="D396" s="1" t="n">
        <v>25</v>
      </c>
      <c r="E396" s="1" t="n">
        <v>24</v>
      </c>
      <c r="F396" s="1" t="n">
        <v>23</v>
      </c>
      <c r="G396" s="1">
        <f>C396+D396+E396+F396</f>
        <v/>
      </c>
      <c r="H396" s="1">
        <f>IF(ISNUMBER(G396),G396,"")</f>
        <v/>
      </c>
      <c r="I396" s="1">
        <f>_xlfn.RANK.EQ(H396,$H$2:$H$1031)</f>
        <v/>
      </c>
      <c r="J396" s="5" t="n">
        <v>574.5</v>
      </c>
      <c r="K396" s="5" t="n">
        <v>47</v>
      </c>
      <c r="L396" s="5" t="n">
        <v>24</v>
      </c>
      <c r="M396" s="5" t="n">
        <v>24</v>
      </c>
      <c r="N396" s="5">
        <f>J396+K396+L396+M396</f>
        <v/>
      </c>
      <c r="O396" s="5">
        <f>IF(ISNUMBER(N396),N396,"")</f>
        <v/>
      </c>
      <c r="P396" s="5">
        <f>_xlfn.RANK.EQ(O396,$O$2:$O$1031)</f>
        <v/>
      </c>
      <c r="Q396" s="9" t="n">
        <v>258</v>
      </c>
      <c r="R396" s="9" t="n">
        <v>46.5</v>
      </c>
      <c r="S396" s="9" t="n">
        <v>22</v>
      </c>
      <c r="T396" s="9" t="n">
        <v>25</v>
      </c>
      <c r="U396" s="9">
        <f>Q396+R396+S396+T396</f>
        <v/>
      </c>
      <c r="V396" s="9">
        <f>IF(ISNUMBER(U396),U396,"")</f>
        <v/>
      </c>
      <c r="W396" s="9">
        <f>_xlfn.RANK.EQ(V396,$V$2:$V$1031)</f>
        <v/>
      </c>
      <c r="X396" s="13" t="n">
        <v>1438.2875</v>
      </c>
      <c r="Y396" s="13" t="n">
        <v>25</v>
      </c>
      <c r="Z396" s="13" t="n">
        <v>23.87</v>
      </c>
      <c r="AA396" s="13" t="n">
        <v>25</v>
      </c>
      <c r="AB396" s="13">
        <f>IF(ISNUMBER(X396),X396+N(Y396)+N(Z396)+N(AA396),X396)</f>
        <v/>
      </c>
      <c r="AC396" s="13">
        <f>IF(ISNUMBER(AB396),AB396,"")</f>
        <v/>
      </c>
      <c r="AD396" s="13">
        <f>IF(ISNUMBER(AC396),_xlfn.RANK.EQ(AC396,$AC$2:$AC$1031),"")</f>
        <v/>
      </c>
      <c r="AE396" s="15">
        <f>IF(ISNUMBER(AF396),AF396/3630,"")</f>
        <v/>
      </c>
      <c r="AF396" s="14">
        <f>IFERROR(C396+D396+E396+F396+J396+K396+L396+M396+Q396+R396+S396+T396+IF(ISNUMBER(X396),X396,0)+N(Y396)+N(Z396)+N(AA396),"")</f>
        <v/>
      </c>
      <c r="AG396" s="14">
        <f>IF(ISNUMBER(AF396),AF396,"")</f>
        <v/>
      </c>
      <c r="AH396" s="14">
        <f>IF(ISNUMBER(AG396),_xlfn.RANK.EQ(AG396,$AG$2:$AG$1031),"")</f>
        <v/>
      </c>
    </row>
    <row r="397">
      <c r="A397" s="18" t="n">
        <v>916</v>
      </c>
      <c r="B397" s="18" t="inlineStr">
        <is>
          <t>سلمى علاء الدين  محمد محمد هاشم</t>
        </is>
      </c>
      <c r="C397" s="1" t="n">
        <v>639.7</v>
      </c>
      <c r="D397" s="1" t="n">
        <v>25</v>
      </c>
      <c r="E397" s="1" t="n">
        <v>25</v>
      </c>
      <c r="F397" s="1" t="n">
        <v>22</v>
      </c>
      <c r="G397" s="1">
        <f>C397+D397+E397+F397</f>
        <v/>
      </c>
      <c r="H397" s="1">
        <f>IF(ISNUMBER(G397),G397,"")</f>
        <v/>
      </c>
      <c r="I397" s="1">
        <f>_xlfn.RANK.EQ(H397,$H$2:$H$1031)</f>
        <v/>
      </c>
      <c r="J397" s="5" t="n">
        <v>601</v>
      </c>
      <c r="K397" s="5" t="n">
        <v>47</v>
      </c>
      <c r="L397" s="5" t="n">
        <v>22</v>
      </c>
      <c r="M397" s="5" t="n">
        <v>23</v>
      </c>
      <c r="N397" s="5">
        <f>J397+K397+L397+M397</f>
        <v/>
      </c>
      <c r="O397" s="5">
        <f>IF(ISNUMBER(N397),N397,"")</f>
        <v/>
      </c>
      <c r="P397" s="5">
        <f>_xlfn.RANK.EQ(O397,$O$2:$O$1031)</f>
        <v/>
      </c>
      <c r="Q397" s="9" t="n">
        <v>230.5</v>
      </c>
      <c r="R397" s="9" t="n">
        <v>45</v>
      </c>
      <c r="S397" s="9" t="n">
        <v>25</v>
      </c>
      <c r="T397" s="9" t="n">
        <v>25</v>
      </c>
      <c r="U397" s="9">
        <f>Q397+R397+S397+T397</f>
        <v/>
      </c>
      <c r="V397" s="9">
        <f>IF(ISNUMBER(U397),U397,"")</f>
        <v/>
      </c>
      <c r="W397" s="9">
        <f>_xlfn.RANK.EQ(V397,$V$2:$V$1031)</f>
        <v/>
      </c>
      <c r="X397" s="13" t="n">
        <v>1307.5958333333</v>
      </c>
      <c r="Y397" s="13" t="n">
        <v>22</v>
      </c>
      <c r="Z397" s="13" t="n">
        <v>24.12</v>
      </c>
      <c r="AA397" s="13" t="n">
        <v>24</v>
      </c>
      <c r="AB397" s="13">
        <f>IF(ISNUMBER(X397),X397+N(Y397)+N(Z397)+N(AA397),X397)</f>
        <v/>
      </c>
      <c r="AC397" s="13">
        <f>IF(ISNUMBER(AB397),AB397,"")</f>
        <v/>
      </c>
      <c r="AD397" s="13">
        <f>IF(ISNUMBER(AC397),_xlfn.RANK.EQ(AC397,$AC$2:$AC$1031),"")</f>
        <v/>
      </c>
      <c r="AE397" s="15">
        <f>IF(ISNUMBER(AF397),AF397/3630,"")</f>
        <v/>
      </c>
      <c r="AF397" s="14">
        <f>IFERROR(C397+D397+E397+F397+J397+K397+L397+M397+Q397+R397+S397+T397+IF(ISNUMBER(X397),X397,0)+N(Y397)+N(Z397)+N(AA397),"")</f>
        <v/>
      </c>
      <c r="AG397" s="14">
        <f>IF(ISNUMBER(AF397),AF397,"")</f>
        <v/>
      </c>
      <c r="AH397" s="14">
        <f>IF(ISNUMBER(AG397),_xlfn.RANK.EQ(AG397,$AG$2:$AG$1031),"")</f>
        <v/>
      </c>
    </row>
    <row r="398">
      <c r="A398" s="18" t="n">
        <v>918</v>
      </c>
      <c r="B398" s="18" t="inlineStr">
        <is>
          <t>سلمى محمد السيد احمد</t>
        </is>
      </c>
      <c r="C398" s="1" t="n">
        <v>602.6</v>
      </c>
      <c r="D398" s="1" t="n">
        <v>24</v>
      </c>
      <c r="E398" s="1" t="n">
        <v>24</v>
      </c>
      <c r="F398" s="1" t="n">
        <v>24</v>
      </c>
      <c r="G398" s="1">
        <f>C398+D398+E398+F398</f>
        <v/>
      </c>
      <c r="H398" s="1">
        <f>IF(ISNUMBER(G398),G398,"")</f>
        <v/>
      </c>
      <c r="I398" s="1">
        <f>_xlfn.RANK.EQ(H398,$H$2:$H$1031)</f>
        <v/>
      </c>
      <c r="J398" s="5" t="n">
        <v>571</v>
      </c>
      <c r="K398" s="5" t="n">
        <v>47</v>
      </c>
      <c r="L398" s="5" t="n">
        <v>21</v>
      </c>
      <c r="M398" s="5" t="n">
        <v>24</v>
      </c>
      <c r="N398" s="5">
        <f>J398+K398+L398+M398</f>
        <v/>
      </c>
      <c r="O398" s="5">
        <f>IF(ISNUMBER(N398),N398,"")</f>
        <v/>
      </c>
      <c r="P398" s="5">
        <f>_xlfn.RANK.EQ(O398,$O$2:$O$1031)</f>
        <v/>
      </c>
      <c r="Q398" s="9" t="n">
        <v>229</v>
      </c>
      <c r="R398" s="9" t="n">
        <v>47.5</v>
      </c>
      <c r="S398" s="9" t="n">
        <v>25</v>
      </c>
      <c r="T398" s="9" t="n">
        <v>24</v>
      </c>
      <c r="U398" s="9">
        <f>Q398+R398+S398+T398</f>
        <v/>
      </c>
      <c r="V398" s="9">
        <f>IF(ISNUMBER(U398),U398,"")</f>
        <v/>
      </c>
      <c r="W398" s="9">
        <f>_xlfn.RANK.EQ(V398,$V$2:$V$1031)</f>
        <v/>
      </c>
      <c r="X398" s="13" t="n">
        <v>1277.7041666667</v>
      </c>
      <c r="Y398" s="13" t="n">
        <v>23.5</v>
      </c>
      <c r="Z398" s="13" t="n">
        <v>24.12</v>
      </c>
      <c r="AA398" s="13" t="n">
        <v>25</v>
      </c>
      <c r="AB398" s="13">
        <f>IF(ISNUMBER(X398),X398+N(Y398)+N(Z398)+N(AA398),X398)</f>
        <v/>
      </c>
      <c r="AC398" s="13">
        <f>IF(ISNUMBER(AB398),AB398,"")</f>
        <v/>
      </c>
      <c r="AD398" s="13">
        <f>IF(ISNUMBER(AC398),_xlfn.RANK.EQ(AC398,$AC$2:$AC$1031),"")</f>
        <v/>
      </c>
      <c r="AE398" s="15">
        <f>IF(ISNUMBER(AF398),AF398/3630,"")</f>
        <v/>
      </c>
      <c r="AF398" s="14">
        <f>IFERROR(C398+D398+E398+F398+J398+K398+L398+M398+Q398+R398+S398+T398+IF(ISNUMBER(X398),X398,0)+N(Y398)+N(Z398)+N(AA398),"")</f>
        <v/>
      </c>
      <c r="AG398" s="14">
        <f>IF(ISNUMBER(AF398),AF398,"")</f>
        <v/>
      </c>
      <c r="AH398" s="14">
        <f>IF(ISNUMBER(AG398),_xlfn.RANK.EQ(AG398,$AG$2:$AG$1031),"")</f>
        <v/>
      </c>
    </row>
    <row r="399">
      <c r="A399" s="18" t="n">
        <v>919</v>
      </c>
      <c r="B399" s="18" t="inlineStr">
        <is>
          <t>سلمى محمد أحمد السيد منصور</t>
        </is>
      </c>
      <c r="C399" s="1" t="n">
        <v>634.3</v>
      </c>
      <c r="D399" s="1" t="n">
        <v>25</v>
      </c>
      <c r="E399" s="1" t="n">
        <v>24</v>
      </c>
      <c r="F399" s="1" t="n">
        <v>24</v>
      </c>
      <c r="G399" s="1">
        <f>C399+D399+E399+F399</f>
        <v/>
      </c>
      <c r="H399" s="1">
        <f>IF(ISNUMBER(G399),G399,"")</f>
        <v/>
      </c>
      <c r="I399" s="1">
        <f>_xlfn.RANK.EQ(H399,$H$2:$H$1031)</f>
        <v/>
      </c>
      <c r="J399" s="5" t="n">
        <v>611.85</v>
      </c>
      <c r="K399" s="5" t="n">
        <v>47</v>
      </c>
      <c r="L399" s="5" t="n">
        <v>21</v>
      </c>
      <c r="M399" s="5" t="n">
        <v>24</v>
      </c>
      <c r="N399" s="5">
        <f>J399+K399+L399+M399</f>
        <v/>
      </c>
      <c r="O399" s="5">
        <f>IF(ISNUMBER(N399),N399,"")</f>
        <v/>
      </c>
      <c r="P399" s="5">
        <f>_xlfn.RANK.EQ(O399,$O$2:$O$1031)</f>
        <v/>
      </c>
      <c r="Q399" s="9" t="n">
        <v>263</v>
      </c>
      <c r="R399" s="9" t="n">
        <v>46</v>
      </c>
      <c r="S399" s="9" t="n">
        <v>25</v>
      </c>
      <c r="T399" s="9" t="n">
        <v>25</v>
      </c>
      <c r="U399" s="9">
        <f>Q399+R399+S399+T399</f>
        <v/>
      </c>
      <c r="V399" s="9">
        <f>IF(ISNUMBER(U399),U399,"")</f>
        <v/>
      </c>
      <c r="W399" s="9">
        <f>_xlfn.RANK.EQ(V399,$V$2:$V$1031)</f>
        <v/>
      </c>
      <c r="X399" s="13" t="n">
        <v>1465.9958333333</v>
      </c>
      <c r="Y399" s="13" t="n">
        <v>24.5</v>
      </c>
      <c r="Z399" s="13" t="n">
        <v>24.2</v>
      </c>
      <c r="AA399" s="13" t="n">
        <v>23</v>
      </c>
      <c r="AB399" s="13">
        <f>IF(ISNUMBER(X399),X399+N(Y399)+N(Z399)+N(AA399),X399)</f>
        <v/>
      </c>
      <c r="AC399" s="13">
        <f>IF(ISNUMBER(AB399),AB399,"")</f>
        <v/>
      </c>
      <c r="AD399" s="13">
        <f>IF(ISNUMBER(AC399),_xlfn.RANK.EQ(AC399,$AC$2:$AC$1031),"")</f>
        <v/>
      </c>
      <c r="AE399" s="15">
        <f>IF(ISNUMBER(AF399),AF399/3630,"")</f>
        <v/>
      </c>
      <c r="AF399" s="14">
        <f>IFERROR(C399+D399+E399+F399+J399+K399+L399+M399+Q399+R399+S399+T399+IF(ISNUMBER(X399),X399,0)+N(Y399)+N(Z399)+N(AA399),"")</f>
        <v/>
      </c>
      <c r="AG399" s="14">
        <f>IF(ISNUMBER(AF399),AF399,"")</f>
        <v/>
      </c>
      <c r="AH399" s="14">
        <f>IF(ISNUMBER(AG399),_xlfn.RANK.EQ(AG399,$AG$2:$AG$1031),"")</f>
        <v/>
      </c>
    </row>
    <row r="400">
      <c r="A400" s="18" t="n">
        <v>920</v>
      </c>
      <c r="B400" s="18" t="inlineStr">
        <is>
          <t>سلمى محمد شوقى احمد</t>
        </is>
      </c>
      <c r="C400" s="1" t="n">
        <v>648.9</v>
      </c>
      <c r="D400" s="1" t="n">
        <v>25</v>
      </c>
      <c r="E400" s="1" t="n">
        <v>24</v>
      </c>
      <c r="F400" s="1" t="n">
        <v>24</v>
      </c>
      <c r="G400" s="1">
        <f>C400+D400+E400+F400</f>
        <v/>
      </c>
      <c r="H400" s="1">
        <f>IF(ISNUMBER(G400),G400,"")</f>
        <v/>
      </c>
      <c r="I400" s="1">
        <f>_xlfn.RANK.EQ(H400,$H$2:$H$1031)</f>
        <v/>
      </c>
      <c r="J400" s="5" t="n">
        <v>624.7</v>
      </c>
      <c r="K400" s="5" t="n">
        <v>48</v>
      </c>
      <c r="L400" s="5" t="n">
        <v>23</v>
      </c>
      <c r="M400" s="5" t="n">
        <v>24</v>
      </c>
      <c r="N400" s="5">
        <f>J400+K400+L400+M400</f>
        <v/>
      </c>
      <c r="O400" s="5">
        <f>IF(ISNUMBER(N400),N400,"")</f>
        <v/>
      </c>
      <c r="P400" s="5">
        <f>_xlfn.RANK.EQ(O400,$O$2:$O$1031)</f>
        <v/>
      </c>
      <c r="Q400" s="9" t="n">
        <v>276</v>
      </c>
      <c r="R400" s="9" t="n">
        <v>48</v>
      </c>
      <c r="S400" s="9" t="n">
        <v>25</v>
      </c>
      <c r="T400" s="9" t="n">
        <v>24</v>
      </c>
      <c r="U400" s="9">
        <f>Q400+R400+S400+T400</f>
        <v/>
      </c>
      <c r="V400" s="9">
        <f>IF(ISNUMBER(U400),U400,"")</f>
        <v/>
      </c>
      <c r="W400" s="9">
        <f>_xlfn.RANK.EQ(V400,$V$2:$V$1031)</f>
        <v/>
      </c>
      <c r="X400" s="13" t="n">
        <v>1502.8333333333</v>
      </c>
      <c r="Y400" s="13" t="n">
        <v>24</v>
      </c>
      <c r="Z400" s="13" t="n">
        <v>18.8</v>
      </c>
      <c r="AA400" s="13" t="n">
        <v>24</v>
      </c>
      <c r="AB400" s="13">
        <f>IF(ISNUMBER(X400),X400+N(Y400)+N(Z400)+N(AA400),X400)</f>
        <v/>
      </c>
      <c r="AC400" s="13">
        <f>IF(ISNUMBER(AB400),AB400,"")</f>
        <v/>
      </c>
      <c r="AD400" s="13">
        <f>IF(ISNUMBER(AC400),_xlfn.RANK.EQ(AC400,$AC$2:$AC$1031),"")</f>
        <v/>
      </c>
      <c r="AE400" s="15">
        <f>IF(ISNUMBER(AF400),AF400/3630,"")</f>
        <v/>
      </c>
      <c r="AF400" s="14">
        <f>IFERROR(C400+D400+E400+F400+J400+K400+L400+M400+Q400+R400+S400+T400+IF(ISNUMBER(X400),X400,0)+N(Y400)+N(Z400)+N(AA400),"")</f>
        <v/>
      </c>
      <c r="AG400" s="14">
        <f>IF(ISNUMBER(AF400),AF400,"")</f>
        <v/>
      </c>
      <c r="AH400" s="14">
        <f>IF(ISNUMBER(AG400),_xlfn.RANK.EQ(AG400,$AG$2:$AG$1031),"")</f>
        <v/>
      </c>
    </row>
    <row r="401">
      <c r="A401" s="18" t="n">
        <v>921</v>
      </c>
      <c r="B401" s="18" t="inlineStr">
        <is>
          <t>سلمى محمد مصطفى عريبي</t>
        </is>
      </c>
      <c r="C401" s="1" t="n">
        <v>565.5</v>
      </c>
      <c r="D401" s="1" t="n">
        <v>25</v>
      </c>
      <c r="E401" s="1" t="n">
        <v>23</v>
      </c>
      <c r="F401" s="1" t="n">
        <v>21</v>
      </c>
      <c r="G401" s="1">
        <f>C401+D401+E401+F401</f>
        <v/>
      </c>
      <c r="H401" s="1">
        <f>IF(ISNUMBER(G401),G401,"")</f>
        <v/>
      </c>
      <c r="I401" s="1">
        <f>_xlfn.RANK.EQ(H401,$H$2:$H$1031)</f>
        <v/>
      </c>
      <c r="J401" s="5" t="n">
        <v>454</v>
      </c>
      <c r="K401" s="5" t="n">
        <v>37</v>
      </c>
      <c r="L401" s="5" t="n">
        <v>19</v>
      </c>
      <c r="M401" s="5" t="n">
        <v>15</v>
      </c>
      <c r="N401" s="5">
        <f>J401+K401+L401+M401</f>
        <v/>
      </c>
      <c r="O401" s="5">
        <f>IF(ISNUMBER(N401),N401,"")</f>
        <v/>
      </c>
      <c r="P401" s="5">
        <f>_xlfn.RANK.EQ(O401,$O$2:$O$1031)</f>
        <v/>
      </c>
      <c r="Q401" s="9" t="n">
        <v>256.5</v>
      </c>
      <c r="R401" s="9" t="n">
        <v>47</v>
      </c>
      <c r="S401" s="9" t="n">
        <v>25</v>
      </c>
      <c r="T401" s="9" t="n">
        <v>25</v>
      </c>
      <c r="U401" s="9">
        <f>Q401+R401+S401+T401</f>
        <v/>
      </c>
      <c r="V401" s="9">
        <f>IF(ISNUMBER(U401),U401,"")</f>
        <v/>
      </c>
      <c r="W401" s="9">
        <f>_xlfn.RANK.EQ(V401,$V$2:$V$1031)</f>
        <v/>
      </c>
      <c r="X401" s="13" t="n">
        <v>1347.1333333333</v>
      </c>
      <c r="Y401" s="13" t="n">
        <v>24</v>
      </c>
      <c r="Z401" s="13" t="n">
        <v>23.8</v>
      </c>
      <c r="AA401" s="13" t="n">
        <v>24</v>
      </c>
      <c r="AB401" s="13">
        <f>IF(ISNUMBER(X401),X401+N(Y401)+N(Z401)+N(AA401),X401)</f>
        <v/>
      </c>
      <c r="AC401" s="13">
        <f>IF(ISNUMBER(AB401),AB401,"")</f>
        <v/>
      </c>
      <c r="AD401" s="13">
        <f>IF(ISNUMBER(AC401),_xlfn.RANK.EQ(AC401,$AC$2:$AC$1031),"")</f>
        <v/>
      </c>
      <c r="AE401" s="15">
        <f>IF(ISNUMBER(AF401),AF401/3630,"")</f>
        <v/>
      </c>
      <c r="AF401" s="14">
        <f>IFERROR(C401+D401+E401+F401+J401+K401+L401+M401+Q401+R401+S401+T401+IF(ISNUMBER(X401),X401,0)+N(Y401)+N(Z401)+N(AA401),"")</f>
        <v/>
      </c>
      <c r="AG401" s="14">
        <f>IF(ISNUMBER(AF401),AF401,"")</f>
        <v/>
      </c>
      <c r="AH401" s="14">
        <f>IF(ISNUMBER(AG401),_xlfn.RANK.EQ(AG401,$AG$2:$AG$1031),"")</f>
        <v/>
      </c>
    </row>
    <row r="402">
      <c r="A402" s="18" t="n">
        <v>923</v>
      </c>
      <c r="B402" s="18" t="inlineStr">
        <is>
          <t>سلمى هانى صلاح الدين  هانى</t>
        </is>
      </c>
      <c r="C402" s="1" t="n">
        <v>649.6</v>
      </c>
      <c r="D402" s="1" t="n">
        <v>25</v>
      </c>
      <c r="E402" s="1" t="n">
        <v>22</v>
      </c>
      <c r="F402" s="1" t="n">
        <v>24</v>
      </c>
      <c r="G402" s="1">
        <f>C402+D402+E402+F402</f>
        <v/>
      </c>
      <c r="H402" s="1">
        <f>IF(ISNUMBER(G402),G402,"")</f>
        <v/>
      </c>
      <c r="I402" s="1">
        <f>_xlfn.RANK.EQ(H402,$H$2:$H$1031)</f>
        <v/>
      </c>
      <c r="J402" s="5" t="n">
        <v>614.4</v>
      </c>
      <c r="K402" s="5" t="n">
        <v>48</v>
      </c>
      <c r="L402" s="5" t="n">
        <v>23</v>
      </c>
      <c r="M402" s="5" t="n">
        <v>24</v>
      </c>
      <c r="N402" s="5">
        <f>J402+K402+L402+M402</f>
        <v/>
      </c>
      <c r="O402" s="5">
        <f>IF(ISNUMBER(N402),N402,"")</f>
        <v/>
      </c>
      <c r="P402" s="5">
        <f>_xlfn.RANK.EQ(O402,$O$2:$O$1031)</f>
        <v/>
      </c>
      <c r="Q402" s="9" t="n">
        <v>271</v>
      </c>
      <c r="R402" s="9" t="n">
        <v>47</v>
      </c>
      <c r="S402" s="9" t="n">
        <v>23</v>
      </c>
      <c r="T402" s="9" t="n">
        <v>25</v>
      </c>
      <c r="U402" s="9">
        <f>Q402+R402+S402+T402</f>
        <v/>
      </c>
      <c r="V402" s="9">
        <f>IF(ISNUMBER(U402),U402,"")</f>
        <v/>
      </c>
      <c r="W402" s="9">
        <f>_xlfn.RANK.EQ(V402,$V$2:$V$1031)</f>
        <v/>
      </c>
      <c r="X402" s="13" t="n">
        <v>1401.3291666667</v>
      </c>
      <c r="Y402" s="13" t="n">
        <v>25</v>
      </c>
      <c r="Z402" s="13" t="n">
        <v>21.72</v>
      </c>
      <c r="AA402" s="13" t="n">
        <v>23</v>
      </c>
      <c r="AB402" s="13">
        <f>IF(ISNUMBER(X402),X402+N(Y402)+N(Z402)+N(AA402),X402)</f>
        <v/>
      </c>
      <c r="AC402" s="13">
        <f>IF(ISNUMBER(AB402),AB402,"")</f>
        <v/>
      </c>
      <c r="AD402" s="13">
        <f>IF(ISNUMBER(AC402),_xlfn.RANK.EQ(AC402,$AC$2:$AC$1031),"")</f>
        <v/>
      </c>
      <c r="AE402" s="15">
        <f>IF(ISNUMBER(AF402),AF402/3630,"")</f>
        <v/>
      </c>
      <c r="AF402" s="14">
        <f>IFERROR(C402+D402+E402+F402+J402+K402+L402+M402+Q402+R402+S402+T402+IF(ISNUMBER(X402),X402,0)+N(Y402)+N(Z402)+N(AA402),"")</f>
        <v/>
      </c>
      <c r="AG402" s="14">
        <f>IF(ISNUMBER(AF402),AF402,"")</f>
        <v/>
      </c>
      <c r="AH402" s="14">
        <f>IF(ISNUMBER(AG402),_xlfn.RANK.EQ(AG402,$AG$2:$AG$1031),"")</f>
        <v/>
      </c>
    </row>
    <row r="403">
      <c r="A403" s="18" t="n">
        <v>924</v>
      </c>
      <c r="B403" s="18" t="inlineStr">
        <is>
          <t>سلمى وليد محمد محمد احمد عابد</t>
        </is>
      </c>
      <c r="C403" s="1" t="n">
        <v>607.1</v>
      </c>
      <c r="D403" s="1" t="n">
        <v>24</v>
      </c>
      <c r="E403" s="1" t="n">
        <v>24</v>
      </c>
      <c r="F403" s="1" t="n">
        <v>21</v>
      </c>
      <c r="G403" s="1">
        <f>C403+D403+E403+F403</f>
        <v/>
      </c>
      <c r="H403" s="1">
        <f>IF(ISNUMBER(G403),G403,"")</f>
        <v/>
      </c>
      <c r="I403" s="1">
        <f>_xlfn.RANK.EQ(H403,$H$2:$H$1031)</f>
        <v/>
      </c>
      <c r="J403" s="5" t="n">
        <v>565</v>
      </c>
      <c r="K403" s="5" t="n">
        <v>48</v>
      </c>
      <c r="L403" s="5" t="n">
        <v>24</v>
      </c>
      <c r="M403" s="5" t="n">
        <v>22</v>
      </c>
      <c r="N403" s="5">
        <f>J403+K403+L403+M403</f>
        <v/>
      </c>
      <c r="O403" s="5">
        <f>IF(ISNUMBER(N403),N403,"")</f>
        <v/>
      </c>
      <c r="P403" s="5">
        <f>_xlfn.RANK.EQ(O403,$O$2:$O$1031)</f>
        <v/>
      </c>
      <c r="Q403" s="9" t="n">
        <v>269</v>
      </c>
      <c r="R403" s="9" t="n">
        <v>47.5</v>
      </c>
      <c r="S403" s="9" t="n">
        <v>24</v>
      </c>
      <c r="T403" s="9" t="n">
        <v>25</v>
      </c>
      <c r="U403" s="9">
        <f>Q403+R403+S403+T403</f>
        <v/>
      </c>
      <c r="V403" s="9">
        <f>IF(ISNUMBER(U403),U403,"")</f>
        <v/>
      </c>
      <c r="W403" s="9">
        <f>_xlfn.RANK.EQ(V403,$V$2:$V$1031)</f>
        <v/>
      </c>
      <c r="X403" s="13" t="n">
        <v>1453.3125</v>
      </c>
      <c r="Y403" s="13" t="n">
        <v>24</v>
      </c>
      <c r="Z403" s="13" t="n">
        <v>22.97</v>
      </c>
      <c r="AA403" s="13" t="n">
        <v>25</v>
      </c>
      <c r="AB403" s="13">
        <f>IF(ISNUMBER(X403),X403+N(Y403)+N(Z403)+N(AA403),X403)</f>
        <v/>
      </c>
      <c r="AC403" s="13">
        <f>IF(ISNUMBER(AB403),AB403,"")</f>
        <v/>
      </c>
      <c r="AD403" s="13">
        <f>IF(ISNUMBER(AC403),_xlfn.RANK.EQ(AC403,$AC$2:$AC$1031),"")</f>
        <v/>
      </c>
      <c r="AE403" s="15">
        <f>IF(ISNUMBER(AF403),AF403/3630,"")</f>
        <v/>
      </c>
      <c r="AF403" s="14">
        <f>IFERROR(C403+D403+E403+F403+J403+K403+L403+M403+Q403+R403+S403+T403+IF(ISNUMBER(X403),X403,0)+N(Y403)+N(Z403)+N(AA403),"")</f>
        <v/>
      </c>
      <c r="AG403" s="14">
        <f>IF(ISNUMBER(AF403),AF403,"")</f>
        <v/>
      </c>
      <c r="AH403" s="14">
        <f>IF(ISNUMBER(AG403),_xlfn.RANK.EQ(AG403,$AG$2:$AG$1031),"")</f>
        <v/>
      </c>
    </row>
    <row r="404">
      <c r="A404" s="18" t="n">
        <v>925</v>
      </c>
      <c r="B404" s="18" t="inlineStr">
        <is>
          <t>سلوان محمود احمد امام</t>
        </is>
      </c>
      <c r="C404" s="1" t="n">
        <v>637.7</v>
      </c>
      <c r="D404" s="1" t="n">
        <v>24</v>
      </c>
      <c r="E404" s="1" t="n">
        <v>24</v>
      </c>
      <c r="F404" s="1" t="n">
        <v>22</v>
      </c>
      <c r="G404" s="1">
        <f>C404+D404+E404+F404</f>
        <v/>
      </c>
      <c r="H404" s="1">
        <f>IF(ISNUMBER(G404),G404,"")</f>
        <v/>
      </c>
      <c r="I404" s="1">
        <f>_xlfn.RANK.EQ(H404,$H$2:$H$1031)</f>
        <v/>
      </c>
      <c r="J404" s="5" t="n">
        <v>623</v>
      </c>
      <c r="K404" s="5" t="n">
        <v>46</v>
      </c>
      <c r="L404" s="5" t="n">
        <v>23</v>
      </c>
      <c r="M404" s="5" t="n">
        <v>23</v>
      </c>
      <c r="N404" s="5">
        <f>J404+K404+L404+M404</f>
        <v/>
      </c>
      <c r="O404" s="5">
        <f>IF(ISNUMBER(N404),N404,"")</f>
        <v/>
      </c>
      <c r="P404" s="5">
        <f>_xlfn.RANK.EQ(O404,$O$2:$O$1031)</f>
        <v/>
      </c>
      <c r="Q404" s="9" t="n">
        <v>272</v>
      </c>
      <c r="R404" s="9" t="n">
        <v>49</v>
      </c>
      <c r="S404" s="9" t="n">
        <v>25</v>
      </c>
      <c r="T404" s="9" t="n">
        <v>24</v>
      </c>
      <c r="U404" s="9">
        <f>Q404+R404+S404+T404</f>
        <v/>
      </c>
      <c r="V404" s="9">
        <f>IF(ISNUMBER(U404),U404,"")</f>
        <v/>
      </c>
      <c r="W404" s="9">
        <f>_xlfn.RANK.EQ(V404,$V$2:$V$1031)</f>
        <v/>
      </c>
      <c r="X404" s="13" t="n">
        <v>1473.7</v>
      </c>
      <c r="Y404" s="13" t="n">
        <v>25</v>
      </c>
      <c r="Z404" s="13" t="n">
        <v>22.13</v>
      </c>
      <c r="AA404" s="13" t="n">
        <v>23</v>
      </c>
      <c r="AB404" s="13">
        <f>IF(ISNUMBER(X404),X404+N(Y404)+N(Z404)+N(AA404),X404)</f>
        <v/>
      </c>
      <c r="AC404" s="13">
        <f>IF(ISNUMBER(AB404),AB404,"")</f>
        <v/>
      </c>
      <c r="AD404" s="13">
        <f>IF(ISNUMBER(AC404),_xlfn.RANK.EQ(AC404,$AC$2:$AC$1031),"")</f>
        <v/>
      </c>
      <c r="AE404" s="15">
        <f>IF(ISNUMBER(AF404),AF404/3630,"")</f>
        <v/>
      </c>
      <c r="AF404" s="14">
        <f>IFERROR(C404+D404+E404+F404+J404+K404+L404+M404+Q404+R404+S404+T404+IF(ISNUMBER(X404),X404,0)+N(Y404)+N(Z404)+N(AA404),"")</f>
        <v/>
      </c>
      <c r="AG404" s="14">
        <f>IF(ISNUMBER(AF404),AF404,"")</f>
        <v/>
      </c>
      <c r="AH404" s="14">
        <f>IF(ISNUMBER(AG404),_xlfn.RANK.EQ(AG404,$AG$2:$AG$1031),"")</f>
        <v/>
      </c>
    </row>
    <row r="405">
      <c r="A405" s="18" t="n">
        <v>929</v>
      </c>
      <c r="B405" s="18" t="inlineStr">
        <is>
          <t>سما ابو المكارم رمضان الجندى</t>
        </is>
      </c>
      <c r="C405" s="1" t="n">
        <v>454</v>
      </c>
      <c r="D405" s="1" t="n">
        <v>15</v>
      </c>
      <c r="E405" s="1" t="n">
        <v>13</v>
      </c>
      <c r="F405" s="1" t="n">
        <v>18</v>
      </c>
      <c r="G405" s="1">
        <f>C405+D405+E405+F405</f>
        <v/>
      </c>
      <c r="H405" s="1">
        <f>IF(ISNUMBER(G405),G405,"")</f>
        <v/>
      </c>
      <c r="I405" s="1">
        <f>_xlfn.RANK.EQ(H405,$H$2:$H$1031)</f>
        <v/>
      </c>
      <c r="J405" s="5" t="n">
        <v>501.8</v>
      </c>
      <c r="K405" s="5" t="n">
        <v>34</v>
      </c>
      <c r="L405" s="5" t="n">
        <v>19</v>
      </c>
      <c r="M405" s="5" t="n">
        <v>17</v>
      </c>
      <c r="N405" s="5">
        <f>J405+K405+L405+M405</f>
        <v/>
      </c>
      <c r="O405" s="5">
        <f>IF(ISNUMBER(N405),N405,"")</f>
        <v/>
      </c>
      <c r="P405" s="5">
        <f>_xlfn.RANK.EQ(O405,$O$2:$O$1031)</f>
        <v/>
      </c>
      <c r="Q405" s="9" t="n">
        <v>201.25</v>
      </c>
      <c r="R405" s="9" t="n">
        <v>32.5</v>
      </c>
      <c r="S405" s="9" t="n">
        <v>20</v>
      </c>
      <c r="T405" s="9" t="n">
        <v>23</v>
      </c>
      <c r="U405" s="9">
        <f>Q405+R405+S405+T405</f>
        <v/>
      </c>
      <c r="V405" s="9">
        <f>IF(ISNUMBER(U405),U405,"")</f>
        <v/>
      </c>
      <c r="W405" s="9">
        <f>_xlfn.RANK.EQ(V405,$V$2:$V$1031)</f>
        <v/>
      </c>
      <c r="X405" s="13" t="n">
        <v>1191.0333333333</v>
      </c>
      <c r="Y405" s="13" t="n">
        <v>24.5</v>
      </c>
      <c r="Z405" s="13" t="n">
        <v>22.7</v>
      </c>
      <c r="AA405" s="13" t="n">
        <v>23</v>
      </c>
      <c r="AB405" s="13">
        <f>IF(ISNUMBER(X405),X405+N(Y405)+N(Z405)+N(AA405),X405)</f>
        <v/>
      </c>
      <c r="AC405" s="13">
        <f>IF(ISNUMBER(AB405),AB405,"")</f>
        <v/>
      </c>
      <c r="AD405" s="13">
        <f>IF(ISNUMBER(AC405),_xlfn.RANK.EQ(AC405,$AC$2:$AC$1031),"")</f>
        <v/>
      </c>
      <c r="AE405" s="15">
        <f>IF(ISNUMBER(AF405),AF405/3630,"")</f>
        <v/>
      </c>
      <c r="AF405" s="14">
        <f>IFERROR(C405+D405+E405+F405+J405+K405+L405+M405+Q405+R405+S405+T405+IF(ISNUMBER(X405),X405,0)+N(Y405)+N(Z405)+N(AA405),"")</f>
        <v/>
      </c>
      <c r="AG405" s="14">
        <f>IF(ISNUMBER(AF405),AF405,"")</f>
        <v/>
      </c>
      <c r="AH405" s="14">
        <f>IF(ISNUMBER(AG405),_xlfn.RANK.EQ(AG405,$AG$2:$AG$1031),"")</f>
        <v/>
      </c>
    </row>
    <row r="406">
      <c r="A406" s="18" t="n">
        <v>930</v>
      </c>
      <c r="B406" s="18" t="inlineStr">
        <is>
          <t>سما مسعد حسنى ذكى يونس</t>
        </is>
      </c>
      <c r="C406" s="1" t="n">
        <v>611.8</v>
      </c>
      <c r="D406" s="1" t="n">
        <v>24</v>
      </c>
      <c r="E406" s="1" t="n">
        <v>19</v>
      </c>
      <c r="F406" s="1" t="n">
        <v>22</v>
      </c>
      <c r="G406" s="1">
        <f>C406+D406+E406+F406</f>
        <v/>
      </c>
      <c r="H406" s="1">
        <f>IF(ISNUMBER(G406),G406,"")</f>
        <v/>
      </c>
      <c r="I406" s="1">
        <f>_xlfn.RANK.EQ(H406,$H$2:$H$1031)</f>
        <v/>
      </c>
      <c r="J406" s="5" t="n">
        <v>604.3</v>
      </c>
      <c r="K406" s="5" t="n">
        <v>45</v>
      </c>
      <c r="L406" s="5" t="n">
        <v>21</v>
      </c>
      <c r="M406" s="5" t="n">
        <v>23</v>
      </c>
      <c r="N406" s="5">
        <f>J406+K406+L406+M406</f>
        <v/>
      </c>
      <c r="O406" s="5">
        <f>IF(ISNUMBER(N406),N406,"")</f>
        <v/>
      </c>
      <c r="P406" s="5">
        <f>_xlfn.RANK.EQ(O406,$O$2:$O$1031)</f>
        <v/>
      </c>
      <c r="Q406" s="9" t="n">
        <v>264</v>
      </c>
      <c r="R406" s="9" t="n">
        <v>44.5</v>
      </c>
      <c r="S406" s="9" t="n">
        <v>23</v>
      </c>
      <c r="T406" s="9" t="n">
        <v>23</v>
      </c>
      <c r="U406" s="9">
        <f>Q406+R406+S406+T406</f>
        <v/>
      </c>
      <c r="V406" s="9">
        <f>IF(ISNUMBER(U406),U406,"")</f>
        <v/>
      </c>
      <c r="W406" s="9">
        <f>_xlfn.RANK.EQ(V406,$V$2:$V$1031)</f>
        <v/>
      </c>
      <c r="X406" s="13" t="n">
        <v>1476.1708333333</v>
      </c>
      <c r="Y406" s="13" t="n">
        <v>24</v>
      </c>
      <c r="Z406" s="13" t="n">
        <v>23.25</v>
      </c>
      <c r="AA406" s="13" t="n">
        <v>24</v>
      </c>
      <c r="AB406" s="13">
        <f>IF(ISNUMBER(X406),X406+N(Y406)+N(Z406)+N(AA406),X406)</f>
        <v/>
      </c>
      <c r="AC406" s="13">
        <f>IF(ISNUMBER(AB406),AB406,"")</f>
        <v/>
      </c>
      <c r="AD406" s="13">
        <f>IF(ISNUMBER(AC406),_xlfn.RANK.EQ(AC406,$AC$2:$AC$1031),"")</f>
        <v/>
      </c>
      <c r="AE406" s="15">
        <f>IF(ISNUMBER(AF406),AF406/3630,"")</f>
        <v/>
      </c>
      <c r="AF406" s="14">
        <f>IFERROR(C406+D406+E406+F406+J406+K406+L406+M406+Q406+R406+S406+T406+IF(ISNUMBER(X406),X406,0)+N(Y406)+N(Z406)+N(AA406),"")</f>
        <v/>
      </c>
      <c r="AG406" s="14">
        <f>IF(ISNUMBER(AF406),AF406,"")</f>
        <v/>
      </c>
      <c r="AH406" s="14">
        <f>IF(ISNUMBER(AG406),_xlfn.RANK.EQ(AG406,$AG$2:$AG$1031),"")</f>
        <v/>
      </c>
    </row>
    <row r="407">
      <c r="A407" s="18" t="n">
        <v>931</v>
      </c>
      <c r="B407" s="18" t="inlineStr">
        <is>
          <t>سماء طارق محمد ربيع محمد</t>
        </is>
      </c>
      <c r="C407" s="1" t="n">
        <v>649.1</v>
      </c>
      <c r="D407" s="1" t="n">
        <v>25</v>
      </c>
      <c r="E407" s="1" t="n">
        <v>25</v>
      </c>
      <c r="F407" s="1" t="n">
        <v>25</v>
      </c>
      <c r="G407" s="1">
        <f>C407+D407+E407+F407</f>
        <v/>
      </c>
      <c r="H407" s="1">
        <f>IF(ISNUMBER(G407),G407,"")</f>
        <v/>
      </c>
      <c r="I407" s="1">
        <f>_xlfn.RANK.EQ(H407,$H$2:$H$1031)</f>
        <v/>
      </c>
      <c r="J407" s="5" t="n">
        <v>630.8</v>
      </c>
      <c r="K407" s="5" t="n">
        <v>50</v>
      </c>
      <c r="L407" s="5" t="n">
        <v>23</v>
      </c>
      <c r="M407" s="5" t="n">
        <v>24</v>
      </c>
      <c r="N407" s="5">
        <f>J407+K407+L407+M407</f>
        <v/>
      </c>
      <c r="O407" s="5">
        <f>IF(ISNUMBER(N407),N407,"")</f>
        <v/>
      </c>
      <c r="P407" s="5">
        <f>_xlfn.RANK.EQ(O407,$O$2:$O$1031)</f>
        <v/>
      </c>
      <c r="Q407" s="9" t="n">
        <v>292</v>
      </c>
      <c r="R407" s="9" t="n">
        <v>49</v>
      </c>
      <c r="S407" s="9" t="n">
        <v>24</v>
      </c>
      <c r="T407" s="9" t="n">
        <v>25</v>
      </c>
      <c r="U407" s="9">
        <f>Q407+R407+S407+T407</f>
        <v/>
      </c>
      <c r="V407" s="9">
        <f>IF(ISNUMBER(U407),U407,"")</f>
        <v/>
      </c>
      <c r="W407" s="9">
        <f>_xlfn.RANK.EQ(V407,$V$2:$V$1031)</f>
        <v/>
      </c>
      <c r="X407" s="13" t="n">
        <v>1601.7</v>
      </c>
      <c r="Y407" s="13" t="n">
        <v>25</v>
      </c>
      <c r="Z407" s="13" t="n">
        <v>24.37</v>
      </c>
      <c r="AA407" s="13" t="n">
        <v>25</v>
      </c>
      <c r="AB407" s="13">
        <f>IF(ISNUMBER(X407),X407+N(Y407)+N(Z407)+N(AA407),X407)</f>
        <v/>
      </c>
      <c r="AC407" s="13">
        <f>IF(ISNUMBER(AB407),AB407,"")</f>
        <v/>
      </c>
      <c r="AD407" s="13">
        <f>IF(ISNUMBER(AC407),_xlfn.RANK.EQ(AC407,$AC$2:$AC$1031),"")</f>
        <v/>
      </c>
      <c r="AE407" s="15">
        <f>IF(ISNUMBER(AF407),AF407/3630,"")</f>
        <v/>
      </c>
      <c r="AF407" s="14">
        <f>IFERROR(C407+D407+E407+F407+J407+K407+L407+M407+Q407+R407+S407+T407+IF(ISNUMBER(X407),X407,0)+N(Y407)+N(Z407)+N(AA407),"")</f>
        <v/>
      </c>
      <c r="AG407" s="14">
        <f>IF(ISNUMBER(AF407),AF407,"")</f>
        <v/>
      </c>
      <c r="AH407" s="14">
        <f>IF(ISNUMBER(AG407),_xlfn.RANK.EQ(AG407,$AG$2:$AG$1031),"")</f>
        <v/>
      </c>
    </row>
    <row r="408">
      <c r="A408" s="18" t="n">
        <v>933</v>
      </c>
      <c r="B408" s="18" t="inlineStr">
        <is>
          <t>سماح احمد عبدالسلام احمد الشرمة</t>
        </is>
      </c>
      <c r="C408" s="1" t="n">
        <v>597.6</v>
      </c>
      <c r="D408" s="1" t="n">
        <v>25</v>
      </c>
      <c r="E408" s="1" t="n">
        <v>22</v>
      </c>
      <c r="F408" s="1" t="n">
        <v>22</v>
      </c>
      <c r="G408" s="1">
        <f>C408+D408+E408+F408</f>
        <v/>
      </c>
      <c r="H408" s="1">
        <f>IF(ISNUMBER(G408),G408,"")</f>
        <v/>
      </c>
      <c r="I408" s="1">
        <f>_xlfn.RANK.EQ(H408,$H$2:$H$1031)</f>
        <v/>
      </c>
      <c r="J408" s="5" t="n">
        <v>622.5</v>
      </c>
      <c r="K408" s="5" t="n">
        <v>47</v>
      </c>
      <c r="L408" s="5" t="n">
        <v>23</v>
      </c>
      <c r="M408" s="5" t="n">
        <v>21</v>
      </c>
      <c r="N408" s="5">
        <f>J408+K408+L408+M408</f>
        <v/>
      </c>
      <c r="O408" s="5">
        <f>IF(ISNUMBER(N408),N408,"")</f>
        <v/>
      </c>
      <c r="P408" s="5">
        <f>_xlfn.RANK.EQ(O408,$O$2:$O$1031)</f>
        <v/>
      </c>
      <c r="Q408" s="9" t="n">
        <v>280.5</v>
      </c>
      <c r="R408" s="9" t="n">
        <v>45.5</v>
      </c>
      <c r="S408" s="9" t="n">
        <v>22</v>
      </c>
      <c r="T408" s="9" t="n">
        <v>25</v>
      </c>
      <c r="U408" s="9">
        <f>Q408+R408+S408+T408</f>
        <v/>
      </c>
      <c r="V408" s="9">
        <f>IF(ISNUMBER(U408),U408,"")</f>
        <v/>
      </c>
      <c r="W408" s="9">
        <f>_xlfn.RANK.EQ(V408,$V$2:$V$1031)</f>
        <v/>
      </c>
      <c r="X408" s="13" t="n">
        <v>1552.5875</v>
      </c>
      <c r="Y408" s="13" t="n">
        <v>25</v>
      </c>
      <c r="Z408" s="13" t="n">
        <v>24.2</v>
      </c>
      <c r="AA408" s="13" t="n">
        <v>25</v>
      </c>
      <c r="AB408" s="13">
        <f>IF(ISNUMBER(X408),X408+N(Y408)+N(Z408)+N(AA408),X408)</f>
        <v/>
      </c>
      <c r="AC408" s="13">
        <f>IF(ISNUMBER(AB408),AB408,"")</f>
        <v/>
      </c>
      <c r="AD408" s="13">
        <f>IF(ISNUMBER(AC408),_xlfn.RANK.EQ(AC408,$AC$2:$AC$1031),"")</f>
        <v/>
      </c>
      <c r="AE408" s="15">
        <f>IF(ISNUMBER(AF408),AF408/3630,"")</f>
        <v/>
      </c>
      <c r="AF408" s="14">
        <f>IFERROR(C408+D408+E408+F408+J408+K408+L408+M408+Q408+R408+S408+T408+IF(ISNUMBER(X408),X408,0)+N(Y408)+N(Z408)+N(AA408),"")</f>
        <v/>
      </c>
      <c r="AG408" s="14">
        <f>IF(ISNUMBER(AF408),AF408,"")</f>
        <v/>
      </c>
      <c r="AH408" s="14">
        <f>IF(ISNUMBER(AG408),_xlfn.RANK.EQ(AG408,$AG$2:$AG$1031),"")</f>
        <v/>
      </c>
    </row>
    <row r="409">
      <c r="A409" s="18" t="n">
        <v>935</v>
      </c>
      <c r="B409" s="18" t="inlineStr">
        <is>
          <t>سماح جابر السيد علي</t>
        </is>
      </c>
      <c r="C409" s="1" t="e">
        <v>#N/A</v>
      </c>
      <c r="D409" s="1" t="n">
        <v>24</v>
      </c>
      <c r="E409" s="1" t="n">
        <v>23</v>
      </c>
      <c r="F409" s="1" t="n"/>
      <c r="G409" s="1">
        <f>C409+D409+E409+F409</f>
        <v/>
      </c>
      <c r="H409" s="1">
        <f>IF(ISNUMBER(G409),G409,"")</f>
        <v/>
      </c>
      <c r="I409" s="1">
        <f>_xlfn.RANK.EQ(H409,$H$2:$H$1031)</f>
        <v/>
      </c>
      <c r="J409" s="5" t="n">
        <v>564.5</v>
      </c>
      <c r="K409" s="5" t="n">
        <v>46</v>
      </c>
      <c r="L409" s="5" t="n">
        <v>22</v>
      </c>
      <c r="M409" s="5" t="n">
        <v>22</v>
      </c>
      <c r="N409" s="5">
        <f>J409+K409+L409+M409</f>
        <v/>
      </c>
      <c r="O409" s="5">
        <f>IF(ISNUMBER(N409),N409,"")</f>
        <v/>
      </c>
      <c r="P409" s="5">
        <f>_xlfn.RANK.EQ(O409,$O$2:$O$1031)</f>
        <v/>
      </c>
      <c r="Q409" s="9" t="inlineStr">
        <is>
          <t>راسب</t>
        </is>
      </c>
      <c r="R409" s="9" t="n">
        <v>44.5</v>
      </c>
      <c r="S409" s="9" t="n">
        <v>20</v>
      </c>
      <c r="T409" s="9" t="n">
        <v>25</v>
      </c>
      <c r="U409" s="9">
        <f>Q409+R409+S409+T409</f>
        <v/>
      </c>
      <c r="V409" s="9">
        <f>IF(ISNUMBER(U409),U409,"")</f>
        <v/>
      </c>
      <c r="W409" s="9">
        <f>_xlfn.RANK.EQ(V409,$V$2:$V$1031)</f>
        <v/>
      </c>
      <c r="X409" s="13" t="inlineStr">
        <is>
          <t>غ ب</t>
        </is>
      </c>
      <c r="Y409" s="13" t="n">
        <v>25</v>
      </c>
      <c r="Z409" s="13" t="n">
        <v>20.83</v>
      </c>
      <c r="AA409" s="13" t="n">
        <v>25</v>
      </c>
      <c r="AB409" s="13">
        <f>IF(ISNUMBER(X409),X409+N(Y409)+N(Z409)+N(AA409),X409)</f>
        <v/>
      </c>
      <c r="AC409" s="13">
        <f>IF(ISNUMBER(AB409),AB409,"")</f>
        <v/>
      </c>
      <c r="AD409" s="13">
        <f>IF(ISNUMBER(AC409),_xlfn.RANK.EQ(AC409,$AC$2:$AC$1031),"")</f>
        <v/>
      </c>
      <c r="AE409" s="15">
        <f>IF(ISNUMBER(AF409),AF409/3630,"")</f>
        <v/>
      </c>
      <c r="AF409" s="14">
        <f>IFERROR(C409+D409+E409+F409+J409+K409+L409+M409+Q409+R409+S409+T409+IF(ISNUMBER(X409),X409,0)+N(Y409)+N(Z409)+N(AA409),"")</f>
        <v/>
      </c>
      <c r="AG409" s="14">
        <f>IF(ISNUMBER(AF409),AF409,"")</f>
        <v/>
      </c>
      <c r="AH409" s="14">
        <f>IF(ISNUMBER(AG409),_xlfn.RANK.EQ(AG409,$AG$2:$AG$1031),"")</f>
        <v/>
      </c>
    </row>
    <row r="410">
      <c r="A410" s="18" t="n">
        <v>938</v>
      </c>
      <c r="B410" s="18" t="inlineStr">
        <is>
          <t>سمر محمد محمد عبد الرحيم</t>
        </is>
      </c>
      <c r="C410" s="1" t="n">
        <v>455.3</v>
      </c>
      <c r="D410" s="1" t="n">
        <v>23</v>
      </c>
      <c r="E410" s="1" t="n">
        <v>21</v>
      </c>
      <c r="F410" s="1" t="n">
        <v>19</v>
      </c>
      <c r="G410" s="1">
        <f>C410+D410+E410+F410</f>
        <v/>
      </c>
      <c r="H410" s="1">
        <f>IF(ISNUMBER(G410),G410,"")</f>
        <v/>
      </c>
      <c r="I410" s="1">
        <f>_xlfn.RANK.EQ(H410,$H$2:$H$1031)</f>
        <v/>
      </c>
      <c r="J410" s="5" t="n">
        <v>476</v>
      </c>
      <c r="K410" s="5" t="n">
        <v>39</v>
      </c>
      <c r="L410" s="5" t="n">
        <v>20</v>
      </c>
      <c r="M410" s="5" t="n">
        <v>21</v>
      </c>
      <c r="N410" s="5">
        <f>J410+K410+L410+M410</f>
        <v/>
      </c>
      <c r="O410" s="5">
        <f>IF(ISNUMBER(N410),N410,"")</f>
        <v/>
      </c>
      <c r="P410" s="5">
        <f>_xlfn.RANK.EQ(O410,$O$2:$O$1031)</f>
        <v/>
      </c>
      <c r="Q410" s="9" t="n">
        <v>227.5</v>
      </c>
      <c r="R410" s="9" t="n">
        <v>44</v>
      </c>
      <c r="S410" s="9" t="n">
        <v>24</v>
      </c>
      <c r="T410" s="9" t="n">
        <v>23</v>
      </c>
      <c r="U410" s="9">
        <f>Q410+R410+S410+T410</f>
        <v/>
      </c>
      <c r="V410" s="9">
        <f>IF(ISNUMBER(U410),U410,"")</f>
        <v/>
      </c>
      <c r="W410" s="9">
        <f>_xlfn.RANK.EQ(V410,$V$2:$V$1031)</f>
        <v/>
      </c>
      <c r="X410" s="13" t="inlineStr">
        <is>
          <t>راسب</t>
        </is>
      </c>
      <c r="Y410" s="13" t="n">
        <v>25</v>
      </c>
      <c r="Z410" s="13" t="n">
        <v>24.28</v>
      </c>
      <c r="AA410" s="13" t="n">
        <v>23</v>
      </c>
      <c r="AB410" s="13">
        <f>IF(ISNUMBER(X410),X410+N(Y410)+N(Z410)+N(AA410),X410)</f>
        <v/>
      </c>
      <c r="AC410" s="13">
        <f>IF(ISNUMBER(AB410),AB410,"")</f>
        <v/>
      </c>
      <c r="AD410" s="13">
        <f>IF(ISNUMBER(AC410),_xlfn.RANK.EQ(AC410,$AC$2:$AC$1031),"")</f>
        <v/>
      </c>
      <c r="AE410" s="15">
        <f>IF(ISNUMBER(AF410),AF410/3630,"")</f>
        <v/>
      </c>
      <c r="AF410" s="14">
        <f>IFERROR(C410+D410+E410+F410+J410+K410+L410+M410+Q410+R410+S410+T410+IF(ISNUMBER(X410),X410,0)+N(Y410)+N(Z410)+N(AA410),"")</f>
        <v/>
      </c>
      <c r="AG410" s="14">
        <f>IF(ISNUMBER(AF410),AF410,"")</f>
        <v/>
      </c>
      <c r="AH410" s="14">
        <f>IF(ISNUMBER(AG410),_xlfn.RANK.EQ(AG410,$AG$2:$AG$1031),"")</f>
        <v/>
      </c>
    </row>
    <row r="411">
      <c r="A411" s="18" t="n">
        <v>939</v>
      </c>
      <c r="B411" s="18" t="inlineStr">
        <is>
          <t>سمر محمد يسري محمد يوسف</t>
        </is>
      </c>
      <c r="C411" s="1" t="n">
        <v>641.2</v>
      </c>
      <c r="D411" s="1" t="n">
        <v>25</v>
      </c>
      <c r="E411" s="1" t="n">
        <v>24</v>
      </c>
      <c r="F411" s="1" t="n">
        <v>22</v>
      </c>
      <c r="G411" s="1">
        <f>C411+D411+E411+F411</f>
        <v/>
      </c>
      <c r="H411" s="1">
        <f>IF(ISNUMBER(G411),G411,"")</f>
        <v/>
      </c>
      <c r="I411" s="1">
        <f>_xlfn.RANK.EQ(H411,$H$2:$H$1031)</f>
        <v/>
      </c>
      <c r="J411" s="5" t="n">
        <v>628.6</v>
      </c>
      <c r="K411" s="5" t="n">
        <v>45</v>
      </c>
      <c r="L411" s="5" t="n">
        <v>24</v>
      </c>
      <c r="M411" s="5" t="n">
        <v>21</v>
      </c>
      <c r="N411" s="5">
        <f>J411+K411+L411+M411</f>
        <v/>
      </c>
      <c r="O411" s="5">
        <f>IF(ISNUMBER(N411),N411,"")</f>
        <v/>
      </c>
      <c r="P411" s="5">
        <f>_xlfn.RANK.EQ(O411,$O$2:$O$1031)</f>
        <v/>
      </c>
      <c r="Q411" s="9" t="n">
        <v>279</v>
      </c>
      <c r="R411" s="9" t="n">
        <v>48.5</v>
      </c>
      <c r="S411" s="9" t="n">
        <v>22</v>
      </c>
      <c r="T411" s="9" t="n">
        <v>25</v>
      </c>
      <c r="U411" s="9">
        <f>Q411+R411+S411+T411</f>
        <v/>
      </c>
      <c r="V411" s="9">
        <f>IF(ISNUMBER(U411),U411,"")</f>
        <v/>
      </c>
      <c r="W411" s="9">
        <f>_xlfn.RANK.EQ(V411,$V$2:$V$1031)</f>
        <v/>
      </c>
      <c r="X411" s="13" t="n">
        <v>1434.975</v>
      </c>
      <c r="Y411" s="13" t="n">
        <v>25</v>
      </c>
      <c r="Z411" s="13" t="n">
        <v>22.95</v>
      </c>
      <c r="AA411" s="13" t="n">
        <v>25</v>
      </c>
      <c r="AB411" s="13">
        <f>IF(ISNUMBER(X411),X411+N(Y411)+N(Z411)+N(AA411),X411)</f>
        <v/>
      </c>
      <c r="AC411" s="13">
        <f>IF(ISNUMBER(AB411),AB411,"")</f>
        <v/>
      </c>
      <c r="AD411" s="13">
        <f>IF(ISNUMBER(AC411),_xlfn.RANK.EQ(AC411,$AC$2:$AC$1031),"")</f>
        <v/>
      </c>
      <c r="AE411" s="15">
        <f>IF(ISNUMBER(AF411),AF411/3630,"")</f>
        <v/>
      </c>
      <c r="AF411" s="14">
        <f>IFERROR(C411+D411+E411+F411+J411+K411+L411+M411+Q411+R411+S411+T411+IF(ISNUMBER(X411),X411,0)+N(Y411)+N(Z411)+N(AA411),"")</f>
        <v/>
      </c>
      <c r="AG411" s="14">
        <f>IF(ISNUMBER(AF411),AF411,"")</f>
        <v/>
      </c>
      <c r="AH411" s="14">
        <f>IF(ISNUMBER(AG411),_xlfn.RANK.EQ(AG411,$AG$2:$AG$1031),"")</f>
        <v/>
      </c>
    </row>
    <row r="412">
      <c r="A412" s="18" t="n">
        <v>940</v>
      </c>
      <c r="B412" s="18" t="inlineStr">
        <is>
          <t>سمر نزيه فرج عطيه الصابر عرعاص</t>
        </is>
      </c>
      <c r="C412" s="1" t="n">
        <v>518</v>
      </c>
      <c r="D412" s="1" t="n">
        <v>19</v>
      </c>
      <c r="E412" s="1" t="n">
        <v>22</v>
      </c>
      <c r="F412" s="1" t="n">
        <v>17</v>
      </c>
      <c r="G412" s="1">
        <f>C412+D412+E412+F412</f>
        <v/>
      </c>
      <c r="H412" s="1">
        <f>IF(ISNUMBER(G412),G412,"")</f>
        <v/>
      </c>
      <c r="I412" s="1">
        <f>_xlfn.RANK.EQ(H412,$H$2:$H$1031)</f>
        <v/>
      </c>
      <c r="J412" s="5" t="n">
        <v>531.5</v>
      </c>
      <c r="K412" s="5" t="n">
        <v>38</v>
      </c>
      <c r="L412" s="5" t="n">
        <v>20</v>
      </c>
      <c r="M412" s="5" t="n">
        <v>20</v>
      </c>
      <c r="N412" s="5">
        <f>J412+K412+L412+M412</f>
        <v/>
      </c>
      <c r="O412" s="5">
        <f>IF(ISNUMBER(N412),N412,"")</f>
        <v/>
      </c>
      <c r="P412" s="5">
        <f>_xlfn.RANK.EQ(O412,$O$2:$O$1031)</f>
        <v/>
      </c>
      <c r="Q412" s="9" t="n">
        <v>224.5</v>
      </c>
      <c r="R412" s="9" t="n">
        <v>42</v>
      </c>
      <c r="S412" s="9" t="n">
        <v>22</v>
      </c>
      <c r="T412" s="9" t="n">
        <v>24</v>
      </c>
      <c r="U412" s="9">
        <f>Q412+R412+S412+T412</f>
        <v/>
      </c>
      <c r="V412" s="9">
        <f>IF(ISNUMBER(U412),U412,"")</f>
        <v/>
      </c>
      <c r="W412" s="9">
        <f>_xlfn.RANK.EQ(V412,$V$2:$V$1031)</f>
        <v/>
      </c>
      <c r="X412" s="13" t="n">
        <v>1313.4375</v>
      </c>
      <c r="Y412" s="13" t="n">
        <v>20.5</v>
      </c>
      <c r="Z412" s="13" t="n">
        <v>20.2</v>
      </c>
      <c r="AA412" s="13" t="n">
        <v>23</v>
      </c>
      <c r="AB412" s="13">
        <f>IF(ISNUMBER(X412),X412+N(Y412)+N(Z412)+N(AA412),X412)</f>
        <v/>
      </c>
      <c r="AC412" s="13">
        <f>IF(ISNUMBER(AB412),AB412,"")</f>
        <v/>
      </c>
      <c r="AD412" s="13">
        <f>IF(ISNUMBER(AC412),_xlfn.RANK.EQ(AC412,$AC$2:$AC$1031),"")</f>
        <v/>
      </c>
      <c r="AE412" s="15">
        <f>IF(ISNUMBER(AF412),AF412/3630,"")</f>
        <v/>
      </c>
      <c r="AF412" s="14">
        <f>IFERROR(C412+D412+E412+F412+J412+K412+L412+M412+Q412+R412+S412+T412+IF(ISNUMBER(X412),X412,0)+N(Y412)+N(Z412)+N(AA412),"")</f>
        <v/>
      </c>
      <c r="AG412" s="14">
        <f>IF(ISNUMBER(AF412),AF412,"")</f>
        <v/>
      </c>
      <c r="AH412" s="14">
        <f>IF(ISNUMBER(AG412),_xlfn.RANK.EQ(AG412,$AG$2:$AG$1031),"")</f>
        <v/>
      </c>
    </row>
    <row r="413">
      <c r="A413" s="18" t="n">
        <v>941</v>
      </c>
      <c r="B413" s="18" t="inlineStr">
        <is>
          <t>سميه احمد عبد الكريم عبد الحميد مصطفى</t>
        </is>
      </c>
      <c r="C413" s="1" t="n">
        <v>606.7</v>
      </c>
      <c r="D413" s="1" t="n">
        <v>24</v>
      </c>
      <c r="E413" s="1" t="n">
        <v>24</v>
      </c>
      <c r="F413" s="1" t="n">
        <v>24</v>
      </c>
      <c r="G413" s="1">
        <f>C413+D413+E413+F413</f>
        <v/>
      </c>
      <c r="H413" s="1">
        <f>IF(ISNUMBER(G413),G413,"")</f>
        <v/>
      </c>
      <c r="I413" s="1">
        <f>_xlfn.RANK.EQ(H413,$H$2:$H$1031)</f>
        <v/>
      </c>
      <c r="J413" s="5" t="n">
        <v>607.5</v>
      </c>
      <c r="K413" s="5" t="n">
        <v>45</v>
      </c>
      <c r="L413" s="5" t="n">
        <v>22</v>
      </c>
      <c r="M413" s="5" t="n">
        <v>19</v>
      </c>
      <c r="N413" s="5">
        <f>J413+K413+L413+M413</f>
        <v/>
      </c>
      <c r="O413" s="5">
        <f>IF(ISNUMBER(N413),N413,"")</f>
        <v/>
      </c>
      <c r="P413" s="5">
        <f>_xlfn.RANK.EQ(O413,$O$2:$O$1031)</f>
        <v/>
      </c>
      <c r="Q413" s="9" t="n">
        <v>245</v>
      </c>
      <c r="R413" s="9" t="n">
        <v>47</v>
      </c>
      <c r="S413" s="9" t="n">
        <v>23</v>
      </c>
      <c r="T413" s="9" t="n">
        <v>25</v>
      </c>
      <c r="U413" s="9">
        <f>Q413+R413+S413+T413</f>
        <v/>
      </c>
      <c r="V413" s="9">
        <f>IF(ISNUMBER(U413),U413,"")</f>
        <v/>
      </c>
      <c r="W413" s="9">
        <f>_xlfn.RANK.EQ(V413,$V$2:$V$1031)</f>
        <v/>
      </c>
      <c r="X413" s="13" t="n">
        <v>1436.6166666667</v>
      </c>
      <c r="Y413" s="13" t="n">
        <v>25</v>
      </c>
      <c r="Z413" s="13" t="n">
        <v>24.37</v>
      </c>
      <c r="AA413" s="13" t="n">
        <v>24</v>
      </c>
      <c r="AB413" s="13">
        <f>IF(ISNUMBER(X413),X413+N(Y413)+N(Z413)+N(AA413),X413)</f>
        <v/>
      </c>
      <c r="AC413" s="13">
        <f>IF(ISNUMBER(AB413),AB413,"")</f>
        <v/>
      </c>
      <c r="AD413" s="13">
        <f>IF(ISNUMBER(AC413),_xlfn.RANK.EQ(AC413,$AC$2:$AC$1031),"")</f>
        <v/>
      </c>
      <c r="AE413" s="15">
        <f>IF(ISNUMBER(AF413),AF413/3630,"")</f>
        <v/>
      </c>
      <c r="AF413" s="14">
        <f>IFERROR(C413+D413+E413+F413+J413+K413+L413+M413+Q413+R413+S413+T413+IF(ISNUMBER(X413),X413,0)+N(Y413)+N(Z413)+N(AA413),"")</f>
        <v/>
      </c>
      <c r="AG413" s="14">
        <f>IF(ISNUMBER(AF413),AF413,"")</f>
        <v/>
      </c>
      <c r="AH413" s="14">
        <f>IF(ISNUMBER(AG413),_xlfn.RANK.EQ(AG413,$AG$2:$AG$1031),"")</f>
        <v/>
      </c>
    </row>
    <row r="414">
      <c r="A414" s="18" t="n">
        <v>942</v>
      </c>
      <c r="B414" s="18" t="inlineStr">
        <is>
          <t>سميه سامح عبد القادر رمضان</t>
        </is>
      </c>
      <c r="C414" s="1" t="n">
        <v>540.7</v>
      </c>
      <c r="D414" s="1" t="n">
        <v>23</v>
      </c>
      <c r="E414" s="1" t="n">
        <v>25</v>
      </c>
      <c r="F414" s="1" t="n">
        <v>23</v>
      </c>
      <c r="G414" s="1">
        <f>C414+D414+E414+F414</f>
        <v/>
      </c>
      <c r="H414" s="1">
        <f>IF(ISNUMBER(G414),G414,"")</f>
        <v/>
      </c>
      <c r="I414" s="1">
        <f>_xlfn.RANK.EQ(H414,$H$2:$H$1031)</f>
        <v/>
      </c>
      <c r="J414" s="5" t="n">
        <v>484.7</v>
      </c>
      <c r="K414" s="5" t="n">
        <v>39</v>
      </c>
      <c r="L414" s="5" t="n">
        <v>22</v>
      </c>
      <c r="M414" s="5" t="n">
        <v>23</v>
      </c>
      <c r="N414" s="5">
        <f>J414+K414+L414+M414</f>
        <v/>
      </c>
      <c r="O414" s="5">
        <f>IF(ISNUMBER(N414),N414,"")</f>
        <v/>
      </c>
      <c r="P414" s="5">
        <f>_xlfn.RANK.EQ(O414,$O$2:$O$1031)</f>
        <v/>
      </c>
      <c r="Q414" s="9" t="n">
        <v>212</v>
      </c>
      <c r="R414" s="9" t="n">
        <v>40.5</v>
      </c>
      <c r="S414" s="9" t="n">
        <v>24</v>
      </c>
      <c r="T414" s="9" t="n">
        <v>25</v>
      </c>
      <c r="U414" s="9">
        <f>Q414+R414+S414+T414</f>
        <v/>
      </c>
      <c r="V414" s="9">
        <f>IF(ISNUMBER(U414),U414,"")</f>
        <v/>
      </c>
      <c r="W414" s="9">
        <f>_xlfn.RANK.EQ(V414,$V$2:$V$1031)</f>
        <v/>
      </c>
      <c r="X414" s="13" t="n">
        <v>1229.925</v>
      </c>
      <c r="Y414" s="13" t="n">
        <v>23</v>
      </c>
      <c r="Z414" s="13" t="n">
        <v>23.12</v>
      </c>
      <c r="AA414" s="13" t="n">
        <v>22</v>
      </c>
      <c r="AB414" s="13">
        <f>IF(ISNUMBER(X414),X414+N(Y414)+N(Z414)+N(AA414),X414)</f>
        <v/>
      </c>
      <c r="AC414" s="13">
        <f>IF(ISNUMBER(AB414),AB414,"")</f>
        <v/>
      </c>
      <c r="AD414" s="13">
        <f>IF(ISNUMBER(AC414),_xlfn.RANK.EQ(AC414,$AC$2:$AC$1031),"")</f>
        <v/>
      </c>
      <c r="AE414" s="15">
        <f>IF(ISNUMBER(AF414),AF414/3630,"")</f>
        <v/>
      </c>
      <c r="AF414" s="14">
        <f>IFERROR(C414+D414+E414+F414+J414+K414+L414+M414+Q414+R414+S414+T414+IF(ISNUMBER(X414),X414,0)+N(Y414)+N(Z414)+N(AA414),"")</f>
        <v/>
      </c>
      <c r="AG414" s="14">
        <f>IF(ISNUMBER(AF414),AF414,"")</f>
        <v/>
      </c>
      <c r="AH414" s="14">
        <f>IF(ISNUMBER(AG414),_xlfn.RANK.EQ(AG414,$AG$2:$AG$1031),"")</f>
        <v/>
      </c>
    </row>
    <row r="415">
      <c r="A415" s="18" t="n">
        <v>946</v>
      </c>
      <c r="B415" s="18" t="inlineStr">
        <is>
          <t>سندس احمد محمد سيداحمد رضوان</t>
        </is>
      </c>
      <c r="C415" s="1" t="n">
        <v>655.3</v>
      </c>
      <c r="D415" s="1" t="n">
        <v>25</v>
      </c>
      <c r="E415" s="1" t="n">
        <v>25</v>
      </c>
      <c r="F415" s="1" t="n">
        <v>25</v>
      </c>
      <c r="G415" s="1">
        <f>C415+D415+E415+F415</f>
        <v/>
      </c>
      <c r="H415" s="1">
        <f>IF(ISNUMBER(G415),G415,"")</f>
        <v/>
      </c>
      <c r="I415" s="1">
        <f>_xlfn.RANK.EQ(H415,$H$2:$H$1031)</f>
        <v/>
      </c>
      <c r="J415" s="5" t="n">
        <v>632.5</v>
      </c>
      <c r="K415" s="5" t="n">
        <v>49</v>
      </c>
      <c r="L415" s="5" t="n">
        <v>25</v>
      </c>
      <c r="M415" s="5" t="n">
        <v>23</v>
      </c>
      <c r="N415" s="5">
        <f>J415+K415+L415+M415</f>
        <v/>
      </c>
      <c r="O415" s="5">
        <f>IF(ISNUMBER(N415),N415,"")</f>
        <v/>
      </c>
      <c r="P415" s="5">
        <f>_xlfn.RANK.EQ(O415,$O$2:$O$1031)</f>
        <v/>
      </c>
      <c r="Q415" s="9" t="n">
        <v>291</v>
      </c>
      <c r="R415" s="9" t="n">
        <v>49.5</v>
      </c>
      <c r="S415" s="9" t="n">
        <v>25</v>
      </c>
      <c r="T415" s="9" t="n">
        <v>25</v>
      </c>
      <c r="U415" s="9">
        <f>Q415+R415+S415+T415</f>
        <v/>
      </c>
      <c r="V415" s="9">
        <f>IF(ISNUMBER(U415),U415,"")</f>
        <v/>
      </c>
      <c r="W415" s="9">
        <f>_xlfn.RANK.EQ(V415,$V$2:$V$1031)</f>
        <v/>
      </c>
      <c r="X415" s="13" t="n">
        <v>1570.4958333333</v>
      </c>
      <c r="Y415" s="13" t="n">
        <v>25</v>
      </c>
      <c r="Z415" s="13" t="n">
        <v>23.95</v>
      </c>
      <c r="AA415" s="13" t="n">
        <v>24</v>
      </c>
      <c r="AB415" s="13">
        <f>IF(ISNUMBER(X415),X415+N(Y415)+N(Z415)+N(AA415),X415)</f>
        <v/>
      </c>
      <c r="AC415" s="13">
        <f>IF(ISNUMBER(AB415),AB415,"")</f>
        <v/>
      </c>
      <c r="AD415" s="13">
        <f>IF(ISNUMBER(AC415),_xlfn.RANK.EQ(AC415,$AC$2:$AC$1031),"")</f>
        <v/>
      </c>
      <c r="AE415" s="15">
        <f>IF(ISNUMBER(AF415),AF415/3630,"")</f>
        <v/>
      </c>
      <c r="AF415" s="14">
        <f>IFERROR(C415+D415+E415+F415+J415+K415+L415+M415+Q415+R415+S415+T415+IF(ISNUMBER(X415),X415,0)+N(Y415)+N(Z415)+N(AA415),"")</f>
        <v/>
      </c>
      <c r="AG415" s="14">
        <f>IF(ISNUMBER(AF415),AF415,"")</f>
        <v/>
      </c>
      <c r="AH415" s="14">
        <f>IF(ISNUMBER(AG415),_xlfn.RANK.EQ(AG415,$AG$2:$AG$1031),"")</f>
        <v/>
      </c>
    </row>
    <row r="416">
      <c r="A416" s="18" t="n">
        <v>947</v>
      </c>
      <c r="B416" s="18" t="inlineStr">
        <is>
          <t>سندس محمد ابراهيم بركات الذهبى</t>
        </is>
      </c>
      <c r="C416" s="1" t="n">
        <v>622.7</v>
      </c>
      <c r="D416" s="1" t="n">
        <v>25</v>
      </c>
      <c r="E416" s="1" t="n">
        <v>25</v>
      </c>
      <c r="F416" s="1" t="n">
        <v>21</v>
      </c>
      <c r="G416" s="1">
        <f>C416+D416+E416+F416</f>
        <v/>
      </c>
      <c r="H416" s="1">
        <f>IF(ISNUMBER(G416),G416,"")</f>
        <v/>
      </c>
      <c r="I416" s="1">
        <f>_xlfn.RANK.EQ(H416,$H$2:$H$1031)</f>
        <v/>
      </c>
      <c r="J416" s="5" t="n">
        <v>617.1</v>
      </c>
      <c r="K416" s="5" t="n">
        <v>47</v>
      </c>
      <c r="L416" s="5" t="n">
        <v>20</v>
      </c>
      <c r="M416" s="5" t="n">
        <v>21</v>
      </c>
      <c r="N416" s="5">
        <f>J416+K416+L416+M416</f>
        <v/>
      </c>
      <c r="O416" s="5">
        <f>IF(ISNUMBER(N416),N416,"")</f>
        <v/>
      </c>
      <c r="P416" s="5">
        <f>_xlfn.RANK.EQ(O416,$O$2:$O$1031)</f>
        <v/>
      </c>
      <c r="Q416" s="9" t="n">
        <v>283</v>
      </c>
      <c r="R416" s="9" t="n">
        <v>48.5</v>
      </c>
      <c r="S416" s="9" t="n">
        <v>24</v>
      </c>
      <c r="T416" s="9" t="n">
        <v>24</v>
      </c>
      <c r="U416" s="9">
        <f>Q416+R416+S416+T416</f>
        <v/>
      </c>
      <c r="V416" s="9">
        <f>IF(ISNUMBER(U416),U416,"")</f>
        <v/>
      </c>
      <c r="W416" s="9">
        <f>_xlfn.RANK.EQ(V416,$V$2:$V$1031)</f>
        <v/>
      </c>
      <c r="X416" s="13" t="n">
        <v>1540.9333333333</v>
      </c>
      <c r="Y416" s="13" t="n">
        <v>24</v>
      </c>
      <c r="Z416" s="13" t="n">
        <v>24.03</v>
      </c>
      <c r="AA416" s="13" t="n">
        <v>25</v>
      </c>
      <c r="AB416" s="13">
        <f>IF(ISNUMBER(X416),X416+N(Y416)+N(Z416)+N(AA416),X416)</f>
        <v/>
      </c>
      <c r="AC416" s="13">
        <f>IF(ISNUMBER(AB416),AB416,"")</f>
        <v/>
      </c>
      <c r="AD416" s="13">
        <f>IF(ISNUMBER(AC416),_xlfn.RANK.EQ(AC416,$AC$2:$AC$1031),"")</f>
        <v/>
      </c>
      <c r="AE416" s="15">
        <f>IF(ISNUMBER(AF416),AF416/3630,"")</f>
        <v/>
      </c>
      <c r="AF416" s="14">
        <f>IFERROR(C416+D416+E416+F416+J416+K416+L416+M416+Q416+R416+S416+T416+IF(ISNUMBER(X416),X416,0)+N(Y416)+N(Z416)+N(AA416),"")</f>
        <v/>
      </c>
      <c r="AG416" s="14">
        <f>IF(ISNUMBER(AF416),AF416,"")</f>
        <v/>
      </c>
      <c r="AH416" s="14">
        <f>IF(ISNUMBER(AG416),_xlfn.RANK.EQ(AG416,$AG$2:$AG$1031),"")</f>
        <v/>
      </c>
    </row>
    <row r="417">
      <c r="A417" s="18" t="n">
        <v>949</v>
      </c>
      <c r="B417" s="18" t="inlineStr">
        <is>
          <t>سهام محمد بسيونى سيداحمد بدر</t>
        </is>
      </c>
      <c r="C417" s="1" t="n">
        <v>500.9</v>
      </c>
      <c r="D417" s="1" t="n"/>
      <c r="E417" s="1" t="n">
        <v>22</v>
      </c>
      <c r="F417" s="1" t="n">
        <v>21</v>
      </c>
      <c r="G417" s="1">
        <f>C417+D417+E417+F417</f>
        <v/>
      </c>
      <c r="H417" s="1">
        <f>IF(ISNUMBER(G417),G417,"")</f>
        <v/>
      </c>
      <c r="I417" s="1">
        <f>_xlfn.RANK.EQ(H417,$H$2:$H$1031)</f>
        <v/>
      </c>
      <c r="J417" s="5" t="n">
        <v>545.7</v>
      </c>
      <c r="K417" s="5" t="n">
        <v>47</v>
      </c>
      <c r="L417" s="5" t="n">
        <v>21</v>
      </c>
      <c r="M417" s="5" t="n">
        <v>24</v>
      </c>
      <c r="N417" s="5">
        <f>J417+K417+L417+M417</f>
        <v/>
      </c>
      <c r="O417" s="5">
        <f>IF(ISNUMBER(N417),N417,"")</f>
        <v/>
      </c>
      <c r="P417" s="5">
        <f>_xlfn.RANK.EQ(O417,$O$2:$O$1031)</f>
        <v/>
      </c>
      <c r="Q417" s="9" t="n">
        <v>215</v>
      </c>
      <c r="R417" s="9" t="n">
        <v>45.5</v>
      </c>
      <c r="S417" s="9" t="n">
        <v>22</v>
      </c>
      <c r="T417" s="9" t="n">
        <v>23</v>
      </c>
      <c r="U417" s="9">
        <f>Q417+R417+S417+T417</f>
        <v/>
      </c>
      <c r="V417" s="9">
        <f>IF(ISNUMBER(U417),U417,"")</f>
        <v/>
      </c>
      <c r="W417" s="9">
        <f>_xlfn.RANK.EQ(V417,$V$2:$V$1031)</f>
        <v/>
      </c>
      <c r="X417" s="13" t="n">
        <v>1289.7416666667</v>
      </c>
      <c r="Y417" s="13" t="n">
        <v>25</v>
      </c>
      <c r="Z417" s="13" t="n">
        <v>23</v>
      </c>
      <c r="AA417" s="13" t="n">
        <v>24</v>
      </c>
      <c r="AB417" s="13">
        <f>IF(ISNUMBER(X417),X417+N(Y417)+N(Z417)+N(AA417),X417)</f>
        <v/>
      </c>
      <c r="AC417" s="13">
        <f>IF(ISNUMBER(AB417),AB417,"")</f>
        <v/>
      </c>
      <c r="AD417" s="13">
        <f>IF(ISNUMBER(AC417),_xlfn.RANK.EQ(AC417,$AC$2:$AC$1031),"")</f>
        <v/>
      </c>
      <c r="AE417" s="15">
        <f>IF(ISNUMBER(AF417),AF417/3630,"")</f>
        <v/>
      </c>
      <c r="AF417" s="14">
        <f>IFERROR(C417+D417+E417+F417+J417+K417+L417+M417+Q417+R417+S417+T417+IF(ISNUMBER(X417),X417,0)+N(Y417)+N(Z417)+N(AA417),"")</f>
        <v/>
      </c>
      <c r="AG417" s="14">
        <f>IF(ISNUMBER(AF417),AF417,"")</f>
        <v/>
      </c>
      <c r="AH417" s="14">
        <f>IF(ISNUMBER(AG417),_xlfn.RANK.EQ(AG417,$AG$2:$AG$1031),"")</f>
        <v/>
      </c>
    </row>
    <row r="418">
      <c r="A418" s="18" t="n">
        <v>952</v>
      </c>
      <c r="B418" s="18" t="inlineStr">
        <is>
          <t>سهيلة سعد عبد العاطى جاب الله</t>
        </is>
      </c>
      <c r="C418" s="1" t="n">
        <v>554.9</v>
      </c>
      <c r="D418" s="1" t="n">
        <v>22</v>
      </c>
      <c r="E418" s="1" t="n">
        <v>23</v>
      </c>
      <c r="F418" s="1" t="n">
        <v>22</v>
      </c>
      <c r="G418" s="1">
        <f>C418+D418+E418+F418</f>
        <v/>
      </c>
      <c r="H418" s="1">
        <f>IF(ISNUMBER(G418),G418,"")</f>
        <v/>
      </c>
      <c r="I418" s="1">
        <f>_xlfn.RANK.EQ(H418,$H$2:$H$1031)</f>
        <v/>
      </c>
      <c r="J418" s="5" t="n">
        <v>559.7</v>
      </c>
      <c r="K418" s="5" t="n">
        <v>43</v>
      </c>
      <c r="L418" s="5" t="n">
        <v>22</v>
      </c>
      <c r="M418" s="5" t="n">
        <v>20</v>
      </c>
      <c r="N418" s="5">
        <f>J418+K418+L418+M418</f>
        <v/>
      </c>
      <c r="O418" s="5">
        <f>IF(ISNUMBER(N418),N418,"")</f>
        <v/>
      </c>
      <c r="P418" s="5">
        <f>_xlfn.RANK.EQ(O418,$O$2:$O$1031)</f>
        <v/>
      </c>
      <c r="Q418" s="9" t="n">
        <v>251</v>
      </c>
      <c r="R418" s="9" t="n">
        <v>47.5</v>
      </c>
      <c r="S418" s="9" t="n">
        <v>25</v>
      </c>
      <c r="T418" s="9" t="n">
        <v>24</v>
      </c>
      <c r="U418" s="9">
        <f>Q418+R418+S418+T418</f>
        <v/>
      </c>
      <c r="V418" s="9">
        <f>IF(ISNUMBER(U418),U418,"")</f>
        <v/>
      </c>
      <c r="W418" s="9">
        <f>_xlfn.RANK.EQ(V418,$V$2:$V$1031)</f>
        <v/>
      </c>
      <c r="X418" s="13" t="n">
        <v>1390.4083333333</v>
      </c>
      <c r="Y418" s="13" t="n">
        <v>22</v>
      </c>
      <c r="Z418" s="13" t="n">
        <v>25</v>
      </c>
      <c r="AA418" s="13" t="n">
        <v>24</v>
      </c>
      <c r="AB418" s="13">
        <f>IF(ISNUMBER(X418),X418+N(Y418)+N(Z418)+N(AA418),X418)</f>
        <v/>
      </c>
      <c r="AC418" s="13">
        <f>IF(ISNUMBER(AB418),AB418,"")</f>
        <v/>
      </c>
      <c r="AD418" s="13">
        <f>IF(ISNUMBER(AC418),_xlfn.RANK.EQ(AC418,$AC$2:$AC$1031),"")</f>
        <v/>
      </c>
      <c r="AE418" s="15">
        <f>IF(ISNUMBER(AF418),AF418/3630,"")</f>
        <v/>
      </c>
      <c r="AF418" s="14">
        <f>IFERROR(C418+D418+E418+F418+J418+K418+L418+M418+Q418+R418+S418+T418+IF(ISNUMBER(X418),X418,0)+N(Y418)+N(Z418)+N(AA418),"")</f>
        <v/>
      </c>
      <c r="AG418" s="14">
        <f>IF(ISNUMBER(AF418),AF418,"")</f>
        <v/>
      </c>
      <c r="AH418" s="14">
        <f>IF(ISNUMBER(AG418),_xlfn.RANK.EQ(AG418,$AG$2:$AG$1031),"")</f>
        <v/>
      </c>
    </row>
    <row r="419">
      <c r="A419" s="18" t="n">
        <v>953</v>
      </c>
      <c r="B419" s="18" t="inlineStr">
        <is>
          <t>سهيلة مصطفى صبحى توفيق شحاته</t>
        </is>
      </c>
      <c r="C419" s="1" t="n">
        <v>630.3</v>
      </c>
      <c r="D419" s="1" t="n">
        <v>25</v>
      </c>
      <c r="E419" s="1" t="n">
        <v>23</v>
      </c>
      <c r="F419" s="1" t="n">
        <v>22</v>
      </c>
      <c r="G419" s="1">
        <f>C419+D419+E419+F419</f>
        <v/>
      </c>
      <c r="H419" s="1">
        <f>IF(ISNUMBER(G419),G419,"")</f>
        <v/>
      </c>
      <c r="I419" s="1">
        <f>_xlfn.RANK.EQ(H419,$H$2:$H$1031)</f>
        <v/>
      </c>
      <c r="J419" s="5" t="n">
        <v>633</v>
      </c>
      <c r="K419" s="5" t="n">
        <v>48</v>
      </c>
      <c r="L419" s="5" t="n">
        <v>22</v>
      </c>
      <c r="M419" s="5" t="n">
        <v>23</v>
      </c>
      <c r="N419" s="5">
        <f>J419+K419+L419+M419</f>
        <v/>
      </c>
      <c r="O419" s="5">
        <f>IF(ISNUMBER(N419),N419,"")</f>
        <v/>
      </c>
      <c r="P419" s="5">
        <f>_xlfn.RANK.EQ(O419,$O$2:$O$1031)</f>
        <v/>
      </c>
      <c r="Q419" s="9" t="n">
        <v>278.5</v>
      </c>
      <c r="R419" s="9" t="n">
        <v>49.5</v>
      </c>
      <c r="S419" s="9" t="n">
        <v>25</v>
      </c>
      <c r="T419" s="9" t="n">
        <v>25</v>
      </c>
      <c r="U419" s="9">
        <f>Q419+R419+S419+T419</f>
        <v/>
      </c>
      <c r="V419" s="9">
        <f>IF(ISNUMBER(U419),U419,"")</f>
        <v/>
      </c>
      <c r="W419" s="9">
        <f>_xlfn.RANK.EQ(V419,$V$2:$V$1031)</f>
        <v/>
      </c>
      <c r="X419" s="13" t="n">
        <v>1560.4625</v>
      </c>
      <c r="Y419" s="13" t="n">
        <v>25</v>
      </c>
      <c r="Z419" s="13" t="n">
        <v>25</v>
      </c>
      <c r="AA419" s="13" t="n">
        <v>24</v>
      </c>
      <c r="AB419" s="13">
        <f>IF(ISNUMBER(X419),X419+N(Y419)+N(Z419)+N(AA419),X419)</f>
        <v/>
      </c>
      <c r="AC419" s="13">
        <f>IF(ISNUMBER(AB419),AB419,"")</f>
        <v/>
      </c>
      <c r="AD419" s="13">
        <f>IF(ISNUMBER(AC419),_xlfn.RANK.EQ(AC419,$AC$2:$AC$1031),"")</f>
        <v/>
      </c>
      <c r="AE419" s="15">
        <f>IF(ISNUMBER(AF419),AF419/3630,"")</f>
        <v/>
      </c>
      <c r="AF419" s="14">
        <f>IFERROR(C419+D419+E419+F419+J419+K419+L419+M419+Q419+R419+S419+T419+IF(ISNUMBER(X419),X419,0)+N(Y419)+N(Z419)+N(AA419),"")</f>
        <v/>
      </c>
      <c r="AG419" s="14">
        <f>IF(ISNUMBER(AF419),AF419,"")</f>
        <v/>
      </c>
      <c r="AH419" s="14">
        <f>IF(ISNUMBER(AG419),_xlfn.RANK.EQ(AG419,$AG$2:$AG$1031),"")</f>
        <v/>
      </c>
    </row>
    <row r="420">
      <c r="A420" s="18" t="n">
        <v>964</v>
      </c>
      <c r="B420" s="18" t="inlineStr">
        <is>
          <t>سيف الدين عاطف على العبد</t>
        </is>
      </c>
      <c r="C420" s="1" t="n">
        <v>461.4</v>
      </c>
      <c r="D420" s="1" t="n">
        <v>18</v>
      </c>
      <c r="E420" s="1" t="n">
        <v>9</v>
      </c>
      <c r="F420" s="1" t="n">
        <v>11</v>
      </c>
      <c r="G420" s="1">
        <f>C420+D420+E420+F420</f>
        <v/>
      </c>
      <c r="H420" s="1">
        <f>IF(ISNUMBER(G420),G420,"")</f>
        <v/>
      </c>
      <c r="I420" s="1">
        <f>_xlfn.RANK.EQ(H420,$H$2:$H$1031)</f>
        <v/>
      </c>
      <c r="J420" s="5" t="n">
        <v>499.1</v>
      </c>
      <c r="K420" s="5" t="n">
        <v>41</v>
      </c>
      <c r="L420" s="5" t="n">
        <v>19</v>
      </c>
      <c r="M420" s="5" t="n">
        <v>19</v>
      </c>
      <c r="N420" s="5">
        <f>J420+K420+L420+M420</f>
        <v/>
      </c>
      <c r="O420" s="5">
        <f>IF(ISNUMBER(N420),N420,"")</f>
        <v/>
      </c>
      <c r="P420" s="5">
        <f>_xlfn.RANK.EQ(O420,$O$2:$O$1031)</f>
        <v/>
      </c>
      <c r="Q420" s="9" t="n">
        <v>184.5</v>
      </c>
      <c r="R420" s="9" t="n">
        <v>38.5</v>
      </c>
      <c r="S420" s="9" t="n">
        <v>22</v>
      </c>
      <c r="T420" s="9" t="n">
        <v>25</v>
      </c>
      <c r="U420" s="9">
        <f>Q420+R420+S420+T420</f>
        <v/>
      </c>
      <c r="V420" s="9">
        <f>IF(ISNUMBER(U420),U420,"")</f>
        <v/>
      </c>
      <c r="W420" s="9">
        <f>_xlfn.RANK.EQ(V420,$V$2:$V$1031)</f>
        <v/>
      </c>
      <c r="X420" s="13" t="n">
        <v>1168.2416666667</v>
      </c>
      <c r="Y420" s="13" t="n">
        <v>19.5</v>
      </c>
      <c r="Z420" s="13" t="n">
        <v>11</v>
      </c>
      <c r="AA420" s="13" t="n">
        <v>18</v>
      </c>
      <c r="AB420" s="13">
        <f>IF(ISNUMBER(X420),X420+N(Y420)+N(Z420)+N(AA420),X420)</f>
        <v/>
      </c>
      <c r="AC420" s="13">
        <f>IF(ISNUMBER(AB420),AB420,"")</f>
        <v/>
      </c>
      <c r="AD420" s="13">
        <f>IF(ISNUMBER(AC420),_xlfn.RANK.EQ(AC420,$AC$2:$AC$1031),"")</f>
        <v/>
      </c>
      <c r="AE420" s="15">
        <f>IF(ISNUMBER(AF420),AF420/3630,"")</f>
        <v/>
      </c>
      <c r="AF420" s="14">
        <f>IFERROR(C420+D420+E420+F420+J420+K420+L420+M420+Q420+R420+S420+T420+IF(ISNUMBER(X420),X420,0)+N(Y420)+N(Z420)+N(AA420),"")</f>
        <v/>
      </c>
      <c r="AG420" s="14">
        <f>IF(ISNUMBER(AF420),AF420,"")</f>
        <v/>
      </c>
      <c r="AH420" s="14">
        <f>IF(ISNUMBER(AG420),_xlfn.RANK.EQ(AG420,$AG$2:$AG$1031),"")</f>
        <v/>
      </c>
    </row>
    <row r="421">
      <c r="A421" s="18" t="n">
        <v>965</v>
      </c>
      <c r="B421" s="18" t="inlineStr">
        <is>
          <t>سيف الدين محمود فهمي عمر</t>
        </is>
      </c>
      <c r="C421" s="1" t="n">
        <v>587.5</v>
      </c>
      <c r="D421" s="1" t="n">
        <v>25</v>
      </c>
      <c r="E421" s="1" t="n">
        <v>22</v>
      </c>
      <c r="F421" s="1" t="n">
        <v>17</v>
      </c>
      <c r="G421" s="1">
        <f>C421+D421+E421+F421</f>
        <v/>
      </c>
      <c r="H421" s="1">
        <f>IF(ISNUMBER(G421),G421,"")</f>
        <v/>
      </c>
      <c r="I421" s="1">
        <f>_xlfn.RANK.EQ(H421,$H$2:$H$1031)</f>
        <v/>
      </c>
      <c r="J421" s="5" t="n">
        <v>574.2</v>
      </c>
      <c r="K421" s="5" t="n">
        <v>42</v>
      </c>
      <c r="L421" s="5" t="n">
        <v>22</v>
      </c>
      <c r="M421" s="5" t="n">
        <v>21</v>
      </c>
      <c r="N421" s="5">
        <f>J421+K421+L421+M421</f>
        <v/>
      </c>
      <c r="O421" s="5">
        <f>IF(ISNUMBER(N421),N421,"")</f>
        <v/>
      </c>
      <c r="P421" s="5">
        <f>_xlfn.RANK.EQ(O421,$O$2:$O$1031)</f>
        <v/>
      </c>
      <c r="Q421" s="9" t="n">
        <v>230</v>
      </c>
      <c r="R421" s="9" t="n">
        <v>41</v>
      </c>
      <c r="S421" s="9" t="n">
        <v>22</v>
      </c>
      <c r="T421" s="9" t="n">
        <v>21</v>
      </c>
      <c r="U421" s="9">
        <f>Q421+R421+S421+T421</f>
        <v/>
      </c>
      <c r="V421" s="9">
        <f>IF(ISNUMBER(U421),U421,"")</f>
        <v/>
      </c>
      <c r="W421" s="9">
        <f>_xlfn.RANK.EQ(V421,$V$2:$V$1031)</f>
        <v/>
      </c>
      <c r="X421" s="13" t="inlineStr">
        <is>
          <t>راسب</t>
        </is>
      </c>
      <c r="Y421" s="13" t="n">
        <v>21.5</v>
      </c>
      <c r="Z421" s="13" t="n">
        <v>22</v>
      </c>
      <c r="AA421" s="13" t="n">
        <v>23</v>
      </c>
      <c r="AB421" s="13">
        <f>IF(ISNUMBER(X421),X421+N(Y421)+N(Z421)+N(AA421),X421)</f>
        <v/>
      </c>
      <c r="AC421" s="13">
        <f>IF(ISNUMBER(AB421),AB421,"")</f>
        <v/>
      </c>
      <c r="AD421" s="13">
        <f>IF(ISNUMBER(AC421),_xlfn.RANK.EQ(AC421,$AC$2:$AC$1031),"")</f>
        <v/>
      </c>
      <c r="AE421" s="15">
        <f>IF(ISNUMBER(AF421),AF421/3630,"")</f>
        <v/>
      </c>
      <c r="AF421" s="14">
        <f>IFERROR(C421+D421+E421+F421+J421+K421+L421+M421+Q421+R421+S421+T421+IF(ISNUMBER(X421),X421,0)+N(Y421)+N(Z421)+N(AA421),"")</f>
        <v/>
      </c>
      <c r="AG421" s="14">
        <f>IF(ISNUMBER(AF421),AF421,"")</f>
        <v/>
      </c>
      <c r="AH421" s="14">
        <f>IF(ISNUMBER(AG421),_xlfn.RANK.EQ(AG421,$AG$2:$AG$1031),"")</f>
        <v/>
      </c>
    </row>
    <row r="422">
      <c r="A422" s="18" t="n">
        <v>966</v>
      </c>
      <c r="B422" s="18" t="inlineStr">
        <is>
          <t>سيف الله السيد محمد خيري محمد</t>
        </is>
      </c>
      <c r="C422" s="1" t="n">
        <v>566.7</v>
      </c>
      <c r="D422" s="1" t="n">
        <v>23</v>
      </c>
      <c r="E422" s="1" t="n">
        <v>20</v>
      </c>
      <c r="F422" s="1" t="n">
        <v>21</v>
      </c>
      <c r="G422" s="1">
        <f>C422+D422+E422+F422</f>
        <v/>
      </c>
      <c r="H422" s="1">
        <f>IF(ISNUMBER(G422),G422,"")</f>
        <v/>
      </c>
      <c r="I422" s="1">
        <f>_xlfn.RANK.EQ(H422,$H$2:$H$1031)</f>
        <v/>
      </c>
      <c r="J422" s="5" t="n">
        <v>550.7</v>
      </c>
      <c r="K422" s="5" t="n">
        <v>44</v>
      </c>
      <c r="L422" s="5" t="n">
        <v>20</v>
      </c>
      <c r="M422" s="5" t="n">
        <v>21</v>
      </c>
      <c r="N422" s="5">
        <f>J422+K422+L422+M422</f>
        <v/>
      </c>
      <c r="O422" s="5">
        <f>IF(ISNUMBER(N422),N422,"")</f>
        <v/>
      </c>
      <c r="P422" s="5">
        <f>_xlfn.RANK.EQ(O422,$O$2:$O$1031)</f>
        <v/>
      </c>
      <c r="Q422" s="9" t="n">
        <v>182</v>
      </c>
      <c r="R422" s="9" t="n">
        <v>41</v>
      </c>
      <c r="S422" s="9" t="n">
        <v>24</v>
      </c>
      <c r="T422" s="9" t="n">
        <v>25</v>
      </c>
      <c r="U422" s="9">
        <f>Q422+R422+S422+T422</f>
        <v/>
      </c>
      <c r="V422" s="9">
        <f>IF(ISNUMBER(U422),U422,"")</f>
        <v/>
      </c>
      <c r="W422" s="9">
        <f>_xlfn.RANK.EQ(V422,$V$2:$V$1031)</f>
        <v/>
      </c>
      <c r="X422" s="13" t="inlineStr">
        <is>
          <t>راسب</t>
        </is>
      </c>
      <c r="Y422" s="13" t="n">
        <v>24</v>
      </c>
      <c r="Z422" s="13" t="n">
        <v>21</v>
      </c>
      <c r="AA422" s="13" t="n">
        <v>23</v>
      </c>
      <c r="AB422" s="13">
        <f>IF(ISNUMBER(X422),X422+N(Y422)+N(Z422)+N(AA422),X422)</f>
        <v/>
      </c>
      <c r="AC422" s="13">
        <f>IF(ISNUMBER(AB422),AB422,"")</f>
        <v/>
      </c>
      <c r="AD422" s="13">
        <f>IF(ISNUMBER(AC422),_xlfn.RANK.EQ(AC422,$AC$2:$AC$1031),"")</f>
        <v/>
      </c>
      <c r="AE422" s="15">
        <f>IF(ISNUMBER(AF422),AF422/3630,"")</f>
        <v/>
      </c>
      <c r="AF422" s="14">
        <f>IFERROR(C422+D422+E422+F422+J422+K422+L422+M422+Q422+R422+S422+T422+IF(ISNUMBER(X422),X422,0)+N(Y422)+N(Z422)+N(AA422),"")</f>
        <v/>
      </c>
      <c r="AG422" s="14">
        <f>IF(ISNUMBER(AF422),AF422,"")</f>
        <v/>
      </c>
      <c r="AH422" s="14">
        <f>IF(ISNUMBER(AG422),_xlfn.RANK.EQ(AG422,$AG$2:$AG$1031),"")</f>
        <v/>
      </c>
    </row>
    <row r="423">
      <c r="A423" s="18" t="n">
        <v>968</v>
      </c>
      <c r="B423" s="18" t="inlineStr">
        <is>
          <t>سيف مصطفى عرفه خاطر</t>
        </is>
      </c>
      <c r="C423" s="1" t="n">
        <v>607</v>
      </c>
      <c r="D423" s="1" t="n">
        <v>25</v>
      </c>
      <c r="E423" s="1" t="n">
        <v>21</v>
      </c>
      <c r="F423" s="1" t="n">
        <v>19</v>
      </c>
      <c r="G423" s="1">
        <f>C423+D423+E423+F423</f>
        <v/>
      </c>
      <c r="H423" s="1">
        <f>IF(ISNUMBER(G423),G423,"")</f>
        <v/>
      </c>
      <c r="I423" s="1">
        <f>_xlfn.RANK.EQ(H423,$H$2:$H$1031)</f>
        <v/>
      </c>
      <c r="J423" s="5" t="n">
        <v>604.8</v>
      </c>
      <c r="K423" s="5" t="n">
        <v>48</v>
      </c>
      <c r="L423" s="5" t="n">
        <v>20</v>
      </c>
      <c r="M423" s="5" t="n">
        <v>24</v>
      </c>
      <c r="N423" s="5">
        <f>J423+K423+L423+M423</f>
        <v/>
      </c>
      <c r="O423" s="5">
        <f>IF(ISNUMBER(N423),N423,"")</f>
        <v/>
      </c>
      <c r="P423" s="5">
        <f>_xlfn.RANK.EQ(O423,$O$2:$O$1031)</f>
        <v/>
      </c>
      <c r="Q423" s="9" t="n">
        <v>261.5</v>
      </c>
      <c r="R423" s="9" t="n">
        <v>43.5</v>
      </c>
      <c r="S423" s="9" t="n">
        <v>24</v>
      </c>
      <c r="T423" s="9" t="n">
        <v>24</v>
      </c>
      <c r="U423" s="9">
        <f>Q423+R423+S423+T423</f>
        <v/>
      </c>
      <c r="V423" s="9">
        <f>IF(ISNUMBER(U423),U423,"")</f>
        <v/>
      </c>
      <c r="W423" s="9">
        <f>_xlfn.RANK.EQ(V423,$V$2:$V$1031)</f>
        <v/>
      </c>
      <c r="X423" s="13" t="n">
        <v>1409.575</v>
      </c>
      <c r="Y423" s="13" t="n">
        <v>24.5</v>
      </c>
      <c r="Z423" s="13" t="n">
        <v>24</v>
      </c>
      <c r="AA423" s="13" t="n">
        <v>23</v>
      </c>
      <c r="AB423" s="13">
        <f>IF(ISNUMBER(X423),X423+N(Y423)+N(Z423)+N(AA423),X423)</f>
        <v/>
      </c>
      <c r="AC423" s="13">
        <f>IF(ISNUMBER(AB423),AB423,"")</f>
        <v/>
      </c>
      <c r="AD423" s="13">
        <f>IF(ISNUMBER(AC423),_xlfn.RANK.EQ(AC423,$AC$2:$AC$1031),"")</f>
        <v/>
      </c>
      <c r="AE423" s="15">
        <f>IF(ISNUMBER(AF423),AF423/3630,"")</f>
        <v/>
      </c>
      <c r="AF423" s="14">
        <f>IFERROR(C423+D423+E423+F423+J423+K423+L423+M423+Q423+R423+S423+T423+IF(ISNUMBER(X423),X423,0)+N(Y423)+N(Z423)+N(AA423),"")</f>
        <v/>
      </c>
      <c r="AG423" s="14">
        <f>IF(ISNUMBER(AF423),AF423,"")</f>
        <v/>
      </c>
      <c r="AH423" s="14">
        <f>IF(ISNUMBER(AG423),_xlfn.RANK.EQ(AG423,$AG$2:$AG$1031),"")</f>
        <v/>
      </c>
    </row>
    <row r="424">
      <c r="A424" s="18" t="n">
        <v>972</v>
      </c>
      <c r="B424" s="18" t="inlineStr">
        <is>
          <t>شاهيناز محمد صديق محمد ابو حطب</t>
        </is>
      </c>
      <c r="C424" s="1" t="n">
        <v>616</v>
      </c>
      <c r="D424" s="1" t="n">
        <v>25</v>
      </c>
      <c r="E424" s="1" t="n">
        <v>24</v>
      </c>
      <c r="F424" s="1" t="n">
        <v>23</v>
      </c>
      <c r="G424" s="1">
        <f>C424+D424+E424+F424</f>
        <v/>
      </c>
      <c r="H424" s="1">
        <f>IF(ISNUMBER(G424),G424,"")</f>
        <v/>
      </c>
      <c r="I424" s="1">
        <f>_xlfn.RANK.EQ(H424,$H$2:$H$1031)</f>
        <v/>
      </c>
      <c r="J424" s="5" t="n">
        <v>610</v>
      </c>
      <c r="K424" s="5" t="n">
        <v>43</v>
      </c>
      <c r="L424" s="5" t="n">
        <v>23</v>
      </c>
      <c r="M424" s="5" t="n">
        <v>19</v>
      </c>
      <c r="N424" s="5">
        <f>J424+K424+L424+M424</f>
        <v/>
      </c>
      <c r="O424" s="5">
        <f>IF(ISNUMBER(N424),N424,"")</f>
        <v/>
      </c>
      <c r="P424" s="5">
        <f>_xlfn.RANK.EQ(O424,$O$2:$O$1031)</f>
        <v/>
      </c>
      <c r="Q424" s="9" t="n">
        <v>283</v>
      </c>
      <c r="R424" s="9" t="n">
        <v>48</v>
      </c>
      <c r="S424" s="9" t="n">
        <v>24</v>
      </c>
      <c r="T424" s="9" t="n">
        <v>24</v>
      </c>
      <c r="U424" s="9">
        <f>Q424+R424+S424+T424</f>
        <v/>
      </c>
      <c r="V424" s="9">
        <f>IF(ISNUMBER(U424),U424,"")</f>
        <v/>
      </c>
      <c r="W424" s="9">
        <f>_xlfn.RANK.EQ(V424,$V$2:$V$1031)</f>
        <v/>
      </c>
      <c r="X424" s="13" t="inlineStr">
        <is>
          <t>غ ب</t>
        </is>
      </c>
      <c r="Y424" s="13" t="n">
        <v>24</v>
      </c>
      <c r="Z424" s="13" t="n">
        <v>24</v>
      </c>
      <c r="AA424" s="13" t="n">
        <v>24</v>
      </c>
      <c r="AB424" s="13">
        <f>IF(ISNUMBER(X424),X424+N(Y424)+N(Z424)+N(AA424),X424)</f>
        <v/>
      </c>
      <c r="AC424" s="13">
        <f>IF(ISNUMBER(AB424),AB424,"")</f>
        <v/>
      </c>
      <c r="AD424" s="13">
        <f>IF(ISNUMBER(AC424),_xlfn.RANK.EQ(AC424,$AC$2:$AC$1031),"")</f>
        <v/>
      </c>
      <c r="AE424" s="15">
        <f>IF(ISNUMBER(AF424),AF424/3630,"")</f>
        <v/>
      </c>
      <c r="AF424" s="14">
        <f>IFERROR(C424+D424+E424+F424+J424+K424+L424+M424+Q424+R424+S424+T424+IF(ISNUMBER(X424),X424,0)+N(Y424)+N(Z424)+N(AA424),"")</f>
        <v/>
      </c>
      <c r="AG424" s="14">
        <f>IF(ISNUMBER(AF424),AF424,"")</f>
        <v/>
      </c>
      <c r="AH424" s="14">
        <f>IF(ISNUMBER(AG424),_xlfn.RANK.EQ(AG424,$AG$2:$AG$1031),"")</f>
        <v/>
      </c>
    </row>
    <row r="425">
      <c r="A425" s="18" t="n">
        <v>973</v>
      </c>
      <c r="B425" s="18" t="inlineStr">
        <is>
          <t>شاهيناز منصور بشر منصور</t>
        </is>
      </c>
      <c r="C425" s="1" t="n">
        <v>591.3</v>
      </c>
      <c r="D425" s="1" t="n">
        <v>25</v>
      </c>
      <c r="E425" s="1" t="n">
        <v>25</v>
      </c>
      <c r="F425" s="1" t="n">
        <v>23</v>
      </c>
      <c r="G425" s="1">
        <f>C425+D425+E425+F425</f>
        <v/>
      </c>
      <c r="H425" s="1">
        <f>IF(ISNUMBER(G425),G425,"")</f>
        <v/>
      </c>
      <c r="I425" s="1">
        <f>_xlfn.RANK.EQ(H425,$H$2:$H$1031)</f>
        <v/>
      </c>
      <c r="J425" s="5" t="n">
        <v>599.8</v>
      </c>
      <c r="K425" s="5" t="n">
        <v>45</v>
      </c>
      <c r="L425" s="5" t="n">
        <v>22</v>
      </c>
      <c r="M425" s="5" t="n">
        <v>22</v>
      </c>
      <c r="N425" s="5">
        <f>J425+K425+L425+M425</f>
        <v/>
      </c>
      <c r="O425" s="5">
        <f>IF(ISNUMBER(N425),N425,"")</f>
        <v/>
      </c>
      <c r="P425" s="5">
        <f>_xlfn.RANK.EQ(O425,$O$2:$O$1031)</f>
        <v/>
      </c>
      <c r="Q425" s="9" t="n">
        <v>252</v>
      </c>
      <c r="R425" s="9" t="n">
        <v>47.5</v>
      </c>
      <c r="S425" s="9" t="n">
        <v>24</v>
      </c>
      <c r="T425" s="9" t="n">
        <v>24</v>
      </c>
      <c r="U425" s="9">
        <f>Q425+R425+S425+T425</f>
        <v/>
      </c>
      <c r="V425" s="9">
        <f>IF(ISNUMBER(U425),U425,"")</f>
        <v/>
      </c>
      <c r="W425" s="9">
        <f>_xlfn.RANK.EQ(V425,$V$2:$V$1031)</f>
        <v/>
      </c>
      <c r="X425" s="13" t="n">
        <v>1420.7666666667</v>
      </c>
      <c r="Y425" s="13" t="n">
        <v>24</v>
      </c>
      <c r="Z425" s="13" t="n">
        <v>24</v>
      </c>
      <c r="AA425" s="13" t="n">
        <v>22</v>
      </c>
      <c r="AB425" s="13">
        <f>IF(ISNUMBER(X425),X425+N(Y425)+N(Z425)+N(AA425),X425)</f>
        <v/>
      </c>
      <c r="AC425" s="13">
        <f>IF(ISNUMBER(AB425),AB425,"")</f>
        <v/>
      </c>
      <c r="AD425" s="13">
        <f>IF(ISNUMBER(AC425),_xlfn.RANK.EQ(AC425,$AC$2:$AC$1031),"")</f>
        <v/>
      </c>
      <c r="AE425" s="15">
        <f>IF(ISNUMBER(AF425),AF425/3630,"")</f>
        <v/>
      </c>
      <c r="AF425" s="14">
        <f>IFERROR(C425+D425+E425+F425+J425+K425+L425+M425+Q425+R425+S425+T425+IF(ISNUMBER(X425),X425,0)+N(Y425)+N(Z425)+N(AA425),"")</f>
        <v/>
      </c>
      <c r="AG425" s="14">
        <f>IF(ISNUMBER(AF425),AF425,"")</f>
        <v/>
      </c>
      <c r="AH425" s="14">
        <f>IF(ISNUMBER(AG425),_xlfn.RANK.EQ(AG425,$AG$2:$AG$1031),"")</f>
        <v/>
      </c>
    </row>
    <row r="426">
      <c r="A426" s="18" t="n">
        <v>977</v>
      </c>
      <c r="B426" s="18" t="inlineStr">
        <is>
          <t>شروق احمد عبدالعزيز احمد امين</t>
        </is>
      </c>
      <c r="C426" s="1" t="n">
        <v>580.4</v>
      </c>
      <c r="D426" s="1" t="n">
        <v>24</v>
      </c>
      <c r="E426" s="1" t="n">
        <v>23</v>
      </c>
      <c r="F426" s="1" t="n">
        <v>22</v>
      </c>
      <c r="G426" s="1">
        <f>C426+D426+E426+F426</f>
        <v/>
      </c>
      <c r="H426" s="1">
        <f>IF(ISNUMBER(G426),G426,"")</f>
        <v/>
      </c>
      <c r="I426" s="1">
        <f>_xlfn.RANK.EQ(H426,$H$2:$H$1031)</f>
        <v/>
      </c>
      <c r="J426" s="5" t="n">
        <v>552.2</v>
      </c>
      <c r="K426" s="5" t="n">
        <v>46</v>
      </c>
      <c r="L426" s="5" t="n">
        <v>22</v>
      </c>
      <c r="M426" s="5" t="n">
        <v>21</v>
      </c>
      <c r="N426" s="5">
        <f>J426+K426+L426+M426</f>
        <v/>
      </c>
      <c r="O426" s="5">
        <f>IF(ISNUMBER(N426),N426,"")</f>
        <v/>
      </c>
      <c r="P426" s="5">
        <f>_xlfn.RANK.EQ(O426,$O$2:$O$1031)</f>
        <v/>
      </c>
      <c r="Q426" s="9" t="n">
        <v>232.5</v>
      </c>
      <c r="R426" s="9" t="n">
        <v>45</v>
      </c>
      <c r="S426" s="9" t="n">
        <v>24</v>
      </c>
      <c r="T426" s="9" t="n">
        <v>25</v>
      </c>
      <c r="U426" s="9">
        <f>Q426+R426+S426+T426</f>
        <v/>
      </c>
      <c r="V426" s="9">
        <f>IF(ISNUMBER(U426),U426,"")</f>
        <v/>
      </c>
      <c r="W426" s="9">
        <f>_xlfn.RANK.EQ(V426,$V$2:$V$1031)</f>
        <v/>
      </c>
      <c r="X426" s="13" t="n">
        <v>1356.3458333333</v>
      </c>
      <c r="Y426" s="13" t="n">
        <v>25</v>
      </c>
      <c r="Z426" s="13" t="n">
        <v>22</v>
      </c>
      <c r="AA426" s="13" t="n">
        <v>23</v>
      </c>
      <c r="AB426" s="13">
        <f>IF(ISNUMBER(X426),X426+N(Y426)+N(Z426)+N(AA426),X426)</f>
        <v/>
      </c>
      <c r="AC426" s="13">
        <f>IF(ISNUMBER(AB426),AB426,"")</f>
        <v/>
      </c>
      <c r="AD426" s="13">
        <f>IF(ISNUMBER(AC426),_xlfn.RANK.EQ(AC426,$AC$2:$AC$1031),"")</f>
        <v/>
      </c>
      <c r="AE426" s="15">
        <f>IF(ISNUMBER(AF426),AF426/3630,"")</f>
        <v/>
      </c>
      <c r="AF426" s="14">
        <f>IFERROR(C426+D426+E426+F426+J426+K426+L426+M426+Q426+R426+S426+T426+IF(ISNUMBER(X426),X426,0)+N(Y426)+N(Z426)+N(AA426),"")</f>
        <v/>
      </c>
      <c r="AG426" s="14">
        <f>IF(ISNUMBER(AF426),AF426,"")</f>
        <v/>
      </c>
      <c r="AH426" s="14">
        <f>IF(ISNUMBER(AG426),_xlfn.RANK.EQ(AG426,$AG$2:$AG$1031),"")</f>
        <v/>
      </c>
    </row>
    <row r="427">
      <c r="A427" s="18" t="n">
        <v>978</v>
      </c>
      <c r="B427" s="18" t="inlineStr">
        <is>
          <t>شروق جابر محمد  شعبان</t>
        </is>
      </c>
      <c r="C427" s="1" t="n">
        <v>449.7</v>
      </c>
      <c r="D427" s="1" t="n">
        <v>18</v>
      </c>
      <c r="E427" s="1" t="n">
        <v>14</v>
      </c>
      <c r="F427" s="1" t="n">
        <v>22</v>
      </c>
      <c r="G427" s="1">
        <f>C427+D427+E427+F427</f>
        <v/>
      </c>
      <c r="H427" s="1">
        <f>IF(ISNUMBER(G427),G427,"")</f>
        <v/>
      </c>
      <c r="I427" s="1">
        <f>_xlfn.RANK.EQ(H427,$H$2:$H$1031)</f>
        <v/>
      </c>
      <c r="J427" s="5" t="n">
        <v>492.2</v>
      </c>
      <c r="K427" s="5" t="n">
        <v>42</v>
      </c>
      <c r="L427" s="5" t="n">
        <v>20</v>
      </c>
      <c r="M427" s="5" t="n">
        <v>21</v>
      </c>
      <c r="N427" s="5">
        <f>J427+K427+L427+M427</f>
        <v/>
      </c>
      <c r="O427" s="5">
        <f>IF(ISNUMBER(N427),N427,"")</f>
        <v/>
      </c>
      <c r="P427" s="5">
        <f>_xlfn.RANK.EQ(O427,$O$2:$O$1031)</f>
        <v/>
      </c>
      <c r="Q427" s="9" t="n">
        <v>197.5</v>
      </c>
      <c r="R427" s="9" t="n">
        <v>44.5</v>
      </c>
      <c r="S427" s="9" t="n">
        <v>22</v>
      </c>
      <c r="T427" s="9" t="n">
        <v>23</v>
      </c>
      <c r="U427" s="9">
        <f>Q427+R427+S427+T427</f>
        <v/>
      </c>
      <c r="V427" s="9">
        <f>IF(ISNUMBER(U427),U427,"")</f>
        <v/>
      </c>
      <c r="W427" s="9">
        <f>_xlfn.RANK.EQ(V427,$V$2:$V$1031)</f>
        <v/>
      </c>
      <c r="X427" s="13" t="n">
        <v>1232.1208333333</v>
      </c>
      <c r="Y427" s="13" t="n">
        <v>25</v>
      </c>
      <c r="Z427" s="13" t="n">
        <v>22</v>
      </c>
      <c r="AA427" s="13" t="n">
        <v>21</v>
      </c>
      <c r="AB427" s="13">
        <f>IF(ISNUMBER(X427),X427+N(Y427)+N(Z427)+N(AA427),X427)</f>
        <v/>
      </c>
      <c r="AC427" s="13">
        <f>IF(ISNUMBER(AB427),AB427,"")</f>
        <v/>
      </c>
      <c r="AD427" s="13">
        <f>IF(ISNUMBER(AC427),_xlfn.RANK.EQ(AC427,$AC$2:$AC$1031),"")</f>
        <v/>
      </c>
      <c r="AE427" s="15">
        <f>IF(ISNUMBER(AF427),AF427/3630,"")</f>
        <v/>
      </c>
      <c r="AF427" s="14">
        <f>IFERROR(C427+D427+E427+F427+J427+K427+L427+M427+Q427+R427+S427+T427+IF(ISNUMBER(X427),X427,0)+N(Y427)+N(Z427)+N(AA427),"")</f>
        <v/>
      </c>
      <c r="AG427" s="14">
        <f>IF(ISNUMBER(AF427),AF427,"")</f>
        <v/>
      </c>
      <c r="AH427" s="14">
        <f>IF(ISNUMBER(AG427),_xlfn.RANK.EQ(AG427,$AG$2:$AG$1031),"")</f>
        <v/>
      </c>
    </row>
    <row r="428">
      <c r="A428" s="18" t="n">
        <v>979</v>
      </c>
      <c r="B428" s="18" t="inlineStr">
        <is>
          <t>شريف عادل حلمى عزيز حنا</t>
        </is>
      </c>
      <c r="C428" s="1" t="n">
        <v>608.9</v>
      </c>
      <c r="D428" s="1" t="n">
        <v>24</v>
      </c>
      <c r="E428" s="1" t="n">
        <v>24</v>
      </c>
      <c r="F428" s="1" t="n">
        <v>20</v>
      </c>
      <c r="G428" s="1">
        <f>C428+D428+E428+F428</f>
        <v/>
      </c>
      <c r="H428" s="1">
        <f>IF(ISNUMBER(G428),G428,"")</f>
        <v/>
      </c>
      <c r="I428" s="1">
        <f>_xlfn.RANK.EQ(H428,$H$2:$H$1031)</f>
        <v/>
      </c>
      <c r="J428" s="5" t="n">
        <v>594.3</v>
      </c>
      <c r="K428" s="5" t="n">
        <v>48</v>
      </c>
      <c r="L428" s="5" t="n">
        <v>23</v>
      </c>
      <c r="M428" s="5" t="n">
        <v>25</v>
      </c>
      <c r="N428" s="5">
        <f>J428+K428+L428+M428</f>
        <v/>
      </c>
      <c r="O428" s="5">
        <f>IF(ISNUMBER(N428),N428,"")</f>
        <v/>
      </c>
      <c r="P428" s="5">
        <f>_xlfn.RANK.EQ(O428,$O$2:$O$1031)</f>
        <v/>
      </c>
      <c r="Q428" s="9" t="n">
        <v>265</v>
      </c>
      <c r="R428" s="9" t="n">
        <v>47.5</v>
      </c>
      <c r="S428" s="9" t="n">
        <v>24</v>
      </c>
      <c r="T428" s="9" t="n">
        <v>24</v>
      </c>
      <c r="U428" s="9">
        <f>Q428+R428+S428+T428</f>
        <v/>
      </c>
      <c r="V428" s="9">
        <f>IF(ISNUMBER(U428),U428,"")</f>
        <v/>
      </c>
      <c r="W428" s="9">
        <f>_xlfn.RANK.EQ(V428,$V$2:$V$1031)</f>
        <v/>
      </c>
      <c r="X428" s="13" t="n">
        <v>1401.05</v>
      </c>
      <c r="Y428" s="13" t="n">
        <v>23</v>
      </c>
      <c r="Z428" s="13" t="n">
        <v>23</v>
      </c>
      <c r="AA428" s="13" t="n">
        <v>22</v>
      </c>
      <c r="AB428" s="13">
        <f>IF(ISNUMBER(X428),X428+N(Y428)+N(Z428)+N(AA428),X428)</f>
        <v/>
      </c>
      <c r="AC428" s="13">
        <f>IF(ISNUMBER(AB428),AB428,"")</f>
        <v/>
      </c>
      <c r="AD428" s="13">
        <f>IF(ISNUMBER(AC428),_xlfn.RANK.EQ(AC428,$AC$2:$AC$1031),"")</f>
        <v/>
      </c>
      <c r="AE428" s="15">
        <f>IF(ISNUMBER(AF428),AF428/3630,"")</f>
        <v/>
      </c>
      <c r="AF428" s="14">
        <f>IFERROR(C428+D428+E428+F428+J428+K428+L428+M428+Q428+R428+S428+T428+IF(ISNUMBER(X428),X428,0)+N(Y428)+N(Z428)+N(AA428),"")</f>
        <v/>
      </c>
      <c r="AG428" s="14">
        <f>IF(ISNUMBER(AF428),AF428,"")</f>
        <v/>
      </c>
      <c r="AH428" s="14">
        <f>IF(ISNUMBER(AG428),_xlfn.RANK.EQ(AG428,$AG$2:$AG$1031),"")</f>
        <v/>
      </c>
    </row>
    <row r="429">
      <c r="A429" s="18" t="n">
        <v>982</v>
      </c>
      <c r="B429" s="18" t="inlineStr">
        <is>
          <t>شمس سالم محمد زوره</t>
        </is>
      </c>
      <c r="C429" s="1" t="n">
        <v>557.1</v>
      </c>
      <c r="D429" s="1" t="n">
        <v>25</v>
      </c>
      <c r="E429" s="1" t="n">
        <v>23</v>
      </c>
      <c r="F429" s="1" t="n">
        <v>24</v>
      </c>
      <c r="G429" s="1">
        <f>C429+D429+E429+F429</f>
        <v/>
      </c>
      <c r="H429" s="1">
        <f>IF(ISNUMBER(G429),G429,"")</f>
        <v/>
      </c>
      <c r="I429" s="1">
        <f>_xlfn.RANK.EQ(H429,$H$2:$H$1031)</f>
        <v/>
      </c>
      <c r="J429" s="5" t="n">
        <v>517.3</v>
      </c>
      <c r="K429" s="5" t="n">
        <v>44</v>
      </c>
      <c r="L429" s="5" t="n">
        <v>20</v>
      </c>
      <c r="M429" s="5" t="n">
        <v>22</v>
      </c>
      <c r="N429" s="5">
        <f>J429+K429+L429+M429</f>
        <v/>
      </c>
      <c r="O429" s="5">
        <f>IF(ISNUMBER(N429),N429,"")</f>
        <v/>
      </c>
      <c r="P429" s="5">
        <f>_xlfn.RANK.EQ(O429,$O$2:$O$1031)</f>
        <v/>
      </c>
      <c r="Q429" s="9" t="n">
        <v>222</v>
      </c>
      <c r="R429" s="9" t="n">
        <v>40.5</v>
      </c>
      <c r="S429" s="9" t="n">
        <v>23</v>
      </c>
      <c r="T429" s="9" t="n">
        <v>25</v>
      </c>
      <c r="U429" s="9">
        <f>Q429+R429+S429+T429</f>
        <v/>
      </c>
      <c r="V429" s="9">
        <f>IF(ISNUMBER(U429),U429,"")</f>
        <v/>
      </c>
      <c r="W429" s="9">
        <f>_xlfn.RANK.EQ(V429,$V$2:$V$1031)</f>
        <v/>
      </c>
      <c r="X429" s="13" t="n">
        <v>1342.825</v>
      </c>
      <c r="Y429" s="13" t="n">
        <v>25</v>
      </c>
      <c r="Z429" s="13" t="n">
        <v>23</v>
      </c>
      <c r="AA429" s="13" t="n">
        <v>24</v>
      </c>
      <c r="AB429" s="13">
        <f>IF(ISNUMBER(X429),X429+N(Y429)+N(Z429)+N(AA429),X429)</f>
        <v/>
      </c>
      <c r="AC429" s="13">
        <f>IF(ISNUMBER(AB429),AB429,"")</f>
        <v/>
      </c>
      <c r="AD429" s="13">
        <f>IF(ISNUMBER(AC429),_xlfn.RANK.EQ(AC429,$AC$2:$AC$1031),"")</f>
        <v/>
      </c>
      <c r="AE429" s="15">
        <f>IF(ISNUMBER(AF429),AF429/3630,"")</f>
        <v/>
      </c>
      <c r="AF429" s="14">
        <f>IFERROR(C429+D429+E429+F429+J429+K429+L429+M429+Q429+R429+S429+T429+IF(ISNUMBER(X429),X429,0)+N(Y429)+N(Z429)+N(AA429),"")</f>
        <v/>
      </c>
      <c r="AG429" s="14">
        <f>IF(ISNUMBER(AF429),AF429,"")</f>
        <v/>
      </c>
      <c r="AH429" s="14">
        <f>IF(ISNUMBER(AG429),_xlfn.RANK.EQ(AG429,$AG$2:$AG$1031),"")</f>
        <v/>
      </c>
    </row>
    <row r="430">
      <c r="A430" s="18" t="n">
        <v>983</v>
      </c>
      <c r="B430" s="18" t="inlineStr">
        <is>
          <t>شمس سليمان غازى ابراهيم الجنيبهى</t>
        </is>
      </c>
      <c r="C430" s="1" t="n">
        <v>629.8</v>
      </c>
      <c r="D430" s="1" t="n">
        <v>25</v>
      </c>
      <c r="E430" s="1" t="n">
        <v>24</v>
      </c>
      <c r="F430" s="1" t="n">
        <v>22</v>
      </c>
      <c r="G430" s="1">
        <f>C430+D430+E430+F430</f>
        <v/>
      </c>
      <c r="H430" s="1">
        <f>IF(ISNUMBER(G430),G430,"")</f>
        <v/>
      </c>
      <c r="I430" s="1">
        <f>_xlfn.RANK.EQ(H430,$H$2:$H$1031)</f>
        <v/>
      </c>
      <c r="J430" s="5" t="n">
        <v>603.8</v>
      </c>
      <c r="K430" s="5" t="n">
        <v>47</v>
      </c>
      <c r="L430" s="5" t="n">
        <v>18</v>
      </c>
      <c r="M430" s="5" t="n">
        <v>24</v>
      </c>
      <c r="N430" s="5">
        <f>J430+K430+L430+M430</f>
        <v/>
      </c>
      <c r="O430" s="5">
        <f>IF(ISNUMBER(N430),N430,"")</f>
        <v/>
      </c>
      <c r="P430" s="5">
        <f>_xlfn.RANK.EQ(O430,$O$2:$O$1031)</f>
        <v/>
      </c>
      <c r="Q430" s="9" t="n">
        <v>283</v>
      </c>
      <c r="R430" s="9" t="n">
        <v>46.5</v>
      </c>
      <c r="S430" s="9" t="n">
        <v>24</v>
      </c>
      <c r="T430" s="9" t="n">
        <v>25</v>
      </c>
      <c r="U430" s="9">
        <f>Q430+R430+S430+T430</f>
        <v/>
      </c>
      <c r="V430" s="9">
        <f>IF(ISNUMBER(U430),U430,"")</f>
        <v/>
      </c>
      <c r="W430" s="9">
        <f>_xlfn.RANK.EQ(V430,$V$2:$V$1031)</f>
        <v/>
      </c>
      <c r="X430" s="13" t="n">
        <v>1526.1708333333</v>
      </c>
      <c r="Y430" s="13" t="n">
        <v>25</v>
      </c>
      <c r="Z430" s="13" t="n">
        <v>25</v>
      </c>
      <c r="AA430" s="13" t="n">
        <v>24</v>
      </c>
      <c r="AB430" s="13">
        <f>IF(ISNUMBER(X430),X430+N(Y430)+N(Z430)+N(AA430),X430)</f>
        <v/>
      </c>
      <c r="AC430" s="13">
        <f>IF(ISNUMBER(AB430),AB430,"")</f>
        <v/>
      </c>
      <c r="AD430" s="13">
        <f>IF(ISNUMBER(AC430),_xlfn.RANK.EQ(AC430,$AC$2:$AC$1031),"")</f>
        <v/>
      </c>
      <c r="AE430" s="15">
        <f>IF(ISNUMBER(AF430),AF430/3630,"")</f>
        <v/>
      </c>
      <c r="AF430" s="14">
        <f>IFERROR(C430+D430+E430+F430+J430+K430+L430+M430+Q430+R430+S430+T430+IF(ISNUMBER(X430),X430,0)+N(Y430)+N(Z430)+N(AA430),"")</f>
        <v/>
      </c>
      <c r="AG430" s="14">
        <f>IF(ISNUMBER(AF430),AF430,"")</f>
        <v/>
      </c>
      <c r="AH430" s="14">
        <f>IF(ISNUMBER(AG430),_xlfn.RANK.EQ(AG430,$AG$2:$AG$1031),"")</f>
        <v/>
      </c>
    </row>
    <row r="431">
      <c r="A431" s="18" t="n">
        <v>984</v>
      </c>
      <c r="B431" s="18" t="inlineStr">
        <is>
          <t>شمس فايد على محمد سليمان</t>
        </is>
      </c>
      <c r="C431" s="1" t="n">
        <v>640.5</v>
      </c>
      <c r="D431" s="1" t="n">
        <v>25</v>
      </c>
      <c r="E431" s="1" t="n">
        <v>25</v>
      </c>
      <c r="F431" s="1" t="n">
        <v>25</v>
      </c>
      <c r="G431" s="1">
        <f>C431+D431+E431+F431</f>
        <v/>
      </c>
      <c r="H431" s="1">
        <f>IF(ISNUMBER(G431),G431,"")</f>
        <v/>
      </c>
      <c r="I431" s="1">
        <f>_xlfn.RANK.EQ(H431,$H$2:$H$1031)</f>
        <v/>
      </c>
      <c r="J431" s="5" t="n">
        <v>639</v>
      </c>
      <c r="K431" s="5" t="n">
        <v>49</v>
      </c>
      <c r="L431" s="5" t="n">
        <v>22</v>
      </c>
      <c r="M431" s="5" t="n">
        <v>25</v>
      </c>
      <c r="N431" s="5">
        <f>J431+K431+L431+M431</f>
        <v/>
      </c>
      <c r="O431" s="5">
        <f>IF(ISNUMBER(N431),N431,"")</f>
        <v/>
      </c>
      <c r="P431" s="5">
        <f>_xlfn.RANK.EQ(O431,$O$2:$O$1031)</f>
        <v/>
      </c>
      <c r="Q431" s="9" t="n">
        <v>288</v>
      </c>
      <c r="R431" s="9" t="n">
        <v>49</v>
      </c>
      <c r="S431" s="9" t="n">
        <v>25</v>
      </c>
      <c r="T431" s="9" t="n">
        <v>25</v>
      </c>
      <c r="U431" s="9">
        <f>Q431+R431+S431+T431</f>
        <v/>
      </c>
      <c r="V431" s="9">
        <f>IF(ISNUMBER(U431),U431,"")</f>
        <v/>
      </c>
      <c r="W431" s="9">
        <f>_xlfn.RANK.EQ(V431,$V$2:$V$1031)</f>
        <v/>
      </c>
      <c r="X431" s="13" t="n">
        <v>1552.0375</v>
      </c>
      <c r="Y431" s="13" t="n">
        <v>25</v>
      </c>
      <c r="Z431" s="13" t="n">
        <v>24</v>
      </c>
      <c r="AA431" s="13" t="n">
        <v>25</v>
      </c>
      <c r="AB431" s="13">
        <f>IF(ISNUMBER(X431),X431+N(Y431)+N(Z431)+N(AA431),X431)</f>
        <v/>
      </c>
      <c r="AC431" s="13">
        <f>IF(ISNUMBER(AB431),AB431,"")</f>
        <v/>
      </c>
      <c r="AD431" s="13">
        <f>IF(ISNUMBER(AC431),_xlfn.RANK.EQ(AC431,$AC$2:$AC$1031),"")</f>
        <v/>
      </c>
      <c r="AE431" s="15">
        <f>IF(ISNUMBER(AF431),AF431/3630,"")</f>
        <v/>
      </c>
      <c r="AF431" s="14">
        <f>IFERROR(C431+D431+E431+F431+J431+K431+L431+M431+Q431+R431+S431+T431+IF(ISNUMBER(X431),X431,0)+N(Y431)+N(Z431)+N(AA431),"")</f>
        <v/>
      </c>
      <c r="AG431" s="14">
        <f>IF(ISNUMBER(AF431),AF431,"")</f>
        <v/>
      </c>
      <c r="AH431" s="14">
        <f>IF(ISNUMBER(AG431),_xlfn.RANK.EQ(AG431,$AG$2:$AG$1031),"")</f>
        <v/>
      </c>
    </row>
    <row r="432">
      <c r="A432" s="18" t="n">
        <v>985</v>
      </c>
      <c r="B432" s="18" t="inlineStr">
        <is>
          <t>شمس محمد دياب جلال</t>
        </is>
      </c>
      <c r="C432" s="1" t="n">
        <v>558.8</v>
      </c>
      <c r="D432" s="1" t="n">
        <v>23</v>
      </c>
      <c r="E432" s="1" t="n">
        <v>24</v>
      </c>
      <c r="F432" s="1" t="n">
        <v>17</v>
      </c>
      <c r="G432" s="1">
        <f>C432+D432+E432+F432</f>
        <v/>
      </c>
      <c r="H432" s="1">
        <f>IF(ISNUMBER(G432),G432,"")</f>
        <v/>
      </c>
      <c r="I432" s="1">
        <f>_xlfn.RANK.EQ(H432,$H$2:$H$1031)</f>
        <v/>
      </c>
      <c r="J432" s="5" t="n">
        <v>506.33</v>
      </c>
      <c r="K432" s="5" t="n">
        <v>43</v>
      </c>
      <c r="L432" s="5" t="n">
        <v>19</v>
      </c>
      <c r="M432" s="5" t="n">
        <v>22</v>
      </c>
      <c r="N432" s="5">
        <f>J432+K432+L432+M432</f>
        <v/>
      </c>
      <c r="O432" s="5">
        <f>IF(ISNUMBER(N432),N432,"")</f>
        <v/>
      </c>
      <c r="P432" s="5">
        <f>_xlfn.RANK.EQ(O432,$O$2:$O$1031)</f>
        <v/>
      </c>
      <c r="Q432" s="9" t="inlineStr">
        <is>
          <t>راسب</t>
        </is>
      </c>
      <c r="R432" s="9" t="n">
        <v>41.5</v>
      </c>
      <c r="S432" s="9" t="n">
        <v>22</v>
      </c>
      <c r="T432" s="9" t="n">
        <v>23</v>
      </c>
      <c r="U432" s="9">
        <f>Q432+R432+S432+T432</f>
        <v/>
      </c>
      <c r="V432" s="9">
        <f>IF(ISNUMBER(U432),U432,"")</f>
        <v/>
      </c>
      <c r="W432" s="9">
        <f>_xlfn.RANK.EQ(V432,$V$2:$V$1031)</f>
        <v/>
      </c>
      <c r="X432" s="13" t="n">
        <v>1181.3791666667</v>
      </c>
      <c r="Y432" s="13" t="n">
        <v>25</v>
      </c>
      <c r="Z432" s="13" t="n">
        <v>25</v>
      </c>
      <c r="AA432" s="13" t="n">
        <v>25</v>
      </c>
      <c r="AB432" s="13">
        <f>IF(ISNUMBER(X432),X432+N(Y432)+N(Z432)+N(AA432),X432)</f>
        <v/>
      </c>
      <c r="AC432" s="13">
        <f>IF(ISNUMBER(AB432),AB432,"")</f>
        <v/>
      </c>
      <c r="AD432" s="13">
        <f>IF(ISNUMBER(AC432),_xlfn.RANK.EQ(AC432,$AC$2:$AC$1031),"")</f>
        <v/>
      </c>
      <c r="AE432" s="15">
        <f>IF(ISNUMBER(AF432),AF432/3630,"")</f>
        <v/>
      </c>
      <c r="AF432" s="14">
        <f>IFERROR(C432+D432+E432+F432+J432+K432+L432+M432+Q432+R432+S432+T432+IF(ISNUMBER(X432),X432,0)+N(Y432)+N(Z432)+N(AA432),"")</f>
        <v/>
      </c>
      <c r="AG432" s="14">
        <f>IF(ISNUMBER(AF432),AF432,"")</f>
        <v/>
      </c>
      <c r="AH432" s="14">
        <f>IF(ISNUMBER(AG432),_xlfn.RANK.EQ(AG432,$AG$2:$AG$1031),"")</f>
        <v/>
      </c>
    </row>
    <row r="433">
      <c r="A433" s="18" t="n">
        <v>986</v>
      </c>
      <c r="B433" s="18" t="inlineStr">
        <is>
          <t>شهد ابراهيم احمد الشربيني  حطب</t>
        </is>
      </c>
      <c r="C433" s="1" t="n">
        <v>475.6</v>
      </c>
      <c r="D433" s="1" t="n">
        <v>23</v>
      </c>
      <c r="E433" s="1" t="n">
        <v>17</v>
      </c>
      <c r="F433" s="1" t="n">
        <v>21</v>
      </c>
      <c r="G433" s="1">
        <f>C433+D433+E433+F433</f>
        <v/>
      </c>
      <c r="H433" s="1">
        <f>IF(ISNUMBER(G433),G433,"")</f>
        <v/>
      </c>
      <c r="I433" s="1">
        <f>_xlfn.RANK.EQ(H433,$H$2:$H$1031)</f>
        <v/>
      </c>
      <c r="J433" s="5" t="n">
        <v>512.5</v>
      </c>
      <c r="K433" s="5" t="n">
        <v>30</v>
      </c>
      <c r="L433" s="5" t="n">
        <v>22</v>
      </c>
      <c r="M433" s="5" t="n">
        <v>19</v>
      </c>
      <c r="N433" s="5">
        <f>J433+K433+L433+M433</f>
        <v/>
      </c>
      <c r="O433" s="5">
        <f>IF(ISNUMBER(N433),N433,"")</f>
        <v/>
      </c>
      <c r="P433" s="5">
        <f>_xlfn.RANK.EQ(O433,$O$2:$O$1031)</f>
        <v/>
      </c>
      <c r="Q433" s="9" t="n">
        <v>200.5</v>
      </c>
      <c r="R433" s="9" t="n">
        <v>39.5</v>
      </c>
      <c r="S433" s="9" t="n">
        <v>21</v>
      </c>
      <c r="T433" s="9" t="n">
        <v>24</v>
      </c>
      <c r="U433" s="9">
        <f>Q433+R433+S433+T433</f>
        <v/>
      </c>
      <c r="V433" s="9">
        <f>IF(ISNUMBER(U433),U433,"")</f>
        <v/>
      </c>
      <c r="W433" s="9">
        <f>_xlfn.RANK.EQ(V433,$V$2:$V$1031)</f>
        <v/>
      </c>
      <c r="X433" s="13" t="n">
        <v>1147.3583333333</v>
      </c>
      <c r="Y433" s="13" t="n">
        <v>25</v>
      </c>
      <c r="Z433" s="13" t="n">
        <v>23</v>
      </c>
      <c r="AA433" s="13" t="n">
        <v>20</v>
      </c>
      <c r="AB433" s="13">
        <f>IF(ISNUMBER(X433),X433+N(Y433)+N(Z433)+N(AA433),X433)</f>
        <v/>
      </c>
      <c r="AC433" s="13">
        <f>IF(ISNUMBER(AB433),AB433,"")</f>
        <v/>
      </c>
      <c r="AD433" s="13">
        <f>IF(ISNUMBER(AC433),_xlfn.RANK.EQ(AC433,$AC$2:$AC$1031),"")</f>
        <v/>
      </c>
      <c r="AE433" s="15">
        <f>IF(ISNUMBER(AF433),AF433/3630,"")</f>
        <v/>
      </c>
      <c r="AF433" s="14">
        <f>IFERROR(C433+D433+E433+F433+J433+K433+L433+M433+Q433+R433+S433+T433+IF(ISNUMBER(X433),X433,0)+N(Y433)+N(Z433)+N(AA433),"")</f>
        <v/>
      </c>
      <c r="AG433" s="14">
        <f>IF(ISNUMBER(AF433),AF433,"")</f>
        <v/>
      </c>
      <c r="AH433" s="14">
        <f>IF(ISNUMBER(AG433),_xlfn.RANK.EQ(AG433,$AG$2:$AG$1031),"")</f>
        <v/>
      </c>
    </row>
    <row r="434">
      <c r="A434" s="18" t="n">
        <v>987</v>
      </c>
      <c r="B434" s="18" t="inlineStr">
        <is>
          <t>شهد ابراهيم حسن عامر</t>
        </is>
      </c>
      <c r="C434" s="1" t="n">
        <v>463.3</v>
      </c>
      <c r="D434" s="1" t="n">
        <v>25</v>
      </c>
      <c r="E434" s="1" t="n">
        <v>21</v>
      </c>
      <c r="F434" s="1" t="n">
        <v>19</v>
      </c>
      <c r="G434" s="1">
        <f>C434+D434+E434+F434</f>
        <v/>
      </c>
      <c r="H434" s="1">
        <f>IF(ISNUMBER(G434),G434,"")</f>
        <v/>
      </c>
      <c r="I434" s="1">
        <f>_xlfn.RANK.EQ(H434,$H$2:$H$1031)</f>
        <v/>
      </c>
      <c r="J434" s="5" t="n">
        <v>446</v>
      </c>
      <c r="K434" s="5" t="n">
        <v>37</v>
      </c>
      <c r="L434" s="5" t="n">
        <v>14</v>
      </c>
      <c r="M434" s="5" t="n">
        <v>19</v>
      </c>
      <c r="N434" s="5">
        <f>J434+K434+L434+M434</f>
        <v/>
      </c>
      <c r="O434" s="5">
        <f>IF(ISNUMBER(N434),N434,"")</f>
        <v/>
      </c>
      <c r="P434" s="5">
        <f>_xlfn.RANK.EQ(O434,$O$2:$O$1031)</f>
        <v/>
      </c>
      <c r="Q434" s="9" t="n">
        <v>178.5</v>
      </c>
      <c r="R434" s="9" t="n">
        <v>42.5</v>
      </c>
      <c r="S434" s="9" t="n">
        <v>21</v>
      </c>
      <c r="T434" s="9" t="n">
        <v>21</v>
      </c>
      <c r="U434" s="9">
        <f>Q434+R434+S434+T434</f>
        <v/>
      </c>
      <c r="V434" s="9">
        <f>IF(ISNUMBER(U434),U434,"")</f>
        <v/>
      </c>
      <c r="W434" s="9">
        <f>_xlfn.RANK.EQ(V434,$V$2:$V$1031)</f>
        <v/>
      </c>
      <c r="X434" s="13" t="inlineStr">
        <is>
          <t>راسب</t>
        </is>
      </c>
      <c r="Y434" s="13" t="n">
        <v>22</v>
      </c>
      <c r="Z434" s="13" t="n">
        <v>18</v>
      </c>
      <c r="AA434" s="13" t="n">
        <v>17</v>
      </c>
      <c r="AB434" s="13">
        <f>IF(ISNUMBER(X434),X434+N(Y434)+N(Z434)+N(AA434),X434)</f>
        <v/>
      </c>
      <c r="AC434" s="13">
        <f>IF(ISNUMBER(AB434),AB434,"")</f>
        <v/>
      </c>
      <c r="AD434" s="13">
        <f>IF(ISNUMBER(AC434),_xlfn.RANK.EQ(AC434,$AC$2:$AC$1031),"")</f>
        <v/>
      </c>
      <c r="AE434" s="15">
        <f>IF(ISNUMBER(AF434),AF434/3630,"")</f>
        <v/>
      </c>
      <c r="AF434" s="14">
        <f>IFERROR(C434+D434+E434+F434+J434+K434+L434+M434+Q434+R434+S434+T434+IF(ISNUMBER(X434),X434,0)+N(Y434)+N(Z434)+N(AA434),"")</f>
        <v/>
      </c>
      <c r="AG434" s="14">
        <f>IF(ISNUMBER(AF434),AF434,"")</f>
        <v/>
      </c>
      <c r="AH434" s="14">
        <f>IF(ISNUMBER(AG434),_xlfn.RANK.EQ(AG434,$AG$2:$AG$1031),"")</f>
        <v/>
      </c>
    </row>
    <row r="435">
      <c r="A435" s="18" t="n">
        <v>988</v>
      </c>
      <c r="B435" s="18" t="inlineStr">
        <is>
          <t>شهد احمد ابراهيم عفيفي</t>
        </is>
      </c>
      <c r="C435" s="1" t="n">
        <v>577.6</v>
      </c>
      <c r="D435" s="1" t="n">
        <v>22</v>
      </c>
      <c r="E435" s="1" t="n">
        <v>24</v>
      </c>
      <c r="F435" s="1" t="n">
        <v>23</v>
      </c>
      <c r="G435" s="1">
        <f>C435+D435+E435+F435</f>
        <v/>
      </c>
      <c r="H435" s="1">
        <f>IF(ISNUMBER(G435),G435,"")</f>
        <v/>
      </c>
      <c r="I435" s="1">
        <f>_xlfn.RANK.EQ(H435,$H$2:$H$1031)</f>
        <v/>
      </c>
      <c r="J435" s="5" t="n">
        <v>570</v>
      </c>
      <c r="K435" s="5" t="n">
        <v>46</v>
      </c>
      <c r="L435" s="5" t="n">
        <v>20</v>
      </c>
      <c r="M435" s="5" t="n">
        <v>19</v>
      </c>
      <c r="N435" s="5">
        <f>J435+K435+L435+M435</f>
        <v/>
      </c>
      <c r="O435" s="5">
        <f>IF(ISNUMBER(N435),N435,"")</f>
        <v/>
      </c>
      <c r="P435" s="5">
        <f>_xlfn.RANK.EQ(O435,$O$2:$O$1031)</f>
        <v/>
      </c>
      <c r="Q435" s="9" t="n">
        <v>229</v>
      </c>
      <c r="R435" s="9" t="n">
        <v>43.5</v>
      </c>
      <c r="S435" s="9" t="n">
        <v>23</v>
      </c>
      <c r="T435" s="9" t="n">
        <v>25</v>
      </c>
      <c r="U435" s="9">
        <f>Q435+R435+S435+T435</f>
        <v/>
      </c>
      <c r="V435" s="9">
        <f>IF(ISNUMBER(U435),U435,"")</f>
        <v/>
      </c>
      <c r="W435" s="9">
        <f>_xlfn.RANK.EQ(V435,$V$2:$V$1031)</f>
        <v/>
      </c>
      <c r="X435" s="13" t="n">
        <v>1326.8</v>
      </c>
      <c r="Y435" s="13" t="n">
        <v>24</v>
      </c>
      <c r="Z435" s="13" t="n">
        <v>24</v>
      </c>
      <c r="AA435" s="13" t="n">
        <v>23</v>
      </c>
      <c r="AB435" s="13">
        <f>IF(ISNUMBER(X435),X435+N(Y435)+N(Z435)+N(AA435),X435)</f>
        <v/>
      </c>
      <c r="AC435" s="13">
        <f>IF(ISNUMBER(AB435),AB435,"")</f>
        <v/>
      </c>
      <c r="AD435" s="13">
        <f>IF(ISNUMBER(AC435),_xlfn.RANK.EQ(AC435,$AC$2:$AC$1031),"")</f>
        <v/>
      </c>
      <c r="AE435" s="15">
        <f>IF(ISNUMBER(AF435),AF435/3630,"")</f>
        <v/>
      </c>
      <c r="AF435" s="14">
        <f>IFERROR(C435+D435+E435+F435+J435+K435+L435+M435+Q435+R435+S435+T435+IF(ISNUMBER(X435),X435,0)+N(Y435)+N(Z435)+N(AA435),"")</f>
        <v/>
      </c>
      <c r="AG435" s="14">
        <f>IF(ISNUMBER(AF435),AF435,"")</f>
        <v/>
      </c>
      <c r="AH435" s="14">
        <f>IF(ISNUMBER(AG435),_xlfn.RANK.EQ(AG435,$AG$2:$AG$1031),"")</f>
        <v/>
      </c>
    </row>
    <row r="436">
      <c r="A436" s="18" t="n">
        <v>990</v>
      </c>
      <c r="B436" s="18" t="inlineStr">
        <is>
          <t>شهد احمد عبدالقادر السيد ركيبة</t>
        </is>
      </c>
      <c r="C436" s="1" t="n">
        <v>559.2</v>
      </c>
      <c r="D436" s="1" t="n">
        <v>19</v>
      </c>
      <c r="E436" s="1" t="n">
        <v>20</v>
      </c>
      <c r="F436" s="1" t="n">
        <v>18</v>
      </c>
      <c r="G436" s="1">
        <f>C436+D436+E436+F436</f>
        <v/>
      </c>
      <c r="H436" s="1">
        <f>IF(ISNUMBER(G436),G436,"")</f>
        <v/>
      </c>
      <c r="I436" s="1">
        <f>_xlfn.RANK.EQ(H436,$H$2:$H$1031)</f>
        <v/>
      </c>
      <c r="J436" s="5" t="n">
        <v>530.35</v>
      </c>
      <c r="K436" s="5" t="n">
        <v>33</v>
      </c>
      <c r="L436" s="5" t="n">
        <v>21</v>
      </c>
      <c r="M436" s="5" t="n">
        <v>16</v>
      </c>
      <c r="N436" s="5">
        <f>J436+K436+L436+M436</f>
        <v/>
      </c>
      <c r="O436" s="5">
        <f>IF(ISNUMBER(N436),N436,"")</f>
        <v/>
      </c>
      <c r="P436" s="5">
        <f>_xlfn.RANK.EQ(O436,$O$2:$O$1031)</f>
        <v/>
      </c>
      <c r="Q436" s="9" t="n">
        <v>241</v>
      </c>
      <c r="R436" s="9" t="n">
        <v>39.5</v>
      </c>
      <c r="S436" s="9" t="n">
        <v>24</v>
      </c>
      <c r="T436" s="9" t="n">
        <v>23</v>
      </c>
      <c r="U436" s="9">
        <f>Q436+R436+S436+T436</f>
        <v/>
      </c>
      <c r="V436" s="9">
        <f>IF(ISNUMBER(U436),U436,"")</f>
        <v/>
      </c>
      <c r="W436" s="9">
        <f>_xlfn.RANK.EQ(V436,$V$2:$V$1031)</f>
        <v/>
      </c>
      <c r="X436" s="13" t="n">
        <v>1393.2833333333</v>
      </c>
      <c r="Y436" s="13" t="n">
        <v>24</v>
      </c>
      <c r="Z436" s="13" t="n">
        <v>23</v>
      </c>
      <c r="AA436" s="13" t="n">
        <v>23</v>
      </c>
      <c r="AB436" s="13">
        <f>IF(ISNUMBER(X436),X436+N(Y436)+N(Z436)+N(AA436),X436)</f>
        <v/>
      </c>
      <c r="AC436" s="13">
        <f>IF(ISNUMBER(AB436),AB436,"")</f>
        <v/>
      </c>
      <c r="AD436" s="13">
        <f>IF(ISNUMBER(AC436),_xlfn.RANK.EQ(AC436,$AC$2:$AC$1031),"")</f>
        <v/>
      </c>
      <c r="AE436" s="15">
        <f>IF(ISNUMBER(AF436),AF436/3630,"")</f>
        <v/>
      </c>
      <c r="AF436" s="14">
        <f>IFERROR(C436+D436+E436+F436+J436+K436+L436+M436+Q436+R436+S436+T436+IF(ISNUMBER(X436),X436,0)+N(Y436)+N(Z436)+N(AA436),"")</f>
        <v/>
      </c>
      <c r="AG436" s="14">
        <f>IF(ISNUMBER(AF436),AF436,"")</f>
        <v/>
      </c>
      <c r="AH436" s="14">
        <f>IF(ISNUMBER(AG436),_xlfn.RANK.EQ(AG436,$AG$2:$AG$1031),"")</f>
        <v/>
      </c>
    </row>
    <row r="437">
      <c r="A437" s="18" t="n">
        <v>991</v>
      </c>
      <c r="B437" s="18" t="inlineStr">
        <is>
          <t>شهد ثروت رفاعي محمد السمان</t>
        </is>
      </c>
      <c r="C437" s="1" t="n">
        <v>593.4</v>
      </c>
      <c r="D437" s="1" t="n">
        <v>24</v>
      </c>
      <c r="E437" s="1" t="n">
        <v>22</v>
      </c>
      <c r="F437" s="1" t="n">
        <v>23</v>
      </c>
      <c r="G437" s="1">
        <f>C437+D437+E437+F437</f>
        <v/>
      </c>
      <c r="H437" s="1">
        <f>IF(ISNUMBER(G437),G437,"")</f>
        <v/>
      </c>
      <c r="I437" s="1">
        <f>_xlfn.RANK.EQ(H437,$H$2:$H$1031)</f>
        <v/>
      </c>
      <c r="J437" s="5" t="n">
        <v>568.0599999999999</v>
      </c>
      <c r="K437" s="5" t="n">
        <v>48</v>
      </c>
      <c r="L437" s="5" t="n">
        <v>21</v>
      </c>
      <c r="M437" s="5" t="n">
        <v>25</v>
      </c>
      <c r="N437" s="5">
        <f>J437+K437+L437+M437</f>
        <v/>
      </c>
      <c r="O437" s="5">
        <f>IF(ISNUMBER(N437),N437,"")</f>
        <v/>
      </c>
      <c r="P437" s="5">
        <f>_xlfn.RANK.EQ(O437,$O$2:$O$1031)</f>
        <v/>
      </c>
      <c r="Q437" s="9" t="n">
        <v>260</v>
      </c>
      <c r="R437" s="9" t="n">
        <v>48.5</v>
      </c>
      <c r="S437" s="9" t="n">
        <v>25</v>
      </c>
      <c r="T437" s="9" t="n">
        <v>25</v>
      </c>
      <c r="U437" s="9">
        <f>Q437+R437+S437+T437</f>
        <v/>
      </c>
      <c r="V437" s="9">
        <f>IF(ISNUMBER(U437),U437,"")</f>
        <v/>
      </c>
      <c r="W437" s="9">
        <f>_xlfn.RANK.EQ(V437,$V$2:$V$1031)</f>
        <v/>
      </c>
      <c r="X437" s="13" t="n">
        <v>1449.9</v>
      </c>
      <c r="Y437" s="13" t="n">
        <v>25</v>
      </c>
      <c r="Z437" s="13" t="n">
        <v>25</v>
      </c>
      <c r="AA437" s="13" t="n">
        <v>23</v>
      </c>
      <c r="AB437" s="13">
        <f>IF(ISNUMBER(X437),X437+N(Y437)+N(Z437)+N(AA437),X437)</f>
        <v/>
      </c>
      <c r="AC437" s="13">
        <f>IF(ISNUMBER(AB437),AB437,"")</f>
        <v/>
      </c>
      <c r="AD437" s="13">
        <f>IF(ISNUMBER(AC437),_xlfn.RANK.EQ(AC437,$AC$2:$AC$1031),"")</f>
        <v/>
      </c>
      <c r="AE437" s="15">
        <f>IF(ISNUMBER(AF437),AF437/3630,"")</f>
        <v/>
      </c>
      <c r="AF437" s="14">
        <f>IFERROR(C437+D437+E437+F437+J437+K437+L437+M437+Q437+R437+S437+T437+IF(ISNUMBER(X437),X437,0)+N(Y437)+N(Z437)+N(AA437),"")</f>
        <v/>
      </c>
      <c r="AG437" s="14">
        <f>IF(ISNUMBER(AF437),AF437,"")</f>
        <v/>
      </c>
      <c r="AH437" s="14">
        <f>IF(ISNUMBER(AG437),_xlfn.RANK.EQ(AG437,$AG$2:$AG$1031),"")</f>
        <v/>
      </c>
    </row>
    <row r="438">
      <c r="A438" s="18" t="n">
        <v>993</v>
      </c>
      <c r="B438" s="18" t="inlineStr">
        <is>
          <t>شهد حسن عبد الجيد برهام</t>
        </is>
      </c>
      <c r="C438" s="1" t="n">
        <v>561.7</v>
      </c>
      <c r="D438" s="1" t="n">
        <v>25</v>
      </c>
      <c r="E438" s="1" t="n">
        <v>23</v>
      </c>
      <c r="F438" s="1" t="n">
        <v>20</v>
      </c>
      <c r="G438" s="1">
        <f>C438+D438+E438+F438</f>
        <v/>
      </c>
      <c r="H438" s="1">
        <f>IF(ISNUMBER(G438),G438,"")</f>
        <v/>
      </c>
      <c r="I438" s="1">
        <f>_xlfn.RANK.EQ(H438,$H$2:$H$1031)</f>
        <v/>
      </c>
      <c r="J438" s="5" t="n">
        <v>564</v>
      </c>
      <c r="K438" s="5" t="n">
        <v>48</v>
      </c>
      <c r="L438" s="5" t="n">
        <v>24</v>
      </c>
      <c r="M438" s="5" t="n">
        <v>20</v>
      </c>
      <c r="N438" s="5">
        <f>J438+K438+L438+M438</f>
        <v/>
      </c>
      <c r="O438" s="5">
        <f>IF(ISNUMBER(N438),N438,"")</f>
        <v/>
      </c>
      <c r="P438" s="5">
        <f>_xlfn.RANK.EQ(O438,$O$2:$O$1031)</f>
        <v/>
      </c>
      <c r="Q438" s="9" t="n">
        <v>255.5</v>
      </c>
      <c r="R438" s="9" t="n">
        <v>46</v>
      </c>
      <c r="S438" s="9" t="n">
        <v>23</v>
      </c>
      <c r="T438" s="9" t="n">
        <v>23</v>
      </c>
      <c r="U438" s="9">
        <f>Q438+R438+S438+T438</f>
        <v/>
      </c>
      <c r="V438" s="9">
        <f>IF(ISNUMBER(U438),U438,"")</f>
        <v/>
      </c>
      <c r="W438" s="9">
        <f>_xlfn.RANK.EQ(V438,$V$2:$V$1031)</f>
        <v/>
      </c>
      <c r="X438" s="13" t="n">
        <v>1404.8375</v>
      </c>
      <c r="Y438" s="13" t="n">
        <v>24</v>
      </c>
      <c r="Z438" s="13" t="n">
        <v>25</v>
      </c>
      <c r="AA438" s="13" t="n">
        <v>23</v>
      </c>
      <c r="AB438" s="13">
        <f>IF(ISNUMBER(X438),X438+N(Y438)+N(Z438)+N(AA438),X438)</f>
        <v/>
      </c>
      <c r="AC438" s="13">
        <f>IF(ISNUMBER(AB438),AB438,"")</f>
        <v/>
      </c>
      <c r="AD438" s="13">
        <f>IF(ISNUMBER(AC438),_xlfn.RANK.EQ(AC438,$AC$2:$AC$1031),"")</f>
        <v/>
      </c>
      <c r="AE438" s="15">
        <f>IF(ISNUMBER(AF438),AF438/3630,"")</f>
        <v/>
      </c>
      <c r="AF438" s="14">
        <f>IFERROR(C438+D438+E438+F438+J438+K438+L438+M438+Q438+R438+S438+T438+IF(ISNUMBER(X438),X438,0)+N(Y438)+N(Z438)+N(AA438),"")</f>
        <v/>
      </c>
      <c r="AG438" s="14">
        <f>IF(ISNUMBER(AF438),AF438,"")</f>
        <v/>
      </c>
      <c r="AH438" s="14">
        <f>IF(ISNUMBER(AG438),_xlfn.RANK.EQ(AG438,$AG$2:$AG$1031),"")</f>
        <v/>
      </c>
    </row>
    <row r="439">
      <c r="A439" s="18" t="n">
        <v>994</v>
      </c>
      <c r="B439" s="18" t="inlineStr">
        <is>
          <t>شهد خالد السيد مصطفي الغتمي</t>
        </is>
      </c>
      <c r="C439" s="1" t="n">
        <v>609.7</v>
      </c>
      <c r="D439" s="1" t="n">
        <v>25</v>
      </c>
      <c r="E439" s="1" t="n">
        <v>22</v>
      </c>
      <c r="F439" s="1" t="n">
        <v>24</v>
      </c>
      <c r="G439" s="1">
        <f>C439+D439+E439+F439</f>
        <v/>
      </c>
      <c r="H439" s="1">
        <f>IF(ISNUMBER(G439),G439,"")</f>
        <v/>
      </c>
      <c r="I439" s="1">
        <f>_xlfn.RANK.EQ(H439,$H$2:$H$1031)</f>
        <v/>
      </c>
      <c r="J439" s="5" t="n">
        <v>595</v>
      </c>
      <c r="K439" s="5" t="n">
        <v>48</v>
      </c>
      <c r="L439" s="5" t="n">
        <v>22</v>
      </c>
      <c r="M439" s="5" t="n">
        <v>22</v>
      </c>
      <c r="N439" s="5">
        <f>J439+K439+L439+M439</f>
        <v/>
      </c>
      <c r="O439" s="5">
        <f>IF(ISNUMBER(N439),N439,"")</f>
        <v/>
      </c>
      <c r="P439" s="5">
        <f>_xlfn.RANK.EQ(O439,$O$2:$O$1031)</f>
        <v/>
      </c>
      <c r="Q439" s="9" t="n">
        <v>253.25</v>
      </c>
      <c r="R439" s="9" t="n">
        <v>49.5</v>
      </c>
      <c r="S439" s="9" t="n">
        <v>25</v>
      </c>
      <c r="T439" s="9" t="n">
        <v>25</v>
      </c>
      <c r="U439" s="9">
        <f>Q439+R439+S439+T439</f>
        <v/>
      </c>
      <c r="V439" s="9">
        <f>IF(ISNUMBER(U439),U439,"")</f>
        <v/>
      </c>
      <c r="W439" s="9">
        <f>_xlfn.RANK.EQ(V439,$V$2:$V$1031)</f>
        <v/>
      </c>
      <c r="X439" s="13" t="n">
        <v>1444.5541666667</v>
      </c>
      <c r="Y439" s="13" t="n">
        <v>25</v>
      </c>
      <c r="Z439" s="13" t="n">
        <v>24</v>
      </c>
      <c r="AA439" s="13" t="n">
        <v>25</v>
      </c>
      <c r="AB439" s="13">
        <f>IF(ISNUMBER(X439),X439+N(Y439)+N(Z439)+N(AA439),X439)</f>
        <v/>
      </c>
      <c r="AC439" s="13">
        <f>IF(ISNUMBER(AB439),AB439,"")</f>
        <v/>
      </c>
      <c r="AD439" s="13">
        <f>IF(ISNUMBER(AC439),_xlfn.RANK.EQ(AC439,$AC$2:$AC$1031),"")</f>
        <v/>
      </c>
      <c r="AE439" s="15">
        <f>IF(ISNUMBER(AF439),AF439/3630,"")</f>
        <v/>
      </c>
      <c r="AF439" s="14">
        <f>IFERROR(C439+D439+E439+F439+J439+K439+L439+M439+Q439+R439+S439+T439+IF(ISNUMBER(X439),X439,0)+N(Y439)+N(Z439)+N(AA439),"")</f>
        <v/>
      </c>
      <c r="AG439" s="14">
        <f>IF(ISNUMBER(AF439),AF439,"")</f>
        <v/>
      </c>
      <c r="AH439" s="14">
        <f>IF(ISNUMBER(AG439),_xlfn.RANK.EQ(AG439,$AG$2:$AG$1031),"")</f>
        <v/>
      </c>
    </row>
    <row r="440">
      <c r="A440" s="18" t="n">
        <v>996</v>
      </c>
      <c r="B440" s="18" t="inlineStr">
        <is>
          <t>شهد رضوان  احمد كنعان</t>
        </is>
      </c>
      <c r="C440" s="1" t="n">
        <v>529.1</v>
      </c>
      <c r="D440" s="1" t="n">
        <v>24</v>
      </c>
      <c r="E440" s="1" t="n">
        <v>24</v>
      </c>
      <c r="F440" s="1" t="n">
        <v>19</v>
      </c>
      <c r="G440" s="1">
        <f>C440+D440+E440+F440</f>
        <v/>
      </c>
      <c r="H440" s="1">
        <f>IF(ISNUMBER(G440),G440,"")</f>
        <v/>
      </c>
      <c r="I440" s="1">
        <f>_xlfn.RANK.EQ(H440,$H$2:$H$1031)</f>
        <v/>
      </c>
      <c r="J440" s="5" t="n">
        <v>569.5</v>
      </c>
      <c r="K440" s="5" t="n">
        <v>49</v>
      </c>
      <c r="L440" s="5" t="n">
        <v>25</v>
      </c>
      <c r="M440" s="5" t="n">
        <v>24</v>
      </c>
      <c r="N440" s="5">
        <f>J440+K440+L440+M440</f>
        <v/>
      </c>
      <c r="O440" s="5">
        <f>IF(ISNUMBER(N440),N440,"")</f>
        <v/>
      </c>
      <c r="P440" s="5">
        <f>_xlfn.RANK.EQ(O440,$O$2:$O$1031)</f>
        <v/>
      </c>
      <c r="Q440" s="9" t="n">
        <v>251</v>
      </c>
      <c r="R440" s="9" t="n">
        <v>46</v>
      </c>
      <c r="S440" s="9" t="n">
        <v>25</v>
      </c>
      <c r="T440" s="9" t="n">
        <v>24</v>
      </c>
      <c r="U440" s="9">
        <f>Q440+R440+S440+T440</f>
        <v/>
      </c>
      <c r="V440" s="9">
        <f>IF(ISNUMBER(U440),U440,"")</f>
        <v/>
      </c>
      <c r="W440" s="9">
        <f>_xlfn.RANK.EQ(V440,$V$2:$V$1031)</f>
        <v/>
      </c>
      <c r="X440" s="13" t="n">
        <v>1515.7083333333</v>
      </c>
      <c r="Y440" s="13" t="n">
        <v>24</v>
      </c>
      <c r="Z440" s="13" t="n">
        <v>25</v>
      </c>
      <c r="AA440" s="13" t="n">
        <v>23</v>
      </c>
      <c r="AB440" s="13">
        <f>IF(ISNUMBER(X440),X440+N(Y440)+N(Z440)+N(AA440),X440)</f>
        <v/>
      </c>
      <c r="AC440" s="13">
        <f>IF(ISNUMBER(AB440),AB440,"")</f>
        <v/>
      </c>
      <c r="AD440" s="13">
        <f>IF(ISNUMBER(AC440),_xlfn.RANK.EQ(AC440,$AC$2:$AC$1031),"")</f>
        <v/>
      </c>
      <c r="AE440" s="15">
        <f>IF(ISNUMBER(AF440),AF440/3630,"")</f>
        <v/>
      </c>
      <c r="AF440" s="14">
        <f>IFERROR(C440+D440+E440+F440+J440+K440+L440+M440+Q440+R440+S440+T440+IF(ISNUMBER(X440),X440,0)+N(Y440)+N(Z440)+N(AA440),"")</f>
        <v/>
      </c>
      <c r="AG440" s="14">
        <f>IF(ISNUMBER(AF440),AF440,"")</f>
        <v/>
      </c>
      <c r="AH440" s="14">
        <f>IF(ISNUMBER(AG440),_xlfn.RANK.EQ(AG440,$AG$2:$AG$1031),"")</f>
        <v/>
      </c>
    </row>
    <row r="441">
      <c r="A441" s="18" t="n">
        <v>997</v>
      </c>
      <c r="B441" s="18" t="inlineStr">
        <is>
          <t>شهد شريف عبده حسام الدين</t>
        </is>
      </c>
      <c r="C441" s="1" t="n">
        <v>609.4</v>
      </c>
      <c r="D441" s="1" t="n">
        <v>24</v>
      </c>
      <c r="E441" s="1" t="n">
        <v>23</v>
      </c>
      <c r="F441" s="1" t="n">
        <v>21</v>
      </c>
      <c r="G441" s="1">
        <f>C441+D441+E441+F441</f>
        <v/>
      </c>
      <c r="H441" s="1">
        <f>IF(ISNUMBER(G441),G441,"")</f>
        <v/>
      </c>
      <c r="I441" s="1">
        <f>_xlfn.RANK.EQ(H441,$H$2:$H$1031)</f>
        <v/>
      </c>
      <c r="J441" s="5" t="n">
        <v>621</v>
      </c>
      <c r="K441" s="5" t="n">
        <v>47</v>
      </c>
      <c r="L441" s="5" t="n">
        <v>25</v>
      </c>
      <c r="M441" s="5" t="n">
        <v>25</v>
      </c>
      <c r="N441" s="5">
        <f>J441+K441+L441+M441</f>
        <v/>
      </c>
      <c r="O441" s="5">
        <f>IF(ISNUMBER(N441),N441,"")</f>
        <v/>
      </c>
      <c r="P441" s="5">
        <f>_xlfn.RANK.EQ(O441,$O$2:$O$1031)</f>
        <v/>
      </c>
      <c r="Q441" s="9" t="n">
        <v>284.75</v>
      </c>
      <c r="R441" s="9" t="n">
        <v>46.5</v>
      </c>
      <c r="S441" s="9" t="n">
        <v>25</v>
      </c>
      <c r="T441" s="9" t="n">
        <v>25</v>
      </c>
      <c r="U441" s="9">
        <f>Q441+R441+S441+T441</f>
        <v/>
      </c>
      <c r="V441" s="9">
        <f>IF(ISNUMBER(U441),U441,"")</f>
        <v/>
      </c>
      <c r="W441" s="9">
        <f>_xlfn.RANK.EQ(V441,$V$2:$V$1031)</f>
        <v/>
      </c>
      <c r="X441" s="13" t="n">
        <v>1557.8625</v>
      </c>
      <c r="Y441" s="13" t="n">
        <v>25</v>
      </c>
      <c r="Z441" s="13" t="n">
        <v>25</v>
      </c>
      <c r="AA441" s="13" t="n">
        <v>25</v>
      </c>
      <c r="AB441" s="13">
        <f>IF(ISNUMBER(X441),X441+N(Y441)+N(Z441)+N(AA441),X441)</f>
        <v/>
      </c>
      <c r="AC441" s="13">
        <f>IF(ISNUMBER(AB441),AB441,"")</f>
        <v/>
      </c>
      <c r="AD441" s="13">
        <f>IF(ISNUMBER(AC441),_xlfn.RANK.EQ(AC441,$AC$2:$AC$1031),"")</f>
        <v/>
      </c>
      <c r="AE441" s="15">
        <f>IF(ISNUMBER(AF441),AF441/3630,"")</f>
        <v/>
      </c>
      <c r="AF441" s="14">
        <f>IFERROR(C441+D441+E441+F441+J441+K441+L441+M441+Q441+R441+S441+T441+IF(ISNUMBER(X441),X441,0)+N(Y441)+N(Z441)+N(AA441),"")</f>
        <v/>
      </c>
      <c r="AG441" s="14">
        <f>IF(ISNUMBER(AF441),AF441,"")</f>
        <v/>
      </c>
      <c r="AH441" s="14">
        <f>IF(ISNUMBER(AG441),_xlfn.RANK.EQ(AG441,$AG$2:$AG$1031),"")</f>
        <v/>
      </c>
    </row>
    <row r="442">
      <c r="A442" s="18" t="n">
        <v>998</v>
      </c>
      <c r="B442" s="18" t="inlineStr">
        <is>
          <t>شهد صبحي ابراهيم الشونى</t>
        </is>
      </c>
      <c r="C442" s="1" t="n">
        <v>609.8</v>
      </c>
      <c r="D442" s="1" t="n">
        <v>25</v>
      </c>
      <c r="E442" s="1" t="n">
        <v>25</v>
      </c>
      <c r="F442" s="1" t="n">
        <v>24</v>
      </c>
      <c r="G442" s="1">
        <f>C442+D442+E442+F442</f>
        <v/>
      </c>
      <c r="H442" s="1">
        <f>IF(ISNUMBER(G442),G442,"")</f>
        <v/>
      </c>
      <c r="I442" s="1">
        <f>_xlfn.RANK.EQ(H442,$H$2:$H$1031)</f>
        <v/>
      </c>
      <c r="J442" s="5" t="n">
        <v>552.5</v>
      </c>
      <c r="K442" s="5" t="n">
        <v>43</v>
      </c>
      <c r="L442" s="5" t="n">
        <v>20</v>
      </c>
      <c r="M442" s="5" t="n">
        <v>20</v>
      </c>
      <c r="N442" s="5">
        <f>J442+K442+L442+M442</f>
        <v/>
      </c>
      <c r="O442" s="5">
        <f>IF(ISNUMBER(N442),N442,"")</f>
        <v/>
      </c>
      <c r="P442" s="5">
        <f>_xlfn.RANK.EQ(O442,$O$2:$O$1031)</f>
        <v/>
      </c>
      <c r="Q442" s="9" t="n">
        <v>273</v>
      </c>
      <c r="R442" s="9" t="n">
        <v>48</v>
      </c>
      <c r="S442" s="9" t="n">
        <v>25</v>
      </c>
      <c r="T442" s="9" t="n">
        <v>25</v>
      </c>
      <c r="U442" s="9">
        <f>Q442+R442+S442+T442</f>
        <v/>
      </c>
      <c r="V442" s="9">
        <f>IF(ISNUMBER(U442),U442,"")</f>
        <v/>
      </c>
      <c r="W442" s="9">
        <f>_xlfn.RANK.EQ(V442,$V$2:$V$1031)</f>
        <v/>
      </c>
      <c r="X442" s="13" t="n">
        <v>1517.2</v>
      </c>
      <c r="Y442" s="13" t="n">
        <v>24.5</v>
      </c>
      <c r="Z442" s="13" t="n">
        <v>24</v>
      </c>
      <c r="AA442" s="13" t="n">
        <v>24</v>
      </c>
      <c r="AB442" s="13">
        <f>IF(ISNUMBER(X442),X442+N(Y442)+N(Z442)+N(AA442),X442)</f>
        <v/>
      </c>
      <c r="AC442" s="13">
        <f>IF(ISNUMBER(AB442),AB442,"")</f>
        <v/>
      </c>
      <c r="AD442" s="13">
        <f>IF(ISNUMBER(AC442),_xlfn.RANK.EQ(AC442,$AC$2:$AC$1031),"")</f>
        <v/>
      </c>
      <c r="AE442" s="15">
        <f>IF(ISNUMBER(AF442),AF442/3630,"")</f>
        <v/>
      </c>
      <c r="AF442" s="14">
        <f>IFERROR(C442+D442+E442+F442+J442+K442+L442+M442+Q442+R442+S442+T442+IF(ISNUMBER(X442),X442,0)+N(Y442)+N(Z442)+N(AA442),"")</f>
        <v/>
      </c>
      <c r="AG442" s="14">
        <f>IF(ISNUMBER(AF442),AF442,"")</f>
        <v/>
      </c>
      <c r="AH442" s="14">
        <f>IF(ISNUMBER(AG442),_xlfn.RANK.EQ(AG442,$AG$2:$AG$1031),"")</f>
        <v/>
      </c>
    </row>
    <row r="443">
      <c r="A443" s="18" t="n">
        <v>999</v>
      </c>
      <c r="B443" s="18" t="inlineStr">
        <is>
          <t>شهد صلاح احمد محمد سلام</t>
        </is>
      </c>
      <c r="C443" s="1" t="n">
        <v>605.4</v>
      </c>
      <c r="D443" s="1" t="n">
        <v>25</v>
      </c>
      <c r="E443" s="1" t="n">
        <v>24</v>
      </c>
      <c r="F443" s="1" t="n">
        <v>21</v>
      </c>
      <c r="G443" s="1">
        <f>C443+D443+E443+F443</f>
        <v/>
      </c>
      <c r="H443" s="1">
        <f>IF(ISNUMBER(G443),G443,"")</f>
        <v/>
      </c>
      <c r="I443" s="1">
        <f>_xlfn.RANK.EQ(H443,$H$2:$H$1031)</f>
        <v/>
      </c>
      <c r="J443" s="5" t="n">
        <v>613.5</v>
      </c>
      <c r="K443" s="5" t="n">
        <v>48</v>
      </c>
      <c r="L443" s="5" t="n">
        <v>22</v>
      </c>
      <c r="M443" s="5" t="n">
        <v>22</v>
      </c>
      <c r="N443" s="5">
        <f>J443+K443+L443+M443</f>
        <v/>
      </c>
      <c r="O443" s="5">
        <f>IF(ISNUMBER(N443),N443,"")</f>
        <v/>
      </c>
      <c r="P443" s="5">
        <f>_xlfn.RANK.EQ(O443,$O$2:$O$1031)</f>
        <v/>
      </c>
      <c r="Q443" s="9" t="n">
        <v>258.5</v>
      </c>
      <c r="R443" s="9" t="n">
        <v>49</v>
      </c>
      <c r="S443" s="9" t="n">
        <v>23</v>
      </c>
      <c r="T443" s="9" t="n">
        <v>25</v>
      </c>
      <c r="U443" s="9">
        <f>Q443+R443+S443+T443</f>
        <v/>
      </c>
      <c r="V443" s="9">
        <f>IF(ISNUMBER(U443),U443,"")</f>
        <v/>
      </c>
      <c r="W443" s="9">
        <f>_xlfn.RANK.EQ(V443,$V$2:$V$1031)</f>
        <v/>
      </c>
      <c r="X443" s="13" t="n">
        <v>1544.1541666667</v>
      </c>
      <c r="Y443" s="13" t="n">
        <v>25</v>
      </c>
      <c r="Z443" s="13" t="n">
        <v>25</v>
      </c>
      <c r="AA443" s="13" t="n">
        <v>25</v>
      </c>
      <c r="AB443" s="13">
        <f>IF(ISNUMBER(X443),X443+N(Y443)+N(Z443)+N(AA443),X443)</f>
        <v/>
      </c>
      <c r="AC443" s="13">
        <f>IF(ISNUMBER(AB443),AB443,"")</f>
        <v/>
      </c>
      <c r="AD443" s="13">
        <f>IF(ISNUMBER(AC443),_xlfn.RANK.EQ(AC443,$AC$2:$AC$1031),"")</f>
        <v/>
      </c>
      <c r="AE443" s="15">
        <f>IF(ISNUMBER(AF443),AF443/3630,"")</f>
        <v/>
      </c>
      <c r="AF443" s="14">
        <f>IFERROR(C443+D443+E443+F443+J443+K443+L443+M443+Q443+R443+S443+T443+IF(ISNUMBER(X443),X443,0)+N(Y443)+N(Z443)+N(AA443),"")</f>
        <v/>
      </c>
      <c r="AG443" s="14">
        <f>IF(ISNUMBER(AF443),AF443,"")</f>
        <v/>
      </c>
      <c r="AH443" s="14">
        <f>IF(ISNUMBER(AG443),_xlfn.RANK.EQ(AG443,$AG$2:$AG$1031),"")</f>
        <v/>
      </c>
    </row>
    <row r="444">
      <c r="A444" s="18" t="n">
        <v>1000</v>
      </c>
      <c r="B444" s="18" t="inlineStr">
        <is>
          <t>شهد صلاح الدين منير يوسف</t>
        </is>
      </c>
      <c r="C444" s="1" t="n">
        <v>596.4</v>
      </c>
      <c r="D444" s="1" t="n">
        <v>25</v>
      </c>
      <c r="E444" s="1" t="n">
        <v>23</v>
      </c>
      <c r="F444" s="1" t="n">
        <v>20</v>
      </c>
      <c r="G444" s="1">
        <f>C444+D444+E444+F444</f>
        <v/>
      </c>
      <c r="H444" s="1">
        <f>IF(ISNUMBER(G444),G444,"")</f>
        <v/>
      </c>
      <c r="I444" s="1">
        <f>_xlfn.RANK.EQ(H444,$H$2:$H$1031)</f>
        <v/>
      </c>
      <c r="J444" s="5" t="n">
        <v>564</v>
      </c>
      <c r="K444" s="5" t="n">
        <v>45</v>
      </c>
      <c r="L444" s="5" t="n">
        <v>21</v>
      </c>
      <c r="M444" s="5" t="n">
        <v>23</v>
      </c>
      <c r="N444" s="5">
        <f>J444+K444+L444+M444</f>
        <v/>
      </c>
      <c r="O444" s="5">
        <f>IF(ISNUMBER(N444),N444,"")</f>
        <v/>
      </c>
      <c r="P444" s="5">
        <f>_xlfn.RANK.EQ(O444,$O$2:$O$1031)</f>
        <v/>
      </c>
      <c r="Q444" s="9" t="n">
        <v>254</v>
      </c>
      <c r="R444" s="9" t="n">
        <v>43.5</v>
      </c>
      <c r="S444" s="9" t="n">
        <v>23</v>
      </c>
      <c r="T444" s="9" t="n">
        <v>24</v>
      </c>
      <c r="U444" s="9">
        <f>Q444+R444+S444+T444</f>
        <v/>
      </c>
      <c r="V444" s="9">
        <f>IF(ISNUMBER(U444),U444,"")</f>
        <v/>
      </c>
      <c r="W444" s="9">
        <f>_xlfn.RANK.EQ(V444,$V$2:$V$1031)</f>
        <v/>
      </c>
      <c r="X444" s="13" t="n">
        <v>1332.4541666667</v>
      </c>
      <c r="Y444" s="13" t="n">
        <v>23</v>
      </c>
      <c r="Z444" s="13" t="n">
        <v>24</v>
      </c>
      <c r="AA444" s="13" t="n">
        <v>24</v>
      </c>
      <c r="AB444" s="13">
        <f>IF(ISNUMBER(X444),X444+N(Y444)+N(Z444)+N(AA444),X444)</f>
        <v/>
      </c>
      <c r="AC444" s="13">
        <f>IF(ISNUMBER(AB444),AB444,"")</f>
        <v/>
      </c>
      <c r="AD444" s="13">
        <f>IF(ISNUMBER(AC444),_xlfn.RANK.EQ(AC444,$AC$2:$AC$1031),"")</f>
        <v/>
      </c>
      <c r="AE444" s="15">
        <f>IF(ISNUMBER(AF444),AF444/3630,"")</f>
        <v/>
      </c>
      <c r="AF444" s="14">
        <f>IFERROR(C444+D444+E444+F444+J444+K444+L444+M444+Q444+R444+S444+T444+IF(ISNUMBER(X444),X444,0)+N(Y444)+N(Z444)+N(AA444),"")</f>
        <v/>
      </c>
      <c r="AG444" s="14">
        <f>IF(ISNUMBER(AF444),AF444,"")</f>
        <v/>
      </c>
      <c r="AH444" s="14">
        <f>IF(ISNUMBER(AG444),_xlfn.RANK.EQ(AG444,$AG$2:$AG$1031),"")</f>
        <v/>
      </c>
    </row>
    <row r="445">
      <c r="A445" s="18" t="n">
        <v>1006</v>
      </c>
      <c r="B445" s="18" t="inlineStr">
        <is>
          <t>شهد عمرو احمد فتحي محمود يوسف</t>
        </is>
      </c>
      <c r="C445" s="1" t="n">
        <v>577.5</v>
      </c>
      <c r="D445" s="1" t="n">
        <v>24</v>
      </c>
      <c r="E445" s="1" t="n">
        <v>22</v>
      </c>
      <c r="F445" s="1" t="n">
        <v>21</v>
      </c>
      <c r="G445" s="1">
        <f>C445+D445+E445+F445</f>
        <v/>
      </c>
      <c r="H445" s="1">
        <f>IF(ISNUMBER(G445),G445,"")</f>
        <v/>
      </c>
      <c r="I445" s="1">
        <f>_xlfn.RANK.EQ(H445,$H$2:$H$1031)</f>
        <v/>
      </c>
      <c r="J445" s="5" t="n">
        <v>561</v>
      </c>
      <c r="K445" s="5" t="n">
        <v>46</v>
      </c>
      <c r="L445" s="5" t="n">
        <v>22</v>
      </c>
      <c r="M445" s="5" t="n">
        <v>23</v>
      </c>
      <c r="N445" s="5">
        <f>J445+K445+L445+M445</f>
        <v/>
      </c>
      <c r="O445" s="5">
        <f>IF(ISNUMBER(N445),N445,"")</f>
        <v/>
      </c>
      <c r="P445" s="5">
        <f>_xlfn.RANK.EQ(O445,$O$2:$O$1031)</f>
        <v/>
      </c>
      <c r="Q445" s="9" t="n">
        <v>233</v>
      </c>
      <c r="R445" s="9" t="n">
        <v>47</v>
      </c>
      <c r="S445" s="9" t="n">
        <v>25</v>
      </c>
      <c r="T445" s="9" t="n">
        <v>25</v>
      </c>
      <c r="U445" s="9">
        <f>Q445+R445+S445+T445</f>
        <v/>
      </c>
      <c r="V445" s="9">
        <f>IF(ISNUMBER(U445),U445,"")</f>
        <v/>
      </c>
      <c r="W445" s="9">
        <f>_xlfn.RANK.EQ(V445,$V$2:$V$1031)</f>
        <v/>
      </c>
      <c r="X445" s="13" t="n">
        <v>1419.4875</v>
      </c>
      <c r="Y445" s="13" t="n">
        <v>25</v>
      </c>
      <c r="Z445" s="13" t="n">
        <v>24</v>
      </c>
      <c r="AA445" s="13" t="n">
        <v>23</v>
      </c>
      <c r="AB445" s="13">
        <f>IF(ISNUMBER(X445),X445+N(Y445)+N(Z445)+N(AA445),X445)</f>
        <v/>
      </c>
      <c r="AC445" s="13">
        <f>IF(ISNUMBER(AB445),AB445,"")</f>
        <v/>
      </c>
      <c r="AD445" s="13">
        <f>IF(ISNUMBER(AC445),_xlfn.RANK.EQ(AC445,$AC$2:$AC$1031),"")</f>
        <v/>
      </c>
      <c r="AE445" s="15">
        <f>IF(ISNUMBER(AF445),AF445/3630,"")</f>
        <v/>
      </c>
      <c r="AF445" s="14">
        <f>IFERROR(C445+D445+E445+F445+J445+K445+L445+M445+Q445+R445+S445+T445+IF(ISNUMBER(X445),X445,0)+N(Y445)+N(Z445)+N(AA445),"")</f>
        <v/>
      </c>
      <c r="AG445" s="14">
        <f>IF(ISNUMBER(AF445),AF445,"")</f>
        <v/>
      </c>
      <c r="AH445" s="14">
        <f>IF(ISNUMBER(AG445),_xlfn.RANK.EQ(AG445,$AG$2:$AG$1031),"")</f>
        <v/>
      </c>
    </row>
    <row r="446">
      <c r="A446" s="18" t="n">
        <v>1007</v>
      </c>
      <c r="B446" s="18" t="inlineStr">
        <is>
          <t>شهد محسن عبدالفتاح فسيخ</t>
        </is>
      </c>
      <c r="C446" s="1" t="n">
        <v>626</v>
      </c>
      <c r="D446" s="1" t="n">
        <v>25</v>
      </c>
      <c r="E446" s="1" t="n">
        <v>24</v>
      </c>
      <c r="F446" s="1" t="n">
        <v>22</v>
      </c>
      <c r="G446" s="1">
        <f>C446+D446+E446+F446</f>
        <v/>
      </c>
      <c r="H446" s="1">
        <f>IF(ISNUMBER(G446),G446,"")</f>
        <v/>
      </c>
      <c r="I446" s="1">
        <f>_xlfn.RANK.EQ(H446,$H$2:$H$1031)</f>
        <v/>
      </c>
      <c r="J446" s="5" t="n">
        <v>591.5</v>
      </c>
      <c r="K446" s="5" t="n">
        <v>45</v>
      </c>
      <c r="L446" s="5" t="n">
        <v>20</v>
      </c>
      <c r="M446" s="5" t="n">
        <v>25</v>
      </c>
      <c r="N446" s="5">
        <f>J446+K446+L446+M446</f>
        <v/>
      </c>
      <c r="O446" s="5">
        <f>IF(ISNUMBER(N446),N446,"")</f>
        <v/>
      </c>
      <c r="P446" s="5">
        <f>_xlfn.RANK.EQ(O446,$O$2:$O$1031)</f>
        <v/>
      </c>
      <c r="Q446" s="9" t="n">
        <v>237.75</v>
      </c>
      <c r="R446" s="9" t="n">
        <v>47.5</v>
      </c>
      <c r="S446" s="9" t="n">
        <v>24</v>
      </c>
      <c r="T446" s="9" t="n">
        <v>24</v>
      </c>
      <c r="U446" s="9">
        <f>Q446+R446+S446+T446</f>
        <v/>
      </c>
      <c r="V446" s="9">
        <f>IF(ISNUMBER(U446),U446,"")</f>
        <v/>
      </c>
      <c r="W446" s="9">
        <f>_xlfn.RANK.EQ(V446,$V$2:$V$1031)</f>
        <v/>
      </c>
      <c r="X446" s="13" t="n">
        <v>1235.5333333333</v>
      </c>
      <c r="Y446" s="13" t="n">
        <v>24</v>
      </c>
      <c r="Z446" s="13" t="n">
        <v>22</v>
      </c>
      <c r="AA446" s="13" t="n">
        <v>25</v>
      </c>
      <c r="AB446" s="13">
        <f>IF(ISNUMBER(X446),X446+N(Y446)+N(Z446)+N(AA446),X446)</f>
        <v/>
      </c>
      <c r="AC446" s="13">
        <f>IF(ISNUMBER(AB446),AB446,"")</f>
        <v/>
      </c>
      <c r="AD446" s="13">
        <f>IF(ISNUMBER(AC446),_xlfn.RANK.EQ(AC446,$AC$2:$AC$1031),"")</f>
        <v/>
      </c>
      <c r="AE446" s="15">
        <f>IF(ISNUMBER(AF446),AF446/3630,"")</f>
        <v/>
      </c>
      <c r="AF446" s="14">
        <f>IFERROR(C446+D446+E446+F446+J446+K446+L446+M446+Q446+R446+S446+T446+IF(ISNUMBER(X446),X446,0)+N(Y446)+N(Z446)+N(AA446),"")</f>
        <v/>
      </c>
      <c r="AG446" s="14">
        <f>IF(ISNUMBER(AF446),AF446,"")</f>
        <v/>
      </c>
      <c r="AH446" s="14">
        <f>IF(ISNUMBER(AG446),_xlfn.RANK.EQ(AG446,$AG$2:$AG$1031),"")</f>
        <v/>
      </c>
    </row>
    <row r="447">
      <c r="A447" s="18" t="n">
        <v>1008</v>
      </c>
      <c r="B447" s="18" t="inlineStr">
        <is>
          <t>شهد محمد ابراهيم عبد الفتاح بسيوني</t>
        </is>
      </c>
      <c r="C447" s="1" t="n">
        <v>560.2</v>
      </c>
      <c r="D447" s="1" t="n">
        <v>23</v>
      </c>
      <c r="E447" s="1" t="n">
        <v>22</v>
      </c>
      <c r="F447" s="1" t="n">
        <v>25</v>
      </c>
      <c r="G447" s="1">
        <f>C447+D447+E447+F447</f>
        <v/>
      </c>
      <c r="H447" s="1">
        <f>IF(ISNUMBER(G447),G447,"")</f>
        <v/>
      </c>
      <c r="I447" s="1">
        <f>_xlfn.RANK.EQ(H447,$H$2:$H$1031)</f>
        <v/>
      </c>
      <c r="J447" s="5" t="n">
        <v>583.5</v>
      </c>
      <c r="K447" s="5" t="n">
        <v>45</v>
      </c>
      <c r="L447" s="5" t="n">
        <v>23</v>
      </c>
      <c r="M447" s="5" t="n">
        <v>23</v>
      </c>
      <c r="N447" s="5">
        <f>J447+K447+L447+M447</f>
        <v/>
      </c>
      <c r="O447" s="5">
        <f>IF(ISNUMBER(N447),N447,"")</f>
        <v/>
      </c>
      <c r="P447" s="5">
        <f>_xlfn.RANK.EQ(O447,$O$2:$O$1031)</f>
        <v/>
      </c>
      <c r="Q447" s="9" t="n">
        <v>247.5</v>
      </c>
      <c r="R447" s="9" t="n">
        <v>44.5</v>
      </c>
      <c r="S447" s="9" t="n">
        <v>21</v>
      </c>
      <c r="T447" s="9" t="n">
        <v>25</v>
      </c>
      <c r="U447" s="9">
        <f>Q447+R447+S447+T447</f>
        <v/>
      </c>
      <c r="V447" s="9">
        <f>IF(ISNUMBER(U447),U447,"")</f>
        <v/>
      </c>
      <c r="W447" s="9">
        <f>_xlfn.RANK.EQ(V447,$V$2:$V$1031)</f>
        <v/>
      </c>
      <c r="X447" s="13" t="n">
        <v>1378.1541666667</v>
      </c>
      <c r="Y447" s="13" t="n">
        <v>25</v>
      </c>
      <c r="Z447" s="13" t="n">
        <v>24</v>
      </c>
      <c r="AA447" s="13" t="n">
        <v>25</v>
      </c>
      <c r="AB447" s="13">
        <f>IF(ISNUMBER(X447),X447+N(Y447)+N(Z447)+N(AA447),X447)</f>
        <v/>
      </c>
      <c r="AC447" s="13">
        <f>IF(ISNUMBER(AB447),AB447,"")</f>
        <v/>
      </c>
      <c r="AD447" s="13">
        <f>IF(ISNUMBER(AC447),_xlfn.RANK.EQ(AC447,$AC$2:$AC$1031),"")</f>
        <v/>
      </c>
      <c r="AE447" s="15">
        <f>IF(ISNUMBER(AF447),AF447/3630,"")</f>
        <v/>
      </c>
      <c r="AF447" s="14">
        <f>IFERROR(C447+D447+E447+F447+J447+K447+L447+M447+Q447+R447+S447+T447+IF(ISNUMBER(X447),X447,0)+N(Y447)+N(Z447)+N(AA447),"")</f>
        <v/>
      </c>
      <c r="AG447" s="14">
        <f>IF(ISNUMBER(AF447),AF447,"")</f>
        <v/>
      </c>
      <c r="AH447" s="14">
        <f>IF(ISNUMBER(AG447),_xlfn.RANK.EQ(AG447,$AG$2:$AG$1031),"")</f>
        <v/>
      </c>
    </row>
    <row r="448">
      <c r="A448" s="18" t="n">
        <v>1011</v>
      </c>
      <c r="B448" s="18" t="inlineStr">
        <is>
          <t>شهد محمد محمد مرشدى خلف</t>
        </is>
      </c>
      <c r="C448" s="1" t="n">
        <v>567</v>
      </c>
      <c r="D448" s="1" t="n">
        <v>25</v>
      </c>
      <c r="E448" s="1" t="n">
        <v>25</v>
      </c>
      <c r="F448" s="1" t="n">
        <v>23</v>
      </c>
      <c r="G448" s="1">
        <f>C448+D448+E448+F448</f>
        <v/>
      </c>
      <c r="H448" s="1">
        <f>IF(ISNUMBER(G448),G448,"")</f>
        <v/>
      </c>
      <c r="I448" s="1">
        <f>_xlfn.RANK.EQ(H448,$H$2:$H$1031)</f>
        <v/>
      </c>
      <c r="J448" s="5" t="n">
        <v>563</v>
      </c>
      <c r="K448" s="5" t="n">
        <v>47</v>
      </c>
      <c r="L448" s="5" t="n">
        <v>22</v>
      </c>
      <c r="M448" s="5" t="n">
        <v>19</v>
      </c>
      <c r="N448" s="5">
        <f>J448+K448+L448+M448</f>
        <v/>
      </c>
      <c r="O448" s="5">
        <f>IF(ISNUMBER(N448),N448,"")</f>
        <v/>
      </c>
      <c r="P448" s="5">
        <f>_xlfn.RANK.EQ(O448,$O$2:$O$1031)</f>
        <v/>
      </c>
      <c r="Q448" s="9" t="n">
        <v>240.75</v>
      </c>
      <c r="R448" s="9" t="n">
        <v>47</v>
      </c>
      <c r="S448" s="9" t="n">
        <v>24</v>
      </c>
      <c r="T448" s="9" t="n">
        <v>25</v>
      </c>
      <c r="U448" s="9">
        <f>Q448+R448+S448+T448</f>
        <v/>
      </c>
      <c r="V448" s="9">
        <f>IF(ISNUMBER(U448),U448,"")</f>
        <v/>
      </c>
      <c r="W448" s="9">
        <f>_xlfn.RANK.EQ(V448,$V$2:$V$1031)</f>
        <v/>
      </c>
      <c r="X448" s="13" t="n">
        <v>1450.025</v>
      </c>
      <c r="Y448" s="13" t="n">
        <v>25</v>
      </c>
      <c r="Z448" s="13" t="n">
        <v>25</v>
      </c>
      <c r="AA448" s="13" t="n">
        <v>24</v>
      </c>
      <c r="AB448" s="13">
        <f>IF(ISNUMBER(X448),X448+N(Y448)+N(Z448)+N(AA448),X448)</f>
        <v/>
      </c>
      <c r="AC448" s="13">
        <f>IF(ISNUMBER(AB448),AB448,"")</f>
        <v/>
      </c>
      <c r="AD448" s="13">
        <f>IF(ISNUMBER(AC448),_xlfn.RANK.EQ(AC448,$AC$2:$AC$1031),"")</f>
        <v/>
      </c>
      <c r="AE448" s="15">
        <f>IF(ISNUMBER(AF448),AF448/3630,"")</f>
        <v/>
      </c>
      <c r="AF448" s="14">
        <f>IFERROR(C448+D448+E448+F448+J448+K448+L448+M448+Q448+R448+S448+T448+IF(ISNUMBER(X448),X448,0)+N(Y448)+N(Z448)+N(AA448),"")</f>
        <v/>
      </c>
      <c r="AG448" s="14">
        <f>IF(ISNUMBER(AF448),AF448,"")</f>
        <v/>
      </c>
      <c r="AH448" s="14">
        <f>IF(ISNUMBER(AG448),_xlfn.RANK.EQ(AG448,$AG$2:$AG$1031),"")</f>
        <v/>
      </c>
    </row>
    <row r="449">
      <c r="A449" s="18" t="n">
        <v>1012</v>
      </c>
      <c r="B449" s="18" t="inlineStr">
        <is>
          <t>شهد محمد مخلوف احمد</t>
        </is>
      </c>
      <c r="C449" s="1" t="n">
        <v>619.9</v>
      </c>
      <c r="D449" s="1" t="n">
        <v>25</v>
      </c>
      <c r="E449" s="1" t="n">
        <v>24</v>
      </c>
      <c r="F449" s="1" t="n">
        <v>23</v>
      </c>
      <c r="G449" s="1">
        <f>C449+D449+E449+F449</f>
        <v/>
      </c>
      <c r="H449" s="1">
        <f>IF(ISNUMBER(G449),G449,"")</f>
        <v/>
      </c>
      <c r="I449" s="1">
        <f>_xlfn.RANK.EQ(H449,$H$2:$H$1031)</f>
        <v/>
      </c>
      <c r="J449" s="5" t="n">
        <v>596</v>
      </c>
      <c r="K449" s="5" t="n">
        <v>48</v>
      </c>
      <c r="L449" s="5" t="n">
        <v>22</v>
      </c>
      <c r="M449" s="5" t="n">
        <v>24</v>
      </c>
      <c r="N449" s="5">
        <f>J449+K449+L449+M449</f>
        <v/>
      </c>
      <c r="O449" s="5">
        <f>IF(ISNUMBER(N449),N449,"")</f>
        <v/>
      </c>
      <c r="P449" s="5">
        <f>_xlfn.RANK.EQ(O449,$O$2:$O$1031)</f>
        <v/>
      </c>
      <c r="Q449" s="9" t="n">
        <v>266.25</v>
      </c>
      <c r="R449" s="9" t="n">
        <v>48</v>
      </c>
      <c r="S449" s="9" t="n">
        <v>25</v>
      </c>
      <c r="T449" s="9" t="n">
        <v>25</v>
      </c>
      <c r="U449" s="9">
        <f>Q449+R449+S449+T449</f>
        <v/>
      </c>
      <c r="V449" s="9">
        <f>IF(ISNUMBER(U449),U449,"")</f>
        <v/>
      </c>
      <c r="W449" s="9">
        <f>_xlfn.RANK.EQ(V449,$V$2:$V$1031)</f>
        <v/>
      </c>
      <c r="X449" s="13" t="n">
        <v>1476.5291666667</v>
      </c>
      <c r="Y449" s="13" t="n">
        <v>25</v>
      </c>
      <c r="Z449" s="13" t="n">
        <v>25</v>
      </c>
      <c r="AA449" s="13" t="n">
        <v>25</v>
      </c>
      <c r="AB449" s="13">
        <f>IF(ISNUMBER(X449),X449+N(Y449)+N(Z449)+N(AA449),X449)</f>
        <v/>
      </c>
      <c r="AC449" s="13">
        <f>IF(ISNUMBER(AB449),AB449,"")</f>
        <v/>
      </c>
      <c r="AD449" s="13">
        <f>IF(ISNUMBER(AC449),_xlfn.RANK.EQ(AC449,$AC$2:$AC$1031),"")</f>
        <v/>
      </c>
      <c r="AE449" s="15">
        <f>IF(ISNUMBER(AF449),AF449/3630,"")</f>
        <v/>
      </c>
      <c r="AF449" s="14">
        <f>IFERROR(C449+D449+E449+F449+J449+K449+L449+M449+Q449+R449+S449+T449+IF(ISNUMBER(X449),X449,0)+N(Y449)+N(Z449)+N(AA449),"")</f>
        <v/>
      </c>
      <c r="AG449" s="14">
        <f>IF(ISNUMBER(AF449),AF449,"")</f>
        <v/>
      </c>
      <c r="AH449" s="14">
        <f>IF(ISNUMBER(AG449),_xlfn.RANK.EQ(AG449,$AG$2:$AG$1031),"")</f>
        <v/>
      </c>
    </row>
    <row r="450">
      <c r="A450" s="18" t="n">
        <v>1013</v>
      </c>
      <c r="B450" s="18" t="inlineStr">
        <is>
          <t>شهد مرسى عبدالرحمن مرسى الغرباوى</t>
        </is>
      </c>
      <c r="C450" s="1" t="n">
        <v>597.2</v>
      </c>
      <c r="D450" s="1" t="n">
        <v>23</v>
      </c>
      <c r="E450" s="1" t="n">
        <v>23</v>
      </c>
      <c r="F450" s="1" t="n">
        <v>22</v>
      </c>
      <c r="G450" s="1">
        <f>C450+D450+E450+F450</f>
        <v/>
      </c>
      <c r="H450" s="1">
        <f>IF(ISNUMBER(G450),G450,"")</f>
        <v/>
      </c>
      <c r="I450" s="1">
        <f>_xlfn.RANK.EQ(H450,$H$2:$H$1031)</f>
        <v/>
      </c>
      <c r="J450" s="5" t="n">
        <v>592.5</v>
      </c>
      <c r="K450" s="5" t="n">
        <v>47</v>
      </c>
      <c r="L450" s="5" t="n">
        <v>19</v>
      </c>
      <c r="M450" s="5" t="n">
        <v>23</v>
      </c>
      <c r="N450" s="5">
        <f>J450+K450+L450+M450</f>
        <v/>
      </c>
      <c r="O450" s="5">
        <f>IF(ISNUMBER(N450),N450,"")</f>
        <v/>
      </c>
      <c r="P450" s="5">
        <f>_xlfn.RANK.EQ(O450,$O$2:$O$1031)</f>
        <v/>
      </c>
      <c r="Q450" s="9" t="n">
        <v>249</v>
      </c>
      <c r="R450" s="9" t="n">
        <v>43</v>
      </c>
      <c r="S450" s="9" t="n">
        <v>23</v>
      </c>
      <c r="T450" s="9" t="n">
        <v>24</v>
      </c>
      <c r="U450" s="9">
        <f>Q450+R450+S450+T450</f>
        <v/>
      </c>
      <c r="V450" s="9">
        <f>IF(ISNUMBER(U450),U450,"")</f>
        <v/>
      </c>
      <c r="W450" s="9">
        <f>_xlfn.RANK.EQ(V450,$V$2:$V$1031)</f>
        <v/>
      </c>
      <c r="X450" s="13" t="n">
        <v>1350.9875</v>
      </c>
      <c r="Y450" s="13" t="n">
        <v>25</v>
      </c>
      <c r="Z450" s="13" t="n">
        <v>23</v>
      </c>
      <c r="AA450" s="13" t="n">
        <v>23</v>
      </c>
      <c r="AB450" s="13">
        <f>IF(ISNUMBER(X450),X450+N(Y450)+N(Z450)+N(AA450),X450)</f>
        <v/>
      </c>
      <c r="AC450" s="13">
        <f>IF(ISNUMBER(AB450),AB450,"")</f>
        <v/>
      </c>
      <c r="AD450" s="13">
        <f>IF(ISNUMBER(AC450),_xlfn.RANK.EQ(AC450,$AC$2:$AC$1031),"")</f>
        <v/>
      </c>
      <c r="AE450" s="15">
        <f>IF(ISNUMBER(AF450),AF450/3630,"")</f>
        <v/>
      </c>
      <c r="AF450" s="14">
        <f>IFERROR(C450+D450+E450+F450+J450+K450+L450+M450+Q450+R450+S450+T450+IF(ISNUMBER(X450),X450,0)+N(Y450)+N(Z450)+N(AA450),"")</f>
        <v/>
      </c>
      <c r="AG450" s="14">
        <f>IF(ISNUMBER(AF450),AF450,"")</f>
        <v/>
      </c>
      <c r="AH450" s="14">
        <f>IF(ISNUMBER(AG450),_xlfn.RANK.EQ(AG450,$AG$2:$AG$1031),"")</f>
        <v/>
      </c>
    </row>
    <row r="451">
      <c r="A451" s="18" t="n">
        <v>1019</v>
      </c>
      <c r="B451" s="18" t="inlineStr">
        <is>
          <t>شيماء احمد عبد العاطي أحمد حسين</t>
        </is>
      </c>
      <c r="C451" s="1" t="n">
        <v>579.9</v>
      </c>
      <c r="D451" s="1" t="n">
        <v>23</v>
      </c>
      <c r="E451" s="1" t="n">
        <v>25</v>
      </c>
      <c r="F451" s="1" t="n">
        <v>17</v>
      </c>
      <c r="G451" s="1">
        <f>C451+D451+E451+F451</f>
        <v/>
      </c>
      <c r="H451" s="1">
        <f>IF(ISNUMBER(G451),G451,"")</f>
        <v/>
      </c>
      <c r="I451" s="1">
        <f>_xlfn.RANK.EQ(H451,$H$2:$H$1031)</f>
        <v/>
      </c>
      <c r="J451" s="5" t="n">
        <v>594.6</v>
      </c>
      <c r="K451" s="5" t="n">
        <v>44</v>
      </c>
      <c r="L451" s="5" t="n">
        <v>20</v>
      </c>
      <c r="M451" s="5" t="n">
        <v>23</v>
      </c>
      <c r="N451" s="5">
        <f>J451+K451+L451+M451</f>
        <v/>
      </c>
      <c r="O451" s="5">
        <f>IF(ISNUMBER(N451),N451,"")</f>
        <v/>
      </c>
      <c r="P451" s="5">
        <f>_xlfn.RANK.EQ(O451,$O$2:$O$1031)</f>
        <v/>
      </c>
      <c r="Q451" s="9" t="n">
        <v>194.25</v>
      </c>
      <c r="R451" s="9" t="n">
        <v>38</v>
      </c>
      <c r="S451" s="9" t="n">
        <v>22</v>
      </c>
      <c r="T451" s="9" t="n">
        <v>22</v>
      </c>
      <c r="U451" s="9">
        <f>Q451+R451+S451+T451</f>
        <v/>
      </c>
      <c r="V451" s="9">
        <f>IF(ISNUMBER(U451),U451,"")</f>
        <v/>
      </c>
      <c r="W451" s="9">
        <f>_xlfn.RANK.EQ(V451,$V$2:$V$1031)</f>
        <v/>
      </c>
      <c r="X451" s="13" t="inlineStr">
        <is>
          <t>غ ب</t>
        </is>
      </c>
      <c r="Y451" s="13" t="n">
        <v>25</v>
      </c>
      <c r="Z451" s="13" t="n">
        <v>19</v>
      </c>
      <c r="AA451" s="13" t="n">
        <v>23</v>
      </c>
      <c r="AB451" s="13">
        <f>IF(ISNUMBER(X451),X451+N(Y451)+N(Z451)+N(AA451),X451)</f>
        <v/>
      </c>
      <c r="AC451" s="13">
        <f>IF(ISNUMBER(AB451),AB451,"")</f>
        <v/>
      </c>
      <c r="AD451" s="13">
        <f>IF(ISNUMBER(AC451),_xlfn.RANK.EQ(AC451,$AC$2:$AC$1031),"")</f>
        <v/>
      </c>
      <c r="AE451" s="15">
        <f>IF(ISNUMBER(AF451),AF451/3630,"")</f>
        <v/>
      </c>
      <c r="AF451" s="14">
        <f>IFERROR(C451+D451+E451+F451+J451+K451+L451+M451+Q451+R451+S451+T451+IF(ISNUMBER(X451),X451,0)+N(Y451)+N(Z451)+N(AA451),"")</f>
        <v/>
      </c>
      <c r="AG451" s="14">
        <f>IF(ISNUMBER(AF451),AF451,"")</f>
        <v/>
      </c>
      <c r="AH451" s="14">
        <f>IF(ISNUMBER(AG451),_xlfn.RANK.EQ(AG451,$AG$2:$AG$1031),"")</f>
        <v/>
      </c>
    </row>
    <row r="452">
      <c r="A452" s="18" t="n">
        <v>1022</v>
      </c>
      <c r="B452" s="18" t="inlineStr">
        <is>
          <t>شيماء نظمى صابر امير فرغلى</t>
        </is>
      </c>
      <c r="C452" s="1" t="e">
        <v>#N/A</v>
      </c>
      <c r="D452" s="1" t="n">
        <v>25</v>
      </c>
      <c r="E452" s="1" t="n">
        <v>25</v>
      </c>
      <c r="F452" s="1" t="n">
        <v>22</v>
      </c>
      <c r="G452" s="1">
        <f>C452+D452+E452+F452</f>
        <v/>
      </c>
      <c r="H452" s="1">
        <f>IF(ISNUMBER(G452),G452,"")</f>
        <v/>
      </c>
      <c r="I452" s="1">
        <f>_xlfn.RANK.EQ(H452,$H$2:$H$1031)</f>
        <v/>
      </c>
      <c r="J452" s="5" t="n">
        <v>621</v>
      </c>
      <c r="K452" s="5" t="n">
        <v>46</v>
      </c>
      <c r="L452" s="5" t="n">
        <v>24</v>
      </c>
      <c r="M452" s="5" t="n">
        <v>23</v>
      </c>
      <c r="N452" s="5">
        <f>J452+K452+L452+M452</f>
        <v/>
      </c>
      <c r="O452" s="5">
        <f>IF(ISNUMBER(N452),N452,"")</f>
        <v/>
      </c>
      <c r="P452" s="5">
        <f>_xlfn.RANK.EQ(O452,$O$2:$O$1031)</f>
        <v/>
      </c>
      <c r="Q452" s="9" t="n">
        <v>264.75</v>
      </c>
      <c r="R452" s="9" t="n">
        <v>47.5</v>
      </c>
      <c r="S452" s="9" t="n">
        <v>24</v>
      </c>
      <c r="T452" s="9" t="n">
        <v>25</v>
      </c>
      <c r="U452" s="9">
        <f>Q452+R452+S452+T452</f>
        <v/>
      </c>
      <c r="V452" s="9">
        <f>IF(ISNUMBER(U452),U452,"")</f>
        <v/>
      </c>
      <c r="W452" s="9">
        <f>_xlfn.RANK.EQ(V452,$V$2:$V$1031)</f>
        <v/>
      </c>
      <c r="X452" s="13" t="n">
        <v>1482.1833333333</v>
      </c>
      <c r="Y452" s="13" t="n">
        <v>25</v>
      </c>
      <c r="Z452" s="13" t="n">
        <v>25</v>
      </c>
      <c r="AA452" s="13" t="n">
        <v>24</v>
      </c>
      <c r="AB452" s="13">
        <f>IF(ISNUMBER(X452),X452+N(Y452)+N(Z452)+N(AA452),X452)</f>
        <v/>
      </c>
      <c r="AC452" s="13">
        <f>IF(ISNUMBER(AB452),AB452,"")</f>
        <v/>
      </c>
      <c r="AD452" s="13">
        <f>IF(ISNUMBER(AC452),_xlfn.RANK.EQ(AC452,$AC$2:$AC$1031),"")</f>
        <v/>
      </c>
      <c r="AE452" s="15">
        <f>IF(ISNUMBER(AF452),AF452/3630,"")</f>
        <v/>
      </c>
      <c r="AF452" s="14">
        <f>IFERROR(C452+D452+E452+F452+J452+K452+L452+M452+Q452+R452+S452+T452+IF(ISNUMBER(X452),X452,0)+N(Y452)+N(Z452)+N(AA452),"")</f>
        <v/>
      </c>
      <c r="AG452" s="14">
        <f>IF(ISNUMBER(AF452),AF452,"")</f>
        <v/>
      </c>
      <c r="AH452" s="14">
        <f>IF(ISNUMBER(AG452),_xlfn.RANK.EQ(AG452,$AG$2:$AG$1031),"")</f>
        <v/>
      </c>
    </row>
    <row r="453">
      <c r="A453" s="18" t="n">
        <v>1029</v>
      </c>
      <c r="B453" s="18" t="inlineStr">
        <is>
          <t>صالح محمد السيد محمد عبده</t>
        </is>
      </c>
      <c r="C453" s="1" t="n">
        <v>545.9</v>
      </c>
      <c r="D453" s="1" t="n">
        <v>25</v>
      </c>
      <c r="E453" s="1" t="n">
        <v>25</v>
      </c>
      <c r="F453" s="1" t="n">
        <v>24</v>
      </c>
      <c r="G453" s="1">
        <f>C453+D453+E453+F453</f>
        <v/>
      </c>
      <c r="H453" s="1">
        <f>IF(ISNUMBER(G453),G453,"")</f>
        <v/>
      </c>
      <c r="I453" s="1">
        <f>_xlfn.RANK.EQ(H453,$H$2:$H$1031)</f>
        <v/>
      </c>
      <c r="J453" s="5" t="n">
        <v>434.33</v>
      </c>
      <c r="K453" s="5" t="n">
        <v>44</v>
      </c>
      <c r="L453" s="5" t="n">
        <v>21</v>
      </c>
      <c r="M453" s="5" t="n">
        <v>23</v>
      </c>
      <c r="N453" s="5">
        <f>J453+K453+L453+M453</f>
        <v/>
      </c>
      <c r="O453" s="5">
        <f>IF(ISNUMBER(N453),N453,"")</f>
        <v/>
      </c>
      <c r="P453" s="5">
        <f>_xlfn.RANK.EQ(O453,$O$2:$O$1031)</f>
        <v/>
      </c>
      <c r="Q453" s="9" t="inlineStr">
        <is>
          <t>راسب</t>
        </is>
      </c>
      <c r="R453" s="9" t="n">
        <v>37.5</v>
      </c>
      <c r="S453" s="9" t="n">
        <v>23</v>
      </c>
      <c r="T453" s="9" t="n">
        <v>24</v>
      </c>
      <c r="U453" s="9">
        <f>Q453+R453+S453+T453</f>
        <v/>
      </c>
      <c r="V453" s="9">
        <f>IF(ISNUMBER(U453),U453,"")</f>
        <v/>
      </c>
      <c r="W453" s="9">
        <f>_xlfn.RANK.EQ(V453,$V$2:$V$1031)</f>
        <v/>
      </c>
      <c r="X453" s="13" t="inlineStr">
        <is>
          <t>راسب</t>
        </is>
      </c>
      <c r="Y453" s="13" t="n">
        <v>25</v>
      </c>
      <c r="Z453" s="13" t="n">
        <v>25</v>
      </c>
      <c r="AA453" s="13" t="n">
        <v>24</v>
      </c>
      <c r="AB453" s="13">
        <f>IF(ISNUMBER(X453),X453+N(Y453)+N(Z453)+N(AA453),X453)</f>
        <v/>
      </c>
      <c r="AC453" s="13">
        <f>IF(ISNUMBER(AB453),AB453,"")</f>
        <v/>
      </c>
      <c r="AD453" s="13">
        <f>IF(ISNUMBER(AC453),_xlfn.RANK.EQ(AC453,$AC$2:$AC$1031),"")</f>
        <v/>
      </c>
      <c r="AE453" s="15">
        <f>IF(ISNUMBER(AF453),AF453/3630,"")</f>
        <v/>
      </c>
      <c r="AF453" s="14">
        <f>IFERROR(C453+D453+E453+F453+J453+K453+L453+M453+Q453+R453+S453+T453+IF(ISNUMBER(X453),X453,0)+N(Y453)+N(Z453)+N(AA453),"")</f>
        <v/>
      </c>
      <c r="AG453" s="14">
        <f>IF(ISNUMBER(AF453),AF453,"")</f>
        <v/>
      </c>
      <c r="AH453" s="14">
        <f>IF(ISNUMBER(AG453),_xlfn.RANK.EQ(AG453,$AG$2:$AG$1031),"")</f>
        <v/>
      </c>
    </row>
    <row r="454">
      <c r="A454" s="18" t="n">
        <v>1034</v>
      </c>
      <c r="B454" s="18" t="inlineStr">
        <is>
          <t>صفا السيد ابراهيم خميس</t>
        </is>
      </c>
      <c r="C454" s="1" t="n">
        <v>634.2</v>
      </c>
      <c r="D454" s="1" t="n">
        <v>23</v>
      </c>
      <c r="E454" s="1" t="n">
        <v>24</v>
      </c>
      <c r="F454" s="1" t="n">
        <v>22</v>
      </c>
      <c r="G454" s="1">
        <f>C454+D454+E454+F454</f>
        <v/>
      </c>
      <c r="H454" s="1">
        <f>IF(ISNUMBER(G454),G454,"")</f>
        <v/>
      </c>
      <c r="I454" s="1">
        <f>_xlfn.RANK.EQ(H454,$H$2:$H$1031)</f>
        <v/>
      </c>
      <c r="J454" s="5" t="n">
        <v>631.5</v>
      </c>
      <c r="K454" s="5" t="n">
        <v>48</v>
      </c>
      <c r="L454" s="5" t="n">
        <v>22</v>
      </c>
      <c r="M454" s="5" t="n">
        <v>25</v>
      </c>
      <c r="N454" s="5">
        <f>J454+K454+L454+M454</f>
        <v/>
      </c>
      <c r="O454" s="5">
        <f>IF(ISNUMBER(N454),N454,"")</f>
        <v/>
      </c>
      <c r="P454" s="5">
        <f>_xlfn.RANK.EQ(O454,$O$2:$O$1031)</f>
        <v/>
      </c>
      <c r="Q454" s="9" t="n">
        <v>283.25</v>
      </c>
      <c r="R454" s="9" t="n">
        <v>46</v>
      </c>
      <c r="S454" s="9" t="n">
        <v>23</v>
      </c>
      <c r="T454" s="9" t="n">
        <v>25</v>
      </c>
      <c r="U454" s="9">
        <f>Q454+R454+S454+T454</f>
        <v/>
      </c>
      <c r="V454" s="9">
        <f>IF(ISNUMBER(U454),U454,"")</f>
        <v/>
      </c>
      <c r="W454" s="9">
        <f>_xlfn.RANK.EQ(V454,$V$2:$V$1031)</f>
        <v/>
      </c>
      <c r="X454" s="13" t="n">
        <v>1488.525</v>
      </c>
      <c r="Y454" s="13" t="n">
        <v>25</v>
      </c>
      <c r="Z454" s="13" t="n">
        <v>25</v>
      </c>
      <c r="AA454" s="13" t="n">
        <v>25</v>
      </c>
      <c r="AB454" s="13">
        <f>IF(ISNUMBER(X454),X454+N(Y454)+N(Z454)+N(AA454),X454)</f>
        <v/>
      </c>
      <c r="AC454" s="13">
        <f>IF(ISNUMBER(AB454),AB454,"")</f>
        <v/>
      </c>
      <c r="AD454" s="13">
        <f>IF(ISNUMBER(AC454),_xlfn.RANK.EQ(AC454,$AC$2:$AC$1031),"")</f>
        <v/>
      </c>
      <c r="AE454" s="15">
        <f>IF(ISNUMBER(AF454),AF454/3630,"")</f>
        <v/>
      </c>
      <c r="AF454" s="14">
        <f>IFERROR(C454+D454+E454+F454+J454+K454+L454+M454+Q454+R454+S454+T454+IF(ISNUMBER(X454),X454,0)+N(Y454)+N(Z454)+N(AA454),"")</f>
        <v/>
      </c>
      <c r="AG454" s="14">
        <f>IF(ISNUMBER(AF454),AF454,"")</f>
        <v/>
      </c>
      <c r="AH454" s="14">
        <f>IF(ISNUMBER(AG454),_xlfn.RANK.EQ(AG454,$AG$2:$AG$1031),"")</f>
        <v/>
      </c>
    </row>
    <row r="455">
      <c r="A455" s="18" t="n">
        <v>1035</v>
      </c>
      <c r="B455" s="18" t="inlineStr">
        <is>
          <t>صفا حسام عبدالنبي غزي</t>
        </is>
      </c>
      <c r="C455" s="1" t="n">
        <v>608.3</v>
      </c>
      <c r="D455" s="1" t="n">
        <v>25</v>
      </c>
      <c r="E455" s="1" t="n">
        <v>24</v>
      </c>
      <c r="F455" s="1" t="n">
        <v>24</v>
      </c>
      <c r="G455" s="1">
        <f>C455+D455+E455+F455</f>
        <v/>
      </c>
      <c r="H455" s="1">
        <f>IF(ISNUMBER(G455),G455,"")</f>
        <v/>
      </c>
      <c r="I455" s="1">
        <f>_xlfn.RANK.EQ(H455,$H$2:$H$1031)</f>
        <v/>
      </c>
      <c r="J455" s="5" t="n">
        <v>607</v>
      </c>
      <c r="K455" s="5" t="n">
        <v>48</v>
      </c>
      <c r="L455" s="5" t="n">
        <v>23</v>
      </c>
      <c r="M455" s="5" t="n">
        <v>24</v>
      </c>
      <c r="N455" s="5">
        <f>J455+K455+L455+M455</f>
        <v/>
      </c>
      <c r="O455" s="5">
        <f>IF(ISNUMBER(N455),N455,"")</f>
        <v/>
      </c>
      <c r="P455" s="5">
        <f>_xlfn.RANK.EQ(O455,$O$2:$O$1031)</f>
        <v/>
      </c>
      <c r="Q455" s="9" t="n">
        <v>244</v>
      </c>
      <c r="R455" s="9" t="n">
        <v>44.5</v>
      </c>
      <c r="S455" s="9" t="n">
        <v>24</v>
      </c>
      <c r="T455" s="9" t="n">
        <v>24</v>
      </c>
      <c r="U455" s="9">
        <f>Q455+R455+S455+T455</f>
        <v/>
      </c>
      <c r="V455" s="9">
        <f>IF(ISNUMBER(U455),U455,"")</f>
        <v/>
      </c>
      <c r="W455" s="9">
        <f>_xlfn.RANK.EQ(V455,$V$2:$V$1031)</f>
        <v/>
      </c>
      <c r="X455" s="13" t="n">
        <v>1464.4166666667</v>
      </c>
      <c r="Y455" s="13" t="n">
        <v>25</v>
      </c>
      <c r="Z455" s="13" t="n">
        <v>25</v>
      </c>
      <c r="AA455" s="13" t="n">
        <v>25</v>
      </c>
      <c r="AB455" s="13">
        <f>IF(ISNUMBER(X455),X455+N(Y455)+N(Z455)+N(AA455),X455)</f>
        <v/>
      </c>
      <c r="AC455" s="13">
        <f>IF(ISNUMBER(AB455),AB455,"")</f>
        <v/>
      </c>
      <c r="AD455" s="13">
        <f>IF(ISNUMBER(AC455),_xlfn.RANK.EQ(AC455,$AC$2:$AC$1031),"")</f>
        <v/>
      </c>
      <c r="AE455" s="15">
        <f>IF(ISNUMBER(AF455),AF455/3630,"")</f>
        <v/>
      </c>
      <c r="AF455" s="14">
        <f>IFERROR(C455+D455+E455+F455+J455+K455+L455+M455+Q455+R455+S455+T455+IF(ISNUMBER(X455),X455,0)+N(Y455)+N(Z455)+N(AA455),"")</f>
        <v/>
      </c>
      <c r="AG455" s="14">
        <f>IF(ISNUMBER(AF455),AF455,"")</f>
        <v/>
      </c>
      <c r="AH455" s="14">
        <f>IF(ISNUMBER(AG455),_xlfn.RANK.EQ(AG455,$AG$2:$AG$1031),"")</f>
        <v/>
      </c>
    </row>
    <row r="456">
      <c r="A456" s="18" t="n">
        <v>1040</v>
      </c>
      <c r="B456" s="18" t="inlineStr">
        <is>
          <t>صفيه سعفان أحمد نعمة الله</t>
        </is>
      </c>
      <c r="C456" s="1" t="n">
        <v>588.3</v>
      </c>
      <c r="D456" s="1" t="n">
        <v>24</v>
      </c>
      <c r="E456" s="1" t="n">
        <v>20</v>
      </c>
      <c r="F456" s="1" t="n">
        <v>23</v>
      </c>
      <c r="G456" s="1">
        <f>C456+D456+E456+F456</f>
        <v/>
      </c>
      <c r="H456" s="1">
        <f>IF(ISNUMBER(G456),G456,"")</f>
        <v/>
      </c>
      <c r="I456" s="1">
        <f>_xlfn.RANK.EQ(H456,$H$2:$H$1031)</f>
        <v/>
      </c>
      <c r="J456" s="5" t="n">
        <v>553.5</v>
      </c>
      <c r="K456" s="5" t="n">
        <v>40</v>
      </c>
      <c r="L456" s="5" t="n">
        <v>21</v>
      </c>
      <c r="M456" s="5" t="n">
        <v>16</v>
      </c>
      <c r="N456" s="5">
        <f>J456+K456+L456+M456</f>
        <v/>
      </c>
      <c r="O456" s="5">
        <f>IF(ISNUMBER(N456),N456,"")</f>
        <v/>
      </c>
      <c r="P456" s="5">
        <f>_xlfn.RANK.EQ(O456,$O$2:$O$1031)</f>
        <v/>
      </c>
      <c r="Q456" s="9" t="n">
        <v>242.5</v>
      </c>
      <c r="R456" s="9" t="n">
        <v>44.5</v>
      </c>
      <c r="S456" s="9" t="n">
        <v>25</v>
      </c>
      <c r="T456" s="9" t="n">
        <v>22</v>
      </c>
      <c r="U456" s="9">
        <f>Q456+R456+S456+T456</f>
        <v/>
      </c>
      <c r="V456" s="9">
        <f>IF(ISNUMBER(U456),U456,"")</f>
        <v/>
      </c>
      <c r="W456" s="9">
        <f>_xlfn.RANK.EQ(V456,$V$2:$V$1031)</f>
        <v/>
      </c>
      <c r="X456" s="13" t="inlineStr">
        <is>
          <t>راسب</t>
        </is>
      </c>
      <c r="Y456" s="13" t="n">
        <v>20</v>
      </c>
      <c r="Z456" s="13" t="n">
        <v>24</v>
      </c>
      <c r="AA456" s="13" t="n">
        <v>23</v>
      </c>
      <c r="AB456" s="13">
        <f>IF(ISNUMBER(X456),X456+N(Y456)+N(Z456)+N(AA456),X456)</f>
        <v/>
      </c>
      <c r="AC456" s="13">
        <f>IF(ISNUMBER(AB456),AB456,"")</f>
        <v/>
      </c>
      <c r="AD456" s="13">
        <f>IF(ISNUMBER(AC456),_xlfn.RANK.EQ(AC456,$AC$2:$AC$1031),"")</f>
        <v/>
      </c>
      <c r="AE456" s="15">
        <f>IF(ISNUMBER(AF456),AF456/3630,"")</f>
        <v/>
      </c>
      <c r="AF456" s="14">
        <f>IFERROR(C456+D456+E456+F456+J456+K456+L456+M456+Q456+R456+S456+T456+IF(ISNUMBER(X456),X456,0)+N(Y456)+N(Z456)+N(AA456),"")</f>
        <v/>
      </c>
      <c r="AG456" s="14">
        <f>IF(ISNUMBER(AF456),AF456,"")</f>
        <v/>
      </c>
      <c r="AH456" s="14">
        <f>IF(ISNUMBER(AG456),_xlfn.RANK.EQ(AG456,$AG$2:$AG$1031),"")</f>
        <v/>
      </c>
    </row>
    <row r="457">
      <c r="A457" s="18" t="n">
        <v>1043</v>
      </c>
      <c r="B457" s="18" t="inlineStr">
        <is>
          <t>صلاح الدين تامر حسن ابراهيم</t>
        </is>
      </c>
      <c r="C457" s="1" t="n">
        <v>454.9</v>
      </c>
      <c r="D457" s="1" t="n">
        <v>19</v>
      </c>
      <c r="E457" s="1" t="n">
        <v>20</v>
      </c>
      <c r="F457" s="1" t="n">
        <v>17</v>
      </c>
      <c r="G457" s="1">
        <f>C457+D457+E457+F457</f>
        <v/>
      </c>
      <c r="H457" s="1">
        <f>IF(ISNUMBER(G457),G457,"")</f>
        <v/>
      </c>
      <c r="I457" s="1">
        <f>_xlfn.RANK.EQ(H457,$H$2:$H$1031)</f>
        <v/>
      </c>
      <c r="J457" s="5" t="n">
        <v>484</v>
      </c>
      <c r="K457" s="5" t="n">
        <v>48</v>
      </c>
      <c r="L457" s="5" t="n">
        <v>25</v>
      </c>
      <c r="M457" s="5" t="n">
        <v>22</v>
      </c>
      <c r="N457" s="5">
        <f>J457+K457+L457+M457</f>
        <v/>
      </c>
      <c r="O457" s="5">
        <f>IF(ISNUMBER(N457),N457,"")</f>
        <v/>
      </c>
      <c r="P457" s="5">
        <f>_xlfn.RANK.EQ(O457,$O$2:$O$1031)</f>
        <v/>
      </c>
      <c r="Q457" s="9" t="n">
        <v>223.75</v>
      </c>
      <c r="R457" s="9" t="n">
        <v>45</v>
      </c>
      <c r="S457" s="9" t="n">
        <v>25</v>
      </c>
      <c r="T457" s="9" t="n">
        <v>25</v>
      </c>
      <c r="U457" s="9">
        <f>Q457+R457+S457+T457</f>
        <v/>
      </c>
      <c r="V457" s="9">
        <f>IF(ISNUMBER(U457),U457,"")</f>
        <v/>
      </c>
      <c r="W457" s="9">
        <f>_xlfn.RANK.EQ(V457,$V$2:$V$1031)</f>
        <v/>
      </c>
      <c r="X457" s="13" t="n">
        <v>1359.1125</v>
      </c>
      <c r="Y457" s="13" t="n">
        <v>24</v>
      </c>
      <c r="Z457" s="13" t="n">
        <v>23</v>
      </c>
      <c r="AA457" s="13" t="n">
        <v>21</v>
      </c>
      <c r="AB457" s="13">
        <f>IF(ISNUMBER(X457),X457+N(Y457)+N(Z457)+N(AA457),X457)</f>
        <v/>
      </c>
      <c r="AC457" s="13">
        <f>IF(ISNUMBER(AB457),AB457,"")</f>
        <v/>
      </c>
      <c r="AD457" s="13">
        <f>IF(ISNUMBER(AC457),_xlfn.RANK.EQ(AC457,$AC$2:$AC$1031),"")</f>
        <v/>
      </c>
      <c r="AE457" s="15">
        <f>IF(ISNUMBER(AF457),AF457/3630,"")</f>
        <v/>
      </c>
      <c r="AF457" s="14">
        <f>IFERROR(C457+D457+E457+F457+J457+K457+L457+M457+Q457+R457+S457+T457+IF(ISNUMBER(X457),X457,0)+N(Y457)+N(Z457)+N(AA457),"")</f>
        <v/>
      </c>
      <c r="AG457" s="14">
        <f>IF(ISNUMBER(AF457),AF457,"")</f>
        <v/>
      </c>
      <c r="AH457" s="14">
        <f>IF(ISNUMBER(AG457),_xlfn.RANK.EQ(AG457,$AG$2:$AG$1031),"")</f>
        <v/>
      </c>
    </row>
    <row r="458">
      <c r="A458" s="18" t="n">
        <v>1044</v>
      </c>
      <c r="B458" s="18" t="inlineStr">
        <is>
          <t>صلاح عاطف محمد محمد عاشور</t>
        </is>
      </c>
      <c r="C458" s="1" t="n">
        <v>634.8</v>
      </c>
      <c r="D458" s="1" t="n">
        <v>25</v>
      </c>
      <c r="E458" s="1" t="n">
        <v>24</v>
      </c>
      <c r="F458" s="1" t="n">
        <v>23</v>
      </c>
      <c r="G458" s="1">
        <f>C458+D458+E458+F458</f>
        <v/>
      </c>
      <c r="H458" s="1">
        <f>IF(ISNUMBER(G458),G458,"")</f>
        <v/>
      </c>
      <c r="I458" s="1">
        <f>_xlfn.RANK.EQ(H458,$H$2:$H$1031)</f>
        <v/>
      </c>
      <c r="J458" s="5" t="n">
        <v>613</v>
      </c>
      <c r="K458" s="5" t="n">
        <v>45</v>
      </c>
      <c r="L458" s="5" t="n">
        <v>20</v>
      </c>
      <c r="M458" s="5" t="n">
        <v>23</v>
      </c>
      <c r="N458" s="5">
        <f>J458+K458+L458+M458</f>
        <v/>
      </c>
      <c r="O458" s="5">
        <f>IF(ISNUMBER(N458),N458,"")</f>
        <v/>
      </c>
      <c r="P458" s="5">
        <f>_xlfn.RANK.EQ(O458,$O$2:$O$1031)</f>
        <v/>
      </c>
      <c r="Q458" s="9" t="n">
        <v>221</v>
      </c>
      <c r="R458" s="9" t="n">
        <v>46</v>
      </c>
      <c r="S458" s="9" t="n">
        <v>23</v>
      </c>
      <c r="T458" s="9" t="n">
        <v>24</v>
      </c>
      <c r="U458" s="9">
        <f>Q458+R458+S458+T458</f>
        <v/>
      </c>
      <c r="V458" s="9">
        <f>IF(ISNUMBER(U458),U458,"")</f>
        <v/>
      </c>
      <c r="W458" s="9">
        <f>_xlfn.RANK.EQ(V458,$V$2:$V$1031)</f>
        <v/>
      </c>
      <c r="X458" s="13" t="inlineStr">
        <is>
          <t>غ ب</t>
        </is>
      </c>
      <c r="Y458" s="13" t="n">
        <v>25</v>
      </c>
      <c r="Z458" s="13" t="n">
        <v>23</v>
      </c>
      <c r="AA458" s="13" t="n">
        <v>24</v>
      </c>
      <c r="AB458" s="13">
        <f>IF(ISNUMBER(X458),X458+N(Y458)+N(Z458)+N(AA458),X458)</f>
        <v/>
      </c>
      <c r="AC458" s="13">
        <f>IF(ISNUMBER(AB458),AB458,"")</f>
        <v/>
      </c>
      <c r="AD458" s="13">
        <f>IF(ISNUMBER(AC458),_xlfn.RANK.EQ(AC458,$AC$2:$AC$1031),"")</f>
        <v/>
      </c>
      <c r="AE458" s="15">
        <f>IF(ISNUMBER(AF458),AF458/3630,"")</f>
        <v/>
      </c>
      <c r="AF458" s="14">
        <f>IFERROR(C458+D458+E458+F458+J458+K458+L458+M458+Q458+R458+S458+T458+IF(ISNUMBER(X458),X458,0)+N(Y458)+N(Z458)+N(AA458),"")</f>
        <v/>
      </c>
      <c r="AG458" s="14">
        <f>IF(ISNUMBER(AF458),AF458,"")</f>
        <v/>
      </c>
      <c r="AH458" s="14">
        <f>IF(ISNUMBER(AG458),_xlfn.RANK.EQ(AG458,$AG$2:$AG$1031),"")</f>
        <v/>
      </c>
    </row>
    <row r="459">
      <c r="A459" s="18" t="n">
        <v>1046</v>
      </c>
      <c r="B459" s="18" t="inlineStr">
        <is>
          <t>صليب عادل فكري حسب الله</t>
        </is>
      </c>
      <c r="C459" s="1" t="n">
        <v>495</v>
      </c>
      <c r="D459" s="1" t="n">
        <v>23</v>
      </c>
      <c r="E459" s="1" t="n">
        <v>22</v>
      </c>
      <c r="F459" s="1" t="n">
        <v>23</v>
      </c>
      <c r="G459" s="1">
        <f>C459+D459+E459+F459</f>
        <v/>
      </c>
      <c r="H459" s="1">
        <f>IF(ISNUMBER(G459),G459,"")</f>
        <v/>
      </c>
      <c r="I459" s="1">
        <f>_xlfn.RANK.EQ(H459,$H$2:$H$1031)</f>
        <v/>
      </c>
      <c r="J459" s="5" t="n">
        <v>540</v>
      </c>
      <c r="K459" s="5" t="n">
        <v>45</v>
      </c>
      <c r="L459" s="5" t="n">
        <v>23</v>
      </c>
      <c r="M459" s="5" t="n">
        <v>20</v>
      </c>
      <c r="N459" s="5">
        <f>J459+K459+L459+M459</f>
        <v/>
      </c>
      <c r="O459" s="5">
        <f>IF(ISNUMBER(N459),N459,"")</f>
        <v/>
      </c>
      <c r="P459" s="5">
        <f>_xlfn.RANK.EQ(O459,$O$2:$O$1031)</f>
        <v/>
      </c>
      <c r="Q459" s="9" t="n">
        <v>195.75</v>
      </c>
      <c r="R459" s="9" t="n">
        <v>40.5</v>
      </c>
      <c r="S459" s="9" t="n">
        <v>23</v>
      </c>
      <c r="T459" s="9" t="n">
        <v>19</v>
      </c>
      <c r="U459" s="9">
        <f>Q459+R459+S459+T459</f>
        <v/>
      </c>
      <c r="V459" s="9">
        <f>IF(ISNUMBER(U459),U459,"")</f>
        <v/>
      </c>
      <c r="W459" s="9">
        <f>_xlfn.RANK.EQ(V459,$V$2:$V$1031)</f>
        <v/>
      </c>
      <c r="X459" s="13" t="n">
        <v>1255.9</v>
      </c>
      <c r="Y459" s="13" t="n">
        <v>24</v>
      </c>
      <c r="Z459" s="13" t="n">
        <v>24</v>
      </c>
      <c r="AA459" s="13" t="n">
        <v>23</v>
      </c>
      <c r="AB459" s="13">
        <f>IF(ISNUMBER(X459),X459+N(Y459)+N(Z459)+N(AA459),X459)</f>
        <v/>
      </c>
      <c r="AC459" s="13">
        <f>IF(ISNUMBER(AB459),AB459,"")</f>
        <v/>
      </c>
      <c r="AD459" s="13">
        <f>IF(ISNUMBER(AC459),_xlfn.RANK.EQ(AC459,$AC$2:$AC$1031),"")</f>
        <v/>
      </c>
      <c r="AE459" s="15">
        <f>IF(ISNUMBER(AF459),AF459/3630,"")</f>
        <v/>
      </c>
      <c r="AF459" s="14">
        <f>IFERROR(C459+D459+E459+F459+J459+K459+L459+M459+Q459+R459+S459+T459+IF(ISNUMBER(X459),X459,0)+N(Y459)+N(Z459)+N(AA459),"")</f>
        <v/>
      </c>
      <c r="AG459" s="14">
        <f>IF(ISNUMBER(AF459),AF459,"")</f>
        <v/>
      </c>
      <c r="AH459" s="14">
        <f>IF(ISNUMBER(AG459),_xlfn.RANK.EQ(AG459,$AG$2:$AG$1031),"")</f>
        <v/>
      </c>
    </row>
    <row r="460">
      <c r="A460" s="18" t="n">
        <v>1052</v>
      </c>
      <c r="B460" s="18" t="inlineStr">
        <is>
          <t>صوفيا امير محمد رزق</t>
        </is>
      </c>
      <c r="C460" s="1" t="n">
        <v>553.9</v>
      </c>
      <c r="D460" s="1" t="n">
        <v>25</v>
      </c>
      <c r="E460" s="1" t="n">
        <v>22</v>
      </c>
      <c r="F460" s="1" t="n">
        <v>20</v>
      </c>
      <c r="G460" s="1">
        <f>C460+D460+E460+F460</f>
        <v/>
      </c>
      <c r="H460" s="1">
        <f>IF(ISNUMBER(G460),G460,"")</f>
        <v/>
      </c>
      <c r="I460" s="1">
        <f>_xlfn.RANK.EQ(H460,$H$2:$H$1031)</f>
        <v/>
      </c>
      <c r="J460" s="5" t="n">
        <v>605</v>
      </c>
      <c r="K460" s="5" t="n">
        <v>47</v>
      </c>
      <c r="L460" s="5" t="n">
        <v>25</v>
      </c>
      <c r="M460" s="5" t="n">
        <v>24</v>
      </c>
      <c r="N460" s="5">
        <f>J460+K460+L460+M460</f>
        <v/>
      </c>
      <c r="O460" s="5">
        <f>IF(ISNUMBER(N460),N460,"")</f>
        <v/>
      </c>
      <c r="P460" s="5">
        <f>_xlfn.RANK.EQ(O460,$O$2:$O$1031)</f>
        <v/>
      </c>
      <c r="Q460" s="9" t="n">
        <v>274</v>
      </c>
      <c r="R460" s="9" t="n">
        <v>47.5</v>
      </c>
      <c r="S460" s="9" t="n">
        <v>25</v>
      </c>
      <c r="T460" s="9" t="n">
        <v>25</v>
      </c>
      <c r="U460" s="9">
        <f>Q460+R460+S460+T460</f>
        <v/>
      </c>
      <c r="V460" s="9">
        <f>IF(ISNUMBER(U460),U460,"")</f>
        <v/>
      </c>
      <c r="W460" s="9">
        <f>_xlfn.RANK.EQ(V460,$V$2:$V$1031)</f>
        <v/>
      </c>
      <c r="X460" s="13" t="n">
        <v>1536.4125</v>
      </c>
      <c r="Y460" s="13" t="n">
        <v>15</v>
      </c>
      <c r="Z460" s="13" t="n">
        <v>25</v>
      </c>
      <c r="AA460" s="13" t="n">
        <v>24</v>
      </c>
      <c r="AB460" s="13">
        <f>IF(ISNUMBER(X460),X460+N(Y460)+N(Z460)+N(AA460),X460)</f>
        <v/>
      </c>
      <c r="AC460" s="13">
        <f>IF(ISNUMBER(AB460),AB460,"")</f>
        <v/>
      </c>
      <c r="AD460" s="13">
        <f>IF(ISNUMBER(AC460),_xlfn.RANK.EQ(AC460,$AC$2:$AC$1031),"")</f>
        <v/>
      </c>
      <c r="AE460" s="15">
        <f>IF(ISNUMBER(AF460),AF460/3630,"")</f>
        <v/>
      </c>
      <c r="AF460" s="14">
        <f>IFERROR(C460+D460+E460+F460+J460+K460+L460+M460+Q460+R460+S460+T460+IF(ISNUMBER(X460),X460,0)+N(Y460)+N(Z460)+N(AA460),"")</f>
        <v/>
      </c>
      <c r="AG460" s="14">
        <f>IF(ISNUMBER(AF460),AF460,"")</f>
        <v/>
      </c>
      <c r="AH460" s="14">
        <f>IF(ISNUMBER(AG460),_xlfn.RANK.EQ(AG460,$AG$2:$AG$1031),"")</f>
        <v/>
      </c>
    </row>
    <row r="461">
      <c r="A461" s="18" t="n">
        <v>1056</v>
      </c>
      <c r="B461" s="18" t="inlineStr">
        <is>
          <t>ضياء  ايمن قطب ابوشريف</t>
        </is>
      </c>
      <c r="C461" s="1" t="n">
        <v>456.8</v>
      </c>
      <c r="D461" s="1" t="n">
        <v>14</v>
      </c>
      <c r="E461" s="1" t="n">
        <v>17</v>
      </c>
      <c r="F461" s="1" t="n">
        <v>17</v>
      </c>
      <c r="G461" s="1">
        <f>C461+D461+E461+F461</f>
        <v/>
      </c>
      <c r="H461" s="1">
        <f>IF(ISNUMBER(G461),G461,"")</f>
        <v/>
      </c>
      <c r="I461" s="1">
        <f>_xlfn.RANK.EQ(H461,$H$2:$H$1031)</f>
        <v/>
      </c>
      <c r="J461" s="5" t="n">
        <v>434.4</v>
      </c>
      <c r="K461" s="5" t="n">
        <v>40</v>
      </c>
      <c r="L461" s="5" t="n">
        <v>16</v>
      </c>
      <c r="M461" s="5" t="n">
        <v>22</v>
      </c>
      <c r="N461" s="5">
        <f>J461+K461+L461+M461</f>
        <v/>
      </c>
      <c r="O461" s="5">
        <f>IF(ISNUMBER(N461),N461,"")</f>
        <v/>
      </c>
      <c r="P461" s="5">
        <f>_xlfn.RANK.EQ(O461,$O$2:$O$1031)</f>
        <v/>
      </c>
      <c r="Q461" s="9" t="n">
        <v>159.75</v>
      </c>
      <c r="R461" s="9" t="n">
        <v>28.5</v>
      </c>
      <c r="S461" s="9" t="n">
        <v>20</v>
      </c>
      <c r="T461" s="9" t="n">
        <v>20</v>
      </c>
      <c r="U461" s="9">
        <f>Q461+R461+S461+T461</f>
        <v/>
      </c>
      <c r="V461" s="9">
        <f>IF(ISNUMBER(U461),U461,"")</f>
        <v/>
      </c>
      <c r="W461" s="9">
        <f>_xlfn.RANK.EQ(V461,$V$2:$V$1031)</f>
        <v/>
      </c>
      <c r="X461" s="13" t="inlineStr">
        <is>
          <t>راسب</t>
        </is>
      </c>
      <c r="Y461" s="13" t="n">
        <v>23</v>
      </c>
      <c r="Z461" s="13" t="n">
        <v>17</v>
      </c>
      <c r="AA461" s="13" t="n">
        <v>20</v>
      </c>
      <c r="AB461" s="13">
        <f>IF(ISNUMBER(X461),X461+N(Y461)+N(Z461)+N(AA461),X461)</f>
        <v/>
      </c>
      <c r="AC461" s="13">
        <f>IF(ISNUMBER(AB461),AB461,"")</f>
        <v/>
      </c>
      <c r="AD461" s="13">
        <f>IF(ISNUMBER(AC461),_xlfn.RANK.EQ(AC461,$AC$2:$AC$1031),"")</f>
        <v/>
      </c>
      <c r="AE461" s="15">
        <f>IF(ISNUMBER(AF461),AF461/3630,"")</f>
        <v/>
      </c>
      <c r="AF461" s="14">
        <f>IFERROR(C461+D461+E461+F461+J461+K461+L461+M461+Q461+R461+S461+T461+IF(ISNUMBER(X461),X461,0)+N(Y461)+N(Z461)+N(AA461),"")</f>
        <v/>
      </c>
      <c r="AG461" s="14">
        <f>IF(ISNUMBER(AF461),AF461,"")</f>
        <v/>
      </c>
      <c r="AH461" s="14">
        <f>IF(ISNUMBER(AG461),_xlfn.RANK.EQ(AG461,$AG$2:$AG$1031),"")</f>
        <v/>
      </c>
    </row>
    <row r="462">
      <c r="A462" s="18" t="n">
        <v>1063</v>
      </c>
      <c r="B462" s="18" t="inlineStr">
        <is>
          <t>طه ايهاب عصمت شحاتة</t>
        </is>
      </c>
      <c r="C462" s="1" t="n">
        <v>571.2</v>
      </c>
      <c r="D462" s="1" t="n">
        <v>24</v>
      </c>
      <c r="E462" s="1" t="n">
        <v>19</v>
      </c>
      <c r="F462" s="1" t="n">
        <v>20</v>
      </c>
      <c r="G462" s="1">
        <f>C462+D462+E462+F462</f>
        <v/>
      </c>
      <c r="H462" s="1">
        <f>IF(ISNUMBER(G462),G462,"")</f>
        <v/>
      </c>
      <c r="I462" s="1">
        <f>_xlfn.RANK.EQ(H462,$H$2:$H$1031)</f>
        <v/>
      </c>
      <c r="J462" s="5" t="n">
        <v>514.9</v>
      </c>
      <c r="K462" s="5" t="n">
        <v>42</v>
      </c>
      <c r="L462" s="5" t="n">
        <v>23</v>
      </c>
      <c r="M462" s="5" t="n">
        <v>20</v>
      </c>
      <c r="N462" s="5">
        <f>J462+K462+L462+M462</f>
        <v/>
      </c>
      <c r="O462" s="5">
        <f>IF(ISNUMBER(N462),N462,"")</f>
        <v/>
      </c>
      <c r="P462" s="5">
        <f>_xlfn.RANK.EQ(O462,$O$2:$O$1031)</f>
        <v/>
      </c>
      <c r="Q462" s="9" t="n">
        <v>225.75</v>
      </c>
      <c r="R462" s="9" t="n">
        <v>45</v>
      </c>
      <c r="S462" s="9" t="n">
        <v>24</v>
      </c>
      <c r="T462" s="9" t="n">
        <v>24</v>
      </c>
      <c r="U462" s="9">
        <f>Q462+R462+S462+T462</f>
        <v/>
      </c>
      <c r="V462" s="9">
        <f>IF(ISNUMBER(U462),U462,"")</f>
        <v/>
      </c>
      <c r="W462" s="9">
        <f>_xlfn.RANK.EQ(V462,$V$2:$V$1031)</f>
        <v/>
      </c>
      <c r="X462" s="13" t="n">
        <v>1409.4333333333</v>
      </c>
      <c r="Y462" s="13" t="n">
        <v>25</v>
      </c>
      <c r="Z462" s="13" t="n">
        <v>24</v>
      </c>
      <c r="AA462" s="13" t="n">
        <v>24</v>
      </c>
      <c r="AB462" s="13">
        <f>IF(ISNUMBER(X462),X462+N(Y462)+N(Z462)+N(AA462),X462)</f>
        <v/>
      </c>
      <c r="AC462" s="13">
        <f>IF(ISNUMBER(AB462),AB462,"")</f>
        <v/>
      </c>
      <c r="AD462" s="13">
        <f>IF(ISNUMBER(AC462),_xlfn.RANK.EQ(AC462,$AC$2:$AC$1031),"")</f>
        <v/>
      </c>
      <c r="AE462" s="15">
        <f>IF(ISNUMBER(AF462),AF462/3630,"")</f>
        <v/>
      </c>
      <c r="AF462" s="14">
        <f>IFERROR(C462+D462+E462+F462+J462+K462+L462+M462+Q462+R462+S462+T462+IF(ISNUMBER(X462),X462,0)+N(Y462)+N(Z462)+N(AA462),"")</f>
        <v/>
      </c>
      <c r="AG462" s="14">
        <f>IF(ISNUMBER(AF462),AF462,"")</f>
        <v/>
      </c>
      <c r="AH462" s="14">
        <f>IF(ISNUMBER(AG462),_xlfn.RANK.EQ(AG462,$AG$2:$AG$1031),"")</f>
        <v/>
      </c>
    </row>
    <row r="463">
      <c r="A463" s="18" t="n">
        <v>1064</v>
      </c>
      <c r="B463" s="18" t="inlineStr">
        <is>
          <t>طه عبد الغنى طه عبدالغني ابو دنيا</t>
        </is>
      </c>
      <c r="C463" s="1" t="n">
        <v>604.9</v>
      </c>
      <c r="D463" s="1" t="n">
        <v>24</v>
      </c>
      <c r="E463" s="1" t="n">
        <v>21</v>
      </c>
      <c r="F463" s="1" t="n">
        <v>24</v>
      </c>
      <c r="G463" s="1">
        <f>C463+D463+E463+F463</f>
        <v/>
      </c>
      <c r="H463" s="1">
        <f>IF(ISNUMBER(G463),G463,"")</f>
        <v/>
      </c>
      <c r="I463" s="1">
        <f>_xlfn.RANK.EQ(H463,$H$2:$H$1031)</f>
        <v/>
      </c>
      <c r="J463" s="5" t="n">
        <v>610</v>
      </c>
      <c r="K463" s="5" t="n">
        <v>45</v>
      </c>
      <c r="L463" s="5" t="n">
        <v>22</v>
      </c>
      <c r="M463" s="5" t="n">
        <v>22</v>
      </c>
      <c r="N463" s="5">
        <f>J463+K463+L463+M463</f>
        <v/>
      </c>
      <c r="O463" s="5">
        <f>IF(ISNUMBER(N463),N463,"")</f>
        <v/>
      </c>
      <c r="P463" s="5">
        <f>_xlfn.RANK.EQ(O463,$O$2:$O$1031)</f>
        <v/>
      </c>
      <c r="Q463" s="9" t="n">
        <v>245.5</v>
      </c>
      <c r="R463" s="9" t="n">
        <v>42</v>
      </c>
      <c r="S463" s="9" t="n">
        <v>25</v>
      </c>
      <c r="T463" s="9" t="n">
        <v>23</v>
      </c>
      <c r="U463" s="9">
        <f>Q463+R463+S463+T463</f>
        <v/>
      </c>
      <c r="V463" s="9">
        <f>IF(ISNUMBER(U463),U463,"")</f>
        <v/>
      </c>
      <c r="W463" s="9">
        <f>_xlfn.RANK.EQ(V463,$V$2:$V$1031)</f>
        <v/>
      </c>
      <c r="X463" s="13" t="n">
        <v>1452.7041666667</v>
      </c>
      <c r="Y463" s="13" t="n">
        <v>23</v>
      </c>
      <c r="Z463" s="13" t="n">
        <v>21</v>
      </c>
      <c r="AA463" s="13" t="n">
        <v>23</v>
      </c>
      <c r="AB463" s="13">
        <f>IF(ISNUMBER(X463),X463+N(Y463)+N(Z463)+N(AA463),X463)</f>
        <v/>
      </c>
      <c r="AC463" s="13">
        <f>IF(ISNUMBER(AB463),AB463,"")</f>
        <v/>
      </c>
      <c r="AD463" s="13">
        <f>IF(ISNUMBER(AC463),_xlfn.RANK.EQ(AC463,$AC$2:$AC$1031),"")</f>
        <v/>
      </c>
      <c r="AE463" s="15">
        <f>IF(ISNUMBER(AF463),AF463/3630,"")</f>
        <v/>
      </c>
      <c r="AF463" s="14">
        <f>IFERROR(C463+D463+E463+F463+J463+K463+L463+M463+Q463+R463+S463+T463+IF(ISNUMBER(X463),X463,0)+N(Y463)+N(Z463)+N(AA463),"")</f>
        <v/>
      </c>
      <c r="AG463" s="14">
        <f>IF(ISNUMBER(AF463),AF463,"")</f>
        <v/>
      </c>
      <c r="AH463" s="14">
        <f>IF(ISNUMBER(AG463),_xlfn.RANK.EQ(AG463,$AG$2:$AG$1031),"")</f>
        <v/>
      </c>
    </row>
    <row r="464">
      <c r="A464" s="18" t="n">
        <v>1069</v>
      </c>
      <c r="B464" s="18" t="inlineStr">
        <is>
          <t>عاليا محمد احمد محمد حسن</t>
        </is>
      </c>
      <c r="C464" s="1" t="n">
        <v>650.1</v>
      </c>
      <c r="D464" s="1" t="n">
        <v>25</v>
      </c>
      <c r="E464" s="1" t="n">
        <v>25</v>
      </c>
      <c r="F464" s="1" t="n">
        <v>24</v>
      </c>
      <c r="G464" s="1">
        <f>C464+D464+E464+F464</f>
        <v/>
      </c>
      <c r="H464" s="1">
        <f>IF(ISNUMBER(G464),G464,"")</f>
        <v/>
      </c>
      <c r="I464" s="1">
        <f>_xlfn.RANK.EQ(H464,$H$2:$H$1031)</f>
        <v/>
      </c>
      <c r="J464" s="5" t="n">
        <v>619</v>
      </c>
      <c r="K464" s="5" t="n">
        <v>49</v>
      </c>
      <c r="L464" s="5" t="n">
        <v>21</v>
      </c>
      <c r="M464" s="5" t="n">
        <v>24</v>
      </c>
      <c r="N464" s="5">
        <f>J464+K464+L464+M464</f>
        <v/>
      </c>
      <c r="O464" s="5">
        <f>IF(ISNUMBER(N464),N464,"")</f>
        <v/>
      </c>
      <c r="P464" s="5">
        <f>_xlfn.RANK.EQ(O464,$O$2:$O$1031)</f>
        <v/>
      </c>
      <c r="Q464" s="9" t="n">
        <v>264</v>
      </c>
      <c r="R464" s="9" t="n">
        <v>48.5</v>
      </c>
      <c r="S464" s="9" t="n">
        <v>25</v>
      </c>
      <c r="T464" s="9" t="n">
        <v>25</v>
      </c>
      <c r="U464" s="9">
        <f>Q464+R464+S464+T464</f>
        <v/>
      </c>
      <c r="V464" s="9">
        <f>IF(ISNUMBER(U464),U464,"")</f>
        <v/>
      </c>
      <c r="W464" s="9">
        <f>_xlfn.RANK.EQ(V464,$V$2:$V$1031)</f>
        <v/>
      </c>
      <c r="X464" s="13" t="n">
        <v>1491.3208333333</v>
      </c>
      <c r="Y464" s="13" t="n">
        <v>25</v>
      </c>
      <c r="Z464" s="13" t="n">
        <v>24</v>
      </c>
      <c r="AA464" s="13" t="n">
        <v>24</v>
      </c>
      <c r="AB464" s="13">
        <f>IF(ISNUMBER(X464),X464+N(Y464)+N(Z464)+N(AA464),X464)</f>
        <v/>
      </c>
      <c r="AC464" s="13">
        <f>IF(ISNUMBER(AB464),AB464,"")</f>
        <v/>
      </c>
      <c r="AD464" s="13">
        <f>IF(ISNUMBER(AC464),_xlfn.RANK.EQ(AC464,$AC$2:$AC$1031),"")</f>
        <v/>
      </c>
      <c r="AE464" s="15">
        <f>IF(ISNUMBER(AF464),AF464/3630,"")</f>
        <v/>
      </c>
      <c r="AF464" s="14">
        <f>IFERROR(C464+D464+E464+F464+J464+K464+L464+M464+Q464+R464+S464+T464+IF(ISNUMBER(X464),X464,0)+N(Y464)+N(Z464)+N(AA464),"")</f>
        <v/>
      </c>
      <c r="AG464" s="14">
        <f>IF(ISNUMBER(AF464),AF464,"")</f>
        <v/>
      </c>
      <c r="AH464" s="14">
        <f>IF(ISNUMBER(AG464),_xlfn.RANK.EQ(AG464,$AG$2:$AG$1031),"")</f>
        <v/>
      </c>
    </row>
    <row r="465">
      <c r="A465" s="18" t="n">
        <v>1073</v>
      </c>
      <c r="B465" s="18" t="inlineStr">
        <is>
          <t>عائشة على حامد السيد عطية</t>
        </is>
      </c>
      <c r="C465" s="1" t="n">
        <v>609.7</v>
      </c>
      <c r="D465" s="1" t="n">
        <v>24</v>
      </c>
      <c r="E465" s="1" t="n">
        <v>24</v>
      </c>
      <c r="F465" s="1" t="n">
        <v>22</v>
      </c>
      <c r="G465" s="1">
        <f>C465+D465+E465+F465</f>
        <v/>
      </c>
      <c r="H465" s="1">
        <f>IF(ISNUMBER(G465),G465,"")</f>
        <v/>
      </c>
      <c r="I465" s="1">
        <f>_xlfn.RANK.EQ(H465,$H$2:$H$1031)</f>
        <v/>
      </c>
      <c r="J465" s="5" t="n">
        <v>597.4</v>
      </c>
      <c r="K465" s="5" t="n">
        <v>48</v>
      </c>
      <c r="L465" s="5" t="n">
        <v>23</v>
      </c>
      <c r="M465" s="5" t="n">
        <v>24</v>
      </c>
      <c r="N465" s="5">
        <f>J465+K465+L465+M465</f>
        <v/>
      </c>
      <c r="O465" s="5">
        <f>IF(ISNUMBER(N465),N465,"")</f>
        <v/>
      </c>
      <c r="P465" s="5">
        <f>_xlfn.RANK.EQ(O465,$O$2:$O$1031)</f>
        <v/>
      </c>
      <c r="Q465" s="9" t="n">
        <v>266</v>
      </c>
      <c r="R465" s="9" t="n">
        <v>46</v>
      </c>
      <c r="S465" s="9" t="n">
        <v>23</v>
      </c>
      <c r="T465" s="9" t="n">
        <v>25</v>
      </c>
      <c r="U465" s="9">
        <f>Q465+R465+S465+T465</f>
        <v/>
      </c>
      <c r="V465" s="9">
        <f>IF(ISNUMBER(U465),U465,"")</f>
        <v/>
      </c>
      <c r="W465" s="9">
        <f>_xlfn.RANK.EQ(V465,$V$2:$V$1031)</f>
        <v/>
      </c>
      <c r="X465" s="13" t="n">
        <v>1443.5166666667</v>
      </c>
      <c r="Y465" s="13" t="n">
        <v>22</v>
      </c>
      <c r="Z465" s="13" t="n">
        <v>10</v>
      </c>
      <c r="AA465" s="13" t="n">
        <v>23</v>
      </c>
      <c r="AB465" s="13">
        <f>IF(ISNUMBER(X465),X465+N(Y465)+N(Z465)+N(AA465),X465)</f>
        <v/>
      </c>
      <c r="AC465" s="13">
        <f>IF(ISNUMBER(AB465),AB465,"")</f>
        <v/>
      </c>
      <c r="AD465" s="13">
        <f>IF(ISNUMBER(AC465),_xlfn.RANK.EQ(AC465,$AC$2:$AC$1031),"")</f>
        <v/>
      </c>
      <c r="AE465" s="15">
        <f>IF(ISNUMBER(AF465),AF465/3630,"")</f>
        <v/>
      </c>
      <c r="AF465" s="14">
        <f>IFERROR(C465+D465+E465+F465+J465+K465+L465+M465+Q465+R465+S465+T465+IF(ISNUMBER(X465),X465,0)+N(Y465)+N(Z465)+N(AA465),"")</f>
        <v/>
      </c>
      <c r="AG465" s="14">
        <f>IF(ISNUMBER(AF465),AF465,"")</f>
        <v/>
      </c>
      <c r="AH465" s="14">
        <f>IF(ISNUMBER(AG465),_xlfn.RANK.EQ(AG465,$AG$2:$AG$1031),"")</f>
        <v/>
      </c>
    </row>
    <row r="466">
      <c r="A466" s="18" t="n">
        <v>1074</v>
      </c>
      <c r="B466" s="18" t="inlineStr">
        <is>
          <t>عائشة متولي صلاح متولي</t>
        </is>
      </c>
      <c r="C466" s="1" t="n">
        <v>635.4</v>
      </c>
      <c r="D466" s="1" t="n">
        <v>25</v>
      </c>
      <c r="E466" s="1" t="n">
        <v>25</v>
      </c>
      <c r="F466" s="1" t="n">
        <v>24</v>
      </c>
      <c r="G466" s="1">
        <f>C466+D466+E466+F466</f>
        <v/>
      </c>
      <c r="H466" s="1">
        <f>IF(ISNUMBER(G466),G466,"")</f>
        <v/>
      </c>
      <c r="I466" s="1">
        <f>_xlfn.RANK.EQ(H466,$H$2:$H$1031)</f>
        <v/>
      </c>
      <c r="J466" s="5" t="n">
        <v>615</v>
      </c>
      <c r="K466" s="5" t="n">
        <v>47</v>
      </c>
      <c r="L466" s="5" t="n">
        <v>24</v>
      </c>
      <c r="M466" s="5" t="n">
        <v>23</v>
      </c>
      <c r="N466" s="5">
        <f>J466+K466+L466+M466</f>
        <v/>
      </c>
      <c r="O466" s="5">
        <f>IF(ISNUMBER(N466),N466,"")</f>
        <v/>
      </c>
      <c r="P466" s="5">
        <f>_xlfn.RANK.EQ(O466,$O$2:$O$1031)</f>
        <v/>
      </c>
      <c r="Q466" s="9" t="n">
        <v>268</v>
      </c>
      <c r="R466" s="9" t="n">
        <v>47.5</v>
      </c>
      <c r="S466" s="9" t="n">
        <v>24</v>
      </c>
      <c r="T466" s="9" t="n">
        <v>24</v>
      </c>
      <c r="U466" s="9">
        <f>Q466+R466+S466+T466</f>
        <v/>
      </c>
      <c r="V466" s="9">
        <f>IF(ISNUMBER(U466),U466,"")</f>
        <v/>
      </c>
      <c r="W466" s="9">
        <f>_xlfn.RANK.EQ(V466,$V$2:$V$1031)</f>
        <v/>
      </c>
      <c r="X466" s="13" t="n">
        <v>1494.7458333333</v>
      </c>
      <c r="Y466" s="13" t="n">
        <v>25</v>
      </c>
      <c r="Z466" s="13" t="n">
        <v>24</v>
      </c>
      <c r="AA466" s="13" t="n">
        <v>24</v>
      </c>
      <c r="AB466" s="13">
        <f>IF(ISNUMBER(X466),X466+N(Y466)+N(Z466)+N(AA466),X466)</f>
        <v/>
      </c>
      <c r="AC466" s="13">
        <f>IF(ISNUMBER(AB466),AB466,"")</f>
        <v/>
      </c>
      <c r="AD466" s="13">
        <f>IF(ISNUMBER(AC466),_xlfn.RANK.EQ(AC466,$AC$2:$AC$1031),"")</f>
        <v/>
      </c>
      <c r="AE466" s="15">
        <f>IF(ISNUMBER(AF466),AF466/3630,"")</f>
        <v/>
      </c>
      <c r="AF466" s="14">
        <f>IFERROR(C466+D466+E466+F466+J466+K466+L466+M466+Q466+R466+S466+T466+IF(ISNUMBER(X466),X466,0)+N(Y466)+N(Z466)+N(AA466),"")</f>
        <v/>
      </c>
      <c r="AG466" s="14">
        <f>IF(ISNUMBER(AF466),AF466,"")</f>
        <v/>
      </c>
      <c r="AH466" s="14">
        <f>IF(ISNUMBER(AG466),_xlfn.RANK.EQ(AG466,$AG$2:$AG$1031),"")</f>
        <v/>
      </c>
    </row>
    <row r="467">
      <c r="A467" s="18" t="n">
        <v>1075</v>
      </c>
      <c r="B467" s="18" t="inlineStr">
        <is>
          <t>عائشة محمد عبدالقادر عبدالحميد</t>
        </is>
      </c>
      <c r="C467" s="1" t="n">
        <v>421.3</v>
      </c>
      <c r="D467" s="1" t="n">
        <v>17</v>
      </c>
      <c r="E467" s="1" t="n">
        <v>15</v>
      </c>
      <c r="F467" s="1" t="n">
        <v>16</v>
      </c>
      <c r="G467" s="1">
        <f>C467+D467+E467+F467</f>
        <v/>
      </c>
      <c r="H467" s="1">
        <f>IF(ISNUMBER(G467),G467,"")</f>
        <v/>
      </c>
      <c r="I467" s="1">
        <f>_xlfn.RANK.EQ(H467,$H$2:$H$1031)</f>
        <v/>
      </c>
      <c r="J467" s="5" t="n">
        <v>400</v>
      </c>
      <c r="K467" s="5" t="n">
        <v>38</v>
      </c>
      <c r="L467" s="5" t="n">
        <v>18</v>
      </c>
      <c r="M467" s="5" t="n">
        <v>17</v>
      </c>
      <c r="N467" s="5">
        <f>J467+K467+L467+M467</f>
        <v/>
      </c>
      <c r="O467" s="5">
        <f>IF(ISNUMBER(N467),N467,"")</f>
        <v/>
      </c>
      <c r="P467" s="5">
        <f>_xlfn.RANK.EQ(O467,$O$2:$O$1031)</f>
        <v/>
      </c>
      <c r="Q467" s="9" t="n">
        <v>178.75</v>
      </c>
      <c r="R467" s="9" t="n">
        <v>31</v>
      </c>
      <c r="S467" s="9" t="n">
        <v>17</v>
      </c>
      <c r="T467" s="9" t="n">
        <v>22</v>
      </c>
      <c r="U467" s="9">
        <f>Q467+R467+S467+T467</f>
        <v/>
      </c>
      <c r="V467" s="9">
        <f>IF(ISNUMBER(U467),U467,"")</f>
        <v/>
      </c>
      <c r="W467" s="9">
        <f>_xlfn.RANK.EQ(V467,$V$2:$V$1031)</f>
        <v/>
      </c>
      <c r="X467" s="13" t="inlineStr">
        <is>
          <t>راسب</t>
        </is>
      </c>
      <c r="Y467" s="13" t="n">
        <v>23</v>
      </c>
      <c r="Z467" s="13" t="n">
        <v>20</v>
      </c>
      <c r="AA467" s="13" t="n">
        <v>19</v>
      </c>
      <c r="AB467" s="13">
        <f>IF(ISNUMBER(X467),X467+N(Y467)+N(Z467)+N(AA467),X467)</f>
        <v/>
      </c>
      <c r="AC467" s="13">
        <f>IF(ISNUMBER(AB467),AB467,"")</f>
        <v/>
      </c>
      <c r="AD467" s="13">
        <f>IF(ISNUMBER(AC467),_xlfn.RANK.EQ(AC467,$AC$2:$AC$1031),"")</f>
        <v/>
      </c>
      <c r="AE467" s="15">
        <f>IF(ISNUMBER(AF467),AF467/3630,"")</f>
        <v/>
      </c>
      <c r="AF467" s="14">
        <f>IFERROR(C467+D467+E467+F467+J467+K467+L467+M467+Q467+R467+S467+T467+IF(ISNUMBER(X467),X467,0)+N(Y467)+N(Z467)+N(AA467),"")</f>
        <v/>
      </c>
      <c r="AG467" s="14">
        <f>IF(ISNUMBER(AF467),AF467,"")</f>
        <v/>
      </c>
      <c r="AH467" s="14">
        <f>IF(ISNUMBER(AG467),_xlfn.RANK.EQ(AG467,$AG$2:$AG$1031),"")</f>
        <v/>
      </c>
    </row>
    <row r="468">
      <c r="A468" s="18" t="n">
        <v>1089</v>
      </c>
      <c r="B468" s="18" t="inlineStr">
        <is>
          <t>عبد الرحمن ثروت ابراهيم المزين</t>
        </is>
      </c>
      <c r="C468" s="1" t="n">
        <v>513.9</v>
      </c>
      <c r="D468" s="1" t="n">
        <v>17</v>
      </c>
      <c r="E468" s="1" t="n">
        <v>18</v>
      </c>
      <c r="F468" s="1" t="n">
        <v>16</v>
      </c>
      <c r="G468" s="1">
        <f>C468+D468+E468+F468</f>
        <v/>
      </c>
      <c r="H468" s="1">
        <f>IF(ISNUMBER(G468),G468,"")</f>
        <v/>
      </c>
      <c r="I468" s="1">
        <f>_xlfn.RANK.EQ(H468,$H$2:$H$1031)</f>
        <v/>
      </c>
      <c r="J468" s="5" t="n">
        <v>549.1</v>
      </c>
      <c r="K468" s="5" t="n">
        <v>46</v>
      </c>
      <c r="L468" s="5" t="n">
        <v>21</v>
      </c>
      <c r="M468" s="5" t="n">
        <v>16</v>
      </c>
      <c r="N468" s="5">
        <f>J468+K468+L468+M468</f>
        <v/>
      </c>
      <c r="O468" s="5">
        <f>IF(ISNUMBER(N468),N468,"")</f>
        <v/>
      </c>
      <c r="P468" s="5">
        <f>_xlfn.RANK.EQ(O468,$O$2:$O$1031)</f>
        <v/>
      </c>
      <c r="Q468" s="9" t="n">
        <v>230</v>
      </c>
      <c r="R468" s="9" t="n">
        <v>42.5</v>
      </c>
      <c r="S468" s="9" t="n">
        <v>20</v>
      </c>
      <c r="T468" s="9" t="n">
        <v>24</v>
      </c>
      <c r="U468" s="9">
        <f>Q468+R468+S468+T468</f>
        <v/>
      </c>
      <c r="V468" s="9">
        <f>IF(ISNUMBER(U468),U468,"")</f>
        <v/>
      </c>
      <c r="W468" s="9">
        <f>_xlfn.RANK.EQ(V468,$V$2:$V$1031)</f>
        <v/>
      </c>
      <c r="X468" s="13" t="n">
        <v>1309.1541666667</v>
      </c>
      <c r="Y468" s="13" t="n">
        <v>24</v>
      </c>
      <c r="Z468" s="13" t="n">
        <v>21</v>
      </c>
      <c r="AA468" s="13" t="n">
        <v>23</v>
      </c>
      <c r="AB468" s="13">
        <f>IF(ISNUMBER(X468),X468+N(Y468)+N(Z468)+N(AA468),X468)</f>
        <v/>
      </c>
      <c r="AC468" s="13">
        <f>IF(ISNUMBER(AB468),AB468,"")</f>
        <v/>
      </c>
      <c r="AD468" s="13">
        <f>IF(ISNUMBER(AC468),_xlfn.RANK.EQ(AC468,$AC$2:$AC$1031),"")</f>
        <v/>
      </c>
      <c r="AE468" s="15">
        <f>IF(ISNUMBER(AF468),AF468/3630,"")</f>
        <v/>
      </c>
      <c r="AF468" s="14">
        <f>IFERROR(C468+D468+E468+F468+J468+K468+L468+M468+Q468+R468+S468+T468+IF(ISNUMBER(X468),X468,0)+N(Y468)+N(Z468)+N(AA468),"")</f>
        <v/>
      </c>
      <c r="AG468" s="14">
        <f>IF(ISNUMBER(AF468),AF468,"")</f>
        <v/>
      </c>
      <c r="AH468" s="14">
        <f>IF(ISNUMBER(AG468),_xlfn.RANK.EQ(AG468,$AG$2:$AG$1031),"")</f>
        <v/>
      </c>
    </row>
    <row r="469">
      <c r="A469" s="18" t="n">
        <v>1091</v>
      </c>
      <c r="B469" s="18" t="inlineStr">
        <is>
          <t>عبد الرحمن احمد حامد عبد الواحد</t>
        </is>
      </c>
      <c r="C469" s="1" t="n">
        <v>584.7</v>
      </c>
      <c r="D469" s="1" t="n">
        <v>23</v>
      </c>
      <c r="E469" s="1" t="n">
        <v>21</v>
      </c>
      <c r="F469" s="1" t="n">
        <v>22</v>
      </c>
      <c r="G469" s="1">
        <f>C469+D469+E469+F469</f>
        <v/>
      </c>
      <c r="H469" s="1">
        <f>IF(ISNUMBER(G469),G469,"")</f>
        <v/>
      </c>
      <c r="I469" s="1">
        <f>_xlfn.RANK.EQ(H469,$H$2:$H$1031)</f>
        <v/>
      </c>
      <c r="J469" s="5" t="n">
        <v>559.5</v>
      </c>
      <c r="K469" s="5" t="n">
        <v>47</v>
      </c>
      <c r="L469" s="5" t="n">
        <v>24</v>
      </c>
      <c r="M469" s="5" t="n">
        <v>20</v>
      </c>
      <c r="N469" s="5">
        <f>J469+K469+L469+M469</f>
        <v/>
      </c>
      <c r="O469" s="5">
        <f>IF(ISNUMBER(N469),N469,"")</f>
        <v/>
      </c>
      <c r="P469" s="5">
        <f>_xlfn.RANK.EQ(O469,$O$2:$O$1031)</f>
        <v/>
      </c>
      <c r="Q469" s="9" t="n">
        <v>244.75</v>
      </c>
      <c r="R469" s="9" t="n">
        <v>45</v>
      </c>
      <c r="S469" s="9" t="n">
        <v>22</v>
      </c>
      <c r="T469" s="9" t="n">
        <v>24</v>
      </c>
      <c r="U469" s="9">
        <f>Q469+R469+S469+T469</f>
        <v/>
      </c>
      <c r="V469" s="9">
        <f>IF(ISNUMBER(U469),U469,"")</f>
        <v/>
      </c>
      <c r="W469" s="9">
        <f>_xlfn.RANK.EQ(V469,$V$2:$V$1031)</f>
        <v/>
      </c>
      <c r="X469" s="13" t="n">
        <v>1300.875</v>
      </c>
      <c r="Y469" s="13" t="n">
        <v>24</v>
      </c>
      <c r="Z469" s="13" t="n">
        <v>25</v>
      </c>
      <c r="AA469" s="13" t="n">
        <v>24</v>
      </c>
      <c r="AB469" s="13">
        <f>IF(ISNUMBER(X469),X469+N(Y469)+N(Z469)+N(AA469),X469)</f>
        <v/>
      </c>
      <c r="AC469" s="13">
        <f>IF(ISNUMBER(AB469),AB469,"")</f>
        <v/>
      </c>
      <c r="AD469" s="13">
        <f>IF(ISNUMBER(AC469),_xlfn.RANK.EQ(AC469,$AC$2:$AC$1031),"")</f>
        <v/>
      </c>
      <c r="AE469" s="15">
        <f>IF(ISNUMBER(AF469),AF469/3630,"")</f>
        <v/>
      </c>
      <c r="AF469" s="14">
        <f>IFERROR(C469+D469+E469+F469+J469+K469+L469+M469+Q469+R469+S469+T469+IF(ISNUMBER(X469),X469,0)+N(Y469)+N(Z469)+N(AA469),"")</f>
        <v/>
      </c>
      <c r="AG469" s="14">
        <f>IF(ISNUMBER(AF469),AF469,"")</f>
        <v/>
      </c>
      <c r="AH469" s="14">
        <f>IF(ISNUMBER(AG469),_xlfn.RANK.EQ(AG469,$AG$2:$AG$1031),"")</f>
        <v/>
      </c>
    </row>
    <row r="470">
      <c r="A470" s="18" t="n">
        <v>1092</v>
      </c>
      <c r="B470" s="18" t="inlineStr">
        <is>
          <t>عبد الرحمن احمد عبده عبده</t>
        </is>
      </c>
      <c r="C470" s="1" t="n">
        <v>643.8</v>
      </c>
      <c r="D470" s="1" t="n">
        <v>25</v>
      </c>
      <c r="E470" s="1" t="n">
        <v>24</v>
      </c>
      <c r="F470" s="1" t="n">
        <v>24</v>
      </c>
      <c r="G470" s="1">
        <f>C470+D470+E470+F470</f>
        <v/>
      </c>
      <c r="H470" s="1">
        <f>IF(ISNUMBER(G470),G470,"")</f>
        <v/>
      </c>
      <c r="I470" s="1">
        <f>_xlfn.RANK.EQ(H470,$H$2:$H$1031)</f>
        <v/>
      </c>
      <c r="J470" s="5" t="n">
        <v>616</v>
      </c>
      <c r="K470" s="5" t="n">
        <v>48</v>
      </c>
      <c r="L470" s="5" t="n">
        <v>23</v>
      </c>
      <c r="M470" s="5" t="n">
        <v>24</v>
      </c>
      <c r="N470" s="5">
        <f>J470+K470+L470+M470</f>
        <v/>
      </c>
      <c r="O470" s="5">
        <f>IF(ISNUMBER(N470),N470,"")</f>
        <v/>
      </c>
      <c r="P470" s="5">
        <f>_xlfn.RANK.EQ(O470,$O$2:$O$1031)</f>
        <v/>
      </c>
      <c r="Q470" s="9" t="n">
        <v>273.5</v>
      </c>
      <c r="R470" s="9" t="n">
        <v>48</v>
      </c>
      <c r="S470" s="9" t="n">
        <v>24</v>
      </c>
      <c r="T470" s="9" t="n">
        <v>25</v>
      </c>
      <c r="U470" s="9">
        <f>Q470+R470+S470+T470</f>
        <v/>
      </c>
      <c r="V470" s="9">
        <f>IF(ISNUMBER(U470),U470,"")</f>
        <v/>
      </c>
      <c r="W470" s="9">
        <f>_xlfn.RANK.EQ(V470,$V$2:$V$1031)</f>
        <v/>
      </c>
      <c r="X470" s="13" t="n">
        <v>1467.025</v>
      </c>
      <c r="Y470" s="13" t="n">
        <v>24</v>
      </c>
      <c r="Z470" s="13" t="n">
        <v>25</v>
      </c>
      <c r="AA470" s="13" t="n">
        <v>24</v>
      </c>
      <c r="AB470" s="13">
        <f>IF(ISNUMBER(X470),X470+N(Y470)+N(Z470)+N(AA470),X470)</f>
        <v/>
      </c>
      <c r="AC470" s="13">
        <f>IF(ISNUMBER(AB470),AB470,"")</f>
        <v/>
      </c>
      <c r="AD470" s="13">
        <f>IF(ISNUMBER(AC470),_xlfn.RANK.EQ(AC470,$AC$2:$AC$1031),"")</f>
        <v/>
      </c>
      <c r="AE470" s="15">
        <f>IF(ISNUMBER(AF470),AF470/3630,"")</f>
        <v/>
      </c>
      <c r="AF470" s="14">
        <f>IFERROR(C470+D470+E470+F470+J470+K470+L470+M470+Q470+R470+S470+T470+IF(ISNUMBER(X470),X470,0)+N(Y470)+N(Z470)+N(AA470),"")</f>
        <v/>
      </c>
      <c r="AG470" s="14">
        <f>IF(ISNUMBER(AF470),AF470,"")</f>
        <v/>
      </c>
      <c r="AH470" s="14">
        <f>IF(ISNUMBER(AG470),_xlfn.RANK.EQ(AG470,$AG$2:$AG$1031),"")</f>
        <v/>
      </c>
    </row>
    <row r="471">
      <c r="A471" s="18" t="n">
        <v>1093</v>
      </c>
      <c r="B471" s="18" t="inlineStr">
        <is>
          <t>عبد الرحمن احمد عبده عوض الله بشير</t>
        </is>
      </c>
      <c r="C471" s="1" t="n">
        <v>640.4</v>
      </c>
      <c r="D471" s="1" t="n">
        <v>25</v>
      </c>
      <c r="E471" s="1" t="n">
        <v>23</v>
      </c>
      <c r="F471" s="1" t="n">
        <v>22</v>
      </c>
      <c r="G471" s="1">
        <f>C471+D471+E471+F471</f>
        <v/>
      </c>
      <c r="H471" s="1">
        <f>IF(ISNUMBER(G471),G471,"")</f>
        <v/>
      </c>
      <c r="I471" s="1">
        <f>_xlfn.RANK.EQ(H471,$H$2:$H$1031)</f>
        <v/>
      </c>
      <c r="J471" s="5" t="n">
        <v>628.4</v>
      </c>
      <c r="K471" s="5" t="n">
        <v>49</v>
      </c>
      <c r="L471" s="5" t="n">
        <v>22</v>
      </c>
      <c r="M471" s="5" t="n">
        <v>21</v>
      </c>
      <c r="N471" s="5">
        <f>J471+K471+L471+M471</f>
        <v/>
      </c>
      <c r="O471" s="5">
        <f>IF(ISNUMBER(N471),N471,"")</f>
        <v/>
      </c>
      <c r="P471" s="5">
        <f>_xlfn.RANK.EQ(O471,$O$2:$O$1031)</f>
        <v/>
      </c>
      <c r="Q471" s="9" t="n">
        <v>272</v>
      </c>
      <c r="R471" s="9" t="n">
        <v>47.5</v>
      </c>
      <c r="S471" s="9" t="n">
        <v>25</v>
      </c>
      <c r="T471" s="9" t="n">
        <v>23</v>
      </c>
      <c r="U471" s="9">
        <f>Q471+R471+S471+T471</f>
        <v/>
      </c>
      <c r="V471" s="9">
        <f>IF(ISNUMBER(U471),U471,"")</f>
        <v/>
      </c>
      <c r="W471" s="9">
        <f>_xlfn.RANK.EQ(V471,$V$2:$V$1031)</f>
        <v/>
      </c>
      <c r="X471" s="13" t="n">
        <v>1540.6458333333</v>
      </c>
      <c r="Y471" s="13" t="n">
        <v>24</v>
      </c>
      <c r="Z471" s="13" t="n">
        <v>25</v>
      </c>
      <c r="AA471" s="13" t="n">
        <v>23</v>
      </c>
      <c r="AB471" s="13">
        <f>IF(ISNUMBER(X471),X471+N(Y471)+N(Z471)+N(AA471),X471)</f>
        <v/>
      </c>
      <c r="AC471" s="13">
        <f>IF(ISNUMBER(AB471),AB471,"")</f>
        <v/>
      </c>
      <c r="AD471" s="13">
        <f>IF(ISNUMBER(AC471),_xlfn.RANK.EQ(AC471,$AC$2:$AC$1031),"")</f>
        <v/>
      </c>
      <c r="AE471" s="15">
        <f>IF(ISNUMBER(AF471),AF471/3630,"")</f>
        <v/>
      </c>
      <c r="AF471" s="14">
        <f>IFERROR(C471+D471+E471+F471+J471+K471+L471+M471+Q471+R471+S471+T471+IF(ISNUMBER(X471),X471,0)+N(Y471)+N(Z471)+N(AA471),"")</f>
        <v/>
      </c>
      <c r="AG471" s="14">
        <f>IF(ISNUMBER(AF471),AF471,"")</f>
        <v/>
      </c>
      <c r="AH471" s="14">
        <f>IF(ISNUMBER(AG471),_xlfn.RANK.EQ(AG471,$AG$2:$AG$1031),"")</f>
        <v/>
      </c>
    </row>
    <row r="472">
      <c r="A472" s="18" t="n">
        <v>1095</v>
      </c>
      <c r="B472" s="18" t="inlineStr">
        <is>
          <t>عبد الرحمن احمد عزت محمد</t>
        </is>
      </c>
      <c r="C472" s="1" t="n">
        <v>422</v>
      </c>
      <c r="D472" s="1" t="n">
        <v>11</v>
      </c>
      <c r="E472" s="1" t="n">
        <v>23</v>
      </c>
      <c r="F472" s="1" t="n">
        <v>17</v>
      </c>
      <c r="G472" s="1">
        <f>C472+D472+E472+F472</f>
        <v/>
      </c>
      <c r="H472" s="1">
        <f>IF(ISNUMBER(G472),G472,"")</f>
        <v/>
      </c>
      <c r="I472" s="1">
        <f>_xlfn.RANK.EQ(H472,$H$2:$H$1031)</f>
        <v/>
      </c>
      <c r="J472" s="5" t="n">
        <v>443</v>
      </c>
      <c r="K472" s="5" t="n">
        <v>39</v>
      </c>
      <c r="L472" s="5" t="n">
        <v>12</v>
      </c>
      <c r="M472" s="5" t="n">
        <v>17</v>
      </c>
      <c r="N472" s="5">
        <f>J472+K472+L472+M472</f>
        <v/>
      </c>
      <c r="O472" s="5">
        <f>IF(ISNUMBER(N472),N472,"")</f>
        <v/>
      </c>
      <c r="P472" s="5">
        <f>_xlfn.RANK.EQ(O472,$O$2:$O$1031)</f>
        <v/>
      </c>
      <c r="Q472" s="9" t="n">
        <v>183</v>
      </c>
      <c r="R472" s="9" t="n">
        <v>44</v>
      </c>
      <c r="S472" s="9" t="n">
        <v>21</v>
      </c>
      <c r="T472" s="9" t="n">
        <v>23.5</v>
      </c>
      <c r="U472" s="9">
        <f>Q472+R472+S472+T472</f>
        <v/>
      </c>
      <c r="V472" s="9">
        <f>IF(ISNUMBER(U472),U472,"")</f>
        <v/>
      </c>
      <c r="W472" s="9">
        <f>_xlfn.RANK.EQ(V472,$V$2:$V$1031)</f>
        <v/>
      </c>
      <c r="X472" s="13" t="inlineStr">
        <is>
          <t>راسب</t>
        </is>
      </c>
      <c r="Y472" s="13" t="n">
        <v>25</v>
      </c>
      <c r="Z472" s="13" t="n">
        <v>23</v>
      </c>
      <c r="AA472" s="13" t="n">
        <v>17</v>
      </c>
      <c r="AB472" s="13">
        <f>IF(ISNUMBER(X472),X472+N(Y472)+N(Z472)+N(AA472),X472)</f>
        <v/>
      </c>
      <c r="AC472" s="13">
        <f>IF(ISNUMBER(AB472),AB472,"")</f>
        <v/>
      </c>
      <c r="AD472" s="13">
        <f>IF(ISNUMBER(AC472),_xlfn.RANK.EQ(AC472,$AC$2:$AC$1031),"")</f>
        <v/>
      </c>
      <c r="AE472" s="15">
        <f>IF(ISNUMBER(AF472),AF472/3630,"")</f>
        <v/>
      </c>
      <c r="AF472" s="14">
        <f>IFERROR(C472+D472+E472+F472+J472+K472+L472+M472+Q472+R472+S472+T472+IF(ISNUMBER(X472),X472,0)+N(Y472)+N(Z472)+N(AA472),"")</f>
        <v/>
      </c>
      <c r="AG472" s="14">
        <f>IF(ISNUMBER(AF472),AF472,"")</f>
        <v/>
      </c>
      <c r="AH472" s="14">
        <f>IF(ISNUMBER(AG472),_xlfn.RANK.EQ(AG472,$AG$2:$AG$1031),"")</f>
        <v/>
      </c>
    </row>
    <row r="473">
      <c r="A473" s="18" t="n">
        <v>1097</v>
      </c>
      <c r="B473" s="18" t="inlineStr">
        <is>
          <t>عبد الرحمن احمد محمود احمد الزكى</t>
        </is>
      </c>
      <c r="C473" s="1" t="n">
        <v>646.6</v>
      </c>
      <c r="D473" s="1" t="n">
        <v>22</v>
      </c>
      <c r="E473" s="1" t="n">
        <v>23</v>
      </c>
      <c r="F473" s="1" t="n">
        <v>21</v>
      </c>
      <c r="G473" s="1">
        <f>C473+D473+E473+F473</f>
        <v/>
      </c>
      <c r="H473" s="1">
        <f>IF(ISNUMBER(G473),G473,"")</f>
        <v/>
      </c>
      <c r="I473" s="1">
        <f>_xlfn.RANK.EQ(H473,$H$2:$H$1031)</f>
        <v/>
      </c>
      <c r="J473" s="5" t="n">
        <v>635.5</v>
      </c>
      <c r="K473" s="5" t="n">
        <v>45</v>
      </c>
      <c r="L473" s="5" t="n">
        <v>22</v>
      </c>
      <c r="M473" s="5" t="n">
        <v>23</v>
      </c>
      <c r="N473" s="5">
        <f>J473+K473+L473+M473</f>
        <v/>
      </c>
      <c r="O473" s="5">
        <f>IF(ISNUMBER(N473),N473,"")</f>
        <v/>
      </c>
      <c r="P473" s="5">
        <f>_xlfn.RANK.EQ(O473,$O$2:$O$1031)</f>
        <v/>
      </c>
      <c r="Q473" s="9" t="n">
        <v>270</v>
      </c>
      <c r="R473" s="9" t="n">
        <v>48</v>
      </c>
      <c r="S473" s="9" t="n">
        <v>22</v>
      </c>
      <c r="T473" s="9" t="n">
        <v>23</v>
      </c>
      <c r="U473" s="9">
        <f>Q473+R473+S473+T473</f>
        <v/>
      </c>
      <c r="V473" s="9">
        <f>IF(ISNUMBER(U473),U473,"")</f>
        <v/>
      </c>
      <c r="W473" s="9">
        <f>_xlfn.RANK.EQ(V473,$V$2:$V$1031)</f>
        <v/>
      </c>
      <c r="X473" s="13" t="n">
        <v>1485.5666666667</v>
      </c>
      <c r="Y473" s="13" t="n">
        <v>15</v>
      </c>
      <c r="Z473" s="13" t="n">
        <v>25</v>
      </c>
      <c r="AA473" s="13" t="n">
        <v>24</v>
      </c>
      <c r="AB473" s="13">
        <f>IF(ISNUMBER(X473),X473+N(Y473)+N(Z473)+N(AA473),X473)</f>
        <v/>
      </c>
      <c r="AC473" s="13">
        <f>IF(ISNUMBER(AB473),AB473,"")</f>
        <v/>
      </c>
      <c r="AD473" s="13">
        <f>IF(ISNUMBER(AC473),_xlfn.RANK.EQ(AC473,$AC$2:$AC$1031),"")</f>
        <v/>
      </c>
      <c r="AE473" s="15">
        <f>IF(ISNUMBER(AF473),AF473/3630,"")</f>
        <v/>
      </c>
      <c r="AF473" s="14">
        <f>IFERROR(C473+D473+E473+F473+J473+K473+L473+M473+Q473+R473+S473+T473+IF(ISNUMBER(X473),X473,0)+N(Y473)+N(Z473)+N(AA473),"")</f>
        <v/>
      </c>
      <c r="AG473" s="14">
        <f>IF(ISNUMBER(AF473),AF473,"")</f>
        <v/>
      </c>
      <c r="AH473" s="14">
        <f>IF(ISNUMBER(AG473),_xlfn.RANK.EQ(AG473,$AG$2:$AG$1031),"")</f>
        <v/>
      </c>
    </row>
    <row r="474">
      <c r="A474" s="18" t="n">
        <v>1099</v>
      </c>
      <c r="B474" s="18" t="inlineStr">
        <is>
          <t>عبد الرحمن اسلام عبدالنبى حسنين عبدالله</t>
        </is>
      </c>
      <c r="C474" s="1" t="n">
        <v>629.3</v>
      </c>
      <c r="D474" s="1" t="n">
        <v>25</v>
      </c>
      <c r="E474" s="1" t="n">
        <v>25</v>
      </c>
      <c r="F474" s="1" t="n">
        <v>22</v>
      </c>
      <c r="G474" s="1">
        <f>C474+D474+E474+F474</f>
        <v/>
      </c>
      <c r="H474" s="1">
        <f>IF(ISNUMBER(G474),G474,"")</f>
        <v/>
      </c>
      <c r="I474" s="1">
        <f>_xlfn.RANK.EQ(H474,$H$2:$H$1031)</f>
        <v/>
      </c>
      <c r="J474" s="5" t="n">
        <v>610.9</v>
      </c>
      <c r="K474" s="5" t="n">
        <v>48</v>
      </c>
      <c r="L474" s="5" t="n">
        <v>22</v>
      </c>
      <c r="M474" s="5" t="n">
        <v>25</v>
      </c>
      <c r="N474" s="5">
        <f>J474+K474+L474+M474</f>
        <v/>
      </c>
      <c r="O474" s="5">
        <f>IF(ISNUMBER(N474),N474,"")</f>
        <v/>
      </c>
      <c r="P474" s="5">
        <f>_xlfn.RANK.EQ(O474,$O$2:$O$1031)</f>
        <v/>
      </c>
      <c r="Q474" s="9" t="n">
        <v>273.25</v>
      </c>
      <c r="R474" s="9" t="n">
        <v>47.5</v>
      </c>
      <c r="S474" s="9" t="n">
        <v>24</v>
      </c>
      <c r="T474" s="9" t="n">
        <v>24</v>
      </c>
      <c r="U474" s="9">
        <f>Q474+R474+S474+T474</f>
        <v/>
      </c>
      <c r="V474" s="9">
        <f>IF(ISNUMBER(U474),U474,"")</f>
        <v/>
      </c>
      <c r="W474" s="9">
        <f>_xlfn.RANK.EQ(V474,$V$2:$V$1031)</f>
        <v/>
      </c>
      <c r="X474" s="13" t="n">
        <v>1452.2625</v>
      </c>
      <c r="Y474" s="13" t="n">
        <v>25</v>
      </c>
      <c r="Z474" s="13" t="n">
        <v>22</v>
      </c>
      <c r="AA474" s="13" t="n">
        <v>22</v>
      </c>
      <c r="AB474" s="13">
        <f>IF(ISNUMBER(X474),X474+N(Y474)+N(Z474)+N(AA474),X474)</f>
        <v/>
      </c>
      <c r="AC474" s="13">
        <f>IF(ISNUMBER(AB474),AB474,"")</f>
        <v/>
      </c>
      <c r="AD474" s="13">
        <f>IF(ISNUMBER(AC474),_xlfn.RANK.EQ(AC474,$AC$2:$AC$1031),"")</f>
        <v/>
      </c>
      <c r="AE474" s="15">
        <f>IF(ISNUMBER(AF474),AF474/3630,"")</f>
        <v/>
      </c>
      <c r="AF474" s="14">
        <f>IFERROR(C474+D474+E474+F474+J474+K474+L474+M474+Q474+R474+S474+T474+IF(ISNUMBER(X474),X474,0)+N(Y474)+N(Z474)+N(AA474),"")</f>
        <v/>
      </c>
      <c r="AG474" s="14">
        <f>IF(ISNUMBER(AF474),AF474,"")</f>
        <v/>
      </c>
      <c r="AH474" s="14">
        <f>IF(ISNUMBER(AG474),_xlfn.RANK.EQ(AG474,$AG$2:$AG$1031),"")</f>
        <v/>
      </c>
    </row>
    <row r="475">
      <c r="A475" s="18" t="n">
        <v>1100</v>
      </c>
      <c r="B475" s="18" t="inlineStr">
        <is>
          <t>عبد الرحمن اشرف رمزى سعد محمد</t>
        </is>
      </c>
      <c r="C475" s="1" t="n">
        <v>527.9</v>
      </c>
      <c r="D475" s="1" t="n">
        <v>23</v>
      </c>
      <c r="E475" s="1" t="n">
        <v>21</v>
      </c>
      <c r="F475" s="1" t="n">
        <v>18</v>
      </c>
      <c r="G475" s="1">
        <f>C475+D475+E475+F475</f>
        <v/>
      </c>
      <c r="H475" s="1">
        <f>IF(ISNUMBER(G475),G475,"")</f>
        <v/>
      </c>
      <c r="I475" s="1">
        <f>_xlfn.RANK.EQ(H475,$H$2:$H$1031)</f>
        <v/>
      </c>
      <c r="J475" s="5" t="n">
        <v>528.5</v>
      </c>
      <c r="K475" s="5" t="n">
        <v>43</v>
      </c>
      <c r="L475" s="5" t="n">
        <v>17</v>
      </c>
      <c r="M475" s="5" t="n">
        <v>23</v>
      </c>
      <c r="N475" s="5">
        <f>J475+K475+L475+M475</f>
        <v/>
      </c>
      <c r="O475" s="5">
        <f>IF(ISNUMBER(N475),N475,"")</f>
        <v/>
      </c>
      <c r="P475" s="5">
        <f>_xlfn.RANK.EQ(O475,$O$2:$O$1031)</f>
        <v/>
      </c>
      <c r="Q475" s="9" t="n">
        <v>235.5</v>
      </c>
      <c r="R475" s="9" t="n">
        <v>43.5</v>
      </c>
      <c r="S475" s="9" t="n">
        <v>22</v>
      </c>
      <c r="T475" s="9" t="n">
        <v>25</v>
      </c>
      <c r="U475" s="9">
        <f>Q475+R475+S475+T475</f>
        <v/>
      </c>
      <c r="V475" s="9">
        <f>IF(ISNUMBER(U475),U475,"")</f>
        <v/>
      </c>
      <c r="W475" s="9">
        <f>_xlfn.RANK.EQ(V475,$V$2:$V$1031)</f>
        <v/>
      </c>
      <c r="X475" s="13" t="n">
        <v>1370.1583333333</v>
      </c>
      <c r="Y475" s="13" t="n">
        <v>25</v>
      </c>
      <c r="Z475" s="13" t="n">
        <v>21</v>
      </c>
      <c r="AA475" s="13" t="n">
        <v>23</v>
      </c>
      <c r="AB475" s="13">
        <f>IF(ISNUMBER(X475),X475+N(Y475)+N(Z475)+N(AA475),X475)</f>
        <v/>
      </c>
      <c r="AC475" s="13">
        <f>IF(ISNUMBER(AB475),AB475,"")</f>
        <v/>
      </c>
      <c r="AD475" s="13">
        <f>IF(ISNUMBER(AC475),_xlfn.RANK.EQ(AC475,$AC$2:$AC$1031),"")</f>
        <v/>
      </c>
      <c r="AE475" s="15">
        <f>IF(ISNUMBER(AF475),AF475/3630,"")</f>
        <v/>
      </c>
      <c r="AF475" s="14">
        <f>IFERROR(C475+D475+E475+F475+J475+K475+L475+M475+Q475+R475+S475+T475+IF(ISNUMBER(X475),X475,0)+N(Y475)+N(Z475)+N(AA475),"")</f>
        <v/>
      </c>
      <c r="AG475" s="14">
        <f>IF(ISNUMBER(AF475),AF475,"")</f>
        <v/>
      </c>
      <c r="AH475" s="14">
        <f>IF(ISNUMBER(AG475),_xlfn.RANK.EQ(AG475,$AG$2:$AG$1031),"")</f>
        <v/>
      </c>
    </row>
    <row r="476">
      <c r="A476" s="18" t="n">
        <v>1102</v>
      </c>
      <c r="B476" s="18" t="inlineStr">
        <is>
          <t>عبد الرحمن السيد حامد رضوان</t>
        </is>
      </c>
      <c r="C476" s="1" t="n">
        <v>613.1</v>
      </c>
      <c r="D476" s="1" t="n">
        <v>24</v>
      </c>
      <c r="E476" s="1" t="n">
        <v>25</v>
      </c>
      <c r="F476" s="1" t="n">
        <v>25</v>
      </c>
      <c r="G476" s="1">
        <f>C476+D476+E476+F476</f>
        <v/>
      </c>
      <c r="H476" s="1">
        <f>IF(ISNUMBER(G476),G476,"")</f>
        <v/>
      </c>
      <c r="I476" s="1">
        <f>_xlfn.RANK.EQ(H476,$H$2:$H$1031)</f>
        <v/>
      </c>
      <c r="J476" s="5" t="n">
        <v>613.4</v>
      </c>
      <c r="K476" s="5" t="n">
        <v>48</v>
      </c>
      <c r="L476" s="5" t="n">
        <v>21</v>
      </c>
      <c r="M476" s="5" t="n">
        <v>24</v>
      </c>
      <c r="N476" s="5">
        <f>J476+K476+L476+M476</f>
        <v/>
      </c>
      <c r="O476" s="5">
        <f>IF(ISNUMBER(N476),N476,"")</f>
        <v/>
      </c>
      <c r="P476" s="5">
        <f>_xlfn.RANK.EQ(O476,$O$2:$O$1031)</f>
        <v/>
      </c>
      <c r="Q476" s="9" t="n">
        <v>279.75</v>
      </c>
      <c r="R476" s="9" t="n">
        <v>48.5</v>
      </c>
      <c r="S476" s="9" t="n">
        <v>25</v>
      </c>
      <c r="T476" s="9" t="n">
        <v>25</v>
      </c>
      <c r="U476" s="9">
        <f>Q476+R476+S476+T476</f>
        <v/>
      </c>
      <c r="V476" s="9">
        <f>IF(ISNUMBER(U476),U476,"")</f>
        <v/>
      </c>
      <c r="W476" s="9">
        <f>_xlfn.RANK.EQ(V476,$V$2:$V$1031)</f>
        <v/>
      </c>
      <c r="X476" s="13" t="n">
        <v>1496.4458333333</v>
      </c>
      <c r="Y476" s="13" t="n">
        <v>24</v>
      </c>
      <c r="Z476" s="13" t="n">
        <v>24</v>
      </c>
      <c r="AA476" s="13" t="n">
        <v>25</v>
      </c>
      <c r="AB476" s="13">
        <f>IF(ISNUMBER(X476),X476+N(Y476)+N(Z476)+N(AA476),X476)</f>
        <v/>
      </c>
      <c r="AC476" s="13">
        <f>IF(ISNUMBER(AB476),AB476,"")</f>
        <v/>
      </c>
      <c r="AD476" s="13">
        <f>IF(ISNUMBER(AC476),_xlfn.RANK.EQ(AC476,$AC$2:$AC$1031),"")</f>
        <v/>
      </c>
      <c r="AE476" s="15">
        <f>IF(ISNUMBER(AF476),AF476/3630,"")</f>
        <v/>
      </c>
      <c r="AF476" s="14">
        <f>IFERROR(C476+D476+E476+F476+J476+K476+L476+M476+Q476+R476+S476+T476+IF(ISNUMBER(X476),X476,0)+N(Y476)+N(Z476)+N(AA476),"")</f>
        <v/>
      </c>
      <c r="AG476" s="14">
        <f>IF(ISNUMBER(AF476),AF476,"")</f>
        <v/>
      </c>
      <c r="AH476" s="14">
        <f>IF(ISNUMBER(AG476),_xlfn.RANK.EQ(AG476,$AG$2:$AG$1031),"")</f>
        <v/>
      </c>
    </row>
    <row r="477">
      <c r="A477" s="18" t="n">
        <v>1103</v>
      </c>
      <c r="B477" s="18" t="inlineStr">
        <is>
          <t>عبد الرحمن الشربيني أحمد الشربيني</t>
        </is>
      </c>
      <c r="C477" s="1" t="n">
        <v>559.4</v>
      </c>
      <c r="D477" s="1" t="n">
        <v>24</v>
      </c>
      <c r="E477" s="1" t="n">
        <v>22</v>
      </c>
      <c r="F477" s="1" t="n">
        <v>20</v>
      </c>
      <c r="G477" s="1">
        <f>C477+D477+E477+F477</f>
        <v/>
      </c>
      <c r="H477" s="1">
        <f>IF(ISNUMBER(G477),G477,"")</f>
        <v/>
      </c>
      <c r="I477" s="1">
        <f>_xlfn.RANK.EQ(H477,$H$2:$H$1031)</f>
        <v/>
      </c>
      <c r="J477" s="5" t="n">
        <v>540.4</v>
      </c>
      <c r="K477" s="5" t="n">
        <v>40</v>
      </c>
      <c r="L477" s="5" t="n">
        <v>21</v>
      </c>
      <c r="M477" s="5" t="n">
        <v>17</v>
      </c>
      <c r="N477" s="5">
        <f>J477+K477+L477+M477</f>
        <v/>
      </c>
      <c r="O477" s="5">
        <f>IF(ISNUMBER(N477),N477,"")</f>
        <v/>
      </c>
      <c r="P477" s="5">
        <f>_xlfn.RANK.EQ(O477,$O$2:$O$1031)</f>
        <v/>
      </c>
      <c r="Q477" s="9" t="n">
        <v>225.25</v>
      </c>
      <c r="R477" s="9" t="n">
        <v>46</v>
      </c>
      <c r="S477" s="9" t="n">
        <v>19</v>
      </c>
      <c r="T477" s="9" t="n">
        <v>23</v>
      </c>
      <c r="U477" s="9">
        <f>Q477+R477+S477+T477</f>
        <v/>
      </c>
      <c r="V477" s="9">
        <f>IF(ISNUMBER(U477),U477,"")</f>
        <v/>
      </c>
      <c r="W477" s="9">
        <f>_xlfn.RANK.EQ(V477,$V$2:$V$1031)</f>
        <v/>
      </c>
      <c r="X477" s="13" t="n">
        <v>1187.1458333333</v>
      </c>
      <c r="Y477" s="13" t="n">
        <v>23</v>
      </c>
      <c r="Z477" s="13" t="n">
        <v>23</v>
      </c>
      <c r="AA477" s="13" t="n">
        <v>22</v>
      </c>
      <c r="AB477" s="13">
        <f>IF(ISNUMBER(X477),X477+N(Y477)+N(Z477)+N(AA477),X477)</f>
        <v/>
      </c>
      <c r="AC477" s="13">
        <f>IF(ISNUMBER(AB477),AB477,"")</f>
        <v/>
      </c>
      <c r="AD477" s="13">
        <f>IF(ISNUMBER(AC477),_xlfn.RANK.EQ(AC477,$AC$2:$AC$1031),"")</f>
        <v/>
      </c>
      <c r="AE477" s="15">
        <f>IF(ISNUMBER(AF477),AF477/3630,"")</f>
        <v/>
      </c>
      <c r="AF477" s="14">
        <f>IFERROR(C477+D477+E477+F477+J477+K477+L477+M477+Q477+R477+S477+T477+IF(ISNUMBER(X477),X477,0)+N(Y477)+N(Z477)+N(AA477),"")</f>
        <v/>
      </c>
      <c r="AG477" s="14">
        <f>IF(ISNUMBER(AF477),AF477,"")</f>
        <v/>
      </c>
      <c r="AH477" s="14">
        <f>IF(ISNUMBER(AG477),_xlfn.RANK.EQ(AG477,$AG$2:$AG$1031),"")</f>
        <v/>
      </c>
    </row>
    <row r="478">
      <c r="A478" s="18" t="n">
        <v>1105</v>
      </c>
      <c r="B478" s="18" t="inlineStr">
        <is>
          <t>عبد الرحمن جمعة جابر عبد الغني احمد المخزنجى</t>
        </is>
      </c>
      <c r="C478" s="1" t="n">
        <v>472.5</v>
      </c>
      <c r="D478" s="1" t="n">
        <v>23</v>
      </c>
      <c r="E478" s="1" t="n">
        <v>20</v>
      </c>
      <c r="F478" s="1" t="n">
        <v>23</v>
      </c>
      <c r="G478" s="1">
        <f>C478+D478+E478+F478</f>
        <v/>
      </c>
      <c r="H478" s="1">
        <f>IF(ISNUMBER(G478),G478,"")</f>
        <v/>
      </c>
      <c r="I478" s="1">
        <f>_xlfn.RANK.EQ(H478,$H$2:$H$1031)</f>
        <v/>
      </c>
      <c r="J478" s="5" t="n">
        <v>508.5</v>
      </c>
      <c r="K478" s="5" t="n">
        <v>26</v>
      </c>
      <c r="L478" s="5" t="n">
        <v>16</v>
      </c>
      <c r="M478" s="5" t="n">
        <v>16</v>
      </c>
      <c r="N478" s="5">
        <f>J478+K478+L478+M478</f>
        <v/>
      </c>
      <c r="O478" s="5">
        <f>IF(ISNUMBER(N478),N478,"")</f>
        <v/>
      </c>
      <c r="P478" s="5">
        <f>_xlfn.RANK.EQ(O478,$O$2:$O$1031)</f>
        <v/>
      </c>
      <c r="Q478" s="9" t="n">
        <v>159.5</v>
      </c>
      <c r="R478" s="9" t="n">
        <v>44</v>
      </c>
      <c r="S478" s="9" t="n">
        <v>20</v>
      </c>
      <c r="T478" s="9" t="n">
        <v>16</v>
      </c>
      <c r="U478" s="9">
        <f>Q478+R478+S478+T478</f>
        <v/>
      </c>
      <c r="V478" s="9">
        <f>IF(ISNUMBER(U478),U478,"")</f>
        <v/>
      </c>
      <c r="W478" s="9">
        <f>_xlfn.RANK.EQ(V478,$V$2:$V$1031)</f>
        <v/>
      </c>
      <c r="X478" s="13" t="inlineStr">
        <is>
          <t>راسب</t>
        </is>
      </c>
      <c r="Y478" s="13" t="n">
        <v>15</v>
      </c>
      <c r="Z478" s="13" t="n">
        <v>23</v>
      </c>
      <c r="AA478" s="13" t="n">
        <v>23</v>
      </c>
      <c r="AB478" s="13">
        <f>IF(ISNUMBER(X478),X478+N(Y478)+N(Z478)+N(AA478),X478)</f>
        <v/>
      </c>
      <c r="AC478" s="13">
        <f>IF(ISNUMBER(AB478),AB478,"")</f>
        <v/>
      </c>
      <c r="AD478" s="13">
        <f>IF(ISNUMBER(AC478),_xlfn.RANK.EQ(AC478,$AC$2:$AC$1031),"")</f>
        <v/>
      </c>
      <c r="AE478" s="15">
        <f>IF(ISNUMBER(AF478),AF478/3630,"")</f>
        <v/>
      </c>
      <c r="AF478" s="14">
        <f>IFERROR(C478+D478+E478+F478+J478+K478+L478+M478+Q478+R478+S478+T478+IF(ISNUMBER(X478),X478,0)+N(Y478)+N(Z478)+N(AA478),"")</f>
        <v/>
      </c>
      <c r="AG478" s="14">
        <f>IF(ISNUMBER(AF478),AF478,"")</f>
        <v/>
      </c>
      <c r="AH478" s="14">
        <f>IF(ISNUMBER(AG478),_xlfn.RANK.EQ(AG478,$AG$2:$AG$1031),"")</f>
        <v/>
      </c>
    </row>
    <row r="479">
      <c r="A479" s="18" t="n">
        <v>1109</v>
      </c>
      <c r="B479" s="18" t="inlineStr">
        <is>
          <t>عبد الرحمن خالد سعيد رجب طلبه</t>
        </is>
      </c>
      <c r="C479" s="1" t="n">
        <v>514.6</v>
      </c>
      <c r="D479" s="1" t="n">
        <v>22</v>
      </c>
      <c r="E479" s="1" t="n">
        <v>18</v>
      </c>
      <c r="F479" s="1" t="n">
        <v>19</v>
      </c>
      <c r="G479" s="1">
        <f>C479+D479+E479+F479</f>
        <v/>
      </c>
      <c r="H479" s="1">
        <f>IF(ISNUMBER(G479),G479,"")</f>
        <v/>
      </c>
      <c r="I479" s="1">
        <f>_xlfn.RANK.EQ(H479,$H$2:$H$1031)</f>
        <v/>
      </c>
      <c r="J479" s="5" t="n">
        <v>514.5</v>
      </c>
      <c r="K479" s="5" t="n">
        <v>43</v>
      </c>
      <c r="L479" s="5" t="n">
        <v>20</v>
      </c>
      <c r="M479" s="5" t="n">
        <v>16</v>
      </c>
      <c r="N479" s="5">
        <f>J479+K479+L479+M479</f>
        <v/>
      </c>
      <c r="O479" s="5">
        <f>IF(ISNUMBER(N479),N479,"")</f>
        <v/>
      </c>
      <c r="P479" s="5">
        <f>_xlfn.RANK.EQ(O479,$O$2:$O$1031)</f>
        <v/>
      </c>
      <c r="Q479" s="9" t="n">
        <v>215.5</v>
      </c>
      <c r="R479" s="9" t="n">
        <v>43.5</v>
      </c>
      <c r="S479" s="9" t="n">
        <v>24</v>
      </c>
      <c r="T479" s="9" t="n">
        <v>24</v>
      </c>
      <c r="U479" s="9">
        <f>Q479+R479+S479+T479</f>
        <v/>
      </c>
      <c r="V479" s="9">
        <f>IF(ISNUMBER(U479),U479,"")</f>
        <v/>
      </c>
      <c r="W479" s="9">
        <f>_xlfn.RANK.EQ(V479,$V$2:$V$1031)</f>
        <v/>
      </c>
      <c r="X479" s="13" t="n">
        <v>1299.0666666667</v>
      </c>
      <c r="Y479" s="13" t="n">
        <v>24</v>
      </c>
      <c r="Z479" s="13" t="n">
        <v>22</v>
      </c>
      <c r="AA479" s="13" t="n">
        <v>21</v>
      </c>
      <c r="AB479" s="13">
        <f>IF(ISNUMBER(X479),X479+N(Y479)+N(Z479)+N(AA479),X479)</f>
        <v/>
      </c>
      <c r="AC479" s="13">
        <f>IF(ISNUMBER(AB479),AB479,"")</f>
        <v/>
      </c>
      <c r="AD479" s="13">
        <f>IF(ISNUMBER(AC479),_xlfn.RANK.EQ(AC479,$AC$2:$AC$1031),"")</f>
        <v/>
      </c>
      <c r="AE479" s="15">
        <f>IF(ISNUMBER(AF479),AF479/3630,"")</f>
        <v/>
      </c>
      <c r="AF479" s="14">
        <f>IFERROR(C479+D479+E479+F479+J479+K479+L479+M479+Q479+R479+S479+T479+IF(ISNUMBER(X479),X479,0)+N(Y479)+N(Z479)+N(AA479),"")</f>
        <v/>
      </c>
      <c r="AG479" s="14">
        <f>IF(ISNUMBER(AF479),AF479,"")</f>
        <v/>
      </c>
      <c r="AH479" s="14">
        <f>IF(ISNUMBER(AG479),_xlfn.RANK.EQ(AG479,$AG$2:$AG$1031),"")</f>
        <v/>
      </c>
    </row>
    <row r="480">
      <c r="A480" s="18" t="n">
        <v>1112</v>
      </c>
      <c r="B480" s="18" t="inlineStr">
        <is>
          <t>عبد الرحمن سعيد سعدالدين محمد</t>
        </is>
      </c>
      <c r="C480" s="1" t="n">
        <v>615.3</v>
      </c>
      <c r="D480" s="1" t="n"/>
      <c r="E480" s="1" t="n">
        <v>25</v>
      </c>
      <c r="F480" s="1" t="n">
        <v>23</v>
      </c>
      <c r="G480" s="1">
        <f>C480+D480+E480+F480</f>
        <v/>
      </c>
      <c r="H480" s="1">
        <f>IF(ISNUMBER(G480),G480,"")</f>
        <v/>
      </c>
      <c r="I480" s="1">
        <f>_xlfn.RANK.EQ(H480,$H$2:$H$1031)</f>
        <v/>
      </c>
      <c r="J480" s="5" t="n">
        <v>593.5</v>
      </c>
      <c r="K480" s="5" t="n">
        <v>47</v>
      </c>
      <c r="L480" s="5" t="n">
        <v>21</v>
      </c>
      <c r="M480" s="5" t="n">
        <v>20</v>
      </c>
      <c r="N480" s="5">
        <f>J480+K480+L480+M480</f>
        <v/>
      </c>
      <c r="O480" s="5">
        <f>IF(ISNUMBER(N480),N480,"")</f>
        <v/>
      </c>
      <c r="P480" s="5">
        <f>_xlfn.RANK.EQ(O480,$O$2:$O$1031)</f>
        <v/>
      </c>
      <c r="Q480" s="9" t="n">
        <v>231.75</v>
      </c>
      <c r="R480" s="9" t="n">
        <v>44.5</v>
      </c>
      <c r="S480" s="9" t="n">
        <v>22</v>
      </c>
      <c r="T480" s="9" t="n">
        <v>25</v>
      </c>
      <c r="U480" s="9">
        <f>Q480+R480+S480+T480</f>
        <v/>
      </c>
      <c r="V480" s="9">
        <f>IF(ISNUMBER(U480),U480,"")</f>
        <v/>
      </c>
      <c r="W480" s="9">
        <f>_xlfn.RANK.EQ(V480,$V$2:$V$1031)</f>
        <v/>
      </c>
      <c r="X480" s="13" t="n">
        <v>1273.825</v>
      </c>
      <c r="Y480" s="13" t="n">
        <v>24</v>
      </c>
      <c r="Z480" s="13" t="n">
        <v>23</v>
      </c>
      <c r="AA480" s="13" t="n">
        <v>23</v>
      </c>
      <c r="AB480" s="13">
        <f>IF(ISNUMBER(X480),X480+N(Y480)+N(Z480)+N(AA480),X480)</f>
        <v/>
      </c>
      <c r="AC480" s="13">
        <f>IF(ISNUMBER(AB480),AB480,"")</f>
        <v/>
      </c>
      <c r="AD480" s="13">
        <f>IF(ISNUMBER(AC480),_xlfn.RANK.EQ(AC480,$AC$2:$AC$1031),"")</f>
        <v/>
      </c>
      <c r="AE480" s="15">
        <f>IF(ISNUMBER(AF480),AF480/3630,"")</f>
        <v/>
      </c>
      <c r="AF480" s="14">
        <f>IFERROR(C480+D480+E480+F480+J480+K480+L480+M480+Q480+R480+S480+T480+IF(ISNUMBER(X480),X480,0)+N(Y480)+N(Z480)+N(AA480),"")</f>
        <v/>
      </c>
      <c r="AG480" s="14">
        <f>IF(ISNUMBER(AF480),AF480,"")</f>
        <v/>
      </c>
      <c r="AH480" s="14">
        <f>IF(ISNUMBER(AG480),_xlfn.RANK.EQ(AG480,$AG$2:$AG$1031),"")</f>
        <v/>
      </c>
    </row>
    <row r="481">
      <c r="A481" s="18" t="n">
        <v>1114</v>
      </c>
      <c r="B481" s="18" t="inlineStr">
        <is>
          <t>عبد الرحمن شريف فؤاد العبد</t>
        </is>
      </c>
      <c r="C481" s="1" t="n">
        <v>461.1</v>
      </c>
      <c r="D481" s="1" t="n">
        <v>22</v>
      </c>
      <c r="E481" s="1" t="n">
        <v>18</v>
      </c>
      <c r="F481" s="1" t="n">
        <v>19</v>
      </c>
      <c r="G481" s="1">
        <f>C481+D481+E481+F481</f>
        <v/>
      </c>
      <c r="H481" s="1">
        <f>IF(ISNUMBER(G481),G481,"")</f>
        <v/>
      </c>
      <c r="I481" s="1">
        <f>_xlfn.RANK.EQ(H481,$H$2:$H$1031)</f>
        <v/>
      </c>
      <c r="J481" s="5" t="n">
        <v>461.5</v>
      </c>
      <c r="K481" s="5" t="n">
        <v>34</v>
      </c>
      <c r="L481" s="5" t="n">
        <v>21</v>
      </c>
      <c r="M481" s="5" t="n">
        <v>13</v>
      </c>
      <c r="N481" s="5">
        <f>J481+K481+L481+M481</f>
        <v/>
      </c>
      <c r="O481" s="5">
        <f>IF(ISNUMBER(N481),N481,"")</f>
        <v/>
      </c>
      <c r="P481" s="5">
        <f>_xlfn.RANK.EQ(O481,$O$2:$O$1031)</f>
        <v/>
      </c>
      <c r="Q481" s="9" t="inlineStr">
        <is>
          <t>راسب</t>
        </is>
      </c>
      <c r="R481" s="9" t="n">
        <v>37</v>
      </c>
      <c r="S481" s="9" t="n">
        <v>21</v>
      </c>
      <c r="T481" s="9" t="n">
        <v>23</v>
      </c>
      <c r="U481" s="9">
        <f>Q481+R481+S481+T481</f>
        <v/>
      </c>
      <c r="V481" s="9">
        <f>IF(ISNUMBER(U481),U481,"")</f>
        <v/>
      </c>
      <c r="W481" s="9">
        <f>_xlfn.RANK.EQ(V481,$V$2:$V$1031)</f>
        <v/>
      </c>
      <c r="X481" s="13" t="inlineStr">
        <is>
          <t>راسب</t>
        </is>
      </c>
      <c r="Y481" s="13" t="n">
        <v>24</v>
      </c>
      <c r="Z481" s="13" t="n">
        <v>20</v>
      </c>
      <c r="AA481" s="13" t="n">
        <v>22</v>
      </c>
      <c r="AB481" s="13">
        <f>IF(ISNUMBER(X481),X481+N(Y481)+N(Z481)+N(AA481),X481)</f>
        <v/>
      </c>
      <c r="AC481" s="13">
        <f>IF(ISNUMBER(AB481),AB481,"")</f>
        <v/>
      </c>
      <c r="AD481" s="13">
        <f>IF(ISNUMBER(AC481),_xlfn.RANK.EQ(AC481,$AC$2:$AC$1031),"")</f>
        <v/>
      </c>
      <c r="AE481" s="15">
        <f>IF(ISNUMBER(AF481),AF481/3630,"")</f>
        <v/>
      </c>
      <c r="AF481" s="14">
        <f>IFERROR(C481+D481+E481+F481+J481+K481+L481+M481+Q481+R481+S481+T481+IF(ISNUMBER(X481),X481,0)+N(Y481)+N(Z481)+N(AA481),"")</f>
        <v/>
      </c>
      <c r="AG481" s="14">
        <f>IF(ISNUMBER(AF481),AF481,"")</f>
        <v/>
      </c>
      <c r="AH481" s="14">
        <f>IF(ISNUMBER(AG481),_xlfn.RANK.EQ(AG481,$AG$2:$AG$1031),"")</f>
        <v/>
      </c>
    </row>
    <row r="482">
      <c r="A482" s="18" t="n">
        <v>1115</v>
      </c>
      <c r="B482" s="18" t="inlineStr">
        <is>
          <t>عبد الرحمن صبحي احمد علي جباره</t>
        </is>
      </c>
      <c r="C482" s="1" t="n">
        <v>447.75</v>
      </c>
      <c r="D482" s="1" t="n">
        <v>16</v>
      </c>
      <c r="E482" s="1" t="n">
        <v>22</v>
      </c>
      <c r="F482" s="1" t="n">
        <v>20</v>
      </c>
      <c r="G482" s="1">
        <f>C482+D482+E482+F482</f>
        <v/>
      </c>
      <c r="H482" s="1">
        <f>IF(ISNUMBER(G482),G482,"")</f>
        <v/>
      </c>
      <c r="I482" s="1">
        <f>_xlfn.RANK.EQ(H482,$H$2:$H$1031)</f>
        <v/>
      </c>
      <c r="J482" s="5" t="n">
        <v>429.35</v>
      </c>
      <c r="K482" s="5" t="n">
        <v>47</v>
      </c>
      <c r="L482" s="5" t="n">
        <v>22</v>
      </c>
      <c r="M482" s="5" t="n">
        <v>18</v>
      </c>
      <c r="N482" s="5">
        <f>J482+K482+L482+M482</f>
        <v/>
      </c>
      <c r="O482" s="5">
        <f>IF(ISNUMBER(N482),N482,"")</f>
        <v/>
      </c>
      <c r="P482" s="5">
        <f>_xlfn.RANK.EQ(O482,$O$2:$O$1031)</f>
        <v/>
      </c>
      <c r="Q482" s="9" t="n">
        <v>173</v>
      </c>
      <c r="R482" s="9" t="n">
        <v>41</v>
      </c>
      <c r="S482" s="9" t="n">
        <v>23</v>
      </c>
      <c r="T482" s="9" t="n">
        <v>22.5</v>
      </c>
      <c r="U482" s="9">
        <f>Q482+R482+S482+T482</f>
        <v/>
      </c>
      <c r="V482" s="9">
        <f>IF(ISNUMBER(U482),U482,"")</f>
        <v/>
      </c>
      <c r="W482" s="9">
        <f>_xlfn.RANK.EQ(V482,$V$2:$V$1031)</f>
        <v/>
      </c>
      <c r="X482" s="13" t="inlineStr">
        <is>
          <t>راسب</t>
        </is>
      </c>
      <c r="Y482" s="13" t="n">
        <v>24</v>
      </c>
      <c r="Z482" s="13" t="n">
        <v>22</v>
      </c>
      <c r="AA482" s="13" t="n">
        <v>24</v>
      </c>
      <c r="AB482" s="13">
        <f>IF(ISNUMBER(X482),X482+N(Y482)+N(Z482)+N(AA482),X482)</f>
        <v/>
      </c>
      <c r="AC482" s="13">
        <f>IF(ISNUMBER(AB482),AB482,"")</f>
        <v/>
      </c>
      <c r="AD482" s="13">
        <f>IF(ISNUMBER(AC482),_xlfn.RANK.EQ(AC482,$AC$2:$AC$1031),"")</f>
        <v/>
      </c>
      <c r="AE482" s="15">
        <f>IF(ISNUMBER(AF482),AF482/3630,"")</f>
        <v/>
      </c>
      <c r="AF482" s="14">
        <f>IFERROR(C482+D482+E482+F482+J482+K482+L482+M482+Q482+R482+S482+T482+IF(ISNUMBER(X482),X482,0)+N(Y482)+N(Z482)+N(AA482),"")</f>
        <v/>
      </c>
      <c r="AG482" s="14">
        <f>IF(ISNUMBER(AF482),AF482,"")</f>
        <v/>
      </c>
      <c r="AH482" s="14">
        <f>IF(ISNUMBER(AG482),_xlfn.RANK.EQ(AG482,$AG$2:$AG$1031),"")</f>
        <v/>
      </c>
    </row>
    <row r="483">
      <c r="A483" s="18" t="n">
        <v>1116</v>
      </c>
      <c r="B483" s="18" t="inlineStr">
        <is>
          <t>عبد الرحمن طارق امين يونس عبيد</t>
        </is>
      </c>
      <c r="C483" s="1" t="n">
        <v>586.3</v>
      </c>
      <c r="D483" s="1" t="n">
        <v>25</v>
      </c>
      <c r="E483" s="1" t="n">
        <v>24</v>
      </c>
      <c r="F483" s="1" t="n">
        <v>23</v>
      </c>
      <c r="G483" s="1">
        <f>C483+D483+E483+F483</f>
        <v/>
      </c>
      <c r="H483" s="1">
        <f>IF(ISNUMBER(G483),G483,"")</f>
        <v/>
      </c>
      <c r="I483" s="1">
        <f>_xlfn.RANK.EQ(H483,$H$2:$H$1031)</f>
        <v/>
      </c>
      <c r="J483" s="5" t="n">
        <v>583.5</v>
      </c>
      <c r="K483" s="5" t="n">
        <v>48</v>
      </c>
      <c r="L483" s="5" t="n">
        <v>21</v>
      </c>
      <c r="M483" s="5" t="n">
        <v>24</v>
      </c>
      <c r="N483" s="5">
        <f>J483+K483+L483+M483</f>
        <v/>
      </c>
      <c r="O483" s="5">
        <f>IF(ISNUMBER(N483),N483,"")</f>
        <v/>
      </c>
      <c r="P483" s="5">
        <f>_xlfn.RANK.EQ(O483,$O$2:$O$1031)</f>
        <v/>
      </c>
      <c r="Q483" s="9" t="n">
        <v>247.75</v>
      </c>
      <c r="R483" s="9" t="n">
        <v>45.5</v>
      </c>
      <c r="S483" s="9" t="n">
        <v>25</v>
      </c>
      <c r="T483" s="9" t="n">
        <v>25</v>
      </c>
      <c r="U483" s="9">
        <f>Q483+R483+S483+T483</f>
        <v/>
      </c>
      <c r="V483" s="9">
        <f>IF(ISNUMBER(U483),U483,"")</f>
        <v/>
      </c>
      <c r="W483" s="9">
        <f>_xlfn.RANK.EQ(V483,$V$2:$V$1031)</f>
        <v/>
      </c>
      <c r="X483" s="13" t="n">
        <v>1392.8375</v>
      </c>
      <c r="Y483" s="13" t="n">
        <v>25</v>
      </c>
      <c r="Z483" s="13" t="n">
        <v>23</v>
      </c>
      <c r="AA483" s="13" t="n">
        <v>25</v>
      </c>
      <c r="AB483" s="13">
        <f>IF(ISNUMBER(X483),X483+N(Y483)+N(Z483)+N(AA483),X483)</f>
        <v/>
      </c>
      <c r="AC483" s="13">
        <f>IF(ISNUMBER(AB483),AB483,"")</f>
        <v/>
      </c>
      <c r="AD483" s="13">
        <f>IF(ISNUMBER(AC483),_xlfn.RANK.EQ(AC483,$AC$2:$AC$1031),"")</f>
        <v/>
      </c>
      <c r="AE483" s="15">
        <f>IF(ISNUMBER(AF483),AF483/3630,"")</f>
        <v/>
      </c>
      <c r="AF483" s="14">
        <f>IFERROR(C483+D483+E483+F483+J483+K483+L483+M483+Q483+R483+S483+T483+IF(ISNUMBER(X483),X483,0)+N(Y483)+N(Z483)+N(AA483),"")</f>
        <v/>
      </c>
      <c r="AG483" s="14">
        <f>IF(ISNUMBER(AF483),AF483,"")</f>
        <v/>
      </c>
      <c r="AH483" s="14">
        <f>IF(ISNUMBER(AG483),_xlfn.RANK.EQ(AG483,$AG$2:$AG$1031),"")</f>
        <v/>
      </c>
    </row>
    <row r="484">
      <c r="A484" s="18" t="n">
        <v>1117</v>
      </c>
      <c r="B484" s="18" t="inlineStr">
        <is>
          <t>عبد الرحمن عادل السيد حسين</t>
        </is>
      </c>
      <c r="C484" s="1" t="n">
        <v>645.1</v>
      </c>
      <c r="D484" s="1" t="n">
        <v>25</v>
      </c>
      <c r="E484" s="1" t="n">
        <v>25</v>
      </c>
      <c r="F484" s="1" t="n">
        <v>24</v>
      </c>
      <c r="G484" s="1">
        <f>C484+D484+E484+F484</f>
        <v/>
      </c>
      <c r="H484" s="1">
        <f>IF(ISNUMBER(G484),G484,"")</f>
        <v/>
      </c>
      <c r="I484" s="1">
        <f>_xlfn.RANK.EQ(H484,$H$2:$H$1031)</f>
        <v/>
      </c>
      <c r="J484" s="5" t="n">
        <v>636.5</v>
      </c>
      <c r="K484" s="5" t="n">
        <v>47</v>
      </c>
      <c r="L484" s="5" t="n">
        <v>23</v>
      </c>
      <c r="M484" s="5" t="n">
        <v>25</v>
      </c>
      <c r="N484" s="5">
        <f>J484+K484+L484+M484</f>
        <v/>
      </c>
      <c r="O484" s="5">
        <f>IF(ISNUMBER(N484),N484,"")</f>
        <v/>
      </c>
      <c r="P484" s="5">
        <f>_xlfn.RANK.EQ(O484,$O$2:$O$1031)</f>
        <v/>
      </c>
      <c r="Q484" s="9" t="n">
        <v>284.75</v>
      </c>
      <c r="R484" s="9" t="n">
        <v>48.5</v>
      </c>
      <c r="S484" s="9" t="n">
        <v>24</v>
      </c>
      <c r="T484" s="9" t="n">
        <v>25</v>
      </c>
      <c r="U484" s="9">
        <f>Q484+R484+S484+T484</f>
        <v/>
      </c>
      <c r="V484" s="9">
        <f>IF(ISNUMBER(U484),U484,"")</f>
        <v/>
      </c>
      <c r="W484" s="9">
        <f>_xlfn.RANK.EQ(V484,$V$2:$V$1031)</f>
        <v/>
      </c>
      <c r="X484" s="13" t="n">
        <v>1525.5666666667</v>
      </c>
      <c r="Y484" s="13" t="n">
        <v>24.5</v>
      </c>
      <c r="Z484" s="13" t="n">
        <v>23</v>
      </c>
      <c r="AA484" s="13" t="n">
        <v>23</v>
      </c>
      <c r="AB484" s="13">
        <f>IF(ISNUMBER(X484),X484+N(Y484)+N(Z484)+N(AA484),X484)</f>
        <v/>
      </c>
      <c r="AC484" s="13">
        <f>IF(ISNUMBER(AB484),AB484,"")</f>
        <v/>
      </c>
      <c r="AD484" s="13">
        <f>IF(ISNUMBER(AC484),_xlfn.RANK.EQ(AC484,$AC$2:$AC$1031),"")</f>
        <v/>
      </c>
      <c r="AE484" s="15">
        <f>IF(ISNUMBER(AF484),AF484/3630,"")</f>
        <v/>
      </c>
      <c r="AF484" s="14">
        <f>IFERROR(C484+D484+E484+F484+J484+K484+L484+M484+Q484+R484+S484+T484+IF(ISNUMBER(X484),X484,0)+N(Y484)+N(Z484)+N(AA484),"")</f>
        <v/>
      </c>
      <c r="AG484" s="14">
        <f>IF(ISNUMBER(AF484),AF484,"")</f>
        <v/>
      </c>
      <c r="AH484" s="14">
        <f>IF(ISNUMBER(AG484),_xlfn.RANK.EQ(AG484,$AG$2:$AG$1031),"")</f>
        <v/>
      </c>
    </row>
    <row r="485">
      <c r="A485" s="18" t="n">
        <v>1118</v>
      </c>
      <c r="B485" s="18" t="inlineStr">
        <is>
          <t>عبد الرحمن عادل محمد عطيان</t>
        </is>
      </c>
      <c r="C485" s="1" t="n">
        <v>634.8</v>
      </c>
      <c r="D485" s="1" t="n">
        <v>25</v>
      </c>
      <c r="E485" s="1" t="n">
        <v>24</v>
      </c>
      <c r="F485" s="1" t="n">
        <v>22</v>
      </c>
      <c r="G485" s="1">
        <f>C485+D485+E485+F485</f>
        <v/>
      </c>
      <c r="H485" s="1">
        <f>IF(ISNUMBER(G485),G485,"")</f>
        <v/>
      </c>
      <c r="I485" s="1">
        <f>_xlfn.RANK.EQ(H485,$H$2:$H$1031)</f>
        <v/>
      </c>
      <c r="J485" s="5" t="n">
        <v>612.5</v>
      </c>
      <c r="K485" s="5" t="n">
        <v>50</v>
      </c>
      <c r="L485" s="5" t="n">
        <v>23</v>
      </c>
      <c r="M485" s="5" t="n">
        <v>25</v>
      </c>
      <c r="N485" s="5">
        <f>J485+K485+L485+M485</f>
        <v/>
      </c>
      <c r="O485" s="5">
        <f>IF(ISNUMBER(N485),N485,"")</f>
        <v/>
      </c>
      <c r="P485" s="5">
        <f>_xlfn.RANK.EQ(O485,$O$2:$O$1031)</f>
        <v/>
      </c>
      <c r="Q485" s="9" t="n">
        <v>248.75</v>
      </c>
      <c r="R485" s="9" t="n">
        <v>43.5</v>
      </c>
      <c r="S485" s="9" t="n">
        <v>20</v>
      </c>
      <c r="T485" s="9" t="n">
        <v>25</v>
      </c>
      <c r="U485" s="9">
        <f>Q485+R485+S485+T485</f>
        <v/>
      </c>
      <c r="V485" s="9">
        <f>IF(ISNUMBER(U485),U485,"")</f>
        <v/>
      </c>
      <c r="W485" s="9">
        <f>_xlfn.RANK.EQ(V485,$V$2:$V$1031)</f>
        <v/>
      </c>
      <c r="X485" s="13" t="n">
        <v>1390.7333333333</v>
      </c>
      <c r="Y485" s="13" t="n">
        <v>17</v>
      </c>
      <c r="Z485" s="13" t="n">
        <v>21</v>
      </c>
      <c r="AA485" s="13" t="n">
        <v>21</v>
      </c>
      <c r="AB485" s="13">
        <f>IF(ISNUMBER(X485),X485+N(Y485)+N(Z485)+N(AA485),X485)</f>
        <v/>
      </c>
      <c r="AC485" s="13">
        <f>IF(ISNUMBER(AB485),AB485,"")</f>
        <v/>
      </c>
      <c r="AD485" s="13">
        <f>IF(ISNUMBER(AC485),_xlfn.RANK.EQ(AC485,$AC$2:$AC$1031),"")</f>
        <v/>
      </c>
      <c r="AE485" s="15">
        <f>IF(ISNUMBER(AF485),AF485/3630,"")</f>
        <v/>
      </c>
      <c r="AF485" s="14">
        <f>IFERROR(C485+D485+E485+F485+J485+K485+L485+M485+Q485+R485+S485+T485+IF(ISNUMBER(X485),X485,0)+N(Y485)+N(Z485)+N(AA485),"")</f>
        <v/>
      </c>
      <c r="AG485" s="14">
        <f>IF(ISNUMBER(AF485),AF485,"")</f>
        <v/>
      </c>
      <c r="AH485" s="14">
        <f>IF(ISNUMBER(AG485),_xlfn.RANK.EQ(AG485,$AG$2:$AG$1031),"")</f>
        <v/>
      </c>
    </row>
    <row r="486">
      <c r="A486" s="18" t="n">
        <v>1119</v>
      </c>
      <c r="B486" s="18" t="inlineStr">
        <is>
          <t>عبد الرحمن عاطف عثمان العريف</t>
        </is>
      </c>
      <c r="C486" s="1" t="n">
        <v>632.2</v>
      </c>
      <c r="D486" s="1" t="n">
        <v>25</v>
      </c>
      <c r="E486" s="1" t="n">
        <v>25</v>
      </c>
      <c r="F486" s="1" t="n">
        <v>24</v>
      </c>
      <c r="G486" s="1">
        <f>C486+D486+E486+F486</f>
        <v/>
      </c>
      <c r="H486" s="1">
        <f>IF(ISNUMBER(G486),G486,"")</f>
        <v/>
      </c>
      <c r="I486" s="1">
        <f>_xlfn.RANK.EQ(H486,$H$2:$H$1031)</f>
        <v/>
      </c>
      <c r="J486" s="5" t="n">
        <v>622.5</v>
      </c>
      <c r="K486" s="5" t="n">
        <v>48</v>
      </c>
      <c r="L486" s="5" t="n">
        <v>23</v>
      </c>
      <c r="M486" s="5" t="n">
        <v>22</v>
      </c>
      <c r="N486" s="5">
        <f>J486+K486+L486+M486</f>
        <v/>
      </c>
      <c r="O486" s="5">
        <f>IF(ISNUMBER(N486),N486,"")</f>
        <v/>
      </c>
      <c r="P486" s="5">
        <f>_xlfn.RANK.EQ(O486,$O$2:$O$1031)</f>
        <v/>
      </c>
      <c r="Q486" s="9" t="n">
        <v>257</v>
      </c>
      <c r="R486" s="9" t="n">
        <v>46.5</v>
      </c>
      <c r="S486" s="9" t="n">
        <v>24</v>
      </c>
      <c r="T486" s="9" t="n">
        <v>25</v>
      </c>
      <c r="U486" s="9">
        <f>Q486+R486+S486+T486</f>
        <v/>
      </c>
      <c r="V486" s="9">
        <f>IF(ISNUMBER(U486),U486,"")</f>
        <v/>
      </c>
      <c r="W486" s="9">
        <f>_xlfn.RANK.EQ(V486,$V$2:$V$1031)</f>
        <v/>
      </c>
      <c r="X486" s="13" t="n">
        <v>1519.0208333333</v>
      </c>
      <c r="Y486" s="13" t="n">
        <v>25</v>
      </c>
      <c r="Z486" s="13" t="n">
        <v>25</v>
      </c>
      <c r="AA486" s="13" t="n">
        <v>24</v>
      </c>
      <c r="AB486" s="13">
        <f>IF(ISNUMBER(X486),X486+N(Y486)+N(Z486)+N(AA486),X486)</f>
        <v/>
      </c>
      <c r="AC486" s="13">
        <f>IF(ISNUMBER(AB486),AB486,"")</f>
        <v/>
      </c>
      <c r="AD486" s="13">
        <f>IF(ISNUMBER(AC486),_xlfn.RANK.EQ(AC486,$AC$2:$AC$1031),"")</f>
        <v/>
      </c>
      <c r="AE486" s="15">
        <f>IF(ISNUMBER(AF486),AF486/3630,"")</f>
        <v/>
      </c>
      <c r="AF486" s="14">
        <f>IFERROR(C486+D486+E486+F486+J486+K486+L486+M486+Q486+R486+S486+T486+IF(ISNUMBER(X486),X486,0)+N(Y486)+N(Z486)+N(AA486),"")</f>
        <v/>
      </c>
      <c r="AG486" s="14">
        <f>IF(ISNUMBER(AF486),AF486,"")</f>
        <v/>
      </c>
      <c r="AH486" s="14">
        <f>IF(ISNUMBER(AG486),_xlfn.RANK.EQ(AG486,$AG$2:$AG$1031),"")</f>
        <v/>
      </c>
    </row>
    <row r="487">
      <c r="A487" s="18" t="n">
        <v>1126</v>
      </c>
      <c r="B487" s="18" t="inlineStr">
        <is>
          <t>عبد الرحمن علاء عبدالعزيز رمضان باشا</t>
        </is>
      </c>
      <c r="C487" s="1" t="n">
        <v>500.8</v>
      </c>
      <c r="D487" s="1" t="n">
        <v>20</v>
      </c>
      <c r="E487" s="1" t="n">
        <v>21</v>
      </c>
      <c r="F487" s="1" t="n">
        <v>23</v>
      </c>
      <c r="G487" s="1">
        <f>C487+D487+E487+F487</f>
        <v/>
      </c>
      <c r="H487" s="1">
        <f>IF(ISNUMBER(G487),G487,"")</f>
        <v/>
      </c>
      <c r="I487" s="1">
        <f>_xlfn.RANK.EQ(H487,$H$2:$H$1031)</f>
        <v/>
      </c>
      <c r="J487" s="5" t="n">
        <v>545</v>
      </c>
      <c r="K487" s="5" t="n">
        <v>41</v>
      </c>
      <c r="L487" s="5" t="n">
        <v>22</v>
      </c>
      <c r="M487" s="5" t="n">
        <v>20</v>
      </c>
      <c r="N487" s="5">
        <f>J487+K487+L487+M487</f>
        <v/>
      </c>
      <c r="O487" s="5">
        <f>IF(ISNUMBER(N487),N487,"")</f>
        <v/>
      </c>
      <c r="P487" s="5">
        <f>_xlfn.RANK.EQ(O487,$O$2:$O$1031)</f>
        <v/>
      </c>
      <c r="Q487" s="9" t="n">
        <v>227.75</v>
      </c>
      <c r="R487" s="9" t="n">
        <v>40</v>
      </c>
      <c r="S487" s="9" t="inlineStr">
        <is>
          <t xml:space="preserve"> ب</t>
        </is>
      </c>
      <c r="T487" s="9" t="n">
        <v>14.5</v>
      </c>
      <c r="U487" s="9">
        <f>Q487+R487+S487+T487</f>
        <v/>
      </c>
      <c r="V487" s="9">
        <f>IF(ISNUMBER(U487),U487,"")</f>
        <v/>
      </c>
      <c r="W487" s="9">
        <f>_xlfn.RANK.EQ(V487,$V$2:$V$1031)</f>
        <v/>
      </c>
      <c r="X487" s="13" t="n">
        <v>1316.875</v>
      </c>
      <c r="Y487" s="13" t="n">
        <v>23</v>
      </c>
      <c r="Z487" s="13" t="n">
        <v>18</v>
      </c>
      <c r="AA487" s="13" t="n">
        <v>21</v>
      </c>
      <c r="AB487" s="13">
        <f>IF(ISNUMBER(X487),X487+N(Y487)+N(Z487)+N(AA487),X487)</f>
        <v/>
      </c>
      <c r="AC487" s="13">
        <f>IF(ISNUMBER(AB487),AB487,"")</f>
        <v/>
      </c>
      <c r="AD487" s="13">
        <f>IF(ISNUMBER(AC487),_xlfn.RANK.EQ(AC487,$AC$2:$AC$1031),"")</f>
        <v/>
      </c>
      <c r="AE487" s="15">
        <f>IF(ISNUMBER(AF487),AF487/3630,"")</f>
        <v/>
      </c>
      <c r="AF487" s="14">
        <f>IFERROR(C487+D487+E487+F487+J487+K487+L487+M487+Q487+R487+S487+T487+IF(ISNUMBER(X487),X487,0)+N(Y487)+N(Z487)+N(AA487),"")</f>
        <v/>
      </c>
      <c r="AG487" s="14">
        <f>IF(ISNUMBER(AF487),AF487,"")</f>
        <v/>
      </c>
      <c r="AH487" s="14">
        <f>IF(ISNUMBER(AG487),_xlfn.RANK.EQ(AG487,$AG$2:$AG$1031),"")</f>
        <v/>
      </c>
    </row>
    <row r="488">
      <c r="A488" s="18" t="n">
        <v>1127</v>
      </c>
      <c r="B488" s="18" t="inlineStr">
        <is>
          <t>عبد الرحمن على جمال بدران</t>
        </is>
      </c>
      <c r="C488" s="1" t="n">
        <v>581</v>
      </c>
      <c r="D488" s="1" t="n">
        <v>23</v>
      </c>
      <c r="E488" s="1" t="n">
        <v>24</v>
      </c>
      <c r="F488" s="1" t="n">
        <v>23</v>
      </c>
      <c r="G488" s="1">
        <f>C488+D488+E488+F488</f>
        <v/>
      </c>
      <c r="H488" s="1">
        <f>IF(ISNUMBER(G488),G488,"")</f>
        <v/>
      </c>
      <c r="I488" s="1">
        <f>_xlfn.RANK.EQ(H488,$H$2:$H$1031)</f>
        <v/>
      </c>
      <c r="J488" s="5" t="n">
        <v>556.5</v>
      </c>
      <c r="K488" s="5" t="n">
        <v>45</v>
      </c>
      <c r="L488" s="5" t="n">
        <v>24</v>
      </c>
      <c r="M488" s="5" t="n">
        <v>21</v>
      </c>
      <c r="N488" s="5">
        <f>J488+K488+L488+M488</f>
        <v/>
      </c>
      <c r="O488" s="5">
        <f>IF(ISNUMBER(N488),N488,"")</f>
        <v/>
      </c>
      <c r="P488" s="5">
        <f>_xlfn.RANK.EQ(O488,$O$2:$O$1031)</f>
        <v/>
      </c>
      <c r="Q488" s="9" t="n">
        <v>227.75</v>
      </c>
      <c r="R488" s="9" t="n">
        <v>47</v>
      </c>
      <c r="S488" s="9" t="n">
        <v>25</v>
      </c>
      <c r="T488" s="9" t="n">
        <v>24</v>
      </c>
      <c r="U488" s="9">
        <f>Q488+R488+S488+T488</f>
        <v/>
      </c>
      <c r="V488" s="9">
        <f>IF(ISNUMBER(U488),U488,"")</f>
        <v/>
      </c>
      <c r="W488" s="9">
        <f>_xlfn.RANK.EQ(V488,$V$2:$V$1031)</f>
        <v/>
      </c>
      <c r="X488" s="13" t="n">
        <v>1486.8166666667</v>
      </c>
      <c r="Y488" s="13" t="n">
        <v>24.5</v>
      </c>
      <c r="Z488" s="13" t="n">
        <v>23</v>
      </c>
      <c r="AA488" s="13" t="n">
        <v>23</v>
      </c>
      <c r="AB488" s="13">
        <f>IF(ISNUMBER(X488),X488+N(Y488)+N(Z488)+N(AA488),X488)</f>
        <v/>
      </c>
      <c r="AC488" s="13">
        <f>IF(ISNUMBER(AB488),AB488,"")</f>
        <v/>
      </c>
      <c r="AD488" s="13">
        <f>IF(ISNUMBER(AC488),_xlfn.RANK.EQ(AC488,$AC$2:$AC$1031),"")</f>
        <v/>
      </c>
      <c r="AE488" s="15">
        <f>IF(ISNUMBER(AF488),AF488/3630,"")</f>
        <v/>
      </c>
      <c r="AF488" s="14">
        <f>IFERROR(C488+D488+E488+F488+J488+K488+L488+M488+Q488+R488+S488+T488+IF(ISNUMBER(X488),X488,0)+N(Y488)+N(Z488)+N(AA488),"")</f>
        <v/>
      </c>
      <c r="AG488" s="14">
        <f>IF(ISNUMBER(AF488),AF488,"")</f>
        <v/>
      </c>
      <c r="AH488" s="14">
        <f>IF(ISNUMBER(AG488),_xlfn.RANK.EQ(AG488,$AG$2:$AG$1031),"")</f>
        <v/>
      </c>
    </row>
    <row r="489">
      <c r="A489" s="18" t="n">
        <v>1128</v>
      </c>
      <c r="B489" s="18" t="inlineStr">
        <is>
          <t>عبد الرحمن على حمدى على أباظة</t>
        </is>
      </c>
      <c r="C489" s="1" t="n">
        <v>604.3</v>
      </c>
      <c r="D489" s="1" t="n">
        <v>25</v>
      </c>
      <c r="E489" s="1" t="n">
        <v>24</v>
      </c>
      <c r="F489" s="1" t="n">
        <v>24</v>
      </c>
      <c r="G489" s="1">
        <f>C489+D489+E489+F489</f>
        <v/>
      </c>
      <c r="H489" s="1">
        <f>IF(ISNUMBER(G489),G489,"")</f>
        <v/>
      </c>
      <c r="I489" s="1">
        <f>_xlfn.RANK.EQ(H489,$H$2:$H$1031)</f>
        <v/>
      </c>
      <c r="J489" s="5" t="n">
        <v>615.5</v>
      </c>
      <c r="K489" s="5" t="n">
        <v>46</v>
      </c>
      <c r="L489" s="5" t="n">
        <v>24</v>
      </c>
      <c r="M489" s="5" t="n">
        <v>21</v>
      </c>
      <c r="N489" s="5">
        <f>J489+K489+L489+M489</f>
        <v/>
      </c>
      <c r="O489" s="5">
        <f>IF(ISNUMBER(N489),N489,"")</f>
        <v/>
      </c>
      <c r="P489" s="5">
        <f>_xlfn.RANK.EQ(O489,$O$2:$O$1031)</f>
        <v/>
      </c>
      <c r="Q489" s="9" t="n">
        <v>266.75</v>
      </c>
      <c r="R489" s="9" t="n">
        <v>46</v>
      </c>
      <c r="S489" s="9" t="n">
        <v>24</v>
      </c>
      <c r="T489" s="9" t="n">
        <v>24.5</v>
      </c>
      <c r="U489" s="9">
        <f>Q489+R489+S489+T489</f>
        <v/>
      </c>
      <c r="V489" s="9">
        <f>IF(ISNUMBER(U489),U489,"")</f>
        <v/>
      </c>
      <c r="W489" s="9">
        <f>_xlfn.RANK.EQ(V489,$V$2:$V$1031)</f>
        <v/>
      </c>
      <c r="X489" s="13" t="n">
        <v>1492.8333333333</v>
      </c>
      <c r="Y489" s="13" t="n">
        <v>23.5</v>
      </c>
      <c r="Z489" s="13" t="n">
        <v>24</v>
      </c>
      <c r="AA489" s="13" t="n">
        <v>25</v>
      </c>
      <c r="AB489" s="13">
        <f>IF(ISNUMBER(X489),X489+N(Y489)+N(Z489)+N(AA489),X489)</f>
        <v/>
      </c>
      <c r="AC489" s="13">
        <f>IF(ISNUMBER(AB489),AB489,"")</f>
        <v/>
      </c>
      <c r="AD489" s="13">
        <f>IF(ISNUMBER(AC489),_xlfn.RANK.EQ(AC489,$AC$2:$AC$1031),"")</f>
        <v/>
      </c>
      <c r="AE489" s="15">
        <f>IF(ISNUMBER(AF489),AF489/3630,"")</f>
        <v/>
      </c>
      <c r="AF489" s="14">
        <f>IFERROR(C489+D489+E489+F489+J489+K489+L489+M489+Q489+R489+S489+T489+IF(ISNUMBER(X489),X489,0)+N(Y489)+N(Z489)+N(AA489),"")</f>
        <v/>
      </c>
      <c r="AG489" s="14">
        <f>IF(ISNUMBER(AF489),AF489,"")</f>
        <v/>
      </c>
      <c r="AH489" s="14">
        <f>IF(ISNUMBER(AG489),_xlfn.RANK.EQ(AG489,$AG$2:$AG$1031),"")</f>
        <v/>
      </c>
    </row>
    <row r="490">
      <c r="A490" s="18" t="n">
        <v>1131</v>
      </c>
      <c r="B490" s="18" t="inlineStr">
        <is>
          <t>عبد الرحمن عماد عبدالاله خضر</t>
        </is>
      </c>
      <c r="C490" s="1" t="n">
        <v>547.6</v>
      </c>
      <c r="D490" s="1" t="n">
        <v>23</v>
      </c>
      <c r="E490" s="1" t="n">
        <v>23</v>
      </c>
      <c r="F490" s="1" t="n">
        <v>20</v>
      </c>
      <c r="G490" s="1">
        <f>C490+D490+E490+F490</f>
        <v/>
      </c>
      <c r="H490" s="1">
        <f>IF(ISNUMBER(G490),G490,"")</f>
        <v/>
      </c>
      <c r="I490" s="1">
        <f>_xlfn.RANK.EQ(H490,$H$2:$H$1031)</f>
        <v/>
      </c>
      <c r="J490" s="5" t="n">
        <v>552</v>
      </c>
      <c r="K490" s="5" t="n">
        <v>43</v>
      </c>
      <c r="L490" s="5" t="n">
        <v>21</v>
      </c>
      <c r="M490" s="5" t="n">
        <v>22</v>
      </c>
      <c r="N490" s="5">
        <f>J490+K490+L490+M490</f>
        <v/>
      </c>
      <c r="O490" s="5">
        <f>IF(ISNUMBER(N490),N490,"")</f>
        <v/>
      </c>
      <c r="P490" s="5">
        <f>_xlfn.RANK.EQ(O490,$O$2:$O$1031)</f>
        <v/>
      </c>
      <c r="Q490" s="9" t="n">
        <v>233</v>
      </c>
      <c r="R490" s="9" t="n">
        <v>44.5</v>
      </c>
      <c r="S490" s="9" t="n">
        <v>22</v>
      </c>
      <c r="T490" s="9" t="n">
        <v>23.5</v>
      </c>
      <c r="U490" s="9">
        <f>Q490+R490+S490+T490</f>
        <v/>
      </c>
      <c r="V490" s="9">
        <f>IF(ISNUMBER(U490),U490,"")</f>
        <v/>
      </c>
      <c r="W490" s="9">
        <f>_xlfn.RANK.EQ(V490,$V$2:$V$1031)</f>
        <v/>
      </c>
      <c r="X490" s="13" t="n">
        <v>1317.4875</v>
      </c>
      <c r="Y490" s="13" t="n">
        <v>16.5</v>
      </c>
      <c r="Z490" s="13" t="n">
        <v>24</v>
      </c>
      <c r="AA490" s="13" t="n">
        <v>24</v>
      </c>
      <c r="AB490" s="13">
        <f>IF(ISNUMBER(X490),X490+N(Y490)+N(Z490)+N(AA490),X490)</f>
        <v/>
      </c>
      <c r="AC490" s="13">
        <f>IF(ISNUMBER(AB490),AB490,"")</f>
        <v/>
      </c>
      <c r="AD490" s="13">
        <f>IF(ISNUMBER(AC490),_xlfn.RANK.EQ(AC490,$AC$2:$AC$1031),"")</f>
        <v/>
      </c>
      <c r="AE490" s="15">
        <f>IF(ISNUMBER(AF490),AF490/3630,"")</f>
        <v/>
      </c>
      <c r="AF490" s="14">
        <f>IFERROR(C490+D490+E490+F490+J490+K490+L490+M490+Q490+R490+S490+T490+IF(ISNUMBER(X490),X490,0)+N(Y490)+N(Z490)+N(AA490),"")</f>
        <v/>
      </c>
      <c r="AG490" s="14">
        <f>IF(ISNUMBER(AF490),AF490,"")</f>
        <v/>
      </c>
      <c r="AH490" s="14">
        <f>IF(ISNUMBER(AG490),_xlfn.RANK.EQ(AG490,$AG$2:$AG$1031),"")</f>
        <v/>
      </c>
    </row>
    <row r="491">
      <c r="A491" s="18" t="n">
        <v>1136</v>
      </c>
      <c r="B491" s="18" t="inlineStr">
        <is>
          <t>عبد الرحمن كارم أبو اليزيد أحمد</t>
        </is>
      </c>
      <c r="C491" s="1" t="n">
        <v>415</v>
      </c>
      <c r="D491" s="1" t="n">
        <v>18</v>
      </c>
      <c r="E491" s="1" t="n">
        <v>12</v>
      </c>
      <c r="F491" s="1" t="n">
        <v>12</v>
      </c>
      <c r="G491" s="1">
        <f>C491+D491+E491+F491</f>
        <v/>
      </c>
      <c r="H491" s="1">
        <f>IF(ISNUMBER(G491),G491,"")</f>
        <v/>
      </c>
      <c r="I491" s="1">
        <f>_xlfn.RANK.EQ(H491,$H$2:$H$1031)</f>
        <v/>
      </c>
      <c r="J491" s="5" t="n">
        <v>390</v>
      </c>
      <c r="K491" s="5" t="n">
        <v>38</v>
      </c>
      <c r="L491" s="5" t="n">
        <v>19</v>
      </c>
      <c r="M491" s="5" t="n">
        <v>11</v>
      </c>
      <c r="N491" s="5">
        <f>J491+K491+L491+M491</f>
        <v/>
      </c>
      <c r="O491" s="5">
        <f>IF(ISNUMBER(N491),N491,"")</f>
        <v/>
      </c>
      <c r="P491" s="5">
        <f>_xlfn.RANK.EQ(O491,$O$2:$O$1031)</f>
        <v/>
      </c>
      <c r="Q491" s="9" t="inlineStr">
        <is>
          <t>راسب</t>
        </is>
      </c>
      <c r="R491" s="9" t="n">
        <v>36</v>
      </c>
      <c r="S491" s="9" t="n">
        <v>21</v>
      </c>
      <c r="T491" s="9" t="n">
        <v>20</v>
      </c>
      <c r="U491" s="9">
        <f>Q491+R491+S491+T491</f>
        <v/>
      </c>
      <c r="V491" s="9">
        <f>IF(ISNUMBER(U491),U491,"")</f>
        <v/>
      </c>
      <c r="W491" s="9">
        <f>_xlfn.RANK.EQ(V491,$V$2:$V$1031)</f>
        <v/>
      </c>
      <c r="X491" s="13" t="inlineStr">
        <is>
          <t>راسب</t>
        </is>
      </c>
      <c r="Y491" s="13" t="n">
        <v>24</v>
      </c>
      <c r="Z491" s="13" t="n">
        <v>19</v>
      </c>
      <c r="AA491" s="13" t="n">
        <v>23</v>
      </c>
      <c r="AB491" s="13">
        <f>IF(ISNUMBER(X491),X491+N(Y491)+N(Z491)+N(AA491),X491)</f>
        <v/>
      </c>
      <c r="AC491" s="13">
        <f>IF(ISNUMBER(AB491),AB491,"")</f>
        <v/>
      </c>
      <c r="AD491" s="13">
        <f>IF(ISNUMBER(AC491),_xlfn.RANK.EQ(AC491,$AC$2:$AC$1031),"")</f>
        <v/>
      </c>
      <c r="AE491" s="15">
        <f>IF(ISNUMBER(AF491),AF491/3630,"")</f>
        <v/>
      </c>
      <c r="AF491" s="14">
        <f>IFERROR(C491+D491+E491+F491+J491+K491+L491+M491+Q491+R491+S491+T491+IF(ISNUMBER(X491),X491,0)+N(Y491)+N(Z491)+N(AA491),"")</f>
        <v/>
      </c>
      <c r="AG491" s="14">
        <f>IF(ISNUMBER(AF491),AF491,"")</f>
        <v/>
      </c>
      <c r="AH491" s="14">
        <f>IF(ISNUMBER(AG491),_xlfn.RANK.EQ(AG491,$AG$2:$AG$1031),"")</f>
        <v/>
      </c>
    </row>
    <row r="492">
      <c r="A492" s="18" t="n">
        <v>1140</v>
      </c>
      <c r="B492" s="18" t="inlineStr">
        <is>
          <t>عبد الرحمن محمد جابر محمود علام</t>
        </is>
      </c>
      <c r="C492" s="1" t="n">
        <v>551.9</v>
      </c>
      <c r="D492" s="1" t="n">
        <v>23</v>
      </c>
      <c r="E492" s="1" t="n">
        <v>25</v>
      </c>
      <c r="F492" s="1" t="n">
        <v>22</v>
      </c>
      <c r="G492" s="1">
        <f>C492+D492+E492+F492</f>
        <v/>
      </c>
      <c r="H492" s="1">
        <f>IF(ISNUMBER(G492),G492,"")</f>
        <v/>
      </c>
      <c r="I492" s="1">
        <f>_xlfn.RANK.EQ(H492,$H$2:$H$1031)</f>
        <v/>
      </c>
      <c r="J492" s="5" t="n">
        <v>505</v>
      </c>
      <c r="K492" s="5" t="n">
        <v>47</v>
      </c>
      <c r="L492" s="5" t="n">
        <v>23</v>
      </c>
      <c r="M492" s="5" t="n">
        <v>23</v>
      </c>
      <c r="N492" s="5">
        <f>J492+K492+L492+M492</f>
        <v/>
      </c>
      <c r="O492" s="5">
        <f>IF(ISNUMBER(N492),N492,"")</f>
        <v/>
      </c>
      <c r="P492" s="5">
        <f>_xlfn.RANK.EQ(O492,$O$2:$O$1031)</f>
        <v/>
      </c>
      <c r="Q492" s="9" t="n">
        <v>212</v>
      </c>
      <c r="R492" s="9" t="n">
        <v>47.5</v>
      </c>
      <c r="S492" s="9" t="n">
        <v>25</v>
      </c>
      <c r="T492" s="9" t="n">
        <v>22</v>
      </c>
      <c r="U492" s="9">
        <f>Q492+R492+S492+T492</f>
        <v/>
      </c>
      <c r="V492" s="9">
        <f>IF(ISNUMBER(U492),U492,"")</f>
        <v/>
      </c>
      <c r="W492" s="9">
        <f>_xlfn.RANK.EQ(V492,$V$2:$V$1031)</f>
        <v/>
      </c>
      <c r="X492" s="13" t="inlineStr">
        <is>
          <t>راسب</t>
        </is>
      </c>
      <c r="Y492" s="13" t="n">
        <v>24.5</v>
      </c>
      <c r="Z492" s="13" t="n">
        <v>21</v>
      </c>
      <c r="AA492" s="13" t="n">
        <v>23</v>
      </c>
      <c r="AB492" s="13">
        <f>IF(ISNUMBER(X492),X492+N(Y492)+N(Z492)+N(AA492),X492)</f>
        <v/>
      </c>
      <c r="AC492" s="13">
        <f>IF(ISNUMBER(AB492),AB492,"")</f>
        <v/>
      </c>
      <c r="AD492" s="13">
        <f>IF(ISNUMBER(AC492),_xlfn.RANK.EQ(AC492,$AC$2:$AC$1031),"")</f>
        <v/>
      </c>
      <c r="AE492" s="15">
        <f>IF(ISNUMBER(AF492),AF492/3630,"")</f>
        <v/>
      </c>
      <c r="AF492" s="14">
        <f>IFERROR(C492+D492+E492+F492+J492+K492+L492+M492+Q492+R492+S492+T492+IF(ISNUMBER(X492),X492,0)+N(Y492)+N(Z492)+N(AA492),"")</f>
        <v/>
      </c>
      <c r="AG492" s="14">
        <f>IF(ISNUMBER(AF492),AF492,"")</f>
        <v/>
      </c>
      <c r="AH492" s="14">
        <f>IF(ISNUMBER(AG492),_xlfn.RANK.EQ(AG492,$AG$2:$AG$1031),"")</f>
        <v/>
      </c>
    </row>
    <row r="493">
      <c r="A493" s="18" t="n">
        <v>1142</v>
      </c>
      <c r="B493" s="18" t="inlineStr">
        <is>
          <t>عبد الرحمن محمد حامد النجار</t>
        </is>
      </c>
      <c r="C493" s="1" t="n">
        <v>425</v>
      </c>
      <c r="D493" s="1" t="n">
        <v>14</v>
      </c>
      <c r="E493" s="1" t="n">
        <v>10</v>
      </c>
      <c r="F493" s="1" t="n">
        <v>15</v>
      </c>
      <c r="G493" s="1">
        <f>C493+D493+E493+F493</f>
        <v/>
      </c>
      <c r="H493" s="1">
        <f>IF(ISNUMBER(G493),G493,"")</f>
        <v/>
      </c>
      <c r="I493" s="1">
        <f>_xlfn.RANK.EQ(H493,$H$2:$H$1031)</f>
        <v/>
      </c>
      <c r="J493" s="5" t="n">
        <v>430.5</v>
      </c>
      <c r="K493" s="5" t="n">
        <v>40</v>
      </c>
      <c r="L493" s="5" t="n">
        <v>21</v>
      </c>
      <c r="M493" s="5" t="n">
        <v>18</v>
      </c>
      <c r="N493" s="5">
        <f>J493+K493+L493+M493</f>
        <v/>
      </c>
      <c r="O493" s="5">
        <f>IF(ISNUMBER(N493),N493,"")</f>
        <v/>
      </c>
      <c r="P493" s="5">
        <f>_xlfn.RANK.EQ(O493,$O$2:$O$1031)</f>
        <v/>
      </c>
      <c r="Q493" s="9" t="n">
        <v>150.5</v>
      </c>
      <c r="R493" s="9" t="n">
        <v>26</v>
      </c>
      <c r="S493" s="9" t="n">
        <v>22</v>
      </c>
      <c r="T493" s="9" t="n">
        <v>22.5</v>
      </c>
      <c r="U493" s="9">
        <f>Q493+R493+S493+T493</f>
        <v/>
      </c>
      <c r="V493" s="9">
        <f>IF(ISNUMBER(U493),U493,"")</f>
        <v/>
      </c>
      <c r="W493" s="9">
        <f>_xlfn.RANK.EQ(V493,$V$2:$V$1031)</f>
        <v/>
      </c>
      <c r="X493" s="13" t="inlineStr">
        <is>
          <t>راسب</t>
        </is>
      </c>
      <c r="Y493" s="13" t="n">
        <v>21</v>
      </c>
      <c r="Z493" s="13" t="n">
        <v>20</v>
      </c>
      <c r="AA493" s="13" t="n">
        <v>21</v>
      </c>
      <c r="AB493" s="13">
        <f>IF(ISNUMBER(X493),X493+N(Y493)+N(Z493)+N(AA493),X493)</f>
        <v/>
      </c>
      <c r="AC493" s="13">
        <f>IF(ISNUMBER(AB493),AB493,"")</f>
        <v/>
      </c>
      <c r="AD493" s="13">
        <f>IF(ISNUMBER(AC493),_xlfn.RANK.EQ(AC493,$AC$2:$AC$1031),"")</f>
        <v/>
      </c>
      <c r="AE493" s="15">
        <f>IF(ISNUMBER(AF493),AF493/3630,"")</f>
        <v/>
      </c>
      <c r="AF493" s="14">
        <f>IFERROR(C493+D493+E493+F493+J493+K493+L493+M493+Q493+R493+S493+T493+IF(ISNUMBER(X493),X493,0)+N(Y493)+N(Z493)+N(AA493),"")</f>
        <v/>
      </c>
      <c r="AG493" s="14">
        <f>IF(ISNUMBER(AF493),AF493,"")</f>
        <v/>
      </c>
      <c r="AH493" s="14">
        <f>IF(ISNUMBER(AG493),_xlfn.RANK.EQ(AG493,$AG$2:$AG$1031),"")</f>
        <v/>
      </c>
    </row>
    <row r="494">
      <c r="A494" s="18" t="n">
        <v>1143</v>
      </c>
      <c r="B494" s="18" t="inlineStr">
        <is>
          <t>عبد الرحمن محمد رفعت على السيد نصار</t>
        </is>
      </c>
      <c r="C494" s="1" t="n">
        <v>642.2</v>
      </c>
      <c r="D494" s="1" t="n">
        <v>25</v>
      </c>
      <c r="E494" s="1" t="n">
        <v>25</v>
      </c>
      <c r="F494" s="1" t="n">
        <v>20</v>
      </c>
      <c r="G494" s="1">
        <f>C494+D494+E494+F494</f>
        <v/>
      </c>
      <c r="H494" s="1">
        <f>IF(ISNUMBER(G494),G494,"")</f>
        <v/>
      </c>
      <c r="I494" s="1">
        <f>_xlfn.RANK.EQ(H494,$H$2:$H$1031)</f>
        <v/>
      </c>
      <c r="J494" s="5" t="n">
        <v>606.5</v>
      </c>
      <c r="K494" s="5" t="n">
        <v>46</v>
      </c>
      <c r="L494" s="5" t="n">
        <v>23</v>
      </c>
      <c r="M494" s="5" t="n">
        <v>22</v>
      </c>
      <c r="N494" s="5">
        <f>J494+K494+L494+M494</f>
        <v/>
      </c>
      <c r="O494" s="5">
        <f>IF(ISNUMBER(N494),N494,"")</f>
        <v/>
      </c>
      <c r="P494" s="5">
        <f>_xlfn.RANK.EQ(O494,$O$2:$O$1031)</f>
        <v/>
      </c>
      <c r="Q494" s="9" t="n">
        <v>240.5</v>
      </c>
      <c r="R494" s="9" t="n">
        <v>47.5</v>
      </c>
      <c r="S494" s="9" t="n">
        <v>24</v>
      </c>
      <c r="T494" s="9" t="n">
        <v>23</v>
      </c>
      <c r="U494" s="9">
        <f>Q494+R494+S494+T494</f>
        <v/>
      </c>
      <c r="V494" s="9">
        <f>IF(ISNUMBER(U494),U494,"")</f>
        <v/>
      </c>
      <c r="W494" s="9">
        <f>_xlfn.RANK.EQ(V494,$V$2:$V$1031)</f>
        <v/>
      </c>
      <c r="X494" s="13" t="inlineStr">
        <is>
          <t>راسب</t>
        </is>
      </c>
      <c r="Y494" s="13" t="n">
        <v>24.5</v>
      </c>
      <c r="Z494" s="13" t="n">
        <v>24</v>
      </c>
      <c r="AA494" s="13" t="n">
        <v>24</v>
      </c>
      <c r="AB494" s="13">
        <f>IF(ISNUMBER(X494),X494+N(Y494)+N(Z494)+N(AA494),X494)</f>
        <v/>
      </c>
      <c r="AC494" s="13">
        <f>IF(ISNUMBER(AB494),AB494,"")</f>
        <v/>
      </c>
      <c r="AD494" s="13">
        <f>IF(ISNUMBER(AC494),_xlfn.RANK.EQ(AC494,$AC$2:$AC$1031),"")</f>
        <v/>
      </c>
      <c r="AE494" s="15">
        <f>IF(ISNUMBER(AF494),AF494/3630,"")</f>
        <v/>
      </c>
      <c r="AF494" s="14">
        <f>IFERROR(C494+D494+E494+F494+J494+K494+L494+M494+Q494+R494+S494+T494+IF(ISNUMBER(X494),X494,0)+N(Y494)+N(Z494)+N(AA494),"")</f>
        <v/>
      </c>
      <c r="AG494" s="14">
        <f>IF(ISNUMBER(AF494),AF494,"")</f>
        <v/>
      </c>
      <c r="AH494" s="14">
        <f>IF(ISNUMBER(AG494),_xlfn.RANK.EQ(AG494,$AG$2:$AG$1031),"")</f>
        <v/>
      </c>
    </row>
    <row r="495">
      <c r="A495" s="18" t="n">
        <v>1144</v>
      </c>
      <c r="B495" s="18" t="inlineStr">
        <is>
          <t>عبد الرحمن محمد رمضان مهدى متولى</t>
        </is>
      </c>
      <c r="C495" s="1" t="n">
        <v>440</v>
      </c>
      <c r="D495" s="1" t="n">
        <v>17</v>
      </c>
      <c r="E495" s="1" t="n">
        <v>18</v>
      </c>
      <c r="F495" s="1" t="n">
        <v>16</v>
      </c>
      <c r="G495" s="1">
        <f>C495+D495+E495+F495</f>
        <v/>
      </c>
      <c r="H495" s="1">
        <f>IF(ISNUMBER(G495),G495,"")</f>
        <v/>
      </c>
      <c r="I495" s="1">
        <f>_xlfn.RANK.EQ(H495,$H$2:$H$1031)</f>
        <v/>
      </c>
      <c r="J495" s="5" t="n">
        <v>432.5</v>
      </c>
      <c r="K495" s="5" t="n">
        <v>26</v>
      </c>
      <c r="L495" s="5" t="n">
        <v>17</v>
      </c>
      <c r="M495" s="5" t="n">
        <v>16</v>
      </c>
      <c r="N495" s="5">
        <f>J495+K495+L495+M495</f>
        <v/>
      </c>
      <c r="O495" s="5">
        <f>IF(ISNUMBER(N495),N495,"")</f>
        <v/>
      </c>
      <c r="P495" s="5">
        <f>_xlfn.RANK.EQ(O495,$O$2:$O$1031)</f>
        <v/>
      </c>
      <c r="Q495" s="9" t="n">
        <v>190.5</v>
      </c>
      <c r="R495" s="9" t="n">
        <v>34</v>
      </c>
      <c r="S495" s="9" t="n">
        <v>22</v>
      </c>
      <c r="T495" s="9" t="n">
        <v>23.5</v>
      </c>
      <c r="U495" s="9">
        <f>Q495+R495+S495+T495</f>
        <v/>
      </c>
      <c r="V495" s="9">
        <f>IF(ISNUMBER(U495),U495,"")</f>
        <v/>
      </c>
      <c r="W495" s="9">
        <f>_xlfn.RANK.EQ(V495,$V$2:$V$1031)</f>
        <v/>
      </c>
      <c r="X495" s="13" t="inlineStr">
        <is>
          <t>راسب</t>
        </is>
      </c>
      <c r="Y495" s="13" t="n">
        <v>24.5</v>
      </c>
      <c r="Z495" s="13" t="n">
        <v>23</v>
      </c>
      <c r="AA495" s="13" t="n">
        <v>22</v>
      </c>
      <c r="AB495" s="13">
        <f>IF(ISNUMBER(X495),X495+N(Y495)+N(Z495)+N(AA495),X495)</f>
        <v/>
      </c>
      <c r="AC495" s="13">
        <f>IF(ISNUMBER(AB495),AB495,"")</f>
        <v/>
      </c>
      <c r="AD495" s="13">
        <f>IF(ISNUMBER(AC495),_xlfn.RANK.EQ(AC495,$AC$2:$AC$1031),"")</f>
        <v/>
      </c>
      <c r="AE495" s="15">
        <f>IF(ISNUMBER(AF495),AF495/3630,"")</f>
        <v/>
      </c>
      <c r="AF495" s="14">
        <f>IFERROR(C495+D495+E495+F495+J495+K495+L495+M495+Q495+R495+S495+T495+IF(ISNUMBER(X495),X495,0)+N(Y495)+N(Z495)+N(AA495),"")</f>
        <v/>
      </c>
      <c r="AG495" s="14">
        <f>IF(ISNUMBER(AF495),AF495,"")</f>
        <v/>
      </c>
      <c r="AH495" s="14">
        <f>IF(ISNUMBER(AG495),_xlfn.RANK.EQ(AG495,$AG$2:$AG$1031),"")</f>
        <v/>
      </c>
    </row>
    <row r="496">
      <c r="A496" s="18" t="n">
        <v>1146</v>
      </c>
      <c r="B496" s="18" t="inlineStr">
        <is>
          <t>عبد الرحمن محمد سعيد المرسى</t>
        </is>
      </c>
      <c r="C496" s="1" t="n">
        <v>519.2</v>
      </c>
      <c r="D496" s="1" t="n">
        <v>19</v>
      </c>
      <c r="E496" s="1" t="n">
        <v>17</v>
      </c>
      <c r="F496" s="1" t="n">
        <v>22</v>
      </c>
      <c r="G496" s="1">
        <f>C496+D496+E496+F496</f>
        <v/>
      </c>
      <c r="H496" s="1">
        <f>IF(ISNUMBER(G496),G496,"")</f>
        <v/>
      </c>
      <c r="I496" s="1">
        <f>_xlfn.RANK.EQ(H496,$H$2:$H$1031)</f>
        <v/>
      </c>
      <c r="J496" s="5" t="n">
        <v>478</v>
      </c>
      <c r="K496" s="5" t="n">
        <v>42</v>
      </c>
      <c r="L496" s="5" t="n">
        <v>19</v>
      </c>
      <c r="M496" s="5" t="n">
        <v>21</v>
      </c>
      <c r="N496" s="5">
        <f>J496+K496+L496+M496</f>
        <v/>
      </c>
      <c r="O496" s="5">
        <f>IF(ISNUMBER(N496),N496,"")</f>
        <v/>
      </c>
      <c r="P496" s="5">
        <f>_xlfn.RANK.EQ(O496,$O$2:$O$1031)</f>
        <v/>
      </c>
      <c r="Q496" s="9" t="n">
        <v>210.5</v>
      </c>
      <c r="R496" s="9" t="n">
        <v>40</v>
      </c>
      <c r="S496" s="9" t="n">
        <v>23</v>
      </c>
      <c r="T496" s="9" t="n">
        <v>23</v>
      </c>
      <c r="U496" s="9">
        <f>Q496+R496+S496+T496</f>
        <v/>
      </c>
      <c r="V496" s="9">
        <f>IF(ISNUMBER(U496),U496,"")</f>
        <v/>
      </c>
      <c r="W496" s="9">
        <f>_xlfn.RANK.EQ(V496,$V$2:$V$1031)</f>
        <v/>
      </c>
      <c r="X496" s="13" t="inlineStr">
        <is>
          <t>راسب</t>
        </is>
      </c>
      <c r="Y496" s="13" t="n">
        <v>11.5</v>
      </c>
      <c r="Z496" s="13" t="n">
        <v>18</v>
      </c>
      <c r="AA496" s="13" t="n">
        <v>23</v>
      </c>
      <c r="AB496" s="13">
        <f>IF(ISNUMBER(X496),X496+N(Y496)+N(Z496)+N(AA496),X496)</f>
        <v/>
      </c>
      <c r="AC496" s="13">
        <f>IF(ISNUMBER(AB496),AB496,"")</f>
        <v/>
      </c>
      <c r="AD496" s="13">
        <f>IF(ISNUMBER(AC496),_xlfn.RANK.EQ(AC496,$AC$2:$AC$1031),"")</f>
        <v/>
      </c>
      <c r="AE496" s="15">
        <f>IF(ISNUMBER(AF496),AF496/3630,"")</f>
        <v/>
      </c>
      <c r="AF496" s="14">
        <f>IFERROR(C496+D496+E496+F496+J496+K496+L496+M496+Q496+R496+S496+T496+IF(ISNUMBER(X496),X496,0)+N(Y496)+N(Z496)+N(AA496),"")</f>
        <v/>
      </c>
      <c r="AG496" s="14">
        <f>IF(ISNUMBER(AF496),AF496,"")</f>
        <v/>
      </c>
      <c r="AH496" s="14">
        <f>IF(ISNUMBER(AG496),_xlfn.RANK.EQ(AG496,$AG$2:$AG$1031),"")</f>
        <v/>
      </c>
    </row>
    <row r="497">
      <c r="A497" s="18" t="n">
        <v>1147</v>
      </c>
      <c r="B497" s="18" t="inlineStr">
        <is>
          <t>عبد الرحمن محمد فاروق محمد على</t>
        </is>
      </c>
      <c r="C497" s="1" t="n">
        <v>615.8</v>
      </c>
      <c r="D497" s="1" t="n">
        <v>24</v>
      </c>
      <c r="E497" s="1" t="n">
        <v>23</v>
      </c>
      <c r="F497" s="1" t="n">
        <v>23</v>
      </c>
      <c r="G497" s="1">
        <f>C497+D497+E497+F497</f>
        <v/>
      </c>
      <c r="H497" s="1">
        <f>IF(ISNUMBER(G497),G497,"")</f>
        <v/>
      </c>
      <c r="I497" s="1">
        <f>_xlfn.RANK.EQ(H497,$H$2:$H$1031)</f>
        <v/>
      </c>
      <c r="J497" s="5" t="n">
        <v>614.35</v>
      </c>
      <c r="K497" s="5" t="n">
        <v>50</v>
      </c>
      <c r="L497" s="5" t="n">
        <v>24</v>
      </c>
      <c r="M497" s="5" t="n">
        <v>25</v>
      </c>
      <c r="N497" s="5">
        <f>J497+K497+L497+M497</f>
        <v/>
      </c>
      <c r="O497" s="5">
        <f>IF(ISNUMBER(N497),N497,"")</f>
        <v/>
      </c>
      <c r="P497" s="5">
        <f>_xlfn.RANK.EQ(O497,$O$2:$O$1031)</f>
        <v/>
      </c>
      <c r="Q497" s="9" t="n">
        <v>267</v>
      </c>
      <c r="R497" s="9" t="n">
        <v>46.5</v>
      </c>
      <c r="S497" s="9" t="n">
        <v>23</v>
      </c>
      <c r="T497" s="9" t="n">
        <v>23</v>
      </c>
      <c r="U497" s="9">
        <f>Q497+R497+S497+T497</f>
        <v/>
      </c>
      <c r="V497" s="9">
        <f>IF(ISNUMBER(U497),U497,"")</f>
        <v/>
      </c>
      <c r="W497" s="9">
        <f>_xlfn.RANK.EQ(V497,$V$2:$V$1031)</f>
        <v/>
      </c>
      <c r="X497" s="13" t="n">
        <v>1372.3833333333</v>
      </c>
      <c r="Y497" s="13" t="n">
        <v>23</v>
      </c>
      <c r="Z497" s="13" t="n">
        <v>24</v>
      </c>
      <c r="AA497" s="13" t="n">
        <v>23</v>
      </c>
      <c r="AB497" s="13">
        <f>IF(ISNUMBER(X497),X497+N(Y497)+N(Z497)+N(AA497),X497)</f>
        <v/>
      </c>
      <c r="AC497" s="13">
        <f>IF(ISNUMBER(AB497),AB497,"")</f>
        <v/>
      </c>
      <c r="AD497" s="13">
        <f>IF(ISNUMBER(AC497),_xlfn.RANK.EQ(AC497,$AC$2:$AC$1031),"")</f>
        <v/>
      </c>
      <c r="AE497" s="15">
        <f>IF(ISNUMBER(AF497),AF497/3630,"")</f>
        <v/>
      </c>
      <c r="AF497" s="14">
        <f>IFERROR(C497+D497+E497+F497+J497+K497+L497+M497+Q497+R497+S497+T497+IF(ISNUMBER(X497),X497,0)+N(Y497)+N(Z497)+N(AA497),"")</f>
        <v/>
      </c>
      <c r="AG497" s="14">
        <f>IF(ISNUMBER(AF497),AF497,"")</f>
        <v/>
      </c>
      <c r="AH497" s="14">
        <f>IF(ISNUMBER(AG497),_xlfn.RANK.EQ(AG497,$AG$2:$AG$1031),"")</f>
        <v/>
      </c>
    </row>
    <row r="498">
      <c r="A498" s="18" t="n">
        <v>1148</v>
      </c>
      <c r="B498" s="18" t="inlineStr">
        <is>
          <t>عبد الرحمن محمود مصطفى المصري</t>
        </is>
      </c>
      <c r="C498" s="1" t="n">
        <v>587.8</v>
      </c>
      <c r="D498" s="1" t="n"/>
      <c r="E498" s="1" t="n">
        <v>21</v>
      </c>
      <c r="F498" s="1" t="n">
        <v>17</v>
      </c>
      <c r="G498" s="1">
        <f>C498+D498+E498+F498</f>
        <v/>
      </c>
      <c r="H498" s="1">
        <f>IF(ISNUMBER(G498),G498,"")</f>
        <v/>
      </c>
      <c r="I498" s="1">
        <f>_xlfn.RANK.EQ(H498,$H$2:$H$1031)</f>
        <v/>
      </c>
      <c r="J498" s="5" t="n">
        <v>542</v>
      </c>
      <c r="K498" s="5" t="n">
        <v>46</v>
      </c>
      <c r="L498" s="5" t="n">
        <v>19</v>
      </c>
      <c r="M498" s="5" t="n">
        <v>20</v>
      </c>
      <c r="N498" s="5">
        <f>J498+K498+L498+M498</f>
        <v/>
      </c>
      <c r="O498" s="5">
        <f>IF(ISNUMBER(N498),N498,"")</f>
        <v/>
      </c>
      <c r="P498" s="5">
        <f>_xlfn.RANK.EQ(O498,$O$2:$O$1031)</f>
        <v/>
      </c>
      <c r="Q498" s="9" t="n">
        <v>208.5</v>
      </c>
      <c r="R498" s="9" t="n">
        <v>38.5</v>
      </c>
      <c r="S498" s="9" t="n">
        <v>23</v>
      </c>
      <c r="T498" s="9" t="n">
        <v>23</v>
      </c>
      <c r="U498" s="9">
        <f>Q498+R498+S498+T498</f>
        <v/>
      </c>
      <c r="V498" s="9">
        <f>IF(ISNUMBER(U498),U498,"")</f>
        <v/>
      </c>
      <c r="W498" s="9">
        <f>_xlfn.RANK.EQ(V498,$V$2:$V$1031)</f>
        <v/>
      </c>
      <c r="X498" s="13" t="n">
        <v>1277.8416666667</v>
      </c>
      <c r="Y498" s="13" t="n">
        <v>22.5</v>
      </c>
      <c r="Z498" s="13" t="n">
        <v>22</v>
      </c>
      <c r="AA498" s="13" t="n">
        <v>24</v>
      </c>
      <c r="AB498" s="13">
        <f>IF(ISNUMBER(X498),X498+N(Y498)+N(Z498)+N(AA498),X498)</f>
        <v/>
      </c>
      <c r="AC498" s="13">
        <f>IF(ISNUMBER(AB498),AB498,"")</f>
        <v/>
      </c>
      <c r="AD498" s="13">
        <f>IF(ISNUMBER(AC498),_xlfn.RANK.EQ(AC498,$AC$2:$AC$1031),"")</f>
        <v/>
      </c>
      <c r="AE498" s="15">
        <f>IF(ISNUMBER(AF498),AF498/3630,"")</f>
        <v/>
      </c>
      <c r="AF498" s="14">
        <f>IFERROR(C498+D498+E498+F498+J498+K498+L498+M498+Q498+R498+S498+T498+IF(ISNUMBER(X498),X498,0)+N(Y498)+N(Z498)+N(AA498),"")</f>
        <v/>
      </c>
      <c r="AG498" s="14">
        <f>IF(ISNUMBER(AF498),AF498,"")</f>
        <v/>
      </c>
      <c r="AH498" s="14">
        <f>IF(ISNUMBER(AG498),_xlfn.RANK.EQ(AG498,$AG$2:$AG$1031),"")</f>
        <v/>
      </c>
    </row>
    <row r="499">
      <c r="A499" s="18" t="n">
        <v>1149</v>
      </c>
      <c r="B499" s="18" t="inlineStr">
        <is>
          <t>عبد الرحمن مسعد ابراهيم المقطف</t>
        </is>
      </c>
      <c r="C499" s="1" t="n">
        <v>469</v>
      </c>
      <c r="D499" s="1" t="n">
        <v>20</v>
      </c>
      <c r="E499" s="1" t="n">
        <v>17</v>
      </c>
      <c r="F499" s="1" t="n">
        <v>17</v>
      </c>
      <c r="G499" s="1">
        <f>C499+D499+E499+F499</f>
        <v/>
      </c>
      <c r="H499" s="1">
        <f>IF(ISNUMBER(G499),G499,"")</f>
        <v/>
      </c>
      <c r="I499" s="1">
        <f>_xlfn.RANK.EQ(H499,$H$2:$H$1031)</f>
        <v/>
      </c>
      <c r="J499" s="5" t="n">
        <v>427</v>
      </c>
      <c r="K499" s="5" t="n">
        <v>42</v>
      </c>
      <c r="L499" s="5" t="n">
        <v>18</v>
      </c>
      <c r="M499" s="5" t="n">
        <v>21</v>
      </c>
      <c r="N499" s="5">
        <f>J499+K499+L499+M499</f>
        <v/>
      </c>
      <c r="O499" s="5">
        <f>IF(ISNUMBER(N499),N499,"")</f>
        <v/>
      </c>
      <c r="P499" s="5">
        <f>_xlfn.RANK.EQ(O499,$O$2:$O$1031)</f>
        <v/>
      </c>
      <c r="Q499" s="9" t="n">
        <v>208</v>
      </c>
      <c r="R499" s="9" t="n">
        <v>40.5</v>
      </c>
      <c r="S499" s="9" t="n">
        <v>22</v>
      </c>
      <c r="T499" s="9" t="n">
        <v>23.5</v>
      </c>
      <c r="U499" s="9">
        <f>Q499+R499+S499+T499</f>
        <v/>
      </c>
      <c r="V499" s="9">
        <f>IF(ISNUMBER(U499),U499,"")</f>
        <v/>
      </c>
      <c r="W499" s="9">
        <f>_xlfn.RANK.EQ(V499,$V$2:$V$1031)</f>
        <v/>
      </c>
      <c r="X499" s="13" t="n">
        <v>1158.6166666667</v>
      </c>
      <c r="Y499" s="13" t="n">
        <v>18</v>
      </c>
      <c r="Z499" s="13" t="n">
        <v>10</v>
      </c>
      <c r="AA499" s="13" t="n">
        <v>20</v>
      </c>
      <c r="AB499" s="13">
        <f>IF(ISNUMBER(X499),X499+N(Y499)+N(Z499)+N(AA499),X499)</f>
        <v/>
      </c>
      <c r="AC499" s="13">
        <f>IF(ISNUMBER(AB499),AB499,"")</f>
        <v/>
      </c>
      <c r="AD499" s="13">
        <f>IF(ISNUMBER(AC499),_xlfn.RANK.EQ(AC499,$AC$2:$AC$1031),"")</f>
        <v/>
      </c>
      <c r="AE499" s="15">
        <f>IF(ISNUMBER(AF499),AF499/3630,"")</f>
        <v/>
      </c>
      <c r="AF499" s="14">
        <f>IFERROR(C499+D499+E499+F499+J499+K499+L499+M499+Q499+R499+S499+T499+IF(ISNUMBER(X499),X499,0)+N(Y499)+N(Z499)+N(AA499),"")</f>
        <v/>
      </c>
      <c r="AG499" s="14">
        <f>IF(ISNUMBER(AF499),AF499,"")</f>
        <v/>
      </c>
      <c r="AH499" s="14">
        <f>IF(ISNUMBER(AG499),_xlfn.RANK.EQ(AG499,$AG$2:$AG$1031),"")</f>
        <v/>
      </c>
    </row>
    <row r="500">
      <c r="A500" s="18" t="n">
        <v>1150</v>
      </c>
      <c r="B500" s="18" t="inlineStr">
        <is>
          <t>عبد الرحمن مصطفى محمد ابراهيم درويش</t>
        </is>
      </c>
      <c r="C500" s="1" t="n">
        <v>586.3</v>
      </c>
      <c r="D500" s="1" t="n">
        <v>24</v>
      </c>
      <c r="E500" s="1" t="n">
        <v>16</v>
      </c>
      <c r="F500" s="1" t="n">
        <v>19</v>
      </c>
      <c r="G500" s="1">
        <f>C500+D500+E500+F500</f>
        <v/>
      </c>
      <c r="H500" s="1">
        <f>IF(ISNUMBER(G500),G500,"")</f>
        <v/>
      </c>
      <c r="I500" s="1">
        <f>_xlfn.RANK.EQ(H500,$H$2:$H$1031)</f>
        <v/>
      </c>
      <c r="J500" s="5" t="n">
        <v>599</v>
      </c>
      <c r="K500" s="5" t="n">
        <v>43</v>
      </c>
      <c r="L500" s="5" t="n">
        <v>22</v>
      </c>
      <c r="M500" s="5" t="n">
        <v>22</v>
      </c>
      <c r="N500" s="5">
        <f>J500+K500+L500+M500</f>
        <v/>
      </c>
      <c r="O500" s="5">
        <f>IF(ISNUMBER(N500),N500,"")</f>
        <v/>
      </c>
      <c r="P500" s="5">
        <f>_xlfn.RANK.EQ(O500,$O$2:$O$1031)</f>
        <v/>
      </c>
      <c r="Q500" s="9" t="n">
        <v>213.5</v>
      </c>
      <c r="R500" s="9" t="n">
        <v>36.5</v>
      </c>
      <c r="S500" s="9" t="n">
        <v>20</v>
      </c>
      <c r="T500" s="9" t="n">
        <v>24</v>
      </c>
      <c r="U500" s="9">
        <f>Q500+R500+S500+T500</f>
        <v/>
      </c>
      <c r="V500" s="9">
        <f>IF(ISNUMBER(U500),U500,"")</f>
        <v/>
      </c>
      <c r="W500" s="9">
        <f>_xlfn.RANK.EQ(V500,$V$2:$V$1031)</f>
        <v/>
      </c>
      <c r="X500" s="13" t="inlineStr">
        <is>
          <t>راسب</t>
        </is>
      </c>
      <c r="Y500" s="13" t="n">
        <v>19.5</v>
      </c>
      <c r="Z500" s="13" t="n">
        <v>19</v>
      </c>
      <c r="AA500" s="13" t="n">
        <v>21</v>
      </c>
      <c r="AB500" s="13">
        <f>IF(ISNUMBER(X500),X500+N(Y500)+N(Z500)+N(AA500),X500)</f>
        <v/>
      </c>
      <c r="AC500" s="13">
        <f>IF(ISNUMBER(AB500),AB500,"")</f>
        <v/>
      </c>
      <c r="AD500" s="13">
        <f>IF(ISNUMBER(AC500),_xlfn.RANK.EQ(AC500,$AC$2:$AC$1031),"")</f>
        <v/>
      </c>
      <c r="AE500" s="15">
        <f>IF(ISNUMBER(AF500),AF500/3630,"")</f>
        <v/>
      </c>
      <c r="AF500" s="14">
        <f>IFERROR(C500+D500+E500+F500+J500+K500+L500+M500+Q500+R500+S500+T500+IF(ISNUMBER(X500),X500,0)+N(Y500)+N(Z500)+N(AA500),"")</f>
        <v/>
      </c>
      <c r="AG500" s="14">
        <f>IF(ISNUMBER(AF500),AF500,"")</f>
        <v/>
      </c>
      <c r="AH500" s="14">
        <f>IF(ISNUMBER(AG500),_xlfn.RANK.EQ(AG500,$AG$2:$AG$1031),"")</f>
        <v/>
      </c>
    </row>
    <row r="501">
      <c r="A501" s="18" t="n">
        <v>1152</v>
      </c>
      <c r="B501" s="18" t="inlineStr">
        <is>
          <t>عبد الرحمن ولاء بهاء الدين مصطفى خليل</t>
        </is>
      </c>
      <c r="C501" s="1" t="n">
        <v>582.1</v>
      </c>
      <c r="D501" s="1" t="n">
        <v>23</v>
      </c>
      <c r="E501" s="1" t="n">
        <v>23</v>
      </c>
      <c r="F501" s="1" t="n">
        <v>23</v>
      </c>
      <c r="G501" s="1">
        <f>C501+D501+E501+F501</f>
        <v/>
      </c>
      <c r="H501" s="1">
        <f>IF(ISNUMBER(G501),G501,"")</f>
        <v/>
      </c>
      <c r="I501" s="1">
        <f>_xlfn.RANK.EQ(H501,$H$2:$H$1031)</f>
        <v/>
      </c>
      <c r="J501" s="5" t="n">
        <v>576</v>
      </c>
      <c r="K501" s="5" t="n">
        <v>40</v>
      </c>
      <c r="L501" s="5" t="n">
        <v>20</v>
      </c>
      <c r="M501" s="5" t="n">
        <v>18</v>
      </c>
      <c r="N501" s="5">
        <f>J501+K501+L501+M501</f>
        <v/>
      </c>
      <c r="O501" s="5">
        <f>IF(ISNUMBER(N501),N501,"")</f>
        <v/>
      </c>
      <c r="P501" s="5">
        <f>_xlfn.RANK.EQ(O501,$O$2:$O$1031)</f>
        <v/>
      </c>
      <c r="Q501" s="9" t="n">
        <v>230.75</v>
      </c>
      <c r="R501" s="9" t="n">
        <v>47</v>
      </c>
      <c r="S501" s="9" t="n">
        <v>24</v>
      </c>
      <c r="T501" s="9" t="n">
        <v>25</v>
      </c>
      <c r="U501" s="9">
        <f>Q501+R501+S501+T501</f>
        <v/>
      </c>
      <c r="V501" s="9">
        <f>IF(ISNUMBER(U501),U501,"")</f>
        <v/>
      </c>
      <c r="W501" s="9">
        <f>_xlfn.RANK.EQ(V501,$V$2:$V$1031)</f>
        <v/>
      </c>
      <c r="X501" s="13" t="n">
        <v>1459.7583333333</v>
      </c>
      <c r="Y501" s="13" t="n">
        <v>25</v>
      </c>
      <c r="Z501" s="13" t="n">
        <v>23</v>
      </c>
      <c r="AA501" s="13" t="n">
        <v>22</v>
      </c>
      <c r="AB501" s="13">
        <f>IF(ISNUMBER(X501),X501+N(Y501)+N(Z501)+N(AA501),X501)</f>
        <v/>
      </c>
      <c r="AC501" s="13">
        <f>IF(ISNUMBER(AB501),AB501,"")</f>
        <v/>
      </c>
      <c r="AD501" s="13">
        <f>IF(ISNUMBER(AC501),_xlfn.RANK.EQ(AC501,$AC$2:$AC$1031),"")</f>
        <v/>
      </c>
      <c r="AE501" s="15">
        <f>IF(ISNUMBER(AF501),AF501/3630,"")</f>
        <v/>
      </c>
      <c r="AF501" s="14">
        <f>IFERROR(C501+D501+E501+F501+J501+K501+L501+M501+Q501+R501+S501+T501+IF(ISNUMBER(X501),X501,0)+N(Y501)+N(Z501)+N(AA501),"")</f>
        <v/>
      </c>
      <c r="AG501" s="14">
        <f>IF(ISNUMBER(AF501),AF501,"")</f>
        <v/>
      </c>
      <c r="AH501" s="14">
        <f>IF(ISNUMBER(AG501),_xlfn.RANK.EQ(AG501,$AG$2:$AG$1031),"")</f>
        <v/>
      </c>
    </row>
    <row r="502">
      <c r="A502" s="18" t="n">
        <v>1153</v>
      </c>
      <c r="B502" s="18" t="inlineStr">
        <is>
          <t>عبد الرحمن يس عبده محمد</t>
        </is>
      </c>
      <c r="C502" s="1" t="n">
        <v>415.5</v>
      </c>
      <c r="D502" s="1" t="n">
        <v>6</v>
      </c>
      <c r="E502" s="1" t="n">
        <v>3</v>
      </c>
      <c r="F502" s="1" t="n">
        <v>9</v>
      </c>
      <c r="G502" s="1">
        <f>C502+D502+E502+F502</f>
        <v/>
      </c>
      <c r="H502" s="1">
        <f>IF(ISNUMBER(G502),G502,"")</f>
        <v/>
      </c>
      <c r="I502" s="1">
        <f>_xlfn.RANK.EQ(H502,$H$2:$H$1031)</f>
        <v/>
      </c>
      <c r="J502" s="5" t="n">
        <v>451</v>
      </c>
      <c r="K502" s="5" t="n">
        <v>32</v>
      </c>
      <c r="L502" s="5" t="n">
        <v>19</v>
      </c>
      <c r="M502" s="5" t="n">
        <v>17</v>
      </c>
      <c r="N502" s="5">
        <f>J502+K502+L502+M502</f>
        <v/>
      </c>
      <c r="O502" s="5">
        <f>IF(ISNUMBER(N502),N502,"")</f>
        <v/>
      </c>
      <c r="P502" s="5">
        <f>_xlfn.RANK.EQ(O502,$O$2:$O$1031)</f>
        <v/>
      </c>
      <c r="Q502" s="9" t="n">
        <v>173</v>
      </c>
      <c r="R502" s="9" t="n">
        <v>29.5</v>
      </c>
      <c r="S502" s="9" t="n">
        <v>23</v>
      </c>
      <c r="T502" s="9" t="n">
        <v>21.5</v>
      </c>
      <c r="U502" s="9">
        <f>Q502+R502+S502+T502</f>
        <v/>
      </c>
      <c r="V502" s="9">
        <f>IF(ISNUMBER(U502),U502,"")</f>
        <v/>
      </c>
      <c r="W502" s="9">
        <f>_xlfn.RANK.EQ(V502,$V$2:$V$1031)</f>
        <v/>
      </c>
      <c r="X502" s="13" t="inlineStr">
        <is>
          <t>راسب</t>
        </is>
      </c>
      <c r="Y502" s="13" t="n">
        <v>20</v>
      </c>
      <c r="Z502" s="13" t="n">
        <v>15</v>
      </c>
      <c r="AA502" s="13" t="n">
        <v>21</v>
      </c>
      <c r="AB502" s="13">
        <f>IF(ISNUMBER(X502),X502+N(Y502)+N(Z502)+N(AA502),X502)</f>
        <v/>
      </c>
      <c r="AC502" s="13">
        <f>IF(ISNUMBER(AB502),AB502,"")</f>
        <v/>
      </c>
      <c r="AD502" s="13">
        <f>IF(ISNUMBER(AC502),_xlfn.RANK.EQ(AC502,$AC$2:$AC$1031),"")</f>
        <v/>
      </c>
      <c r="AE502" s="15">
        <f>IF(ISNUMBER(AF502),AF502/3630,"")</f>
        <v/>
      </c>
      <c r="AF502" s="14">
        <f>IFERROR(C502+D502+E502+F502+J502+K502+L502+M502+Q502+R502+S502+T502+IF(ISNUMBER(X502),X502,0)+N(Y502)+N(Z502)+N(AA502),"")</f>
        <v/>
      </c>
      <c r="AG502" s="14">
        <f>IF(ISNUMBER(AF502),AF502,"")</f>
        <v/>
      </c>
      <c r="AH502" s="14">
        <f>IF(ISNUMBER(AG502),_xlfn.RANK.EQ(AG502,$AG$2:$AG$1031),"")</f>
        <v/>
      </c>
    </row>
    <row r="503">
      <c r="A503" s="18" t="n">
        <v>1154</v>
      </c>
      <c r="B503" s="18" t="inlineStr">
        <is>
          <t>عبد الرحيم مهدى محمد أبوعيشة</t>
        </is>
      </c>
      <c r="C503" s="1" t="n">
        <v>569.9</v>
      </c>
      <c r="D503" s="1" t="n">
        <v>23</v>
      </c>
      <c r="E503" s="1" t="n">
        <v>23</v>
      </c>
      <c r="F503" s="1" t="n">
        <v>23</v>
      </c>
      <c r="G503" s="1">
        <f>C503+D503+E503+F503</f>
        <v/>
      </c>
      <c r="H503" s="1">
        <f>IF(ISNUMBER(G503),G503,"")</f>
        <v/>
      </c>
      <c r="I503" s="1">
        <f>_xlfn.RANK.EQ(H503,$H$2:$H$1031)</f>
        <v/>
      </c>
      <c r="J503" s="5" t="n">
        <v>537.5</v>
      </c>
      <c r="K503" s="5" t="n">
        <v>48</v>
      </c>
      <c r="L503" s="5" t="n">
        <v>23</v>
      </c>
      <c r="M503" s="5" t="n">
        <v>20</v>
      </c>
      <c r="N503" s="5">
        <f>J503+K503+L503+M503</f>
        <v/>
      </c>
      <c r="O503" s="5">
        <f>IF(ISNUMBER(N503),N503,"")</f>
        <v/>
      </c>
      <c r="P503" s="5">
        <f>_xlfn.RANK.EQ(O503,$O$2:$O$1031)</f>
        <v/>
      </c>
      <c r="Q503" s="9" t="n">
        <v>229.75</v>
      </c>
      <c r="R503" s="9" t="n">
        <v>44</v>
      </c>
      <c r="S503" s="9" t="n">
        <v>22</v>
      </c>
      <c r="T503" s="9" t="n">
        <v>21.5</v>
      </c>
      <c r="U503" s="9">
        <f>Q503+R503+S503+T503</f>
        <v/>
      </c>
      <c r="V503" s="9">
        <f>IF(ISNUMBER(U503),U503,"")</f>
        <v/>
      </c>
      <c r="W503" s="9">
        <f>_xlfn.RANK.EQ(V503,$V$2:$V$1031)</f>
        <v/>
      </c>
      <c r="X503" s="13" t="n">
        <v>1280.6041666667</v>
      </c>
      <c r="Y503" s="13" t="n">
        <v>25</v>
      </c>
      <c r="Z503" s="13" t="n">
        <v>24</v>
      </c>
      <c r="AA503" s="13" t="n">
        <v>23</v>
      </c>
      <c r="AB503" s="13">
        <f>IF(ISNUMBER(X503),X503+N(Y503)+N(Z503)+N(AA503),X503)</f>
        <v/>
      </c>
      <c r="AC503" s="13">
        <f>IF(ISNUMBER(AB503),AB503,"")</f>
        <v/>
      </c>
      <c r="AD503" s="13">
        <f>IF(ISNUMBER(AC503),_xlfn.RANK.EQ(AC503,$AC$2:$AC$1031),"")</f>
        <v/>
      </c>
      <c r="AE503" s="15">
        <f>IF(ISNUMBER(AF503),AF503/3630,"")</f>
        <v/>
      </c>
      <c r="AF503" s="14">
        <f>IFERROR(C503+D503+E503+F503+J503+K503+L503+M503+Q503+R503+S503+T503+IF(ISNUMBER(X503),X503,0)+N(Y503)+N(Z503)+N(AA503),"")</f>
        <v/>
      </c>
      <c r="AG503" s="14">
        <f>IF(ISNUMBER(AF503),AF503,"")</f>
        <v/>
      </c>
      <c r="AH503" s="14">
        <f>IF(ISNUMBER(AG503),_xlfn.RANK.EQ(AG503,$AG$2:$AG$1031),"")</f>
        <v/>
      </c>
    </row>
    <row r="504">
      <c r="A504" s="18" t="n">
        <v>1181</v>
      </c>
      <c r="B504" s="18" t="inlineStr">
        <is>
          <t>عبد الله ابراهيم حسين محمد حسن بر</t>
        </is>
      </c>
      <c r="C504" s="1" t="n">
        <v>457.9</v>
      </c>
      <c r="D504" s="1" t="n">
        <v>25</v>
      </c>
      <c r="E504" s="1" t="n">
        <v>19</v>
      </c>
      <c r="F504" s="1" t="n">
        <v>13</v>
      </c>
      <c r="G504" s="1">
        <f>C504+D504+E504+F504</f>
        <v/>
      </c>
      <c r="H504" s="1">
        <f>IF(ISNUMBER(G504),G504,"")</f>
        <v/>
      </c>
      <c r="I504" s="1">
        <f>_xlfn.RANK.EQ(H504,$H$2:$H$1031)</f>
        <v/>
      </c>
      <c r="J504" s="5" t="n">
        <v>425.5</v>
      </c>
      <c r="K504" s="5" t="n">
        <v>38</v>
      </c>
      <c r="L504" s="5" t="n">
        <v>20</v>
      </c>
      <c r="M504" s="5" t="n">
        <v>20</v>
      </c>
      <c r="N504" s="5">
        <f>J504+K504+L504+M504</f>
        <v/>
      </c>
      <c r="O504" s="5">
        <f>IF(ISNUMBER(N504),N504,"")</f>
        <v/>
      </c>
      <c r="P504" s="5">
        <f>_xlfn.RANK.EQ(O504,$O$2:$O$1031)</f>
        <v/>
      </c>
      <c r="Q504" s="9" t="n">
        <v>183</v>
      </c>
      <c r="R504" s="9" t="n">
        <v>32</v>
      </c>
      <c r="S504" s="9" t="n">
        <v>20</v>
      </c>
      <c r="T504" s="9" t="n">
        <v>22.5</v>
      </c>
      <c r="U504" s="9">
        <f>Q504+R504+S504+T504</f>
        <v/>
      </c>
      <c r="V504" s="9">
        <f>IF(ISNUMBER(U504),U504,"")</f>
        <v/>
      </c>
      <c r="W504" s="9">
        <f>_xlfn.RANK.EQ(V504,$V$2:$V$1031)</f>
        <v/>
      </c>
      <c r="X504" s="13" t="inlineStr">
        <is>
          <t>راسب</t>
        </is>
      </c>
      <c r="Y504" s="13" t="n">
        <v>22</v>
      </c>
      <c r="Z504" s="13" t="n">
        <v>18</v>
      </c>
      <c r="AA504" s="13" t="n">
        <v>22</v>
      </c>
      <c r="AB504" s="13">
        <f>IF(ISNUMBER(X504),X504+N(Y504)+N(Z504)+N(AA504),X504)</f>
        <v/>
      </c>
      <c r="AC504" s="13">
        <f>IF(ISNUMBER(AB504),AB504,"")</f>
        <v/>
      </c>
      <c r="AD504" s="13">
        <f>IF(ISNUMBER(AC504),_xlfn.RANK.EQ(AC504,$AC$2:$AC$1031),"")</f>
        <v/>
      </c>
      <c r="AE504" s="15">
        <f>IF(ISNUMBER(AF504),AF504/3630,"")</f>
        <v/>
      </c>
      <c r="AF504" s="14">
        <f>IFERROR(C504+D504+E504+F504+J504+K504+L504+M504+Q504+R504+S504+T504+IF(ISNUMBER(X504),X504,0)+N(Y504)+N(Z504)+N(AA504),"")</f>
        <v/>
      </c>
      <c r="AG504" s="14">
        <f>IF(ISNUMBER(AF504),AF504,"")</f>
        <v/>
      </c>
      <c r="AH504" s="14">
        <f>IF(ISNUMBER(AG504),_xlfn.RANK.EQ(AG504,$AG$2:$AG$1031),"")</f>
        <v/>
      </c>
    </row>
    <row r="505">
      <c r="A505" s="18" t="n">
        <v>1184</v>
      </c>
      <c r="B505" s="18" t="inlineStr">
        <is>
          <t>عبد الله احمد يس  ابوكريشة</t>
        </is>
      </c>
      <c r="C505" s="1" t="n">
        <v>468.6</v>
      </c>
      <c r="D505" s="1" t="n">
        <v>24</v>
      </c>
      <c r="E505" s="1" t="n">
        <v>20</v>
      </c>
      <c r="F505" s="1" t="n">
        <v>16</v>
      </c>
      <c r="G505" s="1">
        <f>C505+D505+E505+F505</f>
        <v/>
      </c>
      <c r="H505" s="1">
        <f>IF(ISNUMBER(G505),G505,"")</f>
        <v/>
      </c>
      <c r="I505" s="1">
        <f>_xlfn.RANK.EQ(H505,$H$2:$H$1031)</f>
        <v/>
      </c>
      <c r="J505" s="5" t="n">
        <v>560.5</v>
      </c>
      <c r="K505" s="5" t="n">
        <v>48</v>
      </c>
      <c r="L505" s="5" t="n">
        <v>23</v>
      </c>
      <c r="M505" s="5" t="n">
        <v>18</v>
      </c>
      <c r="N505" s="5">
        <f>J505+K505+L505+M505</f>
        <v/>
      </c>
      <c r="O505" s="5">
        <f>IF(ISNUMBER(N505),N505,"")</f>
        <v/>
      </c>
      <c r="P505" s="5">
        <f>_xlfn.RANK.EQ(O505,$O$2:$O$1031)</f>
        <v/>
      </c>
      <c r="Q505" s="9" t="n">
        <v>235.75</v>
      </c>
      <c r="R505" s="9" t="n">
        <v>45</v>
      </c>
      <c r="S505" s="9" t="n">
        <v>24</v>
      </c>
      <c r="T505" s="9" t="n">
        <v>24</v>
      </c>
      <c r="U505" s="9">
        <f>Q505+R505+S505+T505</f>
        <v/>
      </c>
      <c r="V505" s="9">
        <f>IF(ISNUMBER(U505),U505,"")</f>
        <v/>
      </c>
      <c r="W505" s="9">
        <f>_xlfn.RANK.EQ(V505,$V$2:$V$1031)</f>
        <v/>
      </c>
      <c r="X505" s="13" t="n">
        <v>1346.7666666667</v>
      </c>
      <c r="Y505" s="13" t="n">
        <v>23.5</v>
      </c>
      <c r="Z505" s="13" t="n">
        <v>23</v>
      </c>
      <c r="AA505" s="13" t="n">
        <v>22</v>
      </c>
      <c r="AB505" s="13">
        <f>IF(ISNUMBER(X505),X505+N(Y505)+N(Z505)+N(AA505),X505)</f>
        <v/>
      </c>
      <c r="AC505" s="13">
        <f>IF(ISNUMBER(AB505),AB505,"")</f>
        <v/>
      </c>
      <c r="AD505" s="13">
        <f>IF(ISNUMBER(AC505),_xlfn.RANK.EQ(AC505,$AC$2:$AC$1031),"")</f>
        <v/>
      </c>
      <c r="AE505" s="15">
        <f>IF(ISNUMBER(AF505),AF505/3630,"")</f>
        <v/>
      </c>
      <c r="AF505" s="14">
        <f>IFERROR(C505+D505+E505+F505+J505+K505+L505+M505+Q505+R505+S505+T505+IF(ISNUMBER(X505),X505,0)+N(Y505)+N(Z505)+N(AA505),"")</f>
        <v/>
      </c>
      <c r="AG505" s="14">
        <f>IF(ISNUMBER(AF505),AF505,"")</f>
        <v/>
      </c>
      <c r="AH505" s="14">
        <f>IF(ISNUMBER(AG505),_xlfn.RANK.EQ(AG505,$AG$2:$AG$1031),"")</f>
        <v/>
      </c>
    </row>
    <row r="506">
      <c r="A506" s="18" t="n">
        <v>1186</v>
      </c>
      <c r="B506" s="18" t="inlineStr">
        <is>
          <t>عبد الله اشرف سلامه محمد سلامه</t>
        </is>
      </c>
      <c r="C506" s="1" t="n">
        <v>597.6</v>
      </c>
      <c r="D506" s="1" t="n">
        <v>25</v>
      </c>
      <c r="E506" s="1" t="n">
        <v>22</v>
      </c>
      <c r="F506" s="1" t="n">
        <v>20.5</v>
      </c>
      <c r="G506" s="1">
        <f>C506+D506+E506+F506</f>
        <v/>
      </c>
      <c r="H506" s="1">
        <f>IF(ISNUMBER(G506),G506,"")</f>
        <v/>
      </c>
      <c r="I506" s="1">
        <f>_xlfn.RANK.EQ(H506,$H$2:$H$1031)</f>
        <v/>
      </c>
      <c r="J506" s="5" t="n">
        <v>594.5</v>
      </c>
      <c r="K506" s="5" t="n">
        <v>46</v>
      </c>
      <c r="L506" s="5" t="n">
        <v>19</v>
      </c>
      <c r="M506" s="5" t="n">
        <v>17</v>
      </c>
      <c r="N506" s="5">
        <f>J506+K506+L506+M506</f>
        <v/>
      </c>
      <c r="O506" s="5">
        <f>IF(ISNUMBER(N506),N506,"")</f>
        <v/>
      </c>
      <c r="P506" s="5">
        <f>_xlfn.RANK.EQ(O506,$O$2:$O$1031)</f>
        <v/>
      </c>
      <c r="Q506" s="9" t="n">
        <v>268</v>
      </c>
      <c r="R506" s="9" t="n">
        <v>46</v>
      </c>
      <c r="S506" s="9" t="n">
        <v>25</v>
      </c>
      <c r="T506" s="9" t="n">
        <v>24</v>
      </c>
      <c r="U506" s="9">
        <f>Q506+R506+S506+T506</f>
        <v/>
      </c>
      <c r="V506" s="9">
        <f>IF(ISNUMBER(U506),U506,"")</f>
        <v/>
      </c>
      <c r="W506" s="9">
        <f>_xlfn.RANK.EQ(V506,$V$2:$V$1031)</f>
        <v/>
      </c>
      <c r="X506" s="13" t="n">
        <v>1475.45</v>
      </c>
      <c r="Y506" s="13" t="n">
        <v>25</v>
      </c>
      <c r="Z506" s="13" t="n">
        <v>23</v>
      </c>
      <c r="AA506" s="13" t="n">
        <v>25</v>
      </c>
      <c r="AB506" s="13">
        <f>IF(ISNUMBER(X506),X506+N(Y506)+N(Z506)+N(AA506),X506)</f>
        <v/>
      </c>
      <c r="AC506" s="13">
        <f>IF(ISNUMBER(AB506),AB506,"")</f>
        <v/>
      </c>
      <c r="AD506" s="13">
        <f>IF(ISNUMBER(AC506),_xlfn.RANK.EQ(AC506,$AC$2:$AC$1031),"")</f>
        <v/>
      </c>
      <c r="AE506" s="15">
        <f>IF(ISNUMBER(AF506),AF506/3630,"")</f>
        <v/>
      </c>
      <c r="AF506" s="14">
        <f>IFERROR(C506+D506+E506+F506+J506+K506+L506+M506+Q506+R506+S506+T506+IF(ISNUMBER(X506),X506,0)+N(Y506)+N(Z506)+N(AA506),"")</f>
        <v/>
      </c>
      <c r="AG506" s="14">
        <f>IF(ISNUMBER(AF506),AF506,"")</f>
        <v/>
      </c>
      <c r="AH506" s="14">
        <f>IF(ISNUMBER(AG506),_xlfn.RANK.EQ(AG506,$AG$2:$AG$1031),"")</f>
        <v/>
      </c>
    </row>
    <row r="507">
      <c r="A507" s="18" t="n">
        <v>1187</v>
      </c>
      <c r="B507" s="18" t="inlineStr">
        <is>
          <t>عبد الله اشرف مسعود خليفة</t>
        </is>
      </c>
      <c r="C507" s="1" t="n">
        <v>557</v>
      </c>
      <c r="D507" s="1" t="n">
        <v>24</v>
      </c>
      <c r="E507" s="1" t="n">
        <v>23</v>
      </c>
      <c r="F507" s="1" t="n">
        <v>19</v>
      </c>
      <c r="G507" s="1">
        <f>C507+D507+E507+F507</f>
        <v/>
      </c>
      <c r="H507" s="1">
        <f>IF(ISNUMBER(G507),G507,"")</f>
        <v/>
      </c>
      <c r="I507" s="1">
        <f>_xlfn.RANK.EQ(H507,$H$2:$H$1031)</f>
        <v/>
      </c>
      <c r="J507" s="5" t="n">
        <v>569</v>
      </c>
      <c r="K507" s="5" t="n">
        <v>47</v>
      </c>
      <c r="L507" s="5" t="n">
        <v>22</v>
      </c>
      <c r="M507" s="5" t="n">
        <v>19</v>
      </c>
      <c r="N507" s="5">
        <f>J507+K507+L507+M507</f>
        <v/>
      </c>
      <c r="O507" s="5">
        <f>IF(ISNUMBER(N507),N507,"")</f>
        <v/>
      </c>
      <c r="P507" s="5">
        <f>_xlfn.RANK.EQ(O507,$O$2:$O$1031)</f>
        <v/>
      </c>
      <c r="Q507" s="9" t="n">
        <v>237</v>
      </c>
      <c r="R507" s="9" t="n">
        <v>43</v>
      </c>
      <c r="S507" s="9" t="n">
        <v>22</v>
      </c>
      <c r="T507" s="9" t="n">
        <v>20</v>
      </c>
      <c r="U507" s="9">
        <f>Q507+R507+S507+T507</f>
        <v/>
      </c>
      <c r="V507" s="9">
        <f>IF(ISNUMBER(U507),U507,"")</f>
        <v/>
      </c>
      <c r="W507" s="9">
        <f>_xlfn.RANK.EQ(V507,$V$2:$V$1031)</f>
        <v/>
      </c>
      <c r="X507" s="13" t="n">
        <v>1335.1708333333</v>
      </c>
      <c r="Y507" s="13" t="n">
        <v>23.5</v>
      </c>
      <c r="Z507" s="13" t="n">
        <v>22</v>
      </c>
      <c r="AA507" s="13" t="n">
        <v>22</v>
      </c>
      <c r="AB507" s="13">
        <f>IF(ISNUMBER(X507),X507+N(Y507)+N(Z507)+N(AA507),X507)</f>
        <v/>
      </c>
      <c r="AC507" s="13">
        <f>IF(ISNUMBER(AB507),AB507,"")</f>
        <v/>
      </c>
      <c r="AD507" s="13">
        <f>IF(ISNUMBER(AC507),_xlfn.RANK.EQ(AC507,$AC$2:$AC$1031),"")</f>
        <v/>
      </c>
      <c r="AE507" s="15">
        <f>IF(ISNUMBER(AF507),AF507/3630,"")</f>
        <v/>
      </c>
      <c r="AF507" s="14">
        <f>IFERROR(C507+D507+E507+F507+J507+K507+L507+M507+Q507+R507+S507+T507+IF(ISNUMBER(X507),X507,0)+N(Y507)+N(Z507)+N(AA507),"")</f>
        <v/>
      </c>
      <c r="AG507" s="14">
        <f>IF(ISNUMBER(AF507),AF507,"")</f>
        <v/>
      </c>
      <c r="AH507" s="14">
        <f>IF(ISNUMBER(AG507),_xlfn.RANK.EQ(AG507,$AG$2:$AG$1031),"")</f>
        <v/>
      </c>
    </row>
    <row r="508">
      <c r="A508" s="18" t="n">
        <v>1196</v>
      </c>
      <c r="B508" s="18" t="inlineStr">
        <is>
          <t>عبد الله حسام محمود  مراد محمود</t>
        </is>
      </c>
      <c r="C508" s="1" t="n">
        <v>624.2</v>
      </c>
      <c r="D508" s="1" t="n">
        <v>24</v>
      </c>
      <c r="E508" s="1" t="n">
        <v>18</v>
      </c>
      <c r="F508" s="1" t="n">
        <v>22</v>
      </c>
      <c r="G508" s="1">
        <f>C508+D508+E508+F508</f>
        <v/>
      </c>
      <c r="H508" s="1">
        <f>IF(ISNUMBER(G508),G508,"")</f>
        <v/>
      </c>
      <c r="I508" s="1">
        <f>_xlfn.RANK.EQ(H508,$H$2:$H$1031)</f>
        <v/>
      </c>
      <c r="J508" s="5" t="n">
        <v>567.5</v>
      </c>
      <c r="K508" s="5" t="n">
        <v>45</v>
      </c>
      <c r="L508" s="5" t="n">
        <v>23</v>
      </c>
      <c r="M508" s="5" t="n">
        <v>23</v>
      </c>
      <c r="N508" s="5">
        <f>J508+K508+L508+M508</f>
        <v/>
      </c>
      <c r="O508" s="5">
        <f>IF(ISNUMBER(N508),N508,"")</f>
        <v/>
      </c>
      <c r="P508" s="5">
        <f>_xlfn.RANK.EQ(O508,$O$2:$O$1031)</f>
        <v/>
      </c>
      <c r="Q508" s="9" t="n">
        <v>274</v>
      </c>
      <c r="R508" s="9" t="n">
        <v>46</v>
      </c>
      <c r="S508" s="9" t="n">
        <v>22</v>
      </c>
      <c r="T508" s="9" t="n">
        <v>24</v>
      </c>
      <c r="U508" s="9">
        <f>Q508+R508+S508+T508</f>
        <v/>
      </c>
      <c r="V508" s="9">
        <f>IF(ISNUMBER(U508),U508,"")</f>
        <v/>
      </c>
      <c r="W508" s="9">
        <f>_xlfn.RANK.EQ(V508,$V$2:$V$1031)</f>
        <v/>
      </c>
      <c r="X508" s="13" t="n">
        <v>1556.1291666667</v>
      </c>
      <c r="Y508" s="13" t="n">
        <v>24</v>
      </c>
      <c r="Z508" s="13" t="n">
        <v>25</v>
      </c>
      <c r="AA508" s="13" t="n">
        <v>24</v>
      </c>
      <c r="AB508" s="13">
        <f>IF(ISNUMBER(X508),X508+N(Y508)+N(Z508)+N(AA508),X508)</f>
        <v/>
      </c>
      <c r="AC508" s="13">
        <f>IF(ISNUMBER(AB508),AB508,"")</f>
        <v/>
      </c>
      <c r="AD508" s="13">
        <f>IF(ISNUMBER(AC508),_xlfn.RANK.EQ(AC508,$AC$2:$AC$1031),"")</f>
        <v/>
      </c>
      <c r="AE508" s="15">
        <f>IF(ISNUMBER(AF508),AF508/3630,"")</f>
        <v/>
      </c>
      <c r="AF508" s="14">
        <f>IFERROR(C508+D508+E508+F508+J508+K508+L508+M508+Q508+R508+S508+T508+IF(ISNUMBER(X508),X508,0)+N(Y508)+N(Z508)+N(AA508),"")</f>
        <v/>
      </c>
      <c r="AG508" s="14">
        <f>IF(ISNUMBER(AF508),AF508,"")</f>
        <v/>
      </c>
      <c r="AH508" s="14">
        <f>IF(ISNUMBER(AG508),_xlfn.RANK.EQ(AG508,$AG$2:$AG$1031),"")</f>
        <v/>
      </c>
    </row>
    <row r="509">
      <c r="A509" s="18" t="n">
        <v>1203</v>
      </c>
      <c r="B509" s="18" t="inlineStr">
        <is>
          <t>عبد الله شهاب محمد اسماعيل</t>
        </is>
      </c>
      <c r="C509" s="1" t="n">
        <v>606.5</v>
      </c>
      <c r="D509" s="1" t="n">
        <v>25</v>
      </c>
      <c r="E509" s="1" t="n">
        <v>23</v>
      </c>
      <c r="F509" s="1" t="n">
        <v>24</v>
      </c>
      <c r="G509" s="1">
        <f>C509+D509+E509+F509</f>
        <v/>
      </c>
      <c r="H509" s="1">
        <f>IF(ISNUMBER(G509),G509,"")</f>
        <v/>
      </c>
      <c r="I509" s="1">
        <f>_xlfn.RANK.EQ(H509,$H$2:$H$1031)</f>
        <v/>
      </c>
      <c r="J509" s="5" t="n">
        <v>591.5</v>
      </c>
      <c r="K509" s="5" t="n">
        <v>49</v>
      </c>
      <c r="L509" s="5" t="n">
        <v>22</v>
      </c>
      <c r="M509" s="5" t="n">
        <v>21</v>
      </c>
      <c r="N509" s="5">
        <f>J509+K509+L509+M509</f>
        <v/>
      </c>
      <c r="O509" s="5">
        <f>IF(ISNUMBER(N509),N509,"")</f>
        <v/>
      </c>
      <c r="P509" s="5">
        <f>_xlfn.RANK.EQ(O509,$O$2:$O$1031)</f>
        <v/>
      </c>
      <c r="Q509" s="9" t="n">
        <v>267.5</v>
      </c>
      <c r="R509" s="9" t="n">
        <v>47.5</v>
      </c>
      <c r="S509" s="9" t="n">
        <v>24</v>
      </c>
      <c r="T509" s="9" t="n">
        <v>23</v>
      </c>
      <c r="U509" s="9">
        <f>Q509+R509+S509+T509</f>
        <v/>
      </c>
      <c r="V509" s="9">
        <f>IF(ISNUMBER(U509),U509,"")</f>
        <v/>
      </c>
      <c r="W509" s="9">
        <f>_xlfn.RANK.EQ(V509,$V$2:$V$1031)</f>
        <v/>
      </c>
      <c r="X509" s="13" t="n">
        <v>1429.625</v>
      </c>
      <c r="Y509" s="13" t="n">
        <v>24</v>
      </c>
      <c r="Z509" s="13" t="n">
        <v>24</v>
      </c>
      <c r="AA509" s="13" t="n">
        <v>22</v>
      </c>
      <c r="AB509" s="13">
        <f>IF(ISNUMBER(X509),X509+N(Y509)+N(Z509)+N(AA509),X509)</f>
        <v/>
      </c>
      <c r="AC509" s="13">
        <f>IF(ISNUMBER(AB509),AB509,"")</f>
        <v/>
      </c>
      <c r="AD509" s="13">
        <f>IF(ISNUMBER(AC509),_xlfn.RANK.EQ(AC509,$AC$2:$AC$1031),"")</f>
        <v/>
      </c>
      <c r="AE509" s="15">
        <f>IF(ISNUMBER(AF509),AF509/3630,"")</f>
        <v/>
      </c>
      <c r="AF509" s="14">
        <f>IFERROR(C509+D509+E509+F509+J509+K509+L509+M509+Q509+R509+S509+T509+IF(ISNUMBER(X509),X509,0)+N(Y509)+N(Z509)+N(AA509),"")</f>
        <v/>
      </c>
      <c r="AG509" s="14">
        <f>IF(ISNUMBER(AF509),AF509,"")</f>
        <v/>
      </c>
      <c r="AH509" s="14">
        <f>IF(ISNUMBER(AG509),_xlfn.RANK.EQ(AG509,$AG$2:$AG$1031),"")</f>
        <v/>
      </c>
    </row>
    <row r="510">
      <c r="A510" s="18" t="n">
        <v>1206</v>
      </c>
      <c r="B510" s="18" t="inlineStr">
        <is>
          <t>عبد الله عادل عبدالشفيع نعيم النقرود</t>
        </is>
      </c>
      <c r="C510" s="1" t="n">
        <v>658.1</v>
      </c>
      <c r="D510" s="1" t="n">
        <v>25</v>
      </c>
      <c r="E510" s="1" t="n">
        <v>24</v>
      </c>
      <c r="F510" s="1" t="n">
        <v>25</v>
      </c>
      <c r="G510" s="1">
        <f>C510+D510+E510+F510</f>
        <v/>
      </c>
      <c r="H510" s="1">
        <f>IF(ISNUMBER(G510),G510,"")</f>
        <v/>
      </c>
      <c r="I510" s="1">
        <f>_xlfn.RANK.EQ(H510,$H$2:$H$1031)</f>
        <v/>
      </c>
      <c r="J510" s="5" t="n">
        <v>643</v>
      </c>
      <c r="K510" s="5" t="n">
        <v>48</v>
      </c>
      <c r="L510" s="5" t="n">
        <v>23</v>
      </c>
      <c r="M510" s="5" t="n">
        <v>24</v>
      </c>
      <c r="N510" s="5">
        <f>J510+K510+L510+M510</f>
        <v/>
      </c>
      <c r="O510" s="5">
        <f>IF(ISNUMBER(N510),N510,"")</f>
        <v/>
      </c>
      <c r="P510" s="5">
        <f>_xlfn.RANK.EQ(O510,$O$2:$O$1031)</f>
        <v/>
      </c>
      <c r="Q510" s="9" t="n">
        <v>283.75</v>
      </c>
      <c r="R510" s="9" t="n">
        <v>48</v>
      </c>
      <c r="S510" s="9" t="n">
        <v>24</v>
      </c>
      <c r="T510" s="9" t="n">
        <v>24</v>
      </c>
      <c r="U510" s="9">
        <f>Q510+R510+S510+T510</f>
        <v/>
      </c>
      <c r="V510" s="9">
        <f>IF(ISNUMBER(U510),U510,"")</f>
        <v/>
      </c>
      <c r="W510" s="9">
        <f>_xlfn.RANK.EQ(V510,$V$2:$V$1031)</f>
        <v/>
      </c>
      <c r="X510" s="13" t="n">
        <v>1589.1125</v>
      </c>
      <c r="Y510" s="13" t="n">
        <v>25</v>
      </c>
      <c r="Z510" s="13" t="n">
        <v>25</v>
      </c>
      <c r="AA510" s="13" t="n">
        <v>24</v>
      </c>
      <c r="AB510" s="13">
        <f>IF(ISNUMBER(X510),X510+N(Y510)+N(Z510)+N(AA510),X510)</f>
        <v/>
      </c>
      <c r="AC510" s="13">
        <f>IF(ISNUMBER(AB510),AB510,"")</f>
        <v/>
      </c>
      <c r="AD510" s="13">
        <f>IF(ISNUMBER(AC510),_xlfn.RANK.EQ(AC510,$AC$2:$AC$1031),"")</f>
        <v/>
      </c>
      <c r="AE510" s="15">
        <f>IF(ISNUMBER(AF510),AF510/3630,"")</f>
        <v/>
      </c>
      <c r="AF510" s="14">
        <f>IFERROR(C510+D510+E510+F510+J510+K510+L510+M510+Q510+R510+S510+T510+IF(ISNUMBER(X510),X510,0)+N(Y510)+N(Z510)+N(AA510),"")</f>
        <v/>
      </c>
      <c r="AG510" s="14">
        <f>IF(ISNUMBER(AF510),AF510,"")</f>
        <v/>
      </c>
      <c r="AH510" s="14">
        <f>IF(ISNUMBER(AG510),_xlfn.RANK.EQ(AG510,$AG$2:$AG$1031),"")</f>
        <v/>
      </c>
    </row>
    <row r="511">
      <c r="A511" s="18" t="n">
        <v>1213</v>
      </c>
      <c r="B511" s="18" t="inlineStr">
        <is>
          <t>عبد الله علاء عبدالله بطور</t>
        </is>
      </c>
      <c r="C511" s="1" t="n">
        <v>581.2</v>
      </c>
      <c r="D511" s="1" t="n">
        <v>21</v>
      </c>
      <c r="E511" s="1" t="n">
        <v>23</v>
      </c>
      <c r="F511" s="1" t="n">
        <v>21</v>
      </c>
      <c r="G511" s="1">
        <f>C511+D511+E511+F511</f>
        <v/>
      </c>
      <c r="H511" s="1">
        <f>IF(ISNUMBER(G511),G511,"")</f>
        <v/>
      </c>
      <c r="I511" s="1">
        <f>_xlfn.RANK.EQ(H511,$H$2:$H$1031)</f>
        <v/>
      </c>
      <c r="J511" s="5" t="n">
        <v>561.5</v>
      </c>
      <c r="K511" s="5" t="n">
        <v>46</v>
      </c>
      <c r="L511" s="5" t="n">
        <v>18</v>
      </c>
      <c r="M511" s="5" t="n">
        <v>23</v>
      </c>
      <c r="N511" s="5">
        <f>J511+K511+L511+M511</f>
        <v/>
      </c>
      <c r="O511" s="5">
        <f>IF(ISNUMBER(N511),N511,"")</f>
        <v/>
      </c>
      <c r="P511" s="5">
        <f>_xlfn.RANK.EQ(O511,$O$2:$O$1031)</f>
        <v/>
      </c>
      <c r="Q511" s="9" t="n">
        <v>246</v>
      </c>
      <c r="R511" s="9" t="n">
        <v>43.5</v>
      </c>
      <c r="S511" s="9" t="n">
        <v>22</v>
      </c>
      <c r="T511" s="9" t="n">
        <v>24</v>
      </c>
      <c r="U511" s="9">
        <f>Q511+R511+S511+T511</f>
        <v/>
      </c>
      <c r="V511" s="9">
        <f>IF(ISNUMBER(U511),U511,"")</f>
        <v/>
      </c>
      <c r="W511" s="9">
        <f>_xlfn.RANK.EQ(V511,$V$2:$V$1031)</f>
        <v/>
      </c>
      <c r="X511" s="13" t="inlineStr">
        <is>
          <t>راسب</t>
        </is>
      </c>
      <c r="Y511" s="13" t="n">
        <v>25</v>
      </c>
      <c r="Z511" s="13" t="n">
        <v>25</v>
      </c>
      <c r="AA511" s="13" t="n">
        <v>25</v>
      </c>
      <c r="AB511" s="13">
        <f>IF(ISNUMBER(X511),X511+N(Y511)+N(Z511)+N(AA511),X511)</f>
        <v/>
      </c>
      <c r="AC511" s="13">
        <f>IF(ISNUMBER(AB511),AB511,"")</f>
        <v/>
      </c>
      <c r="AD511" s="13">
        <f>IF(ISNUMBER(AC511),_xlfn.RANK.EQ(AC511,$AC$2:$AC$1031),"")</f>
        <v/>
      </c>
      <c r="AE511" s="15">
        <f>IF(ISNUMBER(AF511),AF511/3630,"")</f>
        <v/>
      </c>
      <c r="AF511" s="14">
        <f>IFERROR(C511+D511+E511+F511+J511+K511+L511+M511+Q511+R511+S511+T511+IF(ISNUMBER(X511),X511,0)+N(Y511)+N(Z511)+N(AA511),"")</f>
        <v/>
      </c>
      <c r="AG511" s="14">
        <f>IF(ISNUMBER(AF511),AF511,"")</f>
        <v/>
      </c>
      <c r="AH511" s="14">
        <f>IF(ISNUMBER(AG511),_xlfn.RANK.EQ(AG511,$AG$2:$AG$1031),"")</f>
        <v/>
      </c>
    </row>
    <row r="512">
      <c r="A512" s="18" t="n">
        <v>1215</v>
      </c>
      <c r="B512" s="18" t="inlineStr">
        <is>
          <t>عبد الله عمرو فوزي علي</t>
        </is>
      </c>
      <c r="C512" s="1" t="n">
        <v>592.1</v>
      </c>
      <c r="D512" s="1" t="n">
        <v>22</v>
      </c>
      <c r="E512" s="1" t="n">
        <v>25</v>
      </c>
      <c r="F512" s="1" t="n">
        <v>22</v>
      </c>
      <c r="G512" s="1">
        <f>C512+D512+E512+F512</f>
        <v/>
      </c>
      <c r="H512" s="1">
        <f>IF(ISNUMBER(G512),G512,"")</f>
        <v/>
      </c>
      <c r="I512" s="1">
        <f>_xlfn.RANK.EQ(H512,$H$2:$H$1031)</f>
        <v/>
      </c>
      <c r="J512" s="5" t="n">
        <v>572.5</v>
      </c>
      <c r="K512" s="5" t="n">
        <v>45</v>
      </c>
      <c r="L512" s="5" t="n">
        <v>22</v>
      </c>
      <c r="M512" s="5" t="n">
        <v>22</v>
      </c>
      <c r="N512" s="5">
        <f>J512+K512+L512+M512</f>
        <v/>
      </c>
      <c r="O512" s="5">
        <f>IF(ISNUMBER(N512),N512,"")</f>
        <v/>
      </c>
      <c r="P512" s="5">
        <f>_xlfn.RANK.EQ(O512,$O$2:$O$1031)</f>
        <v/>
      </c>
      <c r="Q512" s="9" t="n">
        <v>212.75</v>
      </c>
      <c r="R512" s="9" t="n">
        <v>35</v>
      </c>
      <c r="S512" s="9" t="n">
        <v>25</v>
      </c>
      <c r="T512" s="9" t="n">
        <v>22</v>
      </c>
      <c r="U512" s="9">
        <f>Q512+R512+S512+T512</f>
        <v/>
      </c>
      <c r="V512" s="9">
        <f>IF(ISNUMBER(U512),U512,"")</f>
        <v/>
      </c>
      <c r="W512" s="9">
        <f>_xlfn.RANK.EQ(V512,$V$2:$V$1031)</f>
        <v/>
      </c>
      <c r="X512" s="13" t="n">
        <v>1372.3708333333</v>
      </c>
      <c r="Y512" s="13" t="n">
        <v>21</v>
      </c>
      <c r="Z512" s="13" t="n">
        <v>23</v>
      </c>
      <c r="AA512" s="13" t="n">
        <v>22</v>
      </c>
      <c r="AB512" s="13">
        <f>IF(ISNUMBER(X512),X512+N(Y512)+N(Z512)+N(AA512),X512)</f>
        <v/>
      </c>
      <c r="AC512" s="13">
        <f>IF(ISNUMBER(AB512),AB512,"")</f>
        <v/>
      </c>
      <c r="AD512" s="13">
        <f>IF(ISNUMBER(AC512),_xlfn.RANK.EQ(AC512,$AC$2:$AC$1031),"")</f>
        <v/>
      </c>
      <c r="AE512" s="15">
        <f>IF(ISNUMBER(AF512),AF512/3630,"")</f>
        <v/>
      </c>
      <c r="AF512" s="14">
        <f>IFERROR(C512+D512+E512+F512+J512+K512+L512+M512+Q512+R512+S512+T512+IF(ISNUMBER(X512),X512,0)+N(Y512)+N(Z512)+N(AA512),"")</f>
        <v/>
      </c>
      <c r="AG512" s="14">
        <f>IF(ISNUMBER(AF512),AF512,"")</f>
        <v/>
      </c>
      <c r="AH512" s="14">
        <f>IF(ISNUMBER(AG512),_xlfn.RANK.EQ(AG512,$AG$2:$AG$1031),"")</f>
        <v/>
      </c>
    </row>
    <row r="513">
      <c r="A513" s="18" t="n">
        <v>1220</v>
      </c>
      <c r="B513" s="18" t="inlineStr">
        <is>
          <t>عبد الله لطفي نايف عبد الجيد عبد المولي</t>
        </is>
      </c>
      <c r="C513" s="1" t="n">
        <v>572.3</v>
      </c>
      <c r="D513" s="1" t="n">
        <v>22</v>
      </c>
      <c r="E513" s="1" t="n">
        <v>23</v>
      </c>
      <c r="F513" s="1" t="n">
        <v>18</v>
      </c>
      <c r="G513" s="1">
        <f>C513+D513+E513+F513</f>
        <v/>
      </c>
      <c r="H513" s="1">
        <f>IF(ISNUMBER(G513),G513,"")</f>
        <v/>
      </c>
      <c r="I513" s="1">
        <f>_xlfn.RANK.EQ(H513,$H$2:$H$1031)</f>
        <v/>
      </c>
      <c r="J513" s="5" t="n">
        <v>536.5</v>
      </c>
      <c r="K513" s="5" t="n">
        <v>41</v>
      </c>
      <c r="L513" s="5" t="n">
        <v>21</v>
      </c>
      <c r="M513" s="5" t="n">
        <v>19</v>
      </c>
      <c r="N513" s="5">
        <f>J513+K513+L513+M513</f>
        <v/>
      </c>
      <c r="O513" s="5">
        <f>IF(ISNUMBER(N513),N513,"")</f>
        <v/>
      </c>
      <c r="P513" s="5">
        <f>_xlfn.RANK.EQ(O513,$O$2:$O$1031)</f>
        <v/>
      </c>
      <c r="Q513" s="9" t="n">
        <v>236.75</v>
      </c>
      <c r="R513" s="9" t="n">
        <v>42.5</v>
      </c>
      <c r="S513" s="9" t="n">
        <v>21</v>
      </c>
      <c r="T513" s="9" t="n">
        <v>24</v>
      </c>
      <c r="U513" s="9">
        <f>Q513+R513+S513+T513</f>
        <v/>
      </c>
      <c r="V513" s="9">
        <f>IF(ISNUMBER(U513),U513,"")</f>
        <v/>
      </c>
      <c r="W513" s="9">
        <f>_xlfn.RANK.EQ(V513,$V$2:$V$1031)</f>
        <v/>
      </c>
      <c r="X513" s="13" t="n">
        <v>1345.8</v>
      </c>
      <c r="Y513" s="13" t="n">
        <v>24</v>
      </c>
      <c r="Z513" s="13" t="n">
        <v>22</v>
      </c>
      <c r="AA513" s="13" t="n">
        <v>22</v>
      </c>
      <c r="AB513" s="13">
        <f>IF(ISNUMBER(X513),X513+N(Y513)+N(Z513)+N(AA513),X513)</f>
        <v/>
      </c>
      <c r="AC513" s="13">
        <f>IF(ISNUMBER(AB513),AB513,"")</f>
        <v/>
      </c>
      <c r="AD513" s="13">
        <f>IF(ISNUMBER(AC513),_xlfn.RANK.EQ(AC513,$AC$2:$AC$1031),"")</f>
        <v/>
      </c>
      <c r="AE513" s="15">
        <f>IF(ISNUMBER(AF513),AF513/3630,"")</f>
        <v/>
      </c>
      <c r="AF513" s="14">
        <f>IFERROR(C513+D513+E513+F513+J513+K513+L513+M513+Q513+R513+S513+T513+IF(ISNUMBER(X513),X513,0)+N(Y513)+N(Z513)+N(AA513),"")</f>
        <v/>
      </c>
      <c r="AG513" s="14">
        <f>IF(ISNUMBER(AF513),AF513,"")</f>
        <v/>
      </c>
      <c r="AH513" s="14">
        <f>IF(ISNUMBER(AG513),_xlfn.RANK.EQ(AG513,$AG$2:$AG$1031),"")</f>
        <v/>
      </c>
    </row>
    <row r="514">
      <c r="A514" s="18" t="n">
        <v>1225</v>
      </c>
      <c r="B514" s="18" t="inlineStr">
        <is>
          <t>عبد الله محمد حسين رفاعي</t>
        </is>
      </c>
      <c r="C514" s="1" t="n">
        <v>491.7</v>
      </c>
      <c r="D514" s="1" t="n">
        <v>20</v>
      </c>
      <c r="E514" s="1" t="n">
        <v>15</v>
      </c>
      <c r="F514" s="1" t="n">
        <v>13</v>
      </c>
      <c r="G514" s="1">
        <f>C514+D514+E514+F514</f>
        <v/>
      </c>
      <c r="H514" s="1">
        <f>IF(ISNUMBER(G514),G514,"")</f>
        <v/>
      </c>
      <c r="I514" s="1">
        <f>_xlfn.RANK.EQ(H514,$H$2:$H$1031)</f>
        <v/>
      </c>
      <c r="J514" s="5" t="n">
        <v>512.5</v>
      </c>
      <c r="K514" s="5" t="n">
        <v>36</v>
      </c>
      <c r="L514" s="5" t="n">
        <v>20</v>
      </c>
      <c r="M514" s="5" t="n">
        <v>19</v>
      </c>
      <c r="N514" s="5">
        <f>J514+K514+L514+M514</f>
        <v/>
      </c>
      <c r="O514" s="5">
        <f>IF(ISNUMBER(N514),N514,"")</f>
        <v/>
      </c>
      <c r="P514" s="5">
        <f>_xlfn.RANK.EQ(O514,$O$2:$O$1031)</f>
        <v/>
      </c>
      <c r="Q514" s="9" t="n">
        <v>211.75</v>
      </c>
      <c r="R514" s="9" t="n">
        <v>33.5</v>
      </c>
      <c r="S514" s="9" t="n">
        <v>11</v>
      </c>
      <c r="T514" s="9" t="n">
        <v>20.5</v>
      </c>
      <c r="U514" s="9">
        <f>Q514+R514+S514+T514</f>
        <v/>
      </c>
      <c r="V514" s="9">
        <f>IF(ISNUMBER(U514),U514,"")</f>
        <v/>
      </c>
      <c r="W514" s="9">
        <f>_xlfn.RANK.EQ(V514,$V$2:$V$1031)</f>
        <v/>
      </c>
      <c r="X514" s="13" t="inlineStr">
        <is>
          <t>راسب</t>
        </is>
      </c>
      <c r="Y514" s="13" t="n">
        <v>24.5</v>
      </c>
      <c r="Z514" s="13" t="n">
        <v>10</v>
      </c>
      <c r="AA514" s="13" t="n">
        <v>20</v>
      </c>
      <c r="AB514" s="13">
        <f>IF(ISNUMBER(X514),X514+N(Y514)+N(Z514)+N(AA514),X514)</f>
        <v/>
      </c>
      <c r="AC514" s="13">
        <f>IF(ISNUMBER(AB514),AB514,"")</f>
        <v/>
      </c>
      <c r="AD514" s="13">
        <f>IF(ISNUMBER(AC514),_xlfn.RANK.EQ(AC514,$AC$2:$AC$1031),"")</f>
        <v/>
      </c>
      <c r="AE514" s="15">
        <f>IF(ISNUMBER(AF514),AF514/3630,"")</f>
        <v/>
      </c>
      <c r="AF514" s="14">
        <f>IFERROR(C514+D514+E514+F514+J514+K514+L514+M514+Q514+R514+S514+T514+IF(ISNUMBER(X514),X514,0)+N(Y514)+N(Z514)+N(AA514),"")</f>
        <v/>
      </c>
      <c r="AG514" s="14">
        <f>IF(ISNUMBER(AF514),AF514,"")</f>
        <v/>
      </c>
      <c r="AH514" s="14">
        <f>IF(ISNUMBER(AG514),_xlfn.RANK.EQ(AG514,$AG$2:$AG$1031),"")</f>
        <v/>
      </c>
    </row>
    <row r="515">
      <c r="A515" s="18" t="n">
        <v>1229</v>
      </c>
      <c r="B515" s="18" t="inlineStr">
        <is>
          <t>عبد الله محمد عبد الله عبد اللطيف</t>
        </is>
      </c>
      <c r="C515" s="1" t="n">
        <v>439.78</v>
      </c>
      <c r="D515" s="1" t="n">
        <v>20</v>
      </c>
      <c r="E515" s="1" t="n">
        <v>20</v>
      </c>
      <c r="F515" s="1" t="n">
        <v>20</v>
      </c>
      <c r="G515" s="1">
        <f>C515+D515+E515+F515</f>
        <v/>
      </c>
      <c r="H515" s="1">
        <f>IF(ISNUMBER(G515),G515,"")</f>
        <v/>
      </c>
      <c r="I515" s="1">
        <f>_xlfn.RANK.EQ(H515,$H$2:$H$1031)</f>
        <v/>
      </c>
      <c r="J515" s="5" t="n">
        <v>433.5</v>
      </c>
      <c r="K515" s="5" t="n">
        <v>39</v>
      </c>
      <c r="L515" s="5" t="n">
        <v>23</v>
      </c>
      <c r="M515" s="5" t="n">
        <v>22</v>
      </c>
      <c r="N515" s="5">
        <f>J515+K515+L515+M515</f>
        <v/>
      </c>
      <c r="O515" s="5">
        <f>IF(ISNUMBER(N515),N515,"")</f>
        <v/>
      </c>
      <c r="P515" s="5">
        <f>_xlfn.RANK.EQ(O515,$O$2:$O$1031)</f>
        <v/>
      </c>
      <c r="Q515" s="9" t="n">
        <v>183.5</v>
      </c>
      <c r="R515" s="9" t="n">
        <v>34.5</v>
      </c>
      <c r="S515" s="9" t="n">
        <v>22</v>
      </c>
      <c r="T515" s="9" t="n">
        <v>23</v>
      </c>
      <c r="U515" s="9">
        <f>Q515+R515+S515+T515</f>
        <v/>
      </c>
      <c r="V515" s="9">
        <f>IF(ISNUMBER(U515),U515,"")</f>
        <v/>
      </c>
      <c r="W515" s="9">
        <f>_xlfn.RANK.EQ(V515,$V$2:$V$1031)</f>
        <v/>
      </c>
      <c r="X515" s="13" t="inlineStr">
        <is>
          <t>راسب</t>
        </is>
      </c>
      <c r="Y515" s="13" t="n">
        <v>22</v>
      </c>
      <c r="Z515" s="13" t="n">
        <v>12</v>
      </c>
      <c r="AA515" s="13" t="n">
        <v>19</v>
      </c>
      <c r="AB515" s="13">
        <f>IF(ISNUMBER(X515),X515+N(Y515)+N(Z515)+N(AA515),X515)</f>
        <v/>
      </c>
      <c r="AC515" s="13">
        <f>IF(ISNUMBER(AB515),AB515,"")</f>
        <v/>
      </c>
      <c r="AD515" s="13">
        <f>IF(ISNUMBER(AC515),_xlfn.RANK.EQ(AC515,$AC$2:$AC$1031),"")</f>
        <v/>
      </c>
      <c r="AE515" s="15">
        <f>IF(ISNUMBER(AF515),AF515/3630,"")</f>
        <v/>
      </c>
      <c r="AF515" s="14">
        <f>IFERROR(C515+D515+E515+F515+J515+K515+L515+M515+Q515+R515+S515+T515+IF(ISNUMBER(X515),X515,0)+N(Y515)+N(Z515)+N(AA515),"")</f>
        <v/>
      </c>
      <c r="AG515" s="14">
        <f>IF(ISNUMBER(AF515),AF515,"")</f>
        <v/>
      </c>
      <c r="AH515" s="14">
        <f>IF(ISNUMBER(AG515),_xlfn.RANK.EQ(AG515,$AG$2:$AG$1031),"")</f>
        <v/>
      </c>
    </row>
    <row r="516">
      <c r="A516" s="18" t="n">
        <v>1230</v>
      </c>
      <c r="B516" s="18" t="inlineStr">
        <is>
          <t>عبد الله محمود عبدالحليم محمد تهامي</t>
        </is>
      </c>
      <c r="C516" s="1" t="n">
        <v>647.6</v>
      </c>
      <c r="D516" s="1" t="n">
        <v>23</v>
      </c>
      <c r="E516" s="1" t="n">
        <v>23</v>
      </c>
      <c r="F516" s="1" t="n">
        <v>23</v>
      </c>
      <c r="G516" s="1">
        <f>C516+D516+E516+F516</f>
        <v/>
      </c>
      <c r="H516" s="1">
        <f>IF(ISNUMBER(G516),G516,"")</f>
        <v/>
      </c>
      <c r="I516" s="1">
        <f>_xlfn.RANK.EQ(H516,$H$2:$H$1031)</f>
        <v/>
      </c>
      <c r="J516" s="5" t="n">
        <v>633.5</v>
      </c>
      <c r="K516" s="5" t="n">
        <v>48</v>
      </c>
      <c r="L516" s="5" t="n">
        <v>21</v>
      </c>
      <c r="M516" s="5" t="n">
        <v>23</v>
      </c>
      <c r="N516" s="5">
        <f>J516+K516+L516+M516</f>
        <v/>
      </c>
      <c r="O516" s="5">
        <f>IF(ISNUMBER(N516),N516,"")</f>
        <v/>
      </c>
      <c r="P516" s="5">
        <f>_xlfn.RANK.EQ(O516,$O$2:$O$1031)</f>
        <v/>
      </c>
      <c r="Q516" s="9" t="n">
        <v>261.75</v>
      </c>
      <c r="R516" s="9" t="n">
        <v>46.5</v>
      </c>
      <c r="S516" s="9" t="n">
        <v>24</v>
      </c>
      <c r="T516" s="9" t="n">
        <v>24</v>
      </c>
      <c r="U516" s="9">
        <f>Q516+R516+S516+T516</f>
        <v/>
      </c>
      <c r="V516" s="9">
        <f>IF(ISNUMBER(U516),U516,"")</f>
        <v/>
      </c>
      <c r="W516" s="9">
        <f>_xlfn.RANK.EQ(V516,$V$2:$V$1031)</f>
        <v/>
      </c>
      <c r="X516" s="13" t="n">
        <v>1474.45</v>
      </c>
      <c r="Y516" s="13" t="n">
        <v>25</v>
      </c>
      <c r="Z516" s="13" t="n">
        <v>23</v>
      </c>
      <c r="AA516" s="13" t="n">
        <v>25</v>
      </c>
      <c r="AB516" s="13">
        <f>IF(ISNUMBER(X516),X516+N(Y516)+N(Z516)+N(AA516),X516)</f>
        <v/>
      </c>
      <c r="AC516" s="13">
        <f>IF(ISNUMBER(AB516),AB516,"")</f>
        <v/>
      </c>
      <c r="AD516" s="13">
        <f>IF(ISNUMBER(AC516),_xlfn.RANK.EQ(AC516,$AC$2:$AC$1031),"")</f>
        <v/>
      </c>
      <c r="AE516" s="15">
        <f>IF(ISNUMBER(AF516),AF516/3630,"")</f>
        <v/>
      </c>
      <c r="AF516" s="14">
        <f>IFERROR(C516+D516+E516+F516+J516+K516+L516+M516+Q516+R516+S516+T516+IF(ISNUMBER(X516),X516,0)+N(Y516)+N(Z516)+N(AA516),"")</f>
        <v/>
      </c>
      <c r="AG516" s="14">
        <f>IF(ISNUMBER(AF516),AF516,"")</f>
        <v/>
      </c>
      <c r="AH516" s="14">
        <f>IF(ISNUMBER(AG516),_xlfn.RANK.EQ(AG516,$AG$2:$AG$1031),"")</f>
        <v/>
      </c>
    </row>
    <row r="517">
      <c r="A517" s="18" t="n">
        <v>1231</v>
      </c>
      <c r="B517" s="18" t="inlineStr">
        <is>
          <t>عبد الله محمود عطيه السعيد</t>
        </is>
      </c>
      <c r="C517" s="1" t="n">
        <v>576.1</v>
      </c>
      <c r="D517" s="1" t="n">
        <v>23</v>
      </c>
      <c r="E517" s="1" t="n">
        <v>25</v>
      </c>
      <c r="F517" s="1" t="n">
        <v>20</v>
      </c>
      <c r="G517" s="1">
        <f>C517+D517+E517+F517</f>
        <v/>
      </c>
      <c r="H517" s="1">
        <f>IF(ISNUMBER(G517),G517,"")</f>
        <v/>
      </c>
      <c r="I517" s="1">
        <f>_xlfn.RANK.EQ(H517,$H$2:$H$1031)</f>
        <v/>
      </c>
      <c r="J517" s="5" t="n">
        <v>615.5</v>
      </c>
      <c r="K517" s="5" t="n">
        <v>45</v>
      </c>
      <c r="L517" s="5" t="n">
        <v>17</v>
      </c>
      <c r="M517" s="5" t="n">
        <v>19</v>
      </c>
      <c r="N517" s="5">
        <f>J517+K517+L517+M517</f>
        <v/>
      </c>
      <c r="O517" s="5">
        <f>IF(ISNUMBER(N517),N517,"")</f>
        <v/>
      </c>
      <c r="P517" s="5">
        <f>_xlfn.RANK.EQ(O517,$O$2:$O$1031)</f>
        <v/>
      </c>
      <c r="Q517" s="9" t="n">
        <v>260.25</v>
      </c>
      <c r="R517" s="9" t="n">
        <v>43.5</v>
      </c>
      <c r="S517" s="9" t="n">
        <v>21</v>
      </c>
      <c r="T517" s="9" t="n">
        <v>23</v>
      </c>
      <c r="U517" s="9">
        <f>Q517+R517+S517+T517</f>
        <v/>
      </c>
      <c r="V517" s="9">
        <f>IF(ISNUMBER(U517),U517,"")</f>
        <v/>
      </c>
      <c r="W517" s="9">
        <f>_xlfn.RANK.EQ(V517,$V$2:$V$1031)</f>
        <v/>
      </c>
      <c r="X517" s="13" t="n">
        <v>1472.0958333333</v>
      </c>
      <c r="Y517" s="13" t="n">
        <v>24</v>
      </c>
      <c r="Z517" s="13" t="n">
        <v>24</v>
      </c>
      <c r="AA517" s="13" t="n">
        <v>23</v>
      </c>
      <c r="AB517" s="13">
        <f>IF(ISNUMBER(X517),X517+N(Y517)+N(Z517)+N(AA517),X517)</f>
        <v/>
      </c>
      <c r="AC517" s="13">
        <f>IF(ISNUMBER(AB517),AB517,"")</f>
        <v/>
      </c>
      <c r="AD517" s="13">
        <f>IF(ISNUMBER(AC517),_xlfn.RANK.EQ(AC517,$AC$2:$AC$1031),"")</f>
        <v/>
      </c>
      <c r="AE517" s="15">
        <f>IF(ISNUMBER(AF517),AF517/3630,"")</f>
        <v/>
      </c>
      <c r="AF517" s="14">
        <f>IFERROR(C517+D517+E517+F517+J517+K517+L517+M517+Q517+R517+S517+T517+IF(ISNUMBER(X517),X517,0)+N(Y517)+N(Z517)+N(AA517),"")</f>
        <v/>
      </c>
      <c r="AG517" s="14">
        <f>IF(ISNUMBER(AF517),AF517,"")</f>
        <v/>
      </c>
      <c r="AH517" s="14">
        <f>IF(ISNUMBER(AG517),_xlfn.RANK.EQ(AG517,$AG$2:$AG$1031),"")</f>
        <v/>
      </c>
    </row>
    <row r="518">
      <c r="A518" s="18" t="n">
        <v>1232</v>
      </c>
      <c r="B518" s="18" t="inlineStr">
        <is>
          <t>عبد الله مصطفى السيد محمد السيد البنا</t>
        </is>
      </c>
      <c r="C518" s="1" t="n">
        <v>569</v>
      </c>
      <c r="D518" s="1" t="n">
        <v>24</v>
      </c>
      <c r="E518" s="1" t="n">
        <v>22</v>
      </c>
      <c r="F518" s="1" t="n">
        <v>18</v>
      </c>
      <c r="G518" s="1">
        <f>C518+D518+E518+F518</f>
        <v/>
      </c>
      <c r="H518" s="1">
        <f>IF(ISNUMBER(G518),G518,"")</f>
        <v/>
      </c>
      <c r="I518" s="1">
        <f>_xlfn.RANK.EQ(H518,$H$2:$H$1031)</f>
        <v/>
      </c>
      <c r="J518" s="5" t="n">
        <v>552</v>
      </c>
      <c r="K518" s="5" t="n">
        <v>42</v>
      </c>
      <c r="L518" s="5" t="n">
        <v>24</v>
      </c>
      <c r="M518" s="5" t="n">
        <v>21</v>
      </c>
      <c r="N518" s="5">
        <f>J518+K518+L518+M518</f>
        <v/>
      </c>
      <c r="O518" s="5">
        <f>IF(ISNUMBER(N518),N518,"")</f>
        <v/>
      </c>
      <c r="P518" s="5">
        <f>_xlfn.RANK.EQ(O518,$O$2:$O$1031)</f>
        <v/>
      </c>
      <c r="Q518" s="9" t="n">
        <v>216.75</v>
      </c>
      <c r="R518" s="9" t="n">
        <v>43</v>
      </c>
      <c r="S518" s="9" t="n">
        <v>24</v>
      </c>
      <c r="T518" s="9" t="n">
        <v>23.5</v>
      </c>
      <c r="U518" s="9">
        <f>Q518+R518+S518+T518</f>
        <v/>
      </c>
      <c r="V518" s="9">
        <f>IF(ISNUMBER(U518),U518,"")</f>
        <v/>
      </c>
      <c r="W518" s="9">
        <f>_xlfn.RANK.EQ(V518,$V$2:$V$1031)</f>
        <v/>
      </c>
      <c r="X518" s="13" t="n">
        <v>1274.7125</v>
      </c>
      <c r="Y518" s="13" t="n">
        <v>23</v>
      </c>
      <c r="Z518" s="13" t="n">
        <v>21</v>
      </c>
      <c r="AA518" s="13" t="n">
        <v>19</v>
      </c>
      <c r="AB518" s="13">
        <f>IF(ISNUMBER(X518),X518+N(Y518)+N(Z518)+N(AA518),X518)</f>
        <v/>
      </c>
      <c r="AC518" s="13">
        <f>IF(ISNUMBER(AB518),AB518,"")</f>
        <v/>
      </c>
      <c r="AD518" s="13">
        <f>IF(ISNUMBER(AC518),_xlfn.RANK.EQ(AC518,$AC$2:$AC$1031),"")</f>
        <v/>
      </c>
      <c r="AE518" s="15">
        <f>IF(ISNUMBER(AF518),AF518/3630,"")</f>
        <v/>
      </c>
      <c r="AF518" s="14">
        <f>IFERROR(C518+D518+E518+F518+J518+K518+L518+M518+Q518+R518+S518+T518+IF(ISNUMBER(X518),X518,0)+N(Y518)+N(Z518)+N(AA518),"")</f>
        <v/>
      </c>
      <c r="AG518" s="14">
        <f>IF(ISNUMBER(AF518),AF518,"")</f>
        <v/>
      </c>
      <c r="AH518" s="14">
        <f>IF(ISNUMBER(AG518),_xlfn.RANK.EQ(AG518,$AG$2:$AG$1031),"")</f>
        <v/>
      </c>
    </row>
    <row r="519">
      <c r="A519" s="18" t="n">
        <v>1234</v>
      </c>
      <c r="B519" s="18" t="inlineStr">
        <is>
          <t>عبد الله نصر عباس حمدالله</t>
        </is>
      </c>
      <c r="C519" s="1" t="n">
        <v>580.4</v>
      </c>
      <c r="D519" s="1" t="n">
        <v>24</v>
      </c>
      <c r="E519" s="1" t="n">
        <v>22</v>
      </c>
      <c r="F519" s="1" t="n">
        <v>19</v>
      </c>
      <c r="G519" s="1">
        <f>C519+D519+E519+F519</f>
        <v/>
      </c>
      <c r="H519" s="1">
        <f>IF(ISNUMBER(G519),G519,"")</f>
        <v/>
      </c>
      <c r="I519" s="1">
        <f>_xlfn.RANK.EQ(H519,$H$2:$H$1031)</f>
        <v/>
      </c>
      <c r="J519" s="5" t="n">
        <v>608</v>
      </c>
      <c r="K519" s="5" t="n">
        <v>47</v>
      </c>
      <c r="L519" s="5" t="n">
        <v>22</v>
      </c>
      <c r="M519" s="5" t="n">
        <v>24</v>
      </c>
      <c r="N519" s="5">
        <f>J519+K519+L519+M519</f>
        <v/>
      </c>
      <c r="O519" s="5">
        <f>IF(ISNUMBER(N519),N519,"")</f>
        <v/>
      </c>
      <c r="P519" s="5">
        <f>_xlfn.RANK.EQ(O519,$O$2:$O$1031)</f>
        <v/>
      </c>
      <c r="Q519" s="9" t="n">
        <v>246.75</v>
      </c>
      <c r="R519" s="9" t="n">
        <v>44</v>
      </c>
      <c r="S519" s="9" t="n">
        <v>24</v>
      </c>
      <c r="T519" s="9" t="n">
        <v>23</v>
      </c>
      <c r="U519" s="9">
        <f>Q519+R519+S519+T519</f>
        <v/>
      </c>
      <c r="V519" s="9">
        <f>IF(ISNUMBER(U519),U519,"")</f>
        <v/>
      </c>
      <c r="W519" s="9">
        <f>_xlfn.RANK.EQ(V519,$V$2:$V$1031)</f>
        <v/>
      </c>
      <c r="X519" s="13" t="n">
        <v>1336.0708333333</v>
      </c>
      <c r="Y519" s="13" t="n">
        <v>25</v>
      </c>
      <c r="Z519" s="13" t="n">
        <v>23</v>
      </c>
      <c r="AA519" s="13" t="n">
        <v>22</v>
      </c>
      <c r="AB519" s="13">
        <f>IF(ISNUMBER(X519),X519+N(Y519)+N(Z519)+N(AA519),X519)</f>
        <v/>
      </c>
      <c r="AC519" s="13">
        <f>IF(ISNUMBER(AB519),AB519,"")</f>
        <v/>
      </c>
      <c r="AD519" s="13">
        <f>IF(ISNUMBER(AC519),_xlfn.RANK.EQ(AC519,$AC$2:$AC$1031),"")</f>
        <v/>
      </c>
      <c r="AE519" s="15">
        <f>IF(ISNUMBER(AF519),AF519/3630,"")</f>
        <v/>
      </c>
      <c r="AF519" s="14">
        <f>IFERROR(C519+D519+E519+F519+J519+K519+L519+M519+Q519+R519+S519+T519+IF(ISNUMBER(X519),X519,0)+N(Y519)+N(Z519)+N(AA519),"")</f>
        <v/>
      </c>
      <c r="AG519" s="14">
        <f>IF(ISNUMBER(AF519),AF519,"")</f>
        <v/>
      </c>
      <c r="AH519" s="14">
        <f>IF(ISNUMBER(AG519),_xlfn.RANK.EQ(AG519,$AG$2:$AG$1031),"")</f>
        <v/>
      </c>
    </row>
    <row r="520">
      <c r="A520" s="18" t="n">
        <v>1235</v>
      </c>
      <c r="B520" s="18" t="inlineStr">
        <is>
          <t>عبد الله هشام قدري سالم</t>
        </is>
      </c>
      <c r="C520" s="1" t="n">
        <v>455.6</v>
      </c>
      <c r="D520" s="1" t="n">
        <v>22</v>
      </c>
      <c r="E520" s="1" t="n">
        <v>21</v>
      </c>
      <c r="F520" s="1" t="n">
        <v>20</v>
      </c>
      <c r="G520" s="1">
        <f>C520+D520+E520+F520</f>
        <v/>
      </c>
      <c r="H520" s="1">
        <f>IF(ISNUMBER(G520),G520,"")</f>
        <v/>
      </c>
      <c r="I520" s="1">
        <f>_xlfn.RANK.EQ(H520,$H$2:$H$1031)</f>
        <v/>
      </c>
      <c r="J520" s="5" t="n">
        <v>424</v>
      </c>
      <c r="K520" s="5" t="n">
        <v>45</v>
      </c>
      <c r="L520" s="5" t="n">
        <v>24</v>
      </c>
      <c r="M520" s="5" t="n">
        <v>24</v>
      </c>
      <c r="N520" s="5">
        <f>J520+K520+L520+M520</f>
        <v/>
      </c>
      <c r="O520" s="5">
        <f>IF(ISNUMBER(N520),N520,"")</f>
        <v/>
      </c>
      <c r="P520" s="5">
        <f>_xlfn.RANK.EQ(O520,$O$2:$O$1031)</f>
        <v/>
      </c>
      <c r="Q520" s="9" t="n">
        <v>200</v>
      </c>
      <c r="R520" s="9" t="n">
        <v>42.5</v>
      </c>
      <c r="S520" s="9" t="n">
        <v>25</v>
      </c>
      <c r="T520" s="9" t="n">
        <v>25</v>
      </c>
      <c r="U520" s="9">
        <f>Q520+R520+S520+T520</f>
        <v/>
      </c>
      <c r="V520" s="9">
        <f>IF(ISNUMBER(U520),U520,"")</f>
        <v/>
      </c>
      <c r="W520" s="9">
        <f>_xlfn.RANK.EQ(V520,$V$2:$V$1031)</f>
        <v/>
      </c>
      <c r="X520" s="13" t="n">
        <v>1201.8875</v>
      </c>
      <c r="Y520" s="13" t="n">
        <v>25</v>
      </c>
      <c r="Z520" s="13" t="n">
        <v>25</v>
      </c>
      <c r="AA520" s="13" t="n">
        <v>20</v>
      </c>
      <c r="AB520" s="13">
        <f>IF(ISNUMBER(X520),X520+N(Y520)+N(Z520)+N(AA520),X520)</f>
        <v/>
      </c>
      <c r="AC520" s="13">
        <f>IF(ISNUMBER(AB520),AB520,"")</f>
        <v/>
      </c>
      <c r="AD520" s="13">
        <f>IF(ISNUMBER(AC520),_xlfn.RANK.EQ(AC520,$AC$2:$AC$1031),"")</f>
        <v/>
      </c>
      <c r="AE520" s="15">
        <f>IF(ISNUMBER(AF520),AF520/3630,"")</f>
        <v/>
      </c>
      <c r="AF520" s="14">
        <f>IFERROR(C520+D520+E520+F520+J520+K520+L520+M520+Q520+R520+S520+T520+IF(ISNUMBER(X520),X520,0)+N(Y520)+N(Z520)+N(AA520),"")</f>
        <v/>
      </c>
      <c r="AG520" s="14">
        <f>IF(ISNUMBER(AF520),AF520,"")</f>
        <v/>
      </c>
      <c r="AH520" s="14">
        <f>IF(ISNUMBER(AG520),_xlfn.RANK.EQ(AG520,$AG$2:$AG$1031),"")</f>
        <v/>
      </c>
    </row>
    <row r="521">
      <c r="A521" s="18" t="n">
        <v>1236</v>
      </c>
      <c r="B521" s="18" t="inlineStr">
        <is>
          <t>عبد الله هشام نعمان قويطه</t>
        </is>
      </c>
      <c r="C521" s="1" t="n">
        <v>426.5</v>
      </c>
      <c r="D521" s="1" t="n">
        <v>18</v>
      </c>
      <c r="E521" s="1" t="n">
        <v>18</v>
      </c>
      <c r="F521" s="1" t="n">
        <v>20</v>
      </c>
      <c r="G521" s="1">
        <f>C521+D521+E521+F521</f>
        <v/>
      </c>
      <c r="H521" s="1">
        <f>IF(ISNUMBER(G521),G521,"")</f>
        <v/>
      </c>
      <c r="I521" s="1">
        <f>_xlfn.RANK.EQ(H521,$H$2:$H$1031)</f>
        <v/>
      </c>
      <c r="J521" s="5" t="n">
        <v>409.2</v>
      </c>
      <c r="K521" s="5" t="n">
        <v>35</v>
      </c>
      <c r="L521" s="5" t="n">
        <v>19</v>
      </c>
      <c r="M521" s="5" t="n">
        <v>20</v>
      </c>
      <c r="N521" s="5">
        <f>J521+K521+L521+M521</f>
        <v/>
      </c>
      <c r="O521" s="5">
        <f>IF(ISNUMBER(N521),N521,"")</f>
        <v/>
      </c>
      <c r="P521" s="5">
        <f>_xlfn.RANK.EQ(O521,$O$2:$O$1031)</f>
        <v/>
      </c>
      <c r="Q521" s="9" t="n">
        <v>132.75</v>
      </c>
      <c r="R521" s="9" t="n">
        <v>44</v>
      </c>
      <c r="S521" s="9" t="n">
        <v>16</v>
      </c>
      <c r="T521" s="9" t="n">
        <v>23</v>
      </c>
      <c r="U521" s="9">
        <f>Q521+R521+S521+T521</f>
        <v/>
      </c>
      <c r="V521" s="9">
        <f>IF(ISNUMBER(U521),U521,"")</f>
        <v/>
      </c>
      <c r="W521" s="9">
        <f>_xlfn.RANK.EQ(V521,$V$2:$V$1031)</f>
        <v/>
      </c>
      <c r="X521" s="13" t="inlineStr">
        <is>
          <t>راسب</t>
        </is>
      </c>
      <c r="Y521" s="13" t="n">
        <v>21</v>
      </c>
      <c r="Z521" s="13" t="n">
        <v>23</v>
      </c>
      <c r="AA521" s="13" t="n">
        <v>15</v>
      </c>
      <c r="AB521" s="13">
        <f>IF(ISNUMBER(X521),X521+N(Y521)+N(Z521)+N(AA521),X521)</f>
        <v/>
      </c>
      <c r="AC521" s="13">
        <f>IF(ISNUMBER(AB521),AB521,"")</f>
        <v/>
      </c>
      <c r="AD521" s="13">
        <f>IF(ISNUMBER(AC521),_xlfn.RANK.EQ(AC521,$AC$2:$AC$1031),"")</f>
        <v/>
      </c>
      <c r="AE521" s="15">
        <f>IF(ISNUMBER(AF521),AF521/3630,"")</f>
        <v/>
      </c>
      <c r="AF521" s="14">
        <f>IFERROR(C521+D521+E521+F521+J521+K521+L521+M521+Q521+R521+S521+T521+IF(ISNUMBER(X521),X521,0)+N(Y521)+N(Z521)+N(AA521),"")</f>
        <v/>
      </c>
      <c r="AG521" s="14">
        <f>IF(ISNUMBER(AF521),AF521,"")</f>
        <v/>
      </c>
      <c r="AH521" s="14">
        <f>IF(ISNUMBER(AG521),_xlfn.RANK.EQ(AG521,$AG$2:$AG$1031),"")</f>
        <v/>
      </c>
    </row>
    <row r="522">
      <c r="A522" s="18" t="n">
        <v>1246</v>
      </c>
      <c r="B522" s="18" t="inlineStr">
        <is>
          <t>عبد الوهاب احمد محمود السهيلي</t>
        </is>
      </c>
      <c r="C522" s="1" t="n">
        <v>501.9</v>
      </c>
      <c r="D522" s="1" t="n">
        <v>23</v>
      </c>
      <c r="E522" s="1" t="n">
        <v>21</v>
      </c>
      <c r="F522" s="1" t="n">
        <v>20</v>
      </c>
      <c r="G522" s="1">
        <f>C522+D522+E522+F522</f>
        <v/>
      </c>
      <c r="H522" s="1">
        <f>IF(ISNUMBER(G522),G522,"")</f>
        <v/>
      </c>
      <c r="I522" s="1">
        <f>_xlfn.RANK.EQ(H522,$H$2:$H$1031)</f>
        <v/>
      </c>
      <c r="J522" s="5" t="n">
        <v>460.3</v>
      </c>
      <c r="K522" s="5" t="n">
        <v>49</v>
      </c>
      <c r="L522" s="5" t="n">
        <v>21</v>
      </c>
      <c r="M522" s="5" t="n">
        <v>22</v>
      </c>
      <c r="N522" s="5">
        <f>J522+K522+L522+M522</f>
        <v/>
      </c>
      <c r="O522" s="5">
        <f>IF(ISNUMBER(N522),N522,"")</f>
        <v/>
      </c>
      <c r="P522" s="5">
        <f>_xlfn.RANK.EQ(O522,$O$2:$O$1031)</f>
        <v/>
      </c>
      <c r="Q522" s="9" t="n">
        <v>196.75</v>
      </c>
      <c r="R522" s="9" t="n">
        <v>47</v>
      </c>
      <c r="S522" s="9" t="n">
        <v>22</v>
      </c>
      <c r="T522" s="9" t="n">
        <v>23</v>
      </c>
      <c r="U522" s="9">
        <f>Q522+R522+S522+T522</f>
        <v/>
      </c>
      <c r="V522" s="9">
        <f>IF(ISNUMBER(U522),U522,"")</f>
        <v/>
      </c>
      <c r="W522" s="9">
        <f>_xlfn.RANK.EQ(V522,$V$2:$V$1031)</f>
        <v/>
      </c>
      <c r="X522" s="13" t="n">
        <v>1184.1166666667</v>
      </c>
      <c r="Y522" s="13" t="n">
        <v>23</v>
      </c>
      <c r="Z522" s="13" t="n">
        <v>23</v>
      </c>
      <c r="AA522" s="13" t="n">
        <v>23</v>
      </c>
      <c r="AB522" s="13">
        <f>IF(ISNUMBER(X522),X522+N(Y522)+N(Z522)+N(AA522),X522)</f>
        <v/>
      </c>
      <c r="AC522" s="13">
        <f>IF(ISNUMBER(AB522),AB522,"")</f>
        <v/>
      </c>
      <c r="AD522" s="13">
        <f>IF(ISNUMBER(AC522),_xlfn.RANK.EQ(AC522,$AC$2:$AC$1031),"")</f>
        <v/>
      </c>
      <c r="AE522" s="15">
        <f>IF(ISNUMBER(AF522),AF522/3630,"")</f>
        <v/>
      </c>
      <c r="AF522" s="14">
        <f>IFERROR(C522+D522+E522+F522+J522+K522+L522+M522+Q522+R522+S522+T522+IF(ISNUMBER(X522),X522,0)+N(Y522)+N(Z522)+N(AA522),"")</f>
        <v/>
      </c>
      <c r="AG522" s="14">
        <f>IF(ISNUMBER(AF522),AF522,"")</f>
        <v/>
      </c>
      <c r="AH522" s="14">
        <f>IF(ISNUMBER(AG522),_xlfn.RANK.EQ(AG522,$AG$2:$AG$1031),"")</f>
        <v/>
      </c>
    </row>
    <row r="523">
      <c r="A523" s="18" t="n">
        <v>1257</v>
      </c>
      <c r="B523" s="18" t="inlineStr">
        <is>
          <t>عز الدين علاء عطيه زايد</t>
        </is>
      </c>
      <c r="C523" s="1" t="n">
        <v>620.3</v>
      </c>
      <c r="D523" s="1" t="n">
        <v>24</v>
      </c>
      <c r="E523" s="1" t="n">
        <v>25</v>
      </c>
      <c r="F523" s="1" t="n">
        <v>20</v>
      </c>
      <c r="G523" s="1">
        <f>C523+D523+E523+F523</f>
        <v/>
      </c>
      <c r="H523" s="1">
        <f>IF(ISNUMBER(G523),G523,"")</f>
        <v/>
      </c>
      <c r="I523" s="1">
        <f>_xlfn.RANK.EQ(H523,$H$2:$H$1031)</f>
        <v/>
      </c>
      <c r="J523" s="5" t="n">
        <v>599.5</v>
      </c>
      <c r="K523" s="5" t="n">
        <v>49</v>
      </c>
      <c r="L523" s="5" t="n">
        <v>23</v>
      </c>
      <c r="M523" s="5" t="n">
        <v>23</v>
      </c>
      <c r="N523" s="5">
        <f>J523+K523+L523+M523</f>
        <v/>
      </c>
      <c r="O523" s="5">
        <f>IF(ISNUMBER(N523),N523,"")</f>
        <v/>
      </c>
      <c r="P523" s="5">
        <f>_xlfn.RANK.EQ(O523,$O$2:$O$1031)</f>
        <v/>
      </c>
      <c r="Q523" s="9" t="n">
        <v>256.75</v>
      </c>
      <c r="R523" s="9" t="n">
        <v>48.5</v>
      </c>
      <c r="S523" s="9" t="n">
        <v>22</v>
      </c>
      <c r="T523" s="9" t="n">
        <v>24</v>
      </c>
      <c r="U523" s="9">
        <f>Q523+R523+S523+T523</f>
        <v/>
      </c>
      <c r="V523" s="9">
        <f>IF(ISNUMBER(U523),U523,"")</f>
        <v/>
      </c>
      <c r="W523" s="9">
        <f>_xlfn.RANK.EQ(V523,$V$2:$V$1031)</f>
        <v/>
      </c>
      <c r="X523" s="13" t="n">
        <v>1502.4166666667</v>
      </c>
      <c r="Y523" s="13" t="n">
        <v>25</v>
      </c>
      <c r="Z523" s="13" t="n">
        <v>24</v>
      </c>
      <c r="AA523" s="13" t="n">
        <v>25</v>
      </c>
      <c r="AB523" s="13">
        <f>IF(ISNUMBER(X523),X523+N(Y523)+N(Z523)+N(AA523),X523)</f>
        <v/>
      </c>
      <c r="AC523" s="13">
        <f>IF(ISNUMBER(AB523),AB523,"")</f>
        <v/>
      </c>
      <c r="AD523" s="13">
        <f>IF(ISNUMBER(AC523),_xlfn.RANK.EQ(AC523,$AC$2:$AC$1031),"")</f>
        <v/>
      </c>
      <c r="AE523" s="15">
        <f>IF(ISNUMBER(AF523),AF523/3630,"")</f>
        <v/>
      </c>
      <c r="AF523" s="14">
        <f>IFERROR(C523+D523+E523+F523+J523+K523+L523+M523+Q523+R523+S523+T523+IF(ISNUMBER(X523),X523,0)+N(Y523)+N(Z523)+N(AA523),"")</f>
        <v/>
      </c>
      <c r="AG523" s="14">
        <f>IF(ISNUMBER(AF523),AF523,"")</f>
        <v/>
      </c>
      <c r="AH523" s="14">
        <f>IF(ISNUMBER(AG523),_xlfn.RANK.EQ(AG523,$AG$2:$AG$1031),"")</f>
        <v/>
      </c>
    </row>
    <row r="524">
      <c r="A524" s="18" t="n">
        <v>1260</v>
      </c>
      <c r="B524" s="18" t="inlineStr">
        <is>
          <t>عزمى شعبان ابو العزم احمد ابراهيم الشيخ</t>
        </is>
      </c>
      <c r="C524" s="1" t="n">
        <v>561.4</v>
      </c>
      <c r="D524" s="1" t="n">
        <v>24</v>
      </c>
      <c r="E524" s="1" t="n">
        <v>18</v>
      </c>
      <c r="F524" s="1" t="n">
        <v>21</v>
      </c>
      <c r="G524" s="1">
        <f>C524+D524+E524+F524</f>
        <v/>
      </c>
      <c r="H524" s="1">
        <f>IF(ISNUMBER(G524),G524,"")</f>
        <v/>
      </c>
      <c r="I524" s="1">
        <f>_xlfn.RANK.EQ(H524,$H$2:$H$1031)</f>
        <v/>
      </c>
      <c r="J524" s="5" t="n">
        <v>552.5</v>
      </c>
      <c r="K524" s="5" t="n">
        <v>42</v>
      </c>
      <c r="L524" s="5" t="n">
        <v>24</v>
      </c>
      <c r="M524" s="5" t="n">
        <v>24</v>
      </c>
      <c r="N524" s="5">
        <f>J524+K524+L524+M524</f>
        <v/>
      </c>
      <c r="O524" s="5">
        <f>IF(ISNUMBER(N524),N524,"")</f>
        <v/>
      </c>
      <c r="P524" s="5">
        <f>_xlfn.RANK.EQ(O524,$O$2:$O$1031)</f>
        <v/>
      </c>
      <c r="Q524" s="9" t="inlineStr">
        <is>
          <t>راسب</t>
        </is>
      </c>
      <c r="R524" s="9" t="n">
        <v>37</v>
      </c>
      <c r="S524" s="9" t="n">
        <v>19</v>
      </c>
      <c r="T524" s="9" t="n">
        <v>23</v>
      </c>
      <c r="U524" s="9">
        <f>Q524+R524+S524+T524</f>
        <v/>
      </c>
      <c r="V524" s="9">
        <f>IF(ISNUMBER(U524),U524,"")</f>
        <v/>
      </c>
      <c r="W524" s="9">
        <f>_xlfn.RANK.EQ(V524,$V$2:$V$1031)</f>
        <v/>
      </c>
      <c r="X524" s="13" t="inlineStr">
        <is>
          <t>راسب</t>
        </is>
      </c>
      <c r="Y524" s="13" t="n">
        <v>21</v>
      </c>
      <c r="Z524" s="13" t="n">
        <v>14</v>
      </c>
      <c r="AA524" s="13" t="n">
        <v>16</v>
      </c>
      <c r="AB524" s="13">
        <f>IF(ISNUMBER(X524),X524+N(Y524)+N(Z524)+N(AA524),X524)</f>
        <v/>
      </c>
      <c r="AC524" s="13">
        <f>IF(ISNUMBER(AB524),AB524,"")</f>
        <v/>
      </c>
      <c r="AD524" s="13">
        <f>IF(ISNUMBER(AC524),_xlfn.RANK.EQ(AC524,$AC$2:$AC$1031),"")</f>
        <v/>
      </c>
      <c r="AE524" s="15">
        <f>IF(ISNUMBER(AF524),AF524/3630,"")</f>
        <v/>
      </c>
      <c r="AF524" s="14">
        <f>IFERROR(C524+D524+E524+F524+J524+K524+L524+M524+Q524+R524+S524+T524+IF(ISNUMBER(X524),X524,0)+N(Y524)+N(Z524)+N(AA524),"")</f>
        <v/>
      </c>
      <c r="AG524" s="14">
        <f>IF(ISNUMBER(AF524),AF524,"")</f>
        <v/>
      </c>
      <c r="AH524" s="14">
        <f>IF(ISNUMBER(AG524),_xlfn.RANK.EQ(AG524,$AG$2:$AG$1031),"")</f>
        <v/>
      </c>
    </row>
    <row r="525">
      <c r="A525" s="18" t="n">
        <v>1263</v>
      </c>
      <c r="B525" s="18" t="inlineStr">
        <is>
          <t>عصمت سعيد سعد نصار</t>
        </is>
      </c>
      <c r="C525" s="1" t="n">
        <v>411</v>
      </c>
      <c r="D525" s="1" t="n">
        <v>7</v>
      </c>
      <c r="E525" s="1" t="n">
        <v>8</v>
      </c>
      <c r="F525" s="1" t="n">
        <v>11</v>
      </c>
      <c r="G525" s="1">
        <f>C525+D525+E525+F525</f>
        <v/>
      </c>
      <c r="H525" s="1">
        <f>IF(ISNUMBER(G525),G525,"")</f>
        <v/>
      </c>
      <c r="I525" s="1">
        <f>_xlfn.RANK.EQ(H525,$H$2:$H$1031)</f>
        <v/>
      </c>
      <c r="J525" s="5" t="n">
        <v>390</v>
      </c>
      <c r="K525" s="5" t="n">
        <v>23</v>
      </c>
      <c r="L525" s="5" t="n">
        <v>13</v>
      </c>
      <c r="M525" s="5" t="n">
        <v>5</v>
      </c>
      <c r="N525" s="5">
        <f>J525+K525+L525+M525</f>
        <v/>
      </c>
      <c r="O525" s="5">
        <f>IF(ISNUMBER(N525),N525,"")</f>
        <v/>
      </c>
      <c r="P525" s="5">
        <f>_xlfn.RANK.EQ(O525,$O$2:$O$1031)</f>
        <v/>
      </c>
      <c r="Q525" s="9" t="n">
        <v>93</v>
      </c>
      <c r="R525" s="9" t="n">
        <v>23.5</v>
      </c>
      <c r="S525" s="9" t="n">
        <v>8</v>
      </c>
      <c r="T525" s="9" t="n">
        <v>19</v>
      </c>
      <c r="U525" s="9">
        <f>Q525+R525+S525+T525</f>
        <v/>
      </c>
      <c r="V525" s="9">
        <f>IF(ISNUMBER(U525),U525,"")</f>
        <v/>
      </c>
      <c r="W525" s="9">
        <f>_xlfn.RANK.EQ(V525,$V$2:$V$1031)</f>
        <v/>
      </c>
      <c r="X525" s="13" t="inlineStr">
        <is>
          <t>راسب</t>
        </is>
      </c>
      <c r="Y525" s="13" t="n">
        <v>15</v>
      </c>
      <c r="Z525" s="13" t="n">
        <v>10</v>
      </c>
      <c r="AA525" s="13" t="n">
        <v>13</v>
      </c>
      <c r="AB525" s="13">
        <f>IF(ISNUMBER(X525),X525+N(Y525)+N(Z525)+N(AA525),X525)</f>
        <v/>
      </c>
      <c r="AC525" s="13">
        <f>IF(ISNUMBER(AB525),AB525,"")</f>
        <v/>
      </c>
      <c r="AD525" s="13">
        <f>IF(ISNUMBER(AC525),_xlfn.RANK.EQ(AC525,$AC$2:$AC$1031),"")</f>
        <v/>
      </c>
      <c r="AE525" s="15">
        <f>IF(ISNUMBER(AF525),AF525/3630,"")</f>
        <v/>
      </c>
      <c r="AF525" s="14">
        <f>IFERROR(C525+D525+E525+F525+J525+K525+L525+M525+Q525+R525+S525+T525+IF(ISNUMBER(X525),X525,0)+N(Y525)+N(Z525)+N(AA525),"")</f>
        <v/>
      </c>
      <c r="AG525" s="14">
        <f>IF(ISNUMBER(AF525),AF525,"")</f>
        <v/>
      </c>
      <c r="AH525" s="14">
        <f>IF(ISNUMBER(AG525),_xlfn.RANK.EQ(AG525,$AG$2:$AG$1031),"")</f>
        <v/>
      </c>
    </row>
    <row r="526">
      <c r="A526" s="18" t="n">
        <v>1264</v>
      </c>
      <c r="B526" s="18" t="inlineStr">
        <is>
          <t>علا ابراهيم عبدالواحد سيداحمد حسنين</t>
        </is>
      </c>
      <c r="C526" s="1" t="n">
        <v>539.7</v>
      </c>
      <c r="D526" s="1" t="n">
        <v>24</v>
      </c>
      <c r="E526" s="1" t="n">
        <v>22</v>
      </c>
      <c r="F526" s="1" t="n">
        <v>17</v>
      </c>
      <c r="G526" s="1">
        <f>C526+D526+E526+F526</f>
        <v/>
      </c>
      <c r="H526" s="1">
        <f>IF(ISNUMBER(G526),G526,"")</f>
        <v/>
      </c>
      <c r="I526" s="1">
        <f>_xlfn.RANK.EQ(H526,$H$2:$H$1031)</f>
        <v/>
      </c>
      <c r="J526" s="5" t="n">
        <v>522</v>
      </c>
      <c r="K526" s="5" t="n">
        <v>46</v>
      </c>
      <c r="L526" s="5" t="n">
        <v>22</v>
      </c>
      <c r="M526" s="5" t="n">
        <v>21</v>
      </c>
      <c r="N526" s="5">
        <f>J526+K526+L526+M526</f>
        <v/>
      </c>
      <c r="O526" s="5">
        <f>IF(ISNUMBER(N526),N526,"")</f>
        <v/>
      </c>
      <c r="P526" s="5">
        <f>_xlfn.RANK.EQ(O526,$O$2:$O$1031)</f>
        <v/>
      </c>
      <c r="Q526" s="9" t="n">
        <v>219</v>
      </c>
      <c r="R526" s="9" t="n">
        <v>45.5</v>
      </c>
      <c r="S526" s="9" t="n">
        <v>24</v>
      </c>
      <c r="T526" s="9" t="n">
        <v>20</v>
      </c>
      <c r="U526" s="9">
        <f>Q526+R526+S526+T526</f>
        <v/>
      </c>
      <c r="V526" s="9">
        <f>IF(ISNUMBER(U526),U526,"")</f>
        <v/>
      </c>
      <c r="W526" s="9">
        <f>_xlfn.RANK.EQ(V526,$V$2:$V$1031)</f>
        <v/>
      </c>
      <c r="X526" s="13" t="n">
        <v>1204.7</v>
      </c>
      <c r="Y526" s="13" t="n">
        <v>25</v>
      </c>
      <c r="Z526" s="13" t="n">
        <v>25</v>
      </c>
      <c r="AA526" s="13" t="n">
        <v>20</v>
      </c>
      <c r="AB526" s="13">
        <f>IF(ISNUMBER(X526),X526+N(Y526)+N(Z526)+N(AA526),X526)</f>
        <v/>
      </c>
      <c r="AC526" s="13">
        <f>IF(ISNUMBER(AB526),AB526,"")</f>
        <v/>
      </c>
      <c r="AD526" s="13">
        <f>IF(ISNUMBER(AC526),_xlfn.RANK.EQ(AC526,$AC$2:$AC$1031),"")</f>
        <v/>
      </c>
      <c r="AE526" s="15">
        <f>IF(ISNUMBER(AF526),AF526/3630,"")</f>
        <v/>
      </c>
      <c r="AF526" s="14">
        <f>IFERROR(C526+D526+E526+F526+J526+K526+L526+M526+Q526+R526+S526+T526+IF(ISNUMBER(X526),X526,0)+N(Y526)+N(Z526)+N(AA526),"")</f>
        <v/>
      </c>
      <c r="AG526" s="14">
        <f>IF(ISNUMBER(AF526),AF526,"")</f>
        <v/>
      </c>
      <c r="AH526" s="14">
        <f>IF(ISNUMBER(AG526),_xlfn.RANK.EQ(AG526,$AG$2:$AG$1031),"")</f>
        <v/>
      </c>
    </row>
    <row r="527">
      <c r="A527" s="18" t="n">
        <v>1269</v>
      </c>
      <c r="B527" s="18" t="inlineStr">
        <is>
          <t>علا كمال جلال الغنام</t>
        </is>
      </c>
      <c r="C527" s="1" t="n">
        <v>631.6</v>
      </c>
      <c r="D527" s="1" t="n">
        <v>25</v>
      </c>
      <c r="E527" s="1" t="n">
        <v>24</v>
      </c>
      <c r="F527" s="1" t="n">
        <v>23</v>
      </c>
      <c r="G527" s="1">
        <f>C527+D527+E527+F527</f>
        <v/>
      </c>
      <c r="H527" s="1">
        <f>IF(ISNUMBER(G527),G527,"")</f>
        <v/>
      </c>
      <c r="I527" s="1">
        <f>_xlfn.RANK.EQ(H527,$H$2:$H$1031)</f>
        <v/>
      </c>
      <c r="J527" s="5" t="n">
        <v>597</v>
      </c>
      <c r="K527" s="5" t="n">
        <v>49</v>
      </c>
      <c r="L527" s="5" t="n">
        <v>22</v>
      </c>
      <c r="M527" s="5" t="n">
        <v>21</v>
      </c>
      <c r="N527" s="5">
        <f>J527+K527+L527+M527</f>
        <v/>
      </c>
      <c r="O527" s="5">
        <f>IF(ISNUMBER(N527),N527,"")</f>
        <v/>
      </c>
      <c r="P527" s="5">
        <f>_xlfn.RANK.EQ(O527,$O$2:$O$1031)</f>
        <v/>
      </c>
      <c r="Q527" s="9" t="n">
        <v>269</v>
      </c>
      <c r="R527" s="9" t="n">
        <v>47</v>
      </c>
      <c r="S527" s="9" t="n">
        <v>25</v>
      </c>
      <c r="T527" s="9" t="n">
        <v>24</v>
      </c>
      <c r="U527" s="9">
        <f>Q527+R527+S527+T527</f>
        <v/>
      </c>
      <c r="V527" s="9">
        <f>IF(ISNUMBER(U527),U527,"")</f>
        <v/>
      </c>
      <c r="W527" s="9">
        <f>_xlfn.RANK.EQ(V527,$V$2:$V$1031)</f>
        <v/>
      </c>
      <c r="X527" s="13" t="n">
        <v>1486.5458333333</v>
      </c>
      <c r="Y527" s="13" t="n">
        <v>25</v>
      </c>
      <c r="Z527" s="13" t="n">
        <v>25</v>
      </c>
      <c r="AA527" s="13" t="n">
        <v>24</v>
      </c>
      <c r="AB527" s="13">
        <f>IF(ISNUMBER(X527),X527+N(Y527)+N(Z527)+N(AA527),X527)</f>
        <v/>
      </c>
      <c r="AC527" s="13">
        <f>IF(ISNUMBER(AB527),AB527,"")</f>
        <v/>
      </c>
      <c r="AD527" s="13">
        <f>IF(ISNUMBER(AC527),_xlfn.RANK.EQ(AC527,$AC$2:$AC$1031),"")</f>
        <v/>
      </c>
      <c r="AE527" s="15">
        <f>IF(ISNUMBER(AF527),AF527/3630,"")</f>
        <v/>
      </c>
      <c r="AF527" s="14">
        <f>IFERROR(C527+D527+E527+F527+J527+K527+L527+M527+Q527+R527+S527+T527+IF(ISNUMBER(X527),X527,0)+N(Y527)+N(Z527)+N(AA527),"")</f>
        <v/>
      </c>
      <c r="AG527" s="14">
        <f>IF(ISNUMBER(AF527),AF527,"")</f>
        <v/>
      </c>
      <c r="AH527" s="14">
        <f>IF(ISNUMBER(AG527),_xlfn.RANK.EQ(AG527,$AG$2:$AG$1031),"")</f>
        <v/>
      </c>
    </row>
    <row r="528">
      <c r="A528" s="18" t="n">
        <v>1271</v>
      </c>
      <c r="B528" s="18" t="inlineStr">
        <is>
          <t>علا ياسر ابراهيم ابوزيد ابراهيم</t>
        </is>
      </c>
      <c r="C528" s="1" t="n">
        <v>649.1</v>
      </c>
      <c r="D528" s="1" t="n">
        <v>25</v>
      </c>
      <c r="E528" s="1" t="n">
        <v>25</v>
      </c>
      <c r="F528" s="1" t="n">
        <v>24</v>
      </c>
      <c r="G528" s="1">
        <f>C528+D528+E528+F528</f>
        <v/>
      </c>
      <c r="H528" s="1">
        <f>IF(ISNUMBER(G528),G528,"")</f>
        <v/>
      </c>
      <c r="I528" s="1">
        <f>_xlfn.RANK.EQ(H528,$H$2:$H$1031)</f>
        <v/>
      </c>
      <c r="J528" s="5" t="n">
        <v>644</v>
      </c>
      <c r="K528" s="5" t="n">
        <v>48</v>
      </c>
      <c r="L528" s="5" t="n">
        <v>22</v>
      </c>
      <c r="M528" s="5" t="n">
        <v>25</v>
      </c>
      <c r="N528" s="5">
        <f>J528+K528+L528+M528</f>
        <v/>
      </c>
      <c r="O528" s="5">
        <f>IF(ISNUMBER(N528),N528,"")</f>
        <v/>
      </c>
      <c r="P528" s="5">
        <f>_xlfn.RANK.EQ(O528,$O$2:$O$1031)</f>
        <v/>
      </c>
      <c r="Q528" s="9" t="n">
        <v>287</v>
      </c>
      <c r="R528" s="9" t="n">
        <v>48.5</v>
      </c>
      <c r="S528" s="9" t="n">
        <v>24</v>
      </c>
      <c r="T528" s="9" t="n">
        <v>24</v>
      </c>
      <c r="U528" s="9">
        <f>Q528+R528+S528+T528</f>
        <v/>
      </c>
      <c r="V528" s="9">
        <f>IF(ISNUMBER(U528),U528,"")</f>
        <v/>
      </c>
      <c r="W528" s="9">
        <f>_xlfn.RANK.EQ(V528,$V$2:$V$1031)</f>
        <v/>
      </c>
      <c r="X528" s="13" t="n">
        <v>1558.4</v>
      </c>
      <c r="Y528" s="13" t="n">
        <v>25</v>
      </c>
      <c r="Z528" s="13" t="n">
        <v>24</v>
      </c>
      <c r="AA528" s="13" t="n">
        <v>25</v>
      </c>
      <c r="AB528" s="13">
        <f>IF(ISNUMBER(X528),X528+N(Y528)+N(Z528)+N(AA528),X528)</f>
        <v/>
      </c>
      <c r="AC528" s="13">
        <f>IF(ISNUMBER(AB528),AB528,"")</f>
        <v/>
      </c>
      <c r="AD528" s="13">
        <f>IF(ISNUMBER(AC528),_xlfn.RANK.EQ(AC528,$AC$2:$AC$1031),"")</f>
        <v/>
      </c>
      <c r="AE528" s="15">
        <f>IF(ISNUMBER(AF528),AF528/3630,"")</f>
        <v/>
      </c>
      <c r="AF528" s="14">
        <f>IFERROR(C528+D528+E528+F528+J528+K528+L528+M528+Q528+R528+S528+T528+IF(ISNUMBER(X528),X528,0)+N(Y528)+N(Z528)+N(AA528),"")</f>
        <v/>
      </c>
      <c r="AG528" s="14">
        <f>IF(ISNUMBER(AF528),AF528,"")</f>
        <v/>
      </c>
      <c r="AH528" s="14">
        <f>IF(ISNUMBER(AG528),_xlfn.RANK.EQ(AG528,$AG$2:$AG$1031),"")</f>
        <v/>
      </c>
    </row>
    <row r="529">
      <c r="A529" s="18" t="n">
        <v>1272</v>
      </c>
      <c r="B529" s="18" t="inlineStr">
        <is>
          <t>علاء احمد ابراهيم عبده الشنشوري</t>
        </is>
      </c>
      <c r="C529" s="1" t="n">
        <v>587.8</v>
      </c>
      <c r="D529" s="1" t="n">
        <v>23</v>
      </c>
      <c r="E529" s="1" t="n">
        <v>21</v>
      </c>
      <c r="F529" s="1" t="n">
        <v>17</v>
      </c>
      <c r="G529" s="1">
        <f>C529+D529+E529+F529</f>
        <v/>
      </c>
      <c r="H529" s="1">
        <f>IF(ISNUMBER(G529),G529,"")</f>
        <v/>
      </c>
      <c r="I529" s="1">
        <f>_xlfn.RANK.EQ(H529,$H$2:$H$1031)</f>
        <v/>
      </c>
      <c r="J529" s="5" t="n">
        <v>583</v>
      </c>
      <c r="K529" s="5" t="n">
        <v>45</v>
      </c>
      <c r="L529" s="5" t="n">
        <v>18</v>
      </c>
      <c r="M529" s="5" t="n">
        <v>23</v>
      </c>
      <c r="N529" s="5">
        <f>J529+K529+L529+M529</f>
        <v/>
      </c>
      <c r="O529" s="5">
        <f>IF(ISNUMBER(N529),N529,"")</f>
        <v/>
      </c>
      <c r="P529" s="5">
        <f>_xlfn.RANK.EQ(O529,$O$2:$O$1031)</f>
        <v/>
      </c>
      <c r="Q529" s="9" t="n">
        <v>240.75</v>
      </c>
      <c r="R529" s="9" t="n">
        <v>43</v>
      </c>
      <c r="S529" s="9" t="n">
        <v>23</v>
      </c>
      <c r="T529" s="9" t="n">
        <v>24</v>
      </c>
      <c r="U529" s="9">
        <f>Q529+R529+S529+T529</f>
        <v/>
      </c>
      <c r="V529" s="9">
        <f>IF(ISNUMBER(U529),U529,"")</f>
        <v/>
      </c>
      <c r="W529" s="9">
        <f>_xlfn.RANK.EQ(V529,$V$2:$V$1031)</f>
        <v/>
      </c>
      <c r="X529" s="13" t="n">
        <v>1407.9375</v>
      </c>
      <c r="Y529" s="13" t="n">
        <v>25</v>
      </c>
      <c r="Z529" s="13" t="n">
        <v>22</v>
      </c>
      <c r="AA529" s="13" t="n">
        <v>22</v>
      </c>
      <c r="AB529" s="13">
        <f>IF(ISNUMBER(X529),X529+N(Y529)+N(Z529)+N(AA529),X529)</f>
        <v/>
      </c>
      <c r="AC529" s="13">
        <f>IF(ISNUMBER(AB529),AB529,"")</f>
        <v/>
      </c>
      <c r="AD529" s="13">
        <f>IF(ISNUMBER(AC529),_xlfn.RANK.EQ(AC529,$AC$2:$AC$1031),"")</f>
        <v/>
      </c>
      <c r="AE529" s="15">
        <f>IF(ISNUMBER(AF529),AF529/3630,"")</f>
        <v/>
      </c>
      <c r="AF529" s="14">
        <f>IFERROR(C529+D529+E529+F529+J529+K529+L529+M529+Q529+R529+S529+T529+IF(ISNUMBER(X529),X529,0)+N(Y529)+N(Z529)+N(AA529),"")</f>
        <v/>
      </c>
      <c r="AG529" s="14">
        <f>IF(ISNUMBER(AF529),AF529,"")</f>
        <v/>
      </c>
      <c r="AH529" s="14">
        <f>IF(ISNUMBER(AG529),_xlfn.RANK.EQ(AG529,$AG$2:$AG$1031),"")</f>
        <v/>
      </c>
    </row>
    <row r="530">
      <c r="A530" s="18" t="n">
        <v>1274</v>
      </c>
      <c r="B530" s="18" t="inlineStr">
        <is>
          <t>علاء علاء الدين سليم امين خميس</t>
        </is>
      </c>
      <c r="C530" s="1" t="n">
        <v>482.9</v>
      </c>
      <c r="D530" s="1" t="n">
        <v>22</v>
      </c>
      <c r="E530" s="1" t="n">
        <v>25</v>
      </c>
      <c r="F530" s="1" t="n">
        <v>23</v>
      </c>
      <c r="G530" s="1">
        <f>C530+D530+E530+F530</f>
        <v/>
      </c>
      <c r="H530" s="1">
        <f>IF(ISNUMBER(G530),G530,"")</f>
        <v/>
      </c>
      <c r="I530" s="1">
        <f>_xlfn.RANK.EQ(H530,$H$2:$H$1031)</f>
        <v/>
      </c>
      <c r="J530" s="5" t="n">
        <v>472</v>
      </c>
      <c r="K530" s="5" t="n">
        <v>43</v>
      </c>
      <c r="L530" s="5" t="n">
        <v>23</v>
      </c>
      <c r="M530" s="5" t="n">
        <v>21</v>
      </c>
      <c r="N530" s="5">
        <f>J530+K530+L530+M530</f>
        <v/>
      </c>
      <c r="O530" s="5">
        <f>IF(ISNUMBER(N530),N530,"")</f>
        <v/>
      </c>
      <c r="P530" s="5">
        <f>_xlfn.RANK.EQ(O530,$O$2:$O$1031)</f>
        <v/>
      </c>
      <c r="Q530" s="9" t="n">
        <v>155</v>
      </c>
      <c r="R530" s="9" t="n">
        <v>46</v>
      </c>
      <c r="S530" s="9" t="n">
        <v>24</v>
      </c>
      <c r="T530" s="9" t="n">
        <v>17</v>
      </c>
      <c r="U530" s="9">
        <f>Q530+R530+S530+T530</f>
        <v/>
      </c>
      <c r="V530" s="9">
        <f>IF(ISNUMBER(U530),U530,"")</f>
        <v/>
      </c>
      <c r="W530" s="9">
        <f>_xlfn.RANK.EQ(V530,$V$2:$V$1031)</f>
        <v/>
      </c>
      <c r="X530" s="13" t="inlineStr">
        <is>
          <t>غ ب</t>
        </is>
      </c>
      <c r="Y530" s="13" t="n">
        <v>15</v>
      </c>
      <c r="Z530" s="13" t="n">
        <v>24</v>
      </c>
      <c r="AA530" s="13" t="n">
        <v>24</v>
      </c>
      <c r="AB530" s="13">
        <f>IF(ISNUMBER(X530),X530+N(Y530)+N(Z530)+N(AA530),X530)</f>
        <v/>
      </c>
      <c r="AC530" s="13">
        <f>IF(ISNUMBER(AB530),AB530,"")</f>
        <v/>
      </c>
      <c r="AD530" s="13">
        <f>IF(ISNUMBER(AC530),_xlfn.RANK.EQ(AC530,$AC$2:$AC$1031),"")</f>
        <v/>
      </c>
      <c r="AE530" s="15">
        <f>IF(ISNUMBER(AF530),AF530/3630,"")</f>
        <v/>
      </c>
      <c r="AF530" s="14">
        <f>IFERROR(C530+D530+E530+F530+J530+K530+L530+M530+Q530+R530+S530+T530+IF(ISNUMBER(X530),X530,0)+N(Y530)+N(Z530)+N(AA530),"")</f>
        <v/>
      </c>
      <c r="AG530" s="14">
        <f>IF(ISNUMBER(AF530),AF530,"")</f>
        <v/>
      </c>
      <c r="AH530" s="14">
        <f>IF(ISNUMBER(AG530),_xlfn.RANK.EQ(AG530,$AG$2:$AG$1031),"")</f>
        <v/>
      </c>
    </row>
    <row r="531">
      <c r="A531" s="18" t="n">
        <v>1279</v>
      </c>
      <c r="B531" s="18" t="inlineStr">
        <is>
          <t>على الدين هشام محمد تمام</t>
        </is>
      </c>
      <c r="C531" s="1" t="n">
        <v>623.2</v>
      </c>
      <c r="D531" s="1" t="n">
        <v>25</v>
      </c>
      <c r="E531" s="1" t="n">
        <v>24</v>
      </c>
      <c r="F531" s="1" t="n">
        <v>23</v>
      </c>
      <c r="G531" s="1">
        <f>C531+D531+E531+F531</f>
        <v/>
      </c>
      <c r="H531" s="1">
        <f>IF(ISNUMBER(G531),G531,"")</f>
        <v/>
      </c>
      <c r="I531" s="1">
        <f>_xlfn.RANK.EQ(H531,$H$2:$H$1031)</f>
        <v/>
      </c>
      <c r="J531" s="5" t="n">
        <v>597</v>
      </c>
      <c r="K531" s="5" t="n">
        <v>48</v>
      </c>
      <c r="L531" s="5" t="n">
        <v>24</v>
      </c>
      <c r="M531" s="5" t="n">
        <v>23</v>
      </c>
      <c r="N531" s="5">
        <f>J531+K531+L531+M531</f>
        <v/>
      </c>
      <c r="O531" s="5">
        <f>IF(ISNUMBER(N531),N531,"")</f>
        <v/>
      </c>
      <c r="P531" s="5">
        <f>_xlfn.RANK.EQ(O531,$O$2:$O$1031)</f>
        <v/>
      </c>
      <c r="Q531" s="9" t="n">
        <v>251.75</v>
      </c>
      <c r="R531" s="9" t="n">
        <v>47.5</v>
      </c>
      <c r="S531" s="9" t="n">
        <v>24</v>
      </c>
      <c r="T531" s="9" t="n">
        <v>24</v>
      </c>
      <c r="U531" s="9">
        <f>Q531+R531+S531+T531</f>
        <v/>
      </c>
      <c r="V531" s="9">
        <f>IF(ISNUMBER(U531),U531,"")</f>
        <v/>
      </c>
      <c r="W531" s="9">
        <f>_xlfn.RANK.EQ(V531,$V$2:$V$1031)</f>
        <v/>
      </c>
      <c r="X531" s="13" t="n">
        <v>1385.5541666667</v>
      </c>
      <c r="Y531" s="13" t="n">
        <v>23</v>
      </c>
      <c r="Z531" s="13" t="n">
        <v>22</v>
      </c>
      <c r="AA531" s="13" t="n">
        <v>23</v>
      </c>
      <c r="AB531" s="13">
        <f>IF(ISNUMBER(X531),X531+N(Y531)+N(Z531)+N(AA531),X531)</f>
        <v/>
      </c>
      <c r="AC531" s="13">
        <f>IF(ISNUMBER(AB531),AB531,"")</f>
        <v/>
      </c>
      <c r="AD531" s="13">
        <f>IF(ISNUMBER(AC531),_xlfn.RANK.EQ(AC531,$AC$2:$AC$1031),"")</f>
        <v/>
      </c>
      <c r="AE531" s="15">
        <f>IF(ISNUMBER(AF531),AF531/3630,"")</f>
        <v/>
      </c>
      <c r="AF531" s="14">
        <f>IFERROR(C531+D531+E531+F531+J531+K531+L531+M531+Q531+R531+S531+T531+IF(ISNUMBER(X531),X531,0)+N(Y531)+N(Z531)+N(AA531),"")</f>
        <v/>
      </c>
      <c r="AG531" s="14">
        <f>IF(ISNUMBER(AF531),AF531,"")</f>
        <v/>
      </c>
      <c r="AH531" s="14">
        <f>IF(ISNUMBER(AG531),_xlfn.RANK.EQ(AG531,$AG$2:$AG$1031),"")</f>
        <v/>
      </c>
    </row>
    <row r="532">
      <c r="A532" s="18" t="n">
        <v>1282</v>
      </c>
      <c r="B532" s="18" t="inlineStr">
        <is>
          <t>على انور كامل أحمد حسانين</t>
        </is>
      </c>
      <c r="C532" s="1" t="n">
        <v>645.8</v>
      </c>
      <c r="D532" s="1" t="n">
        <v>22</v>
      </c>
      <c r="E532" s="1" t="n">
        <v>24</v>
      </c>
      <c r="F532" s="1" t="n">
        <v>22</v>
      </c>
      <c r="G532" s="1">
        <f>C532+D532+E532+F532</f>
        <v/>
      </c>
      <c r="H532" s="1">
        <f>IF(ISNUMBER(G532),G532,"")</f>
        <v/>
      </c>
      <c r="I532" s="1">
        <f>_xlfn.RANK.EQ(H532,$H$2:$H$1031)</f>
        <v/>
      </c>
      <c r="J532" s="5" t="n">
        <v>632</v>
      </c>
      <c r="K532" s="5" t="n">
        <v>48</v>
      </c>
      <c r="L532" s="5" t="n">
        <v>24</v>
      </c>
      <c r="M532" s="5" t="n">
        <v>22</v>
      </c>
      <c r="N532" s="5">
        <f>J532+K532+L532+M532</f>
        <v/>
      </c>
      <c r="O532" s="5">
        <f>IF(ISNUMBER(N532),N532,"")</f>
        <v/>
      </c>
      <c r="P532" s="5">
        <f>_xlfn.RANK.EQ(O532,$O$2:$O$1031)</f>
        <v/>
      </c>
      <c r="Q532" s="9" t="n">
        <v>272</v>
      </c>
      <c r="R532" s="9" t="n">
        <v>46</v>
      </c>
      <c r="S532" s="9" t="n">
        <v>23</v>
      </c>
      <c r="T532" s="9" t="n">
        <v>25</v>
      </c>
      <c r="U532" s="9">
        <f>Q532+R532+S532+T532</f>
        <v/>
      </c>
      <c r="V532" s="9">
        <f>IF(ISNUMBER(U532),U532,"")</f>
        <v/>
      </c>
      <c r="W532" s="9">
        <f>_xlfn.RANK.EQ(V532,$V$2:$V$1031)</f>
        <v/>
      </c>
      <c r="X532" s="13" t="n">
        <v>1471.5708333333</v>
      </c>
      <c r="Y532" s="13" t="n">
        <v>25</v>
      </c>
      <c r="Z532" s="13" t="n">
        <v>25</v>
      </c>
      <c r="AA532" s="13" t="n">
        <v>24</v>
      </c>
      <c r="AB532" s="13">
        <f>IF(ISNUMBER(X532),X532+N(Y532)+N(Z532)+N(AA532),X532)</f>
        <v/>
      </c>
      <c r="AC532" s="13">
        <f>IF(ISNUMBER(AB532),AB532,"")</f>
        <v/>
      </c>
      <c r="AD532" s="13">
        <f>IF(ISNUMBER(AC532),_xlfn.RANK.EQ(AC532,$AC$2:$AC$1031),"")</f>
        <v/>
      </c>
      <c r="AE532" s="15">
        <f>IF(ISNUMBER(AF532),AF532/3630,"")</f>
        <v/>
      </c>
      <c r="AF532" s="14">
        <f>IFERROR(C532+D532+E532+F532+J532+K532+L532+M532+Q532+R532+S532+T532+IF(ISNUMBER(X532),X532,0)+N(Y532)+N(Z532)+N(AA532),"")</f>
        <v/>
      </c>
      <c r="AG532" s="14">
        <f>IF(ISNUMBER(AF532),AF532,"")</f>
        <v/>
      </c>
      <c r="AH532" s="14">
        <f>IF(ISNUMBER(AG532),_xlfn.RANK.EQ(AG532,$AG$2:$AG$1031),"")</f>
        <v/>
      </c>
    </row>
    <row r="533">
      <c r="A533" s="18" t="n">
        <v>1284</v>
      </c>
      <c r="B533" s="18" t="inlineStr">
        <is>
          <t>على حاتم محمد محمد</t>
        </is>
      </c>
      <c r="C533" s="1" t="n">
        <v>447.6</v>
      </c>
      <c r="D533" s="1" t="n">
        <v>16</v>
      </c>
      <c r="E533" s="1" t="n">
        <v>13</v>
      </c>
      <c r="F533" s="1" t="n">
        <v>15</v>
      </c>
      <c r="G533" s="1">
        <f>C533+D533+E533+F533</f>
        <v/>
      </c>
      <c r="H533" s="1">
        <f>IF(ISNUMBER(G533),G533,"")</f>
        <v/>
      </c>
      <c r="I533" s="1">
        <f>_xlfn.RANK.EQ(H533,$H$2:$H$1031)</f>
        <v/>
      </c>
      <c r="J533" s="5" t="n">
        <v>411</v>
      </c>
      <c r="K533" s="5" t="n">
        <v>39</v>
      </c>
      <c r="L533" s="5" t="n">
        <v>19</v>
      </c>
      <c r="M533" s="5" t="n">
        <v>12</v>
      </c>
      <c r="N533" s="5">
        <f>J533+K533+L533+M533</f>
        <v/>
      </c>
      <c r="O533" s="5">
        <f>IF(ISNUMBER(N533),N533,"")</f>
        <v/>
      </c>
      <c r="P533" s="5">
        <f>_xlfn.RANK.EQ(O533,$O$2:$O$1031)</f>
        <v/>
      </c>
      <c r="Q533" s="9" t="n">
        <v>198.5</v>
      </c>
      <c r="R533" s="9" t="n">
        <v>35</v>
      </c>
      <c r="S533" s="9" t="n">
        <v>22</v>
      </c>
      <c r="T533" s="9" t="n">
        <v>21</v>
      </c>
      <c r="U533" s="9">
        <f>Q533+R533+S533+T533</f>
        <v/>
      </c>
      <c r="V533" s="9">
        <f>IF(ISNUMBER(U533),U533,"")</f>
        <v/>
      </c>
      <c r="W533" s="9">
        <f>_xlfn.RANK.EQ(V533,$V$2:$V$1031)</f>
        <v/>
      </c>
      <c r="X533" s="13" t="inlineStr">
        <is>
          <t>راسب</t>
        </is>
      </c>
      <c r="Y533" s="13" t="n">
        <v>24</v>
      </c>
      <c r="Z533" s="13" t="n">
        <v>23</v>
      </c>
      <c r="AA533" s="13" t="n">
        <v>17</v>
      </c>
      <c r="AB533" s="13">
        <f>IF(ISNUMBER(X533),X533+N(Y533)+N(Z533)+N(AA533),X533)</f>
        <v/>
      </c>
      <c r="AC533" s="13">
        <f>IF(ISNUMBER(AB533),AB533,"")</f>
        <v/>
      </c>
      <c r="AD533" s="13">
        <f>IF(ISNUMBER(AC533),_xlfn.RANK.EQ(AC533,$AC$2:$AC$1031),"")</f>
        <v/>
      </c>
      <c r="AE533" s="15">
        <f>IF(ISNUMBER(AF533),AF533/3630,"")</f>
        <v/>
      </c>
      <c r="AF533" s="14">
        <f>IFERROR(C533+D533+E533+F533+J533+K533+L533+M533+Q533+R533+S533+T533+IF(ISNUMBER(X533),X533,0)+N(Y533)+N(Z533)+N(AA533),"")</f>
        <v/>
      </c>
      <c r="AG533" s="14">
        <f>IF(ISNUMBER(AF533),AF533,"")</f>
        <v/>
      </c>
      <c r="AH533" s="14">
        <f>IF(ISNUMBER(AG533),_xlfn.RANK.EQ(AG533,$AG$2:$AG$1031),"")</f>
        <v/>
      </c>
    </row>
    <row r="534">
      <c r="A534" s="18" t="n">
        <v>1286</v>
      </c>
      <c r="B534" s="18" t="inlineStr">
        <is>
          <t>على حموده محمد السعيد حموده</t>
        </is>
      </c>
      <c r="C534" s="1" t="n">
        <v>622.4</v>
      </c>
      <c r="D534" s="1" t="n">
        <v>24</v>
      </c>
      <c r="E534" s="1" t="n">
        <v>24</v>
      </c>
      <c r="F534" s="1" t="n">
        <v>22</v>
      </c>
      <c r="G534" s="1">
        <f>C534+D534+E534+F534</f>
        <v/>
      </c>
      <c r="H534" s="1">
        <f>IF(ISNUMBER(G534),G534,"")</f>
        <v/>
      </c>
      <c r="I534" s="1">
        <f>_xlfn.RANK.EQ(H534,$H$2:$H$1031)</f>
        <v/>
      </c>
      <c r="J534" s="5" t="n">
        <v>608</v>
      </c>
      <c r="K534" s="5" t="n">
        <v>47</v>
      </c>
      <c r="L534" s="5" t="n">
        <v>24</v>
      </c>
      <c r="M534" s="5" t="n">
        <v>23</v>
      </c>
      <c r="N534" s="5">
        <f>J534+K534+L534+M534</f>
        <v/>
      </c>
      <c r="O534" s="5">
        <f>IF(ISNUMBER(N534),N534,"")</f>
        <v/>
      </c>
      <c r="P534" s="5">
        <f>_xlfn.RANK.EQ(O534,$O$2:$O$1031)</f>
        <v/>
      </c>
      <c r="Q534" s="9" t="n">
        <v>256.5</v>
      </c>
      <c r="R534" s="9" t="n">
        <v>46.5</v>
      </c>
      <c r="S534" s="9" t="n">
        <v>24</v>
      </c>
      <c r="T534" s="9" t="n">
        <v>24</v>
      </c>
      <c r="U534" s="9">
        <f>Q534+R534+S534+T534</f>
        <v/>
      </c>
      <c r="V534" s="9">
        <f>IF(ISNUMBER(U534),U534,"")</f>
        <v/>
      </c>
      <c r="W534" s="9">
        <f>_xlfn.RANK.EQ(V534,$V$2:$V$1031)</f>
        <v/>
      </c>
      <c r="X534" s="13" t="n">
        <v>1388.1541666667</v>
      </c>
      <c r="Y534" s="13" t="n">
        <v>24</v>
      </c>
      <c r="Z534" s="13" t="n">
        <v>25</v>
      </c>
      <c r="AA534" s="13" t="n">
        <v>24</v>
      </c>
      <c r="AB534" s="13">
        <f>IF(ISNUMBER(X534),X534+N(Y534)+N(Z534)+N(AA534),X534)</f>
        <v/>
      </c>
      <c r="AC534" s="13">
        <f>IF(ISNUMBER(AB534),AB534,"")</f>
        <v/>
      </c>
      <c r="AD534" s="13">
        <f>IF(ISNUMBER(AC534),_xlfn.RANK.EQ(AC534,$AC$2:$AC$1031),"")</f>
        <v/>
      </c>
      <c r="AE534" s="15">
        <f>IF(ISNUMBER(AF534),AF534/3630,"")</f>
        <v/>
      </c>
      <c r="AF534" s="14">
        <f>IFERROR(C534+D534+E534+F534+J534+K534+L534+M534+Q534+R534+S534+T534+IF(ISNUMBER(X534),X534,0)+N(Y534)+N(Z534)+N(AA534),"")</f>
        <v/>
      </c>
      <c r="AG534" s="14">
        <f>IF(ISNUMBER(AF534),AF534,"")</f>
        <v/>
      </c>
      <c r="AH534" s="14">
        <f>IF(ISNUMBER(AG534),_xlfn.RANK.EQ(AG534,$AG$2:$AG$1031),"")</f>
        <v/>
      </c>
    </row>
    <row r="535">
      <c r="A535" s="18" t="n">
        <v>1290</v>
      </c>
      <c r="B535" s="18" t="inlineStr">
        <is>
          <t>على سليمان عبد العزيز سليمان</t>
        </is>
      </c>
      <c r="C535" s="1" t="n">
        <v>546.5</v>
      </c>
      <c r="D535" s="1" t="n">
        <v>19</v>
      </c>
      <c r="E535" s="1" t="n">
        <v>22</v>
      </c>
      <c r="F535" s="1" t="n">
        <v>23</v>
      </c>
      <c r="G535" s="1">
        <f>C535+D535+E535+F535</f>
        <v/>
      </c>
      <c r="H535" s="1">
        <f>IF(ISNUMBER(G535),G535,"")</f>
        <v/>
      </c>
      <c r="I535" s="1">
        <f>_xlfn.RANK.EQ(H535,$H$2:$H$1031)</f>
        <v/>
      </c>
      <c r="J535" s="5" t="n">
        <v>471.5</v>
      </c>
      <c r="K535" s="5" t="n">
        <v>42</v>
      </c>
      <c r="L535" s="5" t="n">
        <v>22</v>
      </c>
      <c r="M535" s="5" t="n">
        <v>20</v>
      </c>
      <c r="N535" s="5">
        <f>J535+K535+L535+M535</f>
        <v/>
      </c>
      <c r="O535" s="5">
        <f>IF(ISNUMBER(N535),N535,"")</f>
        <v/>
      </c>
      <c r="P535" s="5">
        <f>_xlfn.RANK.EQ(O535,$O$2:$O$1031)</f>
        <v/>
      </c>
      <c r="Q535" s="9" t="n">
        <v>222</v>
      </c>
      <c r="R535" s="9" t="n">
        <v>40.5</v>
      </c>
      <c r="S535" s="9" t="n">
        <v>22</v>
      </c>
      <c r="T535" s="9" t="n">
        <v>22</v>
      </c>
      <c r="U535" s="9">
        <f>Q535+R535+S535+T535</f>
        <v/>
      </c>
      <c r="V535" s="9">
        <f>IF(ISNUMBER(U535),U535,"")</f>
        <v/>
      </c>
      <c r="W535" s="9">
        <f>_xlfn.RANK.EQ(V535,$V$2:$V$1031)</f>
        <v/>
      </c>
      <c r="X535" s="13" t="n">
        <v>1226.5083333333</v>
      </c>
      <c r="Y535" s="13" t="n">
        <v>25</v>
      </c>
      <c r="Z535" s="13" t="n">
        <v>25</v>
      </c>
      <c r="AA535" s="13" t="n">
        <v>20</v>
      </c>
      <c r="AB535" s="13">
        <f>IF(ISNUMBER(X535),X535+N(Y535)+N(Z535)+N(AA535),X535)</f>
        <v/>
      </c>
      <c r="AC535" s="13">
        <f>IF(ISNUMBER(AB535),AB535,"")</f>
        <v/>
      </c>
      <c r="AD535" s="13">
        <f>IF(ISNUMBER(AC535),_xlfn.RANK.EQ(AC535,$AC$2:$AC$1031),"")</f>
        <v/>
      </c>
      <c r="AE535" s="15">
        <f>IF(ISNUMBER(AF535),AF535/3630,"")</f>
        <v/>
      </c>
      <c r="AF535" s="14">
        <f>IFERROR(C535+D535+E535+F535+J535+K535+L535+M535+Q535+R535+S535+T535+IF(ISNUMBER(X535),X535,0)+N(Y535)+N(Z535)+N(AA535),"")</f>
        <v/>
      </c>
      <c r="AG535" s="14">
        <f>IF(ISNUMBER(AF535),AF535,"")</f>
        <v/>
      </c>
      <c r="AH535" s="14">
        <f>IF(ISNUMBER(AG535),_xlfn.RANK.EQ(AG535,$AG$2:$AG$1031),"")</f>
        <v/>
      </c>
    </row>
    <row r="536">
      <c r="A536" s="18" t="n">
        <v>1296</v>
      </c>
      <c r="B536" s="18" t="inlineStr">
        <is>
          <t>على عمرو محمد صلاح محمد محلاب</t>
        </is>
      </c>
      <c r="C536" s="1" t="n">
        <v>522</v>
      </c>
      <c r="D536" s="1" t="n">
        <v>22</v>
      </c>
      <c r="E536" s="1" t="n">
        <v>14</v>
      </c>
      <c r="F536" s="1" t="n">
        <v>22</v>
      </c>
      <c r="G536" s="1">
        <f>C536+D536+E536+F536</f>
        <v/>
      </c>
      <c r="H536" s="1">
        <f>IF(ISNUMBER(G536),G536,"")</f>
        <v/>
      </c>
      <c r="I536" s="1">
        <f>_xlfn.RANK.EQ(H536,$H$2:$H$1031)</f>
        <v/>
      </c>
      <c r="J536" s="5" t="n">
        <v>563.5</v>
      </c>
      <c r="K536" s="5" t="n">
        <v>42</v>
      </c>
      <c r="L536" s="5" t="n">
        <v>22</v>
      </c>
      <c r="M536" s="5" t="n">
        <v>22</v>
      </c>
      <c r="N536" s="5">
        <f>J536+K536+L536+M536</f>
        <v/>
      </c>
      <c r="O536" s="5">
        <f>IF(ISNUMBER(N536),N536,"")</f>
        <v/>
      </c>
      <c r="P536" s="5">
        <f>_xlfn.RANK.EQ(O536,$O$2:$O$1031)</f>
        <v/>
      </c>
      <c r="Q536" s="9" t="n">
        <v>254</v>
      </c>
      <c r="R536" s="9" t="n">
        <v>44</v>
      </c>
      <c r="S536" s="9" t="n">
        <v>25</v>
      </c>
      <c r="T536" s="9" t="n">
        <v>21.5</v>
      </c>
      <c r="U536" s="9">
        <f>Q536+R536+S536+T536</f>
        <v/>
      </c>
      <c r="V536" s="9">
        <f>IF(ISNUMBER(U536),U536,"")</f>
        <v/>
      </c>
      <c r="W536" s="9">
        <f>_xlfn.RANK.EQ(V536,$V$2:$V$1031)</f>
        <v/>
      </c>
      <c r="X536" s="13" t="n">
        <v>1394.3041666667</v>
      </c>
      <c r="Y536" s="13" t="n">
        <v>25</v>
      </c>
      <c r="Z536" s="13" t="n">
        <v>23.5</v>
      </c>
      <c r="AA536" s="13" t="n">
        <v>21</v>
      </c>
      <c r="AB536" s="13">
        <f>IF(ISNUMBER(X536),X536+N(Y536)+N(Z536)+N(AA536),X536)</f>
        <v/>
      </c>
      <c r="AC536" s="13">
        <f>IF(ISNUMBER(AB536),AB536,"")</f>
        <v/>
      </c>
      <c r="AD536" s="13">
        <f>IF(ISNUMBER(AC536),_xlfn.RANK.EQ(AC536,$AC$2:$AC$1031),"")</f>
        <v/>
      </c>
      <c r="AE536" s="15">
        <f>IF(ISNUMBER(AF536),AF536/3630,"")</f>
        <v/>
      </c>
      <c r="AF536" s="14">
        <f>IFERROR(C536+D536+E536+F536+J536+K536+L536+M536+Q536+R536+S536+T536+IF(ISNUMBER(X536),X536,0)+N(Y536)+N(Z536)+N(AA536),"")</f>
        <v/>
      </c>
      <c r="AG536" s="14">
        <f>IF(ISNUMBER(AF536),AF536,"")</f>
        <v/>
      </c>
      <c r="AH536" s="14">
        <f>IF(ISNUMBER(AG536),_xlfn.RANK.EQ(AG536,$AG$2:$AG$1031),"")</f>
        <v/>
      </c>
    </row>
    <row r="537">
      <c r="A537" s="18" t="n">
        <v>1301</v>
      </c>
      <c r="B537" s="18" t="inlineStr">
        <is>
          <t>على ماهر عطية مرسى السيد</t>
        </is>
      </c>
      <c r="C537" s="1" t="n">
        <v>623.5</v>
      </c>
      <c r="D537" s="1" t="n">
        <v>25</v>
      </c>
      <c r="E537" s="1" t="n">
        <v>23</v>
      </c>
      <c r="F537" s="1" t="n">
        <v>22</v>
      </c>
      <c r="G537" s="1">
        <f>C537+D537+E537+F537</f>
        <v/>
      </c>
      <c r="H537" s="1">
        <f>IF(ISNUMBER(G537),G537,"")</f>
        <v/>
      </c>
      <c r="I537" s="1">
        <f>_xlfn.RANK.EQ(H537,$H$2:$H$1031)</f>
        <v/>
      </c>
      <c r="J537" s="5" t="n">
        <v>618.5</v>
      </c>
      <c r="K537" s="5" t="n">
        <v>49</v>
      </c>
      <c r="L537" s="5" t="n">
        <v>22</v>
      </c>
      <c r="M537" s="5" t="n">
        <v>24</v>
      </c>
      <c r="N537" s="5">
        <f>J537+K537+L537+M537</f>
        <v/>
      </c>
      <c r="O537" s="5">
        <f>IF(ISNUMBER(N537),N537,"")</f>
        <v/>
      </c>
      <c r="P537" s="5">
        <f>_xlfn.RANK.EQ(O537,$O$2:$O$1031)</f>
        <v/>
      </c>
      <c r="Q537" s="9" t="n">
        <v>251.75</v>
      </c>
      <c r="R537" s="9" t="n">
        <v>47.5</v>
      </c>
      <c r="S537" s="9" t="n">
        <v>25</v>
      </c>
      <c r="T537" s="9" t="n">
        <v>25</v>
      </c>
      <c r="U537" s="9">
        <f>Q537+R537+S537+T537</f>
        <v/>
      </c>
      <c r="V537" s="9">
        <f>IF(ISNUMBER(U537),U537,"")</f>
        <v/>
      </c>
      <c r="W537" s="9">
        <f>_xlfn.RANK.EQ(V537,$V$2:$V$1031)</f>
        <v/>
      </c>
      <c r="X537" s="13" t="n">
        <v>1467.5458333333</v>
      </c>
      <c r="Y537" s="13" t="n">
        <v>25</v>
      </c>
      <c r="Z537" s="13" t="n">
        <v>24</v>
      </c>
      <c r="AA537" s="13" t="n">
        <v>24</v>
      </c>
      <c r="AB537" s="13">
        <f>IF(ISNUMBER(X537),X537+N(Y537)+N(Z537)+N(AA537),X537)</f>
        <v/>
      </c>
      <c r="AC537" s="13">
        <f>IF(ISNUMBER(AB537),AB537,"")</f>
        <v/>
      </c>
      <c r="AD537" s="13">
        <f>IF(ISNUMBER(AC537),_xlfn.RANK.EQ(AC537,$AC$2:$AC$1031),"")</f>
        <v/>
      </c>
      <c r="AE537" s="15">
        <f>IF(ISNUMBER(AF537),AF537/3630,"")</f>
        <v/>
      </c>
      <c r="AF537" s="14">
        <f>IFERROR(C537+D537+E537+F537+J537+K537+L537+M537+Q537+R537+S537+T537+IF(ISNUMBER(X537),X537,0)+N(Y537)+N(Z537)+N(AA537),"")</f>
        <v/>
      </c>
      <c r="AG537" s="14">
        <f>IF(ISNUMBER(AF537),AF537,"")</f>
        <v/>
      </c>
      <c r="AH537" s="14">
        <f>IF(ISNUMBER(AG537),_xlfn.RANK.EQ(AG537,$AG$2:$AG$1031),"")</f>
        <v/>
      </c>
    </row>
    <row r="538">
      <c r="A538" s="18" t="n">
        <v>1302</v>
      </c>
      <c r="B538" s="18" t="inlineStr">
        <is>
          <t>على محمد البسطويس السيد شلبي</t>
        </is>
      </c>
      <c r="C538" s="1" t="n">
        <v>421.5</v>
      </c>
      <c r="D538" s="1" t="n">
        <v>21</v>
      </c>
      <c r="E538" s="1" t="n">
        <v>21</v>
      </c>
      <c r="F538" s="1" t="n">
        <v>20</v>
      </c>
      <c r="G538" s="1">
        <f>C538+D538+E538+F538</f>
        <v/>
      </c>
      <c r="H538" s="1">
        <f>IF(ISNUMBER(G538),G538,"")</f>
        <v/>
      </c>
      <c r="I538" s="1">
        <f>_xlfn.RANK.EQ(H538,$H$2:$H$1031)</f>
        <v/>
      </c>
      <c r="J538" s="5" t="n">
        <v>424</v>
      </c>
      <c r="K538" s="5" t="n">
        <v>41</v>
      </c>
      <c r="L538" s="5" t="n">
        <v>20</v>
      </c>
      <c r="M538" s="5" t="n">
        <v>19</v>
      </c>
      <c r="N538" s="5">
        <f>J538+K538+L538+M538</f>
        <v/>
      </c>
      <c r="O538" s="5">
        <f>IF(ISNUMBER(N538),N538,"")</f>
        <v/>
      </c>
      <c r="P538" s="5">
        <f>_xlfn.RANK.EQ(O538,$O$2:$O$1031)</f>
        <v/>
      </c>
      <c r="Q538" s="9" t="n">
        <v>178.75</v>
      </c>
      <c r="R538" s="9" t="n">
        <v>36</v>
      </c>
      <c r="S538" s="9" t="n">
        <v>23</v>
      </c>
      <c r="T538" s="9" t="n">
        <v>21.5</v>
      </c>
      <c r="U538" s="9">
        <f>Q538+R538+S538+T538</f>
        <v/>
      </c>
      <c r="V538" s="9">
        <f>IF(ISNUMBER(U538),U538,"")</f>
        <v/>
      </c>
      <c r="W538" s="9">
        <f>_xlfn.RANK.EQ(V538,$V$2:$V$1031)</f>
        <v/>
      </c>
      <c r="X538" s="13" t="inlineStr">
        <is>
          <t>راسب</t>
        </is>
      </c>
      <c r="Y538" s="13" t="n">
        <v>21</v>
      </c>
      <c r="Z538" s="13" t="n">
        <v>20.5</v>
      </c>
      <c r="AA538" s="13" t="n">
        <v>18</v>
      </c>
      <c r="AB538" s="13">
        <f>IF(ISNUMBER(X538),X538+N(Y538)+N(Z538)+N(AA538),X538)</f>
        <v/>
      </c>
      <c r="AC538" s="13">
        <f>IF(ISNUMBER(AB538),AB538,"")</f>
        <v/>
      </c>
      <c r="AD538" s="13">
        <f>IF(ISNUMBER(AC538),_xlfn.RANK.EQ(AC538,$AC$2:$AC$1031),"")</f>
        <v/>
      </c>
      <c r="AE538" s="15">
        <f>IF(ISNUMBER(AF538),AF538/3630,"")</f>
        <v/>
      </c>
      <c r="AF538" s="14">
        <f>IFERROR(C538+D538+E538+F538+J538+K538+L538+M538+Q538+R538+S538+T538+IF(ISNUMBER(X538),X538,0)+N(Y538)+N(Z538)+N(AA538),"")</f>
        <v/>
      </c>
      <c r="AG538" s="14">
        <f>IF(ISNUMBER(AF538),AF538,"")</f>
        <v/>
      </c>
      <c r="AH538" s="14">
        <f>IF(ISNUMBER(AG538),_xlfn.RANK.EQ(AG538,$AG$2:$AG$1031),"")</f>
        <v/>
      </c>
    </row>
    <row r="539">
      <c r="A539" s="18" t="n">
        <v>1304</v>
      </c>
      <c r="B539" s="18" t="inlineStr">
        <is>
          <t>على محمد على ابراهيم النجار</t>
        </is>
      </c>
      <c r="C539" s="1" t="n">
        <v>431.1</v>
      </c>
      <c r="D539" s="1" t="n">
        <v>15</v>
      </c>
      <c r="E539" s="1" t="n">
        <v>17</v>
      </c>
      <c r="F539" s="1" t="n">
        <v>14</v>
      </c>
      <c r="G539" s="1">
        <f>C539+D539+E539+F539</f>
        <v/>
      </c>
      <c r="H539" s="1">
        <f>IF(ISNUMBER(G539),G539,"")</f>
        <v/>
      </c>
      <c r="I539" s="1">
        <f>_xlfn.RANK.EQ(H539,$H$2:$H$1031)</f>
        <v/>
      </c>
      <c r="J539" s="5" t="n">
        <v>462.5</v>
      </c>
      <c r="K539" s="5" t="n">
        <v>26</v>
      </c>
      <c r="L539" s="5" t="n">
        <v>18</v>
      </c>
      <c r="M539" s="5" t="n">
        <v>16</v>
      </c>
      <c r="N539" s="5">
        <f>J539+K539+L539+M539</f>
        <v/>
      </c>
      <c r="O539" s="5">
        <f>IF(ISNUMBER(N539),N539,"")</f>
        <v/>
      </c>
      <c r="P539" s="5">
        <f>_xlfn.RANK.EQ(O539,$O$2:$O$1031)</f>
        <v/>
      </c>
      <c r="Q539" s="9" t="n">
        <v>197.25</v>
      </c>
      <c r="R539" s="9" t="n">
        <v>29.5</v>
      </c>
      <c r="S539" s="9" t="n">
        <v>21</v>
      </c>
      <c r="T539" s="9" t="n">
        <v>14</v>
      </c>
      <c r="U539" s="9">
        <f>Q539+R539+S539+T539</f>
        <v/>
      </c>
      <c r="V539" s="9">
        <f>IF(ISNUMBER(U539),U539,"")</f>
        <v/>
      </c>
      <c r="W539" s="9">
        <f>_xlfn.RANK.EQ(V539,$V$2:$V$1031)</f>
        <v/>
      </c>
      <c r="X539" s="13" t="n">
        <v>1196.7625</v>
      </c>
      <c r="Y539" s="13" t="n">
        <v>21</v>
      </c>
      <c r="Z539" s="13" t="n">
        <v>18.5</v>
      </c>
      <c r="AA539" s="13" t="n">
        <v>19</v>
      </c>
      <c r="AB539" s="13">
        <f>IF(ISNUMBER(X539),X539+N(Y539)+N(Z539)+N(AA539),X539)</f>
        <v/>
      </c>
      <c r="AC539" s="13">
        <f>IF(ISNUMBER(AB539),AB539,"")</f>
        <v/>
      </c>
      <c r="AD539" s="13">
        <f>IF(ISNUMBER(AC539),_xlfn.RANK.EQ(AC539,$AC$2:$AC$1031),"")</f>
        <v/>
      </c>
      <c r="AE539" s="15">
        <f>IF(ISNUMBER(AF539),AF539/3630,"")</f>
        <v/>
      </c>
      <c r="AF539" s="14">
        <f>IFERROR(C539+D539+E539+F539+J539+K539+L539+M539+Q539+R539+S539+T539+IF(ISNUMBER(X539),X539,0)+N(Y539)+N(Z539)+N(AA539),"")</f>
        <v/>
      </c>
      <c r="AG539" s="14">
        <f>IF(ISNUMBER(AF539),AF539,"")</f>
        <v/>
      </c>
      <c r="AH539" s="14">
        <f>IF(ISNUMBER(AG539),_xlfn.RANK.EQ(AG539,$AG$2:$AG$1031),"")</f>
        <v/>
      </c>
    </row>
    <row r="540">
      <c r="A540" s="18" t="n">
        <v>1305</v>
      </c>
      <c r="B540" s="18" t="inlineStr">
        <is>
          <t>على محمد علي احمد صبحي</t>
        </is>
      </c>
      <c r="C540" s="1" t="n">
        <v>547.4</v>
      </c>
      <c r="D540" s="1" t="n">
        <v>24</v>
      </c>
      <c r="E540" s="1" t="n">
        <v>21</v>
      </c>
      <c r="F540" s="1" t="n">
        <v>19</v>
      </c>
      <c r="G540" s="1">
        <f>C540+D540+E540+F540</f>
        <v/>
      </c>
      <c r="H540" s="1">
        <f>IF(ISNUMBER(G540),G540,"")</f>
        <v/>
      </c>
      <c r="I540" s="1">
        <f>_xlfn.RANK.EQ(H540,$H$2:$H$1031)</f>
        <v/>
      </c>
      <c r="J540" s="5" t="n">
        <v>562</v>
      </c>
      <c r="K540" s="5" t="n">
        <v>42</v>
      </c>
      <c r="L540" s="5" t="n">
        <v>21</v>
      </c>
      <c r="M540" s="5" t="n">
        <v>21</v>
      </c>
      <c r="N540" s="5">
        <f>J540+K540+L540+M540</f>
        <v/>
      </c>
      <c r="O540" s="5">
        <f>IF(ISNUMBER(N540),N540,"")</f>
        <v/>
      </c>
      <c r="P540" s="5">
        <f>_xlfn.RANK.EQ(O540,$O$2:$O$1031)</f>
        <v/>
      </c>
      <c r="Q540" s="9" t="n">
        <v>218.75</v>
      </c>
      <c r="R540" s="9" t="n">
        <v>41</v>
      </c>
      <c r="S540" s="9" t="n">
        <v>22</v>
      </c>
      <c r="T540" s="9" t="n">
        <v>24</v>
      </c>
      <c r="U540" s="9">
        <f>Q540+R540+S540+T540</f>
        <v/>
      </c>
      <c r="V540" s="9">
        <f>IF(ISNUMBER(U540),U540,"")</f>
        <v/>
      </c>
      <c r="W540" s="9">
        <f>_xlfn.RANK.EQ(V540,$V$2:$V$1031)</f>
        <v/>
      </c>
      <c r="X540" s="13" t="n">
        <v>1235.8958333333</v>
      </c>
      <c r="Y540" s="13" t="n">
        <v>24</v>
      </c>
      <c r="Z540" s="13" t="n">
        <v>21.5</v>
      </c>
      <c r="AA540" s="13" t="n">
        <v>21</v>
      </c>
      <c r="AB540" s="13">
        <f>IF(ISNUMBER(X540),X540+N(Y540)+N(Z540)+N(AA540),X540)</f>
        <v/>
      </c>
      <c r="AC540" s="13">
        <f>IF(ISNUMBER(AB540),AB540,"")</f>
        <v/>
      </c>
      <c r="AD540" s="13">
        <f>IF(ISNUMBER(AC540),_xlfn.RANK.EQ(AC540,$AC$2:$AC$1031),"")</f>
        <v/>
      </c>
      <c r="AE540" s="15">
        <f>IF(ISNUMBER(AF540),AF540/3630,"")</f>
        <v/>
      </c>
      <c r="AF540" s="14">
        <f>IFERROR(C540+D540+E540+F540+J540+K540+L540+M540+Q540+R540+S540+T540+IF(ISNUMBER(X540),X540,0)+N(Y540)+N(Z540)+N(AA540),"")</f>
        <v/>
      </c>
      <c r="AG540" s="14">
        <f>IF(ISNUMBER(AF540),AF540,"")</f>
        <v/>
      </c>
      <c r="AH540" s="14">
        <f>IF(ISNUMBER(AG540),_xlfn.RANK.EQ(AG540,$AG$2:$AG$1031),"")</f>
        <v/>
      </c>
    </row>
    <row r="541">
      <c r="A541" s="18" t="n">
        <v>1310</v>
      </c>
      <c r="B541" s="18" t="inlineStr">
        <is>
          <t>على محمود محمد احمد الهندى</t>
        </is>
      </c>
      <c r="C541" s="1" t="n">
        <v>596.1</v>
      </c>
      <c r="D541" s="1" t="n">
        <v>24</v>
      </c>
      <c r="E541" s="1" t="n">
        <v>25</v>
      </c>
      <c r="F541" s="1" t="n">
        <v>24</v>
      </c>
      <c r="G541" s="1">
        <f>C541+D541+E541+F541</f>
        <v/>
      </c>
      <c r="H541" s="1">
        <f>IF(ISNUMBER(G541),G541,"")</f>
        <v/>
      </c>
      <c r="I541" s="1">
        <f>_xlfn.RANK.EQ(H541,$H$2:$H$1031)</f>
        <v/>
      </c>
      <c r="J541" s="5" t="n">
        <v>612</v>
      </c>
      <c r="K541" s="5" t="n">
        <v>49</v>
      </c>
      <c r="L541" s="5" t="n">
        <v>23</v>
      </c>
      <c r="M541" s="5" t="n">
        <v>23</v>
      </c>
      <c r="N541" s="5">
        <f>J541+K541+L541+M541</f>
        <v/>
      </c>
      <c r="O541" s="5">
        <f>IF(ISNUMBER(N541),N541,"")</f>
        <v/>
      </c>
      <c r="P541" s="5">
        <f>_xlfn.RANK.EQ(O541,$O$2:$O$1031)</f>
        <v/>
      </c>
      <c r="Q541" s="9" t="n">
        <v>260</v>
      </c>
      <c r="R541" s="9" t="n">
        <v>47.5</v>
      </c>
      <c r="S541" s="9" t="n">
        <v>24</v>
      </c>
      <c r="T541" s="9" t="n">
        <v>24</v>
      </c>
      <c r="U541" s="9">
        <f>Q541+R541+S541+T541</f>
        <v/>
      </c>
      <c r="V541" s="9">
        <f>IF(ISNUMBER(U541),U541,"")</f>
        <v/>
      </c>
      <c r="W541" s="9">
        <f>_xlfn.RANK.EQ(V541,$V$2:$V$1031)</f>
        <v/>
      </c>
      <c r="X541" s="13" t="n">
        <v>1384.9375</v>
      </c>
      <c r="Y541" s="13" t="n">
        <v>24</v>
      </c>
      <c r="Z541" s="13" t="n">
        <v>23.5</v>
      </c>
      <c r="AA541" s="13" t="n">
        <v>21</v>
      </c>
      <c r="AB541" s="13">
        <f>IF(ISNUMBER(X541),X541+N(Y541)+N(Z541)+N(AA541),X541)</f>
        <v/>
      </c>
      <c r="AC541" s="13">
        <f>IF(ISNUMBER(AB541),AB541,"")</f>
        <v/>
      </c>
      <c r="AD541" s="13">
        <f>IF(ISNUMBER(AC541),_xlfn.RANK.EQ(AC541,$AC$2:$AC$1031),"")</f>
        <v/>
      </c>
      <c r="AE541" s="15">
        <f>IF(ISNUMBER(AF541),AF541/3630,"")</f>
        <v/>
      </c>
      <c r="AF541" s="14">
        <f>IFERROR(C541+D541+E541+F541+J541+K541+L541+M541+Q541+R541+S541+T541+IF(ISNUMBER(X541),X541,0)+N(Y541)+N(Z541)+N(AA541),"")</f>
        <v/>
      </c>
      <c r="AG541" s="14">
        <f>IF(ISNUMBER(AF541),AF541,"")</f>
        <v/>
      </c>
      <c r="AH541" s="14">
        <f>IF(ISNUMBER(AG541),_xlfn.RANK.EQ(AG541,$AG$2:$AG$1031),"")</f>
        <v/>
      </c>
    </row>
    <row r="542">
      <c r="A542" s="18" t="n">
        <v>1320</v>
      </c>
      <c r="B542" s="18" t="inlineStr">
        <is>
          <t>عماد عياد محمد سعد ابراهيم</t>
        </is>
      </c>
      <c r="C542" s="1" t="n">
        <v>544.4</v>
      </c>
      <c r="D542" s="1" t="n">
        <v>25</v>
      </c>
      <c r="E542" s="1" t="n">
        <v>20</v>
      </c>
      <c r="F542" s="1" t="n">
        <v>19</v>
      </c>
      <c r="G542" s="1">
        <f>C542+D542+E542+F542</f>
        <v/>
      </c>
      <c r="H542" s="1">
        <f>IF(ISNUMBER(G542),G542,"")</f>
        <v/>
      </c>
      <c r="I542" s="1">
        <f>_xlfn.RANK.EQ(H542,$H$2:$H$1031)</f>
        <v/>
      </c>
      <c r="J542" s="5" t="n">
        <v>546.05</v>
      </c>
      <c r="K542" s="5" t="n">
        <v>48</v>
      </c>
      <c r="L542" s="5" t="n">
        <v>21</v>
      </c>
      <c r="M542" s="5" t="n">
        <v>23</v>
      </c>
      <c r="N542" s="5">
        <f>J542+K542+L542+M542</f>
        <v/>
      </c>
      <c r="O542" s="5">
        <f>IF(ISNUMBER(N542),N542,"")</f>
        <v/>
      </c>
      <c r="P542" s="5">
        <f>_xlfn.RANK.EQ(O542,$O$2:$O$1031)</f>
        <v/>
      </c>
      <c r="Q542" s="9" t="n">
        <v>212.75</v>
      </c>
      <c r="R542" s="9" t="n">
        <v>47.5</v>
      </c>
      <c r="S542" s="9" t="n">
        <v>22</v>
      </c>
      <c r="T542" s="9" t="n">
        <v>24</v>
      </c>
      <c r="U542" s="9">
        <f>Q542+R542+S542+T542</f>
        <v/>
      </c>
      <c r="V542" s="9">
        <f>IF(ISNUMBER(U542),U542,"")</f>
        <v/>
      </c>
      <c r="W542" s="9">
        <f>_xlfn.RANK.EQ(V542,$V$2:$V$1031)</f>
        <v/>
      </c>
      <c r="X542" s="13" t="n">
        <v>1184.9541666667</v>
      </c>
      <c r="Y542" s="13" t="n">
        <v>25</v>
      </c>
      <c r="Z542" s="13" t="n">
        <v>24</v>
      </c>
      <c r="AA542" s="13" t="n">
        <v>20</v>
      </c>
      <c r="AB542" s="13">
        <f>IF(ISNUMBER(X542),X542+N(Y542)+N(Z542)+N(AA542),X542)</f>
        <v/>
      </c>
      <c r="AC542" s="13">
        <f>IF(ISNUMBER(AB542),AB542,"")</f>
        <v/>
      </c>
      <c r="AD542" s="13">
        <f>IF(ISNUMBER(AC542),_xlfn.RANK.EQ(AC542,$AC$2:$AC$1031),"")</f>
        <v/>
      </c>
      <c r="AE542" s="15">
        <f>IF(ISNUMBER(AF542),AF542/3630,"")</f>
        <v/>
      </c>
      <c r="AF542" s="14">
        <f>IFERROR(C542+D542+E542+F542+J542+K542+L542+M542+Q542+R542+S542+T542+IF(ISNUMBER(X542),X542,0)+N(Y542)+N(Z542)+N(AA542),"")</f>
        <v/>
      </c>
      <c r="AG542" s="14">
        <f>IF(ISNUMBER(AF542),AF542,"")</f>
        <v/>
      </c>
      <c r="AH542" s="14">
        <f>IF(ISNUMBER(AG542),_xlfn.RANK.EQ(AG542,$AG$2:$AG$1031),"")</f>
        <v/>
      </c>
    </row>
    <row r="543">
      <c r="A543" s="18" t="n">
        <v>1327</v>
      </c>
      <c r="B543" s="18" t="inlineStr">
        <is>
          <t>عمر احمد  محمد  غنيم سالم</t>
        </is>
      </c>
      <c r="C543" s="1" t="n">
        <v>552.3</v>
      </c>
      <c r="D543" s="1" t="n">
        <v>24</v>
      </c>
      <c r="E543" s="1" t="n">
        <v>20</v>
      </c>
      <c r="F543" s="1" t="n">
        <v>22</v>
      </c>
      <c r="G543" s="1">
        <f>C543+D543+E543+F543</f>
        <v/>
      </c>
      <c r="H543" s="1">
        <f>IF(ISNUMBER(G543),G543,"")</f>
        <v/>
      </c>
      <c r="I543" s="1">
        <f>_xlfn.RANK.EQ(H543,$H$2:$H$1031)</f>
        <v/>
      </c>
      <c r="J543" s="5" t="n">
        <v>554.9</v>
      </c>
      <c r="K543" s="5" t="n">
        <v>46</v>
      </c>
      <c r="L543" s="5" t="n">
        <v>22</v>
      </c>
      <c r="M543" s="5" t="n">
        <v>22</v>
      </c>
      <c r="N543" s="5">
        <f>J543+K543+L543+M543</f>
        <v/>
      </c>
      <c r="O543" s="5">
        <f>IF(ISNUMBER(N543),N543,"")</f>
        <v/>
      </c>
      <c r="P543" s="5">
        <f>_xlfn.RANK.EQ(O543,$O$2:$O$1031)</f>
        <v/>
      </c>
      <c r="Q543" s="9" t="n">
        <v>244</v>
      </c>
      <c r="R543" s="9" t="n">
        <v>37.5</v>
      </c>
      <c r="S543" s="9" t="n">
        <v>25</v>
      </c>
      <c r="T543" s="9" t="n">
        <v>25</v>
      </c>
      <c r="U543" s="9">
        <f>Q543+R543+S543+T543</f>
        <v/>
      </c>
      <c r="V543" s="9">
        <f>IF(ISNUMBER(U543),U543,"")</f>
        <v/>
      </c>
      <c r="W543" s="9">
        <f>_xlfn.RANK.EQ(V543,$V$2:$V$1031)</f>
        <v/>
      </c>
      <c r="X543" s="13" t="n">
        <v>1431.3041666667</v>
      </c>
      <c r="Y543" s="13" t="n">
        <v>23</v>
      </c>
      <c r="Z543" s="13" t="n">
        <v>25</v>
      </c>
      <c r="AA543" s="13" t="n">
        <v>20</v>
      </c>
      <c r="AB543" s="13">
        <f>IF(ISNUMBER(X543),X543+N(Y543)+N(Z543)+N(AA543),X543)</f>
        <v/>
      </c>
      <c r="AC543" s="13">
        <f>IF(ISNUMBER(AB543),AB543,"")</f>
        <v/>
      </c>
      <c r="AD543" s="13">
        <f>IF(ISNUMBER(AC543),_xlfn.RANK.EQ(AC543,$AC$2:$AC$1031),"")</f>
        <v/>
      </c>
      <c r="AE543" s="15">
        <f>IF(ISNUMBER(AF543),AF543/3630,"")</f>
        <v/>
      </c>
      <c r="AF543" s="14">
        <f>IFERROR(C543+D543+E543+F543+J543+K543+L543+M543+Q543+R543+S543+T543+IF(ISNUMBER(X543),X543,0)+N(Y543)+N(Z543)+N(AA543),"")</f>
        <v/>
      </c>
      <c r="AG543" s="14">
        <f>IF(ISNUMBER(AF543),AF543,"")</f>
        <v/>
      </c>
      <c r="AH543" s="14">
        <f>IF(ISNUMBER(AG543),_xlfn.RANK.EQ(AG543,$AG$2:$AG$1031),"")</f>
        <v/>
      </c>
    </row>
    <row r="544">
      <c r="A544" s="18" t="n">
        <v>1329</v>
      </c>
      <c r="B544" s="18" t="inlineStr">
        <is>
          <t>عمر احمد حلمى كامل ابوزهرة</t>
        </is>
      </c>
      <c r="C544" s="1" t="n">
        <v>488.6</v>
      </c>
      <c r="D544" s="1" t="n">
        <v>20</v>
      </c>
      <c r="E544" s="1" t="n">
        <v>21</v>
      </c>
      <c r="F544" s="1" t="n">
        <v>18</v>
      </c>
      <c r="G544" s="1">
        <f>C544+D544+E544+F544</f>
        <v/>
      </c>
      <c r="H544" s="1">
        <f>IF(ISNUMBER(G544),G544,"")</f>
        <v/>
      </c>
      <c r="I544" s="1">
        <f>_xlfn.RANK.EQ(H544,$H$2:$H$1031)</f>
        <v/>
      </c>
      <c r="J544" s="5" t="n">
        <v>431.5</v>
      </c>
      <c r="K544" s="5" t="n">
        <v>41</v>
      </c>
      <c r="L544" s="5" t="n">
        <v>17</v>
      </c>
      <c r="M544" s="5" t="n">
        <v>22</v>
      </c>
      <c r="N544" s="5">
        <f>J544+K544+L544+M544</f>
        <v/>
      </c>
      <c r="O544" s="5">
        <f>IF(ISNUMBER(N544),N544,"")</f>
        <v/>
      </c>
      <c r="P544" s="5">
        <f>_xlfn.RANK.EQ(O544,$O$2:$O$1031)</f>
        <v/>
      </c>
      <c r="Q544" s="9" t="n">
        <v>158.5</v>
      </c>
      <c r="R544" s="9" t="n">
        <v>33</v>
      </c>
      <c r="S544" s="9" t="n">
        <v>21</v>
      </c>
      <c r="T544" s="9" t="n">
        <v>23</v>
      </c>
      <c r="U544" s="9">
        <f>Q544+R544+S544+T544</f>
        <v/>
      </c>
      <c r="V544" s="9">
        <f>IF(ISNUMBER(U544),U544,"")</f>
        <v/>
      </c>
      <c r="W544" s="9">
        <f>_xlfn.RANK.EQ(V544,$V$2:$V$1031)</f>
        <v/>
      </c>
      <c r="X544" s="13" t="inlineStr">
        <is>
          <t>راسب</t>
        </is>
      </c>
      <c r="Y544" s="13" t="n">
        <v>22</v>
      </c>
      <c r="Z544" s="13" t="n">
        <v>16</v>
      </c>
      <c r="AA544" s="13" t="n">
        <v>17</v>
      </c>
      <c r="AB544" s="13">
        <f>IF(ISNUMBER(X544),X544+N(Y544)+N(Z544)+N(AA544),X544)</f>
        <v/>
      </c>
      <c r="AC544" s="13">
        <f>IF(ISNUMBER(AB544),AB544,"")</f>
        <v/>
      </c>
      <c r="AD544" s="13">
        <f>IF(ISNUMBER(AC544),_xlfn.RANK.EQ(AC544,$AC$2:$AC$1031),"")</f>
        <v/>
      </c>
      <c r="AE544" s="15">
        <f>IF(ISNUMBER(AF544),AF544/3630,"")</f>
        <v/>
      </c>
      <c r="AF544" s="14">
        <f>IFERROR(C544+D544+E544+F544+J544+K544+L544+M544+Q544+R544+S544+T544+IF(ISNUMBER(X544),X544,0)+N(Y544)+N(Z544)+N(AA544),"")</f>
        <v/>
      </c>
      <c r="AG544" s="14">
        <f>IF(ISNUMBER(AF544),AF544,"")</f>
        <v/>
      </c>
      <c r="AH544" s="14">
        <f>IF(ISNUMBER(AG544),_xlfn.RANK.EQ(AG544,$AG$2:$AG$1031),"")</f>
        <v/>
      </c>
    </row>
    <row r="545">
      <c r="A545" s="18" t="n">
        <v>1330</v>
      </c>
      <c r="B545" s="18" t="inlineStr">
        <is>
          <t>عمر احمد رأفت مشالى</t>
        </is>
      </c>
      <c r="C545" s="1" t="n">
        <v>642.1</v>
      </c>
      <c r="D545" s="1" t="n">
        <v>24</v>
      </c>
      <c r="E545" s="1" t="n">
        <v>22</v>
      </c>
      <c r="F545" s="1" t="n">
        <v>22</v>
      </c>
      <c r="G545" s="1">
        <f>C545+D545+E545+F545</f>
        <v/>
      </c>
      <c r="H545" s="1">
        <f>IF(ISNUMBER(G545),G545,"")</f>
        <v/>
      </c>
      <c r="I545" s="1">
        <f>_xlfn.RANK.EQ(H545,$H$2:$H$1031)</f>
        <v/>
      </c>
      <c r="J545" s="5" t="n">
        <v>611.5</v>
      </c>
      <c r="K545" s="5" t="n">
        <v>48</v>
      </c>
      <c r="L545" s="5" t="n">
        <v>25</v>
      </c>
      <c r="M545" s="5" t="n">
        <v>25</v>
      </c>
      <c r="N545" s="5">
        <f>J545+K545+L545+M545</f>
        <v/>
      </c>
      <c r="O545" s="5">
        <f>IF(ISNUMBER(N545),N545,"")</f>
        <v/>
      </c>
      <c r="P545" s="5">
        <f>_xlfn.RANK.EQ(O545,$O$2:$O$1031)</f>
        <v/>
      </c>
      <c r="Q545" s="9" t="n">
        <v>272.75</v>
      </c>
      <c r="R545" s="9" t="n">
        <v>47</v>
      </c>
      <c r="S545" s="9" t="n">
        <v>24</v>
      </c>
      <c r="T545" s="9" t="n">
        <v>25</v>
      </c>
      <c r="U545" s="9">
        <f>Q545+R545+S545+T545</f>
        <v/>
      </c>
      <c r="V545" s="9">
        <f>IF(ISNUMBER(U545),U545,"")</f>
        <v/>
      </c>
      <c r="W545" s="9">
        <f>_xlfn.RANK.EQ(V545,$V$2:$V$1031)</f>
        <v/>
      </c>
      <c r="X545" s="13" t="n">
        <v>1448.1875</v>
      </c>
      <c r="Y545" s="13" t="n">
        <v>25</v>
      </c>
      <c r="Z545" s="13" t="n">
        <v>25</v>
      </c>
      <c r="AA545" s="13" t="n">
        <v>24</v>
      </c>
      <c r="AB545" s="13">
        <f>IF(ISNUMBER(X545),X545+N(Y545)+N(Z545)+N(AA545),X545)</f>
        <v/>
      </c>
      <c r="AC545" s="13">
        <f>IF(ISNUMBER(AB545),AB545,"")</f>
        <v/>
      </c>
      <c r="AD545" s="13">
        <f>IF(ISNUMBER(AC545),_xlfn.RANK.EQ(AC545,$AC$2:$AC$1031),"")</f>
        <v/>
      </c>
      <c r="AE545" s="15">
        <f>IF(ISNUMBER(AF545),AF545/3630,"")</f>
        <v/>
      </c>
      <c r="AF545" s="14">
        <f>IFERROR(C545+D545+E545+F545+J545+K545+L545+M545+Q545+R545+S545+T545+IF(ISNUMBER(X545),X545,0)+N(Y545)+N(Z545)+N(AA545),"")</f>
        <v/>
      </c>
      <c r="AG545" s="14">
        <f>IF(ISNUMBER(AF545),AF545,"")</f>
        <v/>
      </c>
      <c r="AH545" s="14">
        <f>IF(ISNUMBER(AG545),_xlfn.RANK.EQ(AG545,$AG$2:$AG$1031),"")</f>
        <v/>
      </c>
    </row>
    <row r="546">
      <c r="A546" s="18" t="n">
        <v>1331</v>
      </c>
      <c r="B546" s="18" t="inlineStr">
        <is>
          <t>عمر احمد سامي احمد</t>
        </is>
      </c>
      <c r="C546" s="1" t="n">
        <v>628.3</v>
      </c>
      <c r="D546" s="1" t="n">
        <v>24</v>
      </c>
      <c r="E546" s="1" t="n">
        <v>25</v>
      </c>
      <c r="F546" s="1" t="n">
        <v>22</v>
      </c>
      <c r="G546" s="1">
        <f>C546+D546+E546+F546</f>
        <v/>
      </c>
      <c r="H546" s="1">
        <f>IF(ISNUMBER(G546),G546,"")</f>
        <v/>
      </c>
      <c r="I546" s="1">
        <f>_xlfn.RANK.EQ(H546,$H$2:$H$1031)</f>
        <v/>
      </c>
      <c r="J546" s="5" t="n">
        <v>615.5</v>
      </c>
      <c r="K546" s="5" t="n">
        <v>48</v>
      </c>
      <c r="L546" s="5" t="n">
        <v>24</v>
      </c>
      <c r="M546" s="5" t="n">
        <v>24</v>
      </c>
      <c r="N546" s="5">
        <f>J546+K546+L546+M546</f>
        <v/>
      </c>
      <c r="O546" s="5">
        <f>IF(ISNUMBER(N546),N546,"")</f>
        <v/>
      </c>
      <c r="P546" s="5">
        <f>_xlfn.RANK.EQ(O546,$O$2:$O$1031)</f>
        <v/>
      </c>
      <c r="Q546" s="9" t="n">
        <v>269</v>
      </c>
      <c r="R546" s="9" t="n">
        <v>48</v>
      </c>
      <c r="S546" s="9" t="n">
        <v>25</v>
      </c>
      <c r="T546" s="9" t="n">
        <v>25</v>
      </c>
      <c r="U546" s="9">
        <f>Q546+R546+S546+T546</f>
        <v/>
      </c>
      <c r="V546" s="9">
        <f>IF(ISNUMBER(U546),U546,"")</f>
        <v/>
      </c>
      <c r="W546" s="9">
        <f>_xlfn.RANK.EQ(V546,$V$2:$V$1031)</f>
        <v/>
      </c>
      <c r="X546" s="13" t="n">
        <v>1438.0458333333</v>
      </c>
      <c r="Y546" s="13" t="n">
        <v>25</v>
      </c>
      <c r="Z546" s="13" t="n">
        <v>25</v>
      </c>
      <c r="AA546" s="13" t="n">
        <v>24</v>
      </c>
      <c r="AB546" s="13">
        <f>IF(ISNUMBER(X546),X546+N(Y546)+N(Z546)+N(AA546),X546)</f>
        <v/>
      </c>
      <c r="AC546" s="13">
        <f>IF(ISNUMBER(AB546),AB546,"")</f>
        <v/>
      </c>
      <c r="AD546" s="13">
        <f>IF(ISNUMBER(AC546),_xlfn.RANK.EQ(AC546,$AC$2:$AC$1031),"")</f>
        <v/>
      </c>
      <c r="AE546" s="15">
        <f>IF(ISNUMBER(AF546),AF546/3630,"")</f>
        <v/>
      </c>
      <c r="AF546" s="14">
        <f>IFERROR(C546+D546+E546+F546+J546+K546+L546+M546+Q546+R546+S546+T546+IF(ISNUMBER(X546),X546,0)+N(Y546)+N(Z546)+N(AA546),"")</f>
        <v/>
      </c>
      <c r="AG546" s="14">
        <f>IF(ISNUMBER(AF546),AF546,"")</f>
        <v/>
      </c>
      <c r="AH546" s="14">
        <f>IF(ISNUMBER(AG546),_xlfn.RANK.EQ(AG546,$AG$2:$AG$1031),"")</f>
        <v/>
      </c>
    </row>
    <row r="547">
      <c r="A547" s="18" t="n">
        <v>1332</v>
      </c>
      <c r="B547" s="18" t="inlineStr">
        <is>
          <t>عمر احمد فتحي سليمان</t>
        </is>
      </c>
      <c r="C547" s="1" t="n">
        <v>626.9</v>
      </c>
      <c r="D547" s="1" t="n">
        <v>23</v>
      </c>
      <c r="E547" s="1" t="n">
        <v>25</v>
      </c>
      <c r="F547" s="1" t="n">
        <v>24</v>
      </c>
      <c r="G547" s="1">
        <f>C547+D547+E547+F547</f>
        <v/>
      </c>
      <c r="H547" s="1">
        <f>IF(ISNUMBER(G547),G547,"")</f>
        <v/>
      </c>
      <c r="I547" s="1">
        <f>_xlfn.RANK.EQ(H547,$H$2:$H$1031)</f>
        <v/>
      </c>
      <c r="J547" s="5" t="n">
        <v>625.55</v>
      </c>
      <c r="K547" s="5" t="n">
        <v>46</v>
      </c>
      <c r="L547" s="5" t="n">
        <v>25</v>
      </c>
      <c r="M547" s="5" t="n">
        <v>24</v>
      </c>
      <c r="N547" s="5">
        <f>J547+K547+L547+M547</f>
        <v/>
      </c>
      <c r="O547" s="5">
        <f>IF(ISNUMBER(N547),N547,"")</f>
        <v/>
      </c>
      <c r="P547" s="5">
        <f>_xlfn.RANK.EQ(O547,$O$2:$O$1031)</f>
        <v/>
      </c>
      <c r="Q547" s="9" t="n">
        <v>282.5</v>
      </c>
      <c r="R547" s="9" t="n">
        <v>47.5</v>
      </c>
      <c r="S547" s="9" t="n">
        <v>24</v>
      </c>
      <c r="T547" s="9" t="n">
        <v>23</v>
      </c>
      <c r="U547" s="9">
        <f>Q547+R547+S547+T547</f>
        <v/>
      </c>
      <c r="V547" s="9">
        <f>IF(ISNUMBER(U547),U547,"")</f>
        <v/>
      </c>
      <c r="W547" s="9">
        <f>_xlfn.RANK.EQ(V547,$V$2:$V$1031)</f>
        <v/>
      </c>
      <c r="X547" s="13" t="n">
        <v>1529.6416666667</v>
      </c>
      <c r="Y547" s="13" t="n">
        <v>25</v>
      </c>
      <c r="Z547" s="13" t="n">
        <v>25</v>
      </c>
      <c r="AA547" s="13" t="n">
        <v>22</v>
      </c>
      <c r="AB547" s="13">
        <f>IF(ISNUMBER(X547),X547+N(Y547)+N(Z547)+N(AA547),X547)</f>
        <v/>
      </c>
      <c r="AC547" s="13">
        <f>IF(ISNUMBER(AB547),AB547,"")</f>
        <v/>
      </c>
      <c r="AD547" s="13">
        <f>IF(ISNUMBER(AC547),_xlfn.RANK.EQ(AC547,$AC$2:$AC$1031),"")</f>
        <v/>
      </c>
      <c r="AE547" s="15">
        <f>IF(ISNUMBER(AF547),AF547/3630,"")</f>
        <v/>
      </c>
      <c r="AF547" s="14">
        <f>IFERROR(C547+D547+E547+F547+J547+K547+L547+M547+Q547+R547+S547+T547+IF(ISNUMBER(X547),X547,0)+N(Y547)+N(Z547)+N(AA547),"")</f>
        <v/>
      </c>
      <c r="AG547" s="14">
        <f>IF(ISNUMBER(AF547),AF547,"")</f>
        <v/>
      </c>
      <c r="AH547" s="14">
        <f>IF(ISNUMBER(AG547),_xlfn.RANK.EQ(AG547,$AG$2:$AG$1031),"")</f>
        <v/>
      </c>
    </row>
    <row r="548">
      <c r="A548" s="18" t="n">
        <v>1336</v>
      </c>
      <c r="B548" s="18" t="inlineStr">
        <is>
          <t>عمر السعيد محمود احمد اسكندر</t>
        </is>
      </c>
      <c r="C548" s="1" t="n">
        <v>557.4</v>
      </c>
      <c r="D548" s="1" t="n">
        <v>23</v>
      </c>
      <c r="E548" s="1" t="n">
        <v>16</v>
      </c>
      <c r="F548" s="1" t="n">
        <v>12.5</v>
      </c>
      <c r="G548" s="1">
        <f>C548+D548+E548+F548</f>
        <v/>
      </c>
      <c r="H548" s="1">
        <f>IF(ISNUMBER(G548),G548,"")</f>
        <v/>
      </c>
      <c r="I548" s="1">
        <f>_xlfn.RANK.EQ(H548,$H$2:$H$1031)</f>
        <v/>
      </c>
      <c r="J548" s="5" t="n">
        <v>484.55</v>
      </c>
      <c r="K548" s="5" t="n">
        <v>38</v>
      </c>
      <c r="L548" s="5" t="n">
        <v>17</v>
      </c>
      <c r="M548" s="5" t="n">
        <v>16</v>
      </c>
      <c r="N548" s="5">
        <f>J548+K548+L548+M548</f>
        <v/>
      </c>
      <c r="O548" s="5">
        <f>IF(ISNUMBER(N548),N548,"")</f>
        <v/>
      </c>
      <c r="P548" s="5">
        <f>_xlfn.RANK.EQ(O548,$O$2:$O$1031)</f>
        <v/>
      </c>
      <c r="Q548" s="9" t="n">
        <v>234.75</v>
      </c>
      <c r="R548" s="9" t="n">
        <v>39</v>
      </c>
      <c r="S548" s="9" t="n">
        <v>22</v>
      </c>
      <c r="T548" s="9" t="n">
        <v>22</v>
      </c>
      <c r="U548" s="9">
        <f>Q548+R548+S548+T548</f>
        <v/>
      </c>
      <c r="V548" s="9">
        <f>IF(ISNUMBER(U548),U548,"")</f>
        <v/>
      </c>
      <c r="W548" s="9">
        <f>_xlfn.RANK.EQ(V548,$V$2:$V$1031)</f>
        <v/>
      </c>
      <c r="X548" s="13" t="n">
        <v>1275.4708333333</v>
      </c>
      <c r="Y548" s="13" t="n">
        <v>24</v>
      </c>
      <c r="Z548" s="13" t="n">
        <v>10</v>
      </c>
      <c r="AA548" s="13" t="n">
        <v>19</v>
      </c>
      <c r="AB548" s="13">
        <f>IF(ISNUMBER(X548),X548+N(Y548)+N(Z548)+N(AA548),X548)</f>
        <v/>
      </c>
      <c r="AC548" s="13">
        <f>IF(ISNUMBER(AB548),AB548,"")</f>
        <v/>
      </c>
      <c r="AD548" s="13">
        <f>IF(ISNUMBER(AC548),_xlfn.RANK.EQ(AC548,$AC$2:$AC$1031),"")</f>
        <v/>
      </c>
      <c r="AE548" s="15">
        <f>IF(ISNUMBER(AF548),AF548/3630,"")</f>
        <v/>
      </c>
      <c r="AF548" s="14">
        <f>IFERROR(C548+D548+E548+F548+J548+K548+L548+M548+Q548+R548+S548+T548+IF(ISNUMBER(X548),X548,0)+N(Y548)+N(Z548)+N(AA548),"")</f>
        <v/>
      </c>
      <c r="AG548" s="14">
        <f>IF(ISNUMBER(AF548),AF548,"")</f>
        <v/>
      </c>
      <c r="AH548" s="14">
        <f>IF(ISNUMBER(AG548),_xlfn.RANK.EQ(AG548,$AG$2:$AG$1031),"")</f>
        <v/>
      </c>
    </row>
    <row r="549">
      <c r="A549" s="18" t="n">
        <v>1337</v>
      </c>
      <c r="B549" s="18" t="inlineStr">
        <is>
          <t>عمر انور حامد أنور</t>
        </is>
      </c>
      <c r="C549" s="1" t="n">
        <v>621.9</v>
      </c>
      <c r="D549" s="1" t="n">
        <v>21</v>
      </c>
      <c r="E549" s="1" t="n">
        <v>18</v>
      </c>
      <c r="F549" s="1" t="n">
        <v>25</v>
      </c>
      <c r="G549" s="1">
        <f>C549+D549+E549+F549</f>
        <v/>
      </c>
      <c r="H549" s="1">
        <f>IF(ISNUMBER(G549),G549,"")</f>
        <v/>
      </c>
      <c r="I549" s="1">
        <f>_xlfn.RANK.EQ(H549,$H$2:$H$1031)</f>
        <v/>
      </c>
      <c r="J549" s="5" t="n">
        <v>623</v>
      </c>
      <c r="K549" s="5" t="n">
        <v>48</v>
      </c>
      <c r="L549" s="5" t="n">
        <v>22</v>
      </c>
      <c r="M549" s="5" t="n">
        <v>24</v>
      </c>
      <c r="N549" s="5">
        <f>J549+K549+L549+M549</f>
        <v/>
      </c>
      <c r="O549" s="5">
        <f>IF(ISNUMBER(N549),N549,"")</f>
        <v/>
      </c>
      <c r="P549" s="5">
        <f>_xlfn.RANK.EQ(O549,$O$2:$O$1031)</f>
        <v/>
      </c>
      <c r="Q549" s="9" t="n">
        <v>263.1</v>
      </c>
      <c r="R549" s="9" t="n">
        <v>45</v>
      </c>
      <c r="S549" s="9" t="n">
        <v>24</v>
      </c>
      <c r="T549" s="9" t="n">
        <v>24</v>
      </c>
      <c r="U549" s="9">
        <f>Q549+R549+S549+T549</f>
        <v/>
      </c>
      <c r="V549" s="9">
        <f>IF(ISNUMBER(U549),U549,"")</f>
        <v/>
      </c>
      <c r="W549" s="9">
        <f>_xlfn.RANK.EQ(V549,$V$2:$V$1031)</f>
        <v/>
      </c>
      <c r="X549" s="13" t="n">
        <v>1529.7</v>
      </c>
      <c r="Y549" s="13" t="n">
        <v>25</v>
      </c>
      <c r="Z549" s="13" t="n">
        <v>24</v>
      </c>
      <c r="AA549" s="13" t="n">
        <v>24</v>
      </c>
      <c r="AB549" s="13">
        <f>IF(ISNUMBER(X549),X549+N(Y549)+N(Z549)+N(AA549),X549)</f>
        <v/>
      </c>
      <c r="AC549" s="13">
        <f>IF(ISNUMBER(AB549),AB549,"")</f>
        <v/>
      </c>
      <c r="AD549" s="13">
        <f>IF(ISNUMBER(AC549),_xlfn.RANK.EQ(AC549,$AC$2:$AC$1031),"")</f>
        <v/>
      </c>
      <c r="AE549" s="15">
        <f>IF(ISNUMBER(AF549),AF549/3630,"")</f>
        <v/>
      </c>
      <c r="AF549" s="14">
        <f>IFERROR(C549+D549+E549+F549+J549+K549+L549+M549+Q549+R549+S549+T549+IF(ISNUMBER(X549),X549,0)+N(Y549)+N(Z549)+N(AA549),"")</f>
        <v/>
      </c>
      <c r="AG549" s="14">
        <f>IF(ISNUMBER(AF549),AF549,"")</f>
        <v/>
      </c>
      <c r="AH549" s="14">
        <f>IF(ISNUMBER(AG549),_xlfn.RANK.EQ(AG549,$AG$2:$AG$1031),"")</f>
        <v/>
      </c>
    </row>
    <row r="550">
      <c r="A550" s="18" t="n">
        <v>1339</v>
      </c>
      <c r="B550" s="18" t="inlineStr">
        <is>
          <t>عمر ايهاب احمد الفحام</t>
        </is>
      </c>
      <c r="C550" s="1" t="n">
        <v>624.7</v>
      </c>
      <c r="D550" s="1" t="n">
        <v>24</v>
      </c>
      <c r="E550" s="1" t="n">
        <v>25</v>
      </c>
      <c r="F550" s="1" t="n">
        <v>24</v>
      </c>
      <c r="G550" s="1">
        <f>C550+D550+E550+F550</f>
        <v/>
      </c>
      <c r="H550" s="1">
        <f>IF(ISNUMBER(G550),G550,"")</f>
        <v/>
      </c>
      <c r="I550" s="1">
        <f>_xlfn.RANK.EQ(H550,$H$2:$H$1031)</f>
        <v/>
      </c>
      <c r="J550" s="5" t="n">
        <v>633.55</v>
      </c>
      <c r="K550" s="5" t="n">
        <v>49</v>
      </c>
      <c r="L550" s="5" t="n">
        <v>21</v>
      </c>
      <c r="M550" s="5" t="n">
        <v>24</v>
      </c>
      <c r="N550" s="5">
        <f>J550+K550+L550+M550</f>
        <v/>
      </c>
      <c r="O550" s="5">
        <f>IF(ISNUMBER(N550),N550,"")</f>
        <v/>
      </c>
      <c r="P550" s="5">
        <f>_xlfn.RANK.EQ(O550,$O$2:$O$1031)</f>
        <v/>
      </c>
      <c r="Q550" s="9" t="n">
        <v>280.25</v>
      </c>
      <c r="R550" s="9" t="n">
        <v>48</v>
      </c>
      <c r="S550" s="9" t="n">
        <v>25</v>
      </c>
      <c r="T550" s="9" t="n">
        <v>25</v>
      </c>
      <c r="U550" s="9">
        <f>Q550+R550+S550+T550</f>
        <v/>
      </c>
      <c r="V550" s="9">
        <f>IF(ISNUMBER(U550),U550,"")</f>
        <v/>
      </c>
      <c r="W550" s="9">
        <f>_xlfn.RANK.EQ(V550,$V$2:$V$1031)</f>
        <v/>
      </c>
      <c r="X550" s="13" t="n">
        <v>1511.0333333333</v>
      </c>
      <c r="Y550" s="13" t="n">
        <v>25</v>
      </c>
      <c r="Z550" s="13" t="n">
        <v>25</v>
      </c>
      <c r="AA550" s="13" t="n">
        <v>23</v>
      </c>
      <c r="AB550" s="13">
        <f>IF(ISNUMBER(X550),X550+N(Y550)+N(Z550)+N(AA550),X550)</f>
        <v/>
      </c>
      <c r="AC550" s="13">
        <f>IF(ISNUMBER(AB550),AB550,"")</f>
        <v/>
      </c>
      <c r="AD550" s="13">
        <f>IF(ISNUMBER(AC550),_xlfn.RANK.EQ(AC550,$AC$2:$AC$1031),"")</f>
        <v/>
      </c>
      <c r="AE550" s="15">
        <f>IF(ISNUMBER(AF550),AF550/3630,"")</f>
        <v/>
      </c>
      <c r="AF550" s="14">
        <f>IFERROR(C550+D550+E550+F550+J550+K550+L550+M550+Q550+R550+S550+T550+IF(ISNUMBER(X550),X550,0)+N(Y550)+N(Z550)+N(AA550),"")</f>
        <v/>
      </c>
      <c r="AG550" s="14">
        <f>IF(ISNUMBER(AF550),AF550,"")</f>
        <v/>
      </c>
      <c r="AH550" s="14">
        <f>IF(ISNUMBER(AG550),_xlfn.RANK.EQ(AG550,$AG$2:$AG$1031),"")</f>
        <v/>
      </c>
    </row>
    <row r="551">
      <c r="A551" s="18" t="n">
        <v>1340</v>
      </c>
      <c r="B551" s="18" t="inlineStr">
        <is>
          <t>عمر ايهاب عبد اللطيف شلبي</t>
        </is>
      </c>
      <c r="C551" s="1" t="n">
        <v>583.5</v>
      </c>
      <c r="D551" s="1" t="n">
        <v>24</v>
      </c>
      <c r="E551" s="1" t="n">
        <v>20</v>
      </c>
      <c r="F551" s="1" t="n">
        <v>24</v>
      </c>
      <c r="G551" s="1">
        <f>C551+D551+E551+F551</f>
        <v/>
      </c>
      <c r="H551" s="1">
        <f>IF(ISNUMBER(G551),G551,"")</f>
        <v/>
      </c>
      <c r="I551" s="1">
        <f>_xlfn.RANK.EQ(H551,$H$2:$H$1031)</f>
        <v/>
      </c>
      <c r="J551" s="5" t="n">
        <v>581.5</v>
      </c>
      <c r="K551" s="5" t="n">
        <v>36</v>
      </c>
      <c r="L551" s="5" t="n">
        <v>22</v>
      </c>
      <c r="M551" s="5" t="n">
        <v>18</v>
      </c>
      <c r="N551" s="5">
        <f>J551+K551+L551+M551</f>
        <v/>
      </c>
      <c r="O551" s="5">
        <f>IF(ISNUMBER(N551),N551,"")</f>
        <v/>
      </c>
      <c r="P551" s="5">
        <f>_xlfn.RANK.EQ(O551,$O$2:$O$1031)</f>
        <v/>
      </c>
      <c r="Q551" s="9" t="n">
        <v>221</v>
      </c>
      <c r="R551" s="9" t="n">
        <v>41.5</v>
      </c>
      <c r="S551" s="9" t="n">
        <v>24</v>
      </c>
      <c r="T551" s="9" t="n">
        <v>24.5</v>
      </c>
      <c r="U551" s="9">
        <f>Q551+R551+S551+T551</f>
        <v/>
      </c>
      <c r="V551" s="9">
        <f>IF(ISNUMBER(U551),U551,"")</f>
        <v/>
      </c>
      <c r="W551" s="9">
        <f>_xlfn.RANK.EQ(V551,$V$2:$V$1031)</f>
        <v/>
      </c>
      <c r="X551" s="13" t="n">
        <v>1428.7208333333</v>
      </c>
      <c r="Y551" s="13" t="n">
        <v>25</v>
      </c>
      <c r="Z551" s="13" t="n">
        <v>24</v>
      </c>
      <c r="AA551" s="13" t="n">
        <v>22</v>
      </c>
      <c r="AB551" s="13">
        <f>IF(ISNUMBER(X551),X551+N(Y551)+N(Z551)+N(AA551),X551)</f>
        <v/>
      </c>
      <c r="AC551" s="13">
        <f>IF(ISNUMBER(AB551),AB551,"")</f>
        <v/>
      </c>
      <c r="AD551" s="13">
        <f>IF(ISNUMBER(AC551),_xlfn.RANK.EQ(AC551,$AC$2:$AC$1031),"")</f>
        <v/>
      </c>
      <c r="AE551" s="15">
        <f>IF(ISNUMBER(AF551),AF551/3630,"")</f>
        <v/>
      </c>
      <c r="AF551" s="14">
        <f>IFERROR(C551+D551+E551+F551+J551+K551+L551+M551+Q551+R551+S551+T551+IF(ISNUMBER(X551),X551,0)+N(Y551)+N(Z551)+N(AA551),"")</f>
        <v/>
      </c>
      <c r="AG551" s="14">
        <f>IF(ISNUMBER(AF551),AF551,"")</f>
        <v/>
      </c>
      <c r="AH551" s="14">
        <f>IF(ISNUMBER(AG551),_xlfn.RANK.EQ(AG551,$AG$2:$AG$1031),"")</f>
        <v/>
      </c>
    </row>
    <row r="552">
      <c r="A552" s="18" t="n">
        <v>1341</v>
      </c>
      <c r="B552" s="18" t="inlineStr">
        <is>
          <t>عمر بسيوني عبد السلام عبد اللطيف</t>
        </is>
      </c>
      <c r="C552" s="1" t="n">
        <v>552.7</v>
      </c>
      <c r="D552" s="1" t="n"/>
      <c r="E552" s="1" t="n">
        <v>24</v>
      </c>
      <c r="F552" s="1" t="n">
        <v>20</v>
      </c>
      <c r="G552" s="1">
        <f>C552+D552+E552+F552</f>
        <v/>
      </c>
      <c r="H552" s="1">
        <f>IF(ISNUMBER(G552),G552,"")</f>
        <v/>
      </c>
      <c r="I552" s="1">
        <f>_xlfn.RANK.EQ(H552,$H$2:$H$1031)</f>
        <v/>
      </c>
      <c r="J552" s="5" t="n">
        <v>556</v>
      </c>
      <c r="K552" s="5" t="n">
        <v>37</v>
      </c>
      <c r="L552" s="5" t="n">
        <v>23</v>
      </c>
      <c r="M552" s="5" t="n">
        <v>16</v>
      </c>
      <c r="N552" s="5">
        <f>J552+K552+L552+M552</f>
        <v/>
      </c>
      <c r="O552" s="5">
        <f>IF(ISNUMBER(N552),N552,"")</f>
        <v/>
      </c>
      <c r="P552" s="5">
        <f>_xlfn.RANK.EQ(O552,$O$2:$O$1031)</f>
        <v/>
      </c>
      <c r="Q552" s="9" t="n">
        <v>184.5</v>
      </c>
      <c r="R552" s="9" t="n">
        <v>43.5</v>
      </c>
      <c r="S552" s="9" t="n">
        <v>24</v>
      </c>
      <c r="T552" s="9" t="n">
        <v>24.5</v>
      </c>
      <c r="U552" s="9">
        <f>Q552+R552+S552+T552</f>
        <v/>
      </c>
      <c r="V552" s="9">
        <f>IF(ISNUMBER(U552),U552,"")</f>
        <v/>
      </c>
      <c r="W552" s="9">
        <f>_xlfn.RANK.EQ(V552,$V$2:$V$1031)</f>
        <v/>
      </c>
      <c r="X552" s="13" t="n">
        <v>1259.8541666667</v>
      </c>
      <c r="Y552" s="13" t="n">
        <v>25</v>
      </c>
      <c r="Z552" s="13" t="n">
        <v>22</v>
      </c>
      <c r="AA552" s="13" t="n">
        <v>23</v>
      </c>
      <c r="AB552" s="13">
        <f>IF(ISNUMBER(X552),X552+N(Y552)+N(Z552)+N(AA552),X552)</f>
        <v/>
      </c>
      <c r="AC552" s="13">
        <f>IF(ISNUMBER(AB552),AB552,"")</f>
        <v/>
      </c>
      <c r="AD552" s="13">
        <f>IF(ISNUMBER(AC552),_xlfn.RANK.EQ(AC552,$AC$2:$AC$1031),"")</f>
        <v/>
      </c>
      <c r="AE552" s="15">
        <f>IF(ISNUMBER(AF552),AF552/3630,"")</f>
        <v/>
      </c>
      <c r="AF552" s="14">
        <f>IFERROR(C552+D552+E552+F552+J552+K552+L552+M552+Q552+R552+S552+T552+IF(ISNUMBER(X552),X552,0)+N(Y552)+N(Z552)+N(AA552),"")</f>
        <v/>
      </c>
      <c r="AG552" s="14">
        <f>IF(ISNUMBER(AF552),AF552,"")</f>
        <v/>
      </c>
      <c r="AH552" s="14">
        <f>IF(ISNUMBER(AG552),_xlfn.RANK.EQ(AG552,$AG$2:$AG$1031),"")</f>
        <v/>
      </c>
    </row>
    <row r="553">
      <c r="A553" s="18" t="n">
        <v>1349</v>
      </c>
      <c r="B553" s="18" t="inlineStr">
        <is>
          <t>عمر خالد ابراهيم عوض</t>
        </is>
      </c>
      <c r="C553" s="1" t="n">
        <v>533.7</v>
      </c>
      <c r="D553" s="1" t="n">
        <v>23</v>
      </c>
      <c r="E553" s="1" t="n">
        <v>25</v>
      </c>
      <c r="F553" s="1" t="n">
        <v>23</v>
      </c>
      <c r="G553" s="1">
        <f>C553+D553+E553+F553</f>
        <v/>
      </c>
      <c r="H553" s="1">
        <f>IF(ISNUMBER(G553),G553,"")</f>
        <v/>
      </c>
      <c r="I553" s="1">
        <f>_xlfn.RANK.EQ(H553,$H$2:$H$1031)</f>
        <v/>
      </c>
      <c r="J553" s="5" t="n">
        <v>573</v>
      </c>
      <c r="K553" s="5" t="n">
        <v>49</v>
      </c>
      <c r="L553" s="5" t="n">
        <v>22</v>
      </c>
      <c r="M553" s="5" t="n">
        <v>25</v>
      </c>
      <c r="N553" s="5">
        <f>J553+K553+L553+M553</f>
        <v/>
      </c>
      <c r="O553" s="5">
        <f>IF(ISNUMBER(N553),N553,"")</f>
        <v/>
      </c>
      <c r="P553" s="5">
        <f>_xlfn.RANK.EQ(O553,$O$2:$O$1031)</f>
        <v/>
      </c>
      <c r="Q553" s="9" t="n">
        <v>282.75</v>
      </c>
      <c r="R553" s="9" t="n">
        <v>50</v>
      </c>
      <c r="S553" s="9" t="n">
        <v>25</v>
      </c>
      <c r="T553" s="9" t="n">
        <v>23.5</v>
      </c>
      <c r="U553" s="9">
        <f>Q553+R553+S553+T553</f>
        <v/>
      </c>
      <c r="V553" s="9">
        <f>IF(ISNUMBER(U553),U553,"")</f>
        <v/>
      </c>
      <c r="W553" s="9">
        <f>_xlfn.RANK.EQ(V553,$V$2:$V$1031)</f>
        <v/>
      </c>
      <c r="X553" s="13" t="n">
        <v>1471.2375</v>
      </c>
      <c r="Y553" s="13" t="n">
        <v>25</v>
      </c>
      <c r="Z553" s="13" t="n">
        <v>25</v>
      </c>
      <c r="AA553" s="13" t="n">
        <v>25</v>
      </c>
      <c r="AB553" s="13">
        <f>IF(ISNUMBER(X553),X553+N(Y553)+N(Z553)+N(AA553),X553)</f>
        <v/>
      </c>
      <c r="AC553" s="13">
        <f>IF(ISNUMBER(AB553),AB553,"")</f>
        <v/>
      </c>
      <c r="AD553" s="13">
        <f>IF(ISNUMBER(AC553),_xlfn.RANK.EQ(AC553,$AC$2:$AC$1031),"")</f>
        <v/>
      </c>
      <c r="AE553" s="15">
        <f>IF(ISNUMBER(AF553),AF553/3630,"")</f>
        <v/>
      </c>
      <c r="AF553" s="14">
        <f>IFERROR(C553+D553+E553+F553+J553+K553+L553+M553+Q553+R553+S553+T553+IF(ISNUMBER(X553),X553,0)+N(Y553)+N(Z553)+N(AA553),"")</f>
        <v/>
      </c>
      <c r="AG553" s="14">
        <f>IF(ISNUMBER(AF553),AF553,"")</f>
        <v/>
      </c>
      <c r="AH553" s="14">
        <f>IF(ISNUMBER(AG553),_xlfn.RANK.EQ(AG553,$AG$2:$AG$1031),"")</f>
        <v/>
      </c>
    </row>
    <row r="554">
      <c r="A554" s="18" t="n">
        <v>1350</v>
      </c>
      <c r="B554" s="18" t="inlineStr">
        <is>
          <t>عمر خالد محمد طايع</t>
        </is>
      </c>
      <c r="C554" s="1" t="n">
        <v>418</v>
      </c>
      <c r="D554" s="1" t="n">
        <v>13</v>
      </c>
      <c r="E554" s="1" t="n">
        <v>16</v>
      </c>
      <c r="F554" s="1" t="n">
        <v>11</v>
      </c>
      <c r="G554" s="1">
        <f>C554+D554+E554+F554</f>
        <v/>
      </c>
      <c r="H554" s="1">
        <f>IF(ISNUMBER(G554),G554,"")</f>
        <v/>
      </c>
      <c r="I554" s="1">
        <f>_xlfn.RANK.EQ(H554,$H$2:$H$1031)</f>
        <v/>
      </c>
      <c r="J554" s="5" t="n">
        <v>400</v>
      </c>
      <c r="K554" s="5" t="n">
        <v>26</v>
      </c>
      <c r="L554" s="5" t="n">
        <v>18</v>
      </c>
      <c r="M554" s="5" t="n">
        <v>9</v>
      </c>
      <c r="N554" s="5">
        <f>J554+K554+L554+M554</f>
        <v/>
      </c>
      <c r="O554" s="5">
        <f>IF(ISNUMBER(N554),N554,"")</f>
        <v/>
      </c>
      <c r="P554" s="5">
        <f>_xlfn.RANK.EQ(O554,$O$2:$O$1031)</f>
        <v/>
      </c>
      <c r="Q554" s="9" t="n">
        <v>100.5</v>
      </c>
      <c r="R554" s="9" t="n"/>
      <c r="S554" s="9" t="n"/>
      <c r="T554" s="9" t="n">
        <v>12.5</v>
      </c>
      <c r="U554" s="9">
        <f>Q554+R554+S554+T554</f>
        <v/>
      </c>
      <c r="V554" s="9">
        <f>IF(ISNUMBER(U554),U554,"")</f>
        <v/>
      </c>
      <c r="W554" s="9">
        <f>_xlfn.RANK.EQ(V554,$V$2:$V$1031)</f>
        <v/>
      </c>
      <c r="X554" s="13" t="inlineStr">
        <is>
          <t>راسب</t>
        </is>
      </c>
      <c r="Y554" s="13" t="n">
        <v>12</v>
      </c>
      <c r="Z554" s="13" t="n">
        <v>9</v>
      </c>
      <c r="AA554" s="13" t="n">
        <v>4</v>
      </c>
      <c r="AB554" s="13">
        <f>IF(ISNUMBER(X554),X554+N(Y554)+N(Z554)+N(AA554),X554)</f>
        <v/>
      </c>
      <c r="AC554" s="13">
        <f>IF(ISNUMBER(AB554),AB554,"")</f>
        <v/>
      </c>
      <c r="AD554" s="13">
        <f>IF(ISNUMBER(AC554),_xlfn.RANK.EQ(AC554,$AC$2:$AC$1031),"")</f>
        <v/>
      </c>
      <c r="AE554" s="15">
        <f>IF(ISNUMBER(AF554),AF554/3630,"")</f>
        <v/>
      </c>
      <c r="AF554" s="14">
        <f>IFERROR(C554+D554+E554+F554+J554+K554+L554+M554+Q554+R554+S554+T554+IF(ISNUMBER(X554),X554,0)+N(Y554)+N(Z554)+N(AA554),"")</f>
        <v/>
      </c>
      <c r="AG554" s="14">
        <f>IF(ISNUMBER(AF554),AF554,"")</f>
        <v/>
      </c>
      <c r="AH554" s="14">
        <f>IF(ISNUMBER(AG554),_xlfn.RANK.EQ(AG554,$AG$2:$AG$1031),"")</f>
        <v/>
      </c>
    </row>
    <row r="555">
      <c r="A555" s="18" t="n">
        <v>1353</v>
      </c>
      <c r="B555" s="18" t="inlineStr">
        <is>
          <t>عمر رضا حسن محمد حسن شرابيه</t>
        </is>
      </c>
      <c r="C555" s="1" t="n">
        <v>624.7</v>
      </c>
      <c r="D555" s="1" t="n">
        <v>25</v>
      </c>
      <c r="E555" s="1" t="n">
        <v>24</v>
      </c>
      <c r="F555" s="1" t="n">
        <v>21</v>
      </c>
      <c r="G555" s="1">
        <f>C555+D555+E555+F555</f>
        <v/>
      </c>
      <c r="H555" s="1">
        <f>IF(ISNUMBER(G555),G555,"")</f>
        <v/>
      </c>
      <c r="I555" s="1">
        <f>_xlfn.RANK.EQ(H555,$H$2:$H$1031)</f>
        <v/>
      </c>
      <c r="J555" s="5" t="n">
        <v>591</v>
      </c>
      <c r="K555" s="5" t="n">
        <v>49</v>
      </c>
      <c r="L555" s="5" t="n">
        <v>23</v>
      </c>
      <c r="M555" s="5" t="n">
        <v>20</v>
      </c>
      <c r="N555" s="5">
        <f>J555+K555+L555+M555</f>
        <v/>
      </c>
      <c r="O555" s="5">
        <f>IF(ISNUMBER(N555),N555,"")</f>
        <v/>
      </c>
      <c r="P555" s="5">
        <f>_xlfn.RANK.EQ(O555,$O$2:$O$1031)</f>
        <v/>
      </c>
      <c r="Q555" s="9" t="n">
        <v>243.75</v>
      </c>
      <c r="R555" s="9" t="n">
        <v>45</v>
      </c>
      <c r="S555" s="9" t="n">
        <v>25</v>
      </c>
      <c r="T555" s="9" t="n">
        <v>25</v>
      </c>
      <c r="U555" s="9">
        <f>Q555+R555+S555+T555</f>
        <v/>
      </c>
      <c r="V555" s="9">
        <f>IF(ISNUMBER(U555),U555,"")</f>
        <v/>
      </c>
      <c r="W555" s="9">
        <f>_xlfn.RANK.EQ(V555,$V$2:$V$1031)</f>
        <v/>
      </c>
      <c r="X555" s="13" t="n">
        <v>1376.75</v>
      </c>
      <c r="Y555" s="13" t="n">
        <v>22</v>
      </c>
      <c r="Z555" s="13" t="n">
        <v>24</v>
      </c>
      <c r="AA555" s="13" t="n">
        <v>22</v>
      </c>
      <c r="AB555" s="13">
        <f>IF(ISNUMBER(X555),X555+N(Y555)+N(Z555)+N(AA555),X555)</f>
        <v/>
      </c>
      <c r="AC555" s="13">
        <f>IF(ISNUMBER(AB555),AB555,"")</f>
        <v/>
      </c>
      <c r="AD555" s="13">
        <f>IF(ISNUMBER(AC555),_xlfn.RANK.EQ(AC555,$AC$2:$AC$1031),"")</f>
        <v/>
      </c>
      <c r="AE555" s="15">
        <f>IF(ISNUMBER(AF555),AF555/3630,"")</f>
        <v/>
      </c>
      <c r="AF555" s="14">
        <f>IFERROR(C555+D555+E555+F555+J555+K555+L555+M555+Q555+R555+S555+T555+IF(ISNUMBER(X555),X555,0)+N(Y555)+N(Z555)+N(AA555),"")</f>
        <v/>
      </c>
      <c r="AG555" s="14">
        <f>IF(ISNUMBER(AF555),AF555,"")</f>
        <v/>
      </c>
      <c r="AH555" s="14">
        <f>IF(ISNUMBER(AG555),_xlfn.RANK.EQ(AG555,$AG$2:$AG$1031),"")</f>
        <v/>
      </c>
    </row>
    <row r="556">
      <c r="A556" s="18" t="n">
        <v>1355</v>
      </c>
      <c r="B556" s="18" t="inlineStr">
        <is>
          <t>عمر سامح  شتا  زيتون</t>
        </is>
      </c>
      <c r="C556" s="1" t="n">
        <v>621.3</v>
      </c>
      <c r="D556" s="1" t="n">
        <v>25</v>
      </c>
      <c r="E556" s="1" t="n">
        <v>22</v>
      </c>
      <c r="F556" s="1" t="n">
        <v>25</v>
      </c>
      <c r="G556" s="1">
        <f>C556+D556+E556+F556</f>
        <v/>
      </c>
      <c r="H556" s="1">
        <f>IF(ISNUMBER(G556),G556,"")</f>
        <v/>
      </c>
      <c r="I556" s="1">
        <f>_xlfn.RANK.EQ(H556,$H$2:$H$1031)</f>
        <v/>
      </c>
      <c r="J556" s="5" t="n">
        <v>626.5</v>
      </c>
      <c r="K556" s="5" t="n">
        <v>49</v>
      </c>
      <c r="L556" s="5" t="n">
        <v>22</v>
      </c>
      <c r="M556" s="5" t="n">
        <v>24</v>
      </c>
      <c r="N556" s="5">
        <f>J556+K556+L556+M556</f>
        <v/>
      </c>
      <c r="O556" s="5">
        <f>IF(ISNUMBER(N556),N556,"")</f>
        <v/>
      </c>
      <c r="P556" s="5">
        <f>_xlfn.RANK.EQ(O556,$O$2:$O$1031)</f>
        <v/>
      </c>
      <c r="Q556" s="9" t="n">
        <v>272.75</v>
      </c>
      <c r="R556" s="9" t="n">
        <v>47.5</v>
      </c>
      <c r="S556" s="9" t="n">
        <v>24</v>
      </c>
      <c r="T556" s="9" t="n">
        <v>24</v>
      </c>
      <c r="U556" s="9">
        <f>Q556+R556+S556+T556</f>
        <v/>
      </c>
      <c r="V556" s="9">
        <f>IF(ISNUMBER(U556),U556,"")</f>
        <v/>
      </c>
      <c r="W556" s="9">
        <f>_xlfn.RANK.EQ(V556,$V$2:$V$1031)</f>
        <v/>
      </c>
      <c r="X556" s="13" t="n">
        <v>1553.3791666667</v>
      </c>
      <c r="Y556" s="13" t="n">
        <v>24</v>
      </c>
      <c r="Z556" s="13" t="n">
        <v>25</v>
      </c>
      <c r="AA556" s="13" t="n">
        <v>23</v>
      </c>
      <c r="AB556" s="13">
        <f>IF(ISNUMBER(X556),X556+N(Y556)+N(Z556)+N(AA556),X556)</f>
        <v/>
      </c>
      <c r="AC556" s="13">
        <f>IF(ISNUMBER(AB556),AB556,"")</f>
        <v/>
      </c>
      <c r="AD556" s="13">
        <f>IF(ISNUMBER(AC556),_xlfn.RANK.EQ(AC556,$AC$2:$AC$1031),"")</f>
        <v/>
      </c>
      <c r="AE556" s="15">
        <f>IF(ISNUMBER(AF556),AF556/3630,"")</f>
        <v/>
      </c>
      <c r="AF556" s="14">
        <f>IFERROR(C556+D556+E556+F556+J556+K556+L556+M556+Q556+R556+S556+T556+IF(ISNUMBER(X556),X556,0)+N(Y556)+N(Z556)+N(AA556),"")</f>
        <v/>
      </c>
      <c r="AG556" s="14">
        <f>IF(ISNUMBER(AF556),AF556,"")</f>
        <v/>
      </c>
      <c r="AH556" s="14">
        <f>IF(ISNUMBER(AG556),_xlfn.RANK.EQ(AG556,$AG$2:$AG$1031),"")</f>
        <v/>
      </c>
    </row>
    <row r="557">
      <c r="A557" s="18" t="n">
        <v>1356</v>
      </c>
      <c r="B557" s="18" t="inlineStr">
        <is>
          <t>عمر سعيد سعد حافظ</t>
        </is>
      </c>
      <c r="C557" s="1" t="n">
        <v>432.55</v>
      </c>
      <c r="D557" s="1" t="n">
        <v>18</v>
      </c>
      <c r="E557" s="1" t="n">
        <v>20</v>
      </c>
      <c r="F557" s="1" t="n">
        <v>18.5</v>
      </c>
      <c r="G557" s="1">
        <f>C557+D557+E557+F557</f>
        <v/>
      </c>
      <c r="H557" s="1">
        <f>IF(ISNUMBER(G557),G557,"")</f>
        <v/>
      </c>
      <c r="I557" s="1">
        <f>_xlfn.RANK.EQ(H557,$H$2:$H$1031)</f>
        <v/>
      </c>
      <c r="J557" s="5" t="n">
        <v>420</v>
      </c>
      <c r="K557" s="5" t="n">
        <v>33</v>
      </c>
      <c r="L557" s="5" t="n">
        <v>13</v>
      </c>
      <c r="M557" s="5" t="n">
        <v>21</v>
      </c>
      <c r="N557" s="5">
        <f>J557+K557+L557+M557</f>
        <v/>
      </c>
      <c r="O557" s="5">
        <f>IF(ISNUMBER(N557),N557,"")</f>
        <v/>
      </c>
      <c r="P557" s="5">
        <f>_xlfn.RANK.EQ(O557,$O$2:$O$1031)</f>
        <v/>
      </c>
      <c r="Q557" s="9" t="n">
        <v>179</v>
      </c>
      <c r="R557" s="9" t="n">
        <v>30.5</v>
      </c>
      <c r="S557" s="9" t="n">
        <v>25</v>
      </c>
      <c r="T557" s="9" t="n">
        <v>25</v>
      </c>
      <c r="U557" s="9">
        <f>Q557+R557+S557+T557</f>
        <v/>
      </c>
      <c r="V557" s="9">
        <f>IF(ISNUMBER(U557),U557,"")</f>
        <v/>
      </c>
      <c r="W557" s="9">
        <f>_xlfn.RANK.EQ(V557,$V$2:$V$1031)</f>
        <v/>
      </c>
      <c r="X557" s="13" t="inlineStr">
        <is>
          <t>راسب</t>
        </is>
      </c>
      <c r="Y557" s="13" t="n">
        <v>24</v>
      </c>
      <c r="Z557" s="13" t="n">
        <v>17</v>
      </c>
      <c r="AA557" s="13" t="n">
        <v>13</v>
      </c>
      <c r="AB557" s="13">
        <f>IF(ISNUMBER(X557),X557+N(Y557)+N(Z557)+N(AA557),X557)</f>
        <v/>
      </c>
      <c r="AC557" s="13">
        <f>IF(ISNUMBER(AB557),AB557,"")</f>
        <v/>
      </c>
      <c r="AD557" s="13">
        <f>IF(ISNUMBER(AC557),_xlfn.RANK.EQ(AC557,$AC$2:$AC$1031),"")</f>
        <v/>
      </c>
      <c r="AE557" s="15">
        <f>IF(ISNUMBER(AF557),AF557/3630,"")</f>
        <v/>
      </c>
      <c r="AF557" s="14">
        <f>IFERROR(C557+D557+E557+F557+J557+K557+L557+M557+Q557+R557+S557+T557+IF(ISNUMBER(X557),X557,0)+N(Y557)+N(Z557)+N(AA557),"")</f>
        <v/>
      </c>
      <c r="AG557" s="14">
        <f>IF(ISNUMBER(AF557),AF557,"")</f>
        <v/>
      </c>
      <c r="AH557" s="14">
        <f>IF(ISNUMBER(AG557),_xlfn.RANK.EQ(AG557,$AG$2:$AG$1031),"")</f>
        <v/>
      </c>
    </row>
    <row r="558">
      <c r="A558" s="18" t="n">
        <v>1358</v>
      </c>
      <c r="B558" s="18" t="inlineStr">
        <is>
          <t>عمر طارق على صبحى طمان</t>
        </is>
      </c>
      <c r="C558" s="1" t="n">
        <v>592.8</v>
      </c>
      <c r="D558" s="1" t="n">
        <v>24</v>
      </c>
      <c r="E558" s="1" t="n">
        <v>24</v>
      </c>
      <c r="F558" s="1" t="n">
        <v>22</v>
      </c>
      <c r="G558" s="1">
        <f>C558+D558+E558+F558</f>
        <v/>
      </c>
      <c r="H558" s="1">
        <f>IF(ISNUMBER(G558),G558,"")</f>
        <v/>
      </c>
      <c r="I558" s="1">
        <f>_xlfn.RANK.EQ(H558,$H$2:$H$1031)</f>
        <v/>
      </c>
      <c r="J558" s="5" t="n">
        <v>599</v>
      </c>
      <c r="K558" s="5" t="n">
        <v>48</v>
      </c>
      <c r="L558" s="5" t="n">
        <v>22</v>
      </c>
      <c r="M558" s="5" t="n">
        <v>23</v>
      </c>
      <c r="N558" s="5">
        <f>J558+K558+L558+M558</f>
        <v/>
      </c>
      <c r="O558" s="5">
        <f>IF(ISNUMBER(N558),N558,"")</f>
        <v/>
      </c>
      <c r="P558" s="5">
        <f>_xlfn.RANK.EQ(O558,$O$2:$O$1031)</f>
        <v/>
      </c>
      <c r="Q558" s="9" t="n">
        <v>277.75</v>
      </c>
      <c r="R558" s="9" t="n">
        <v>47</v>
      </c>
      <c r="S558" s="9" t="n">
        <v>23</v>
      </c>
      <c r="T558" s="9" t="n">
        <v>25</v>
      </c>
      <c r="U558" s="9">
        <f>Q558+R558+S558+T558</f>
        <v/>
      </c>
      <c r="V558" s="9">
        <f>IF(ISNUMBER(U558),U558,"")</f>
        <v/>
      </c>
      <c r="W558" s="9">
        <f>_xlfn.RANK.EQ(V558,$V$2:$V$1031)</f>
        <v/>
      </c>
      <c r="X558" s="13" t="n">
        <v>1469.4416666667</v>
      </c>
      <c r="Y558" s="13" t="n">
        <v>25</v>
      </c>
      <c r="Z558" s="13" t="n">
        <v>25</v>
      </c>
      <c r="AA558" s="13" t="n">
        <v>22</v>
      </c>
      <c r="AB558" s="13">
        <f>IF(ISNUMBER(X558),X558+N(Y558)+N(Z558)+N(AA558),X558)</f>
        <v/>
      </c>
      <c r="AC558" s="13">
        <f>IF(ISNUMBER(AB558),AB558,"")</f>
        <v/>
      </c>
      <c r="AD558" s="13">
        <f>IF(ISNUMBER(AC558),_xlfn.RANK.EQ(AC558,$AC$2:$AC$1031),"")</f>
        <v/>
      </c>
      <c r="AE558" s="15">
        <f>IF(ISNUMBER(AF558),AF558/3630,"")</f>
        <v/>
      </c>
      <c r="AF558" s="14">
        <f>IFERROR(C558+D558+E558+F558+J558+K558+L558+M558+Q558+R558+S558+T558+IF(ISNUMBER(X558),X558,0)+N(Y558)+N(Z558)+N(AA558),"")</f>
        <v/>
      </c>
      <c r="AG558" s="14">
        <f>IF(ISNUMBER(AF558),AF558,"")</f>
        <v/>
      </c>
      <c r="AH558" s="14">
        <f>IF(ISNUMBER(AG558),_xlfn.RANK.EQ(AG558,$AG$2:$AG$1031),"")</f>
        <v/>
      </c>
    </row>
    <row r="559">
      <c r="A559" s="18" t="n">
        <v>1361</v>
      </c>
      <c r="B559" s="18" t="inlineStr">
        <is>
          <t>عمر عبد الحميد سعيد ابراهيم</t>
        </is>
      </c>
      <c r="C559" s="1" t="n">
        <v>608.1</v>
      </c>
      <c r="D559" s="1" t="n">
        <v>24</v>
      </c>
      <c r="E559" s="1" t="n">
        <v>21</v>
      </c>
      <c r="F559" s="1" t="n">
        <v>22</v>
      </c>
      <c r="G559" s="1">
        <f>C559+D559+E559+F559</f>
        <v/>
      </c>
      <c r="H559" s="1">
        <f>IF(ISNUMBER(G559),G559,"")</f>
        <v/>
      </c>
      <c r="I559" s="1">
        <f>_xlfn.RANK.EQ(H559,$H$2:$H$1031)</f>
        <v/>
      </c>
      <c r="J559" s="5" t="n">
        <v>575</v>
      </c>
      <c r="K559" s="5" t="n">
        <v>47</v>
      </c>
      <c r="L559" s="5" t="n">
        <v>23</v>
      </c>
      <c r="M559" s="5" t="n">
        <v>25</v>
      </c>
      <c r="N559" s="5">
        <f>J559+K559+L559+M559</f>
        <v/>
      </c>
      <c r="O559" s="5">
        <f>IF(ISNUMBER(N559),N559,"")</f>
        <v/>
      </c>
      <c r="P559" s="5">
        <f>_xlfn.RANK.EQ(O559,$O$2:$O$1031)</f>
        <v/>
      </c>
      <c r="Q559" s="9" t="n">
        <v>245</v>
      </c>
      <c r="R559" s="9" t="n">
        <v>47</v>
      </c>
      <c r="S559" s="9" t="n">
        <v>22</v>
      </c>
      <c r="T559" s="9" t="n">
        <v>23</v>
      </c>
      <c r="U559" s="9">
        <f>Q559+R559+S559+T559</f>
        <v/>
      </c>
      <c r="V559" s="9">
        <f>IF(ISNUMBER(U559),U559,"")</f>
        <v/>
      </c>
      <c r="W559" s="9">
        <f>_xlfn.RANK.EQ(V559,$V$2:$V$1031)</f>
        <v/>
      </c>
      <c r="X559" s="13" t="n">
        <v>1328.1</v>
      </c>
      <c r="Y559" s="13" t="n">
        <v>22</v>
      </c>
      <c r="Z559" s="13" t="n">
        <v>23</v>
      </c>
      <c r="AA559" s="13" t="n">
        <v>19</v>
      </c>
      <c r="AB559" s="13">
        <f>IF(ISNUMBER(X559),X559+N(Y559)+N(Z559)+N(AA559),X559)</f>
        <v/>
      </c>
      <c r="AC559" s="13">
        <f>IF(ISNUMBER(AB559),AB559,"")</f>
        <v/>
      </c>
      <c r="AD559" s="13">
        <f>IF(ISNUMBER(AC559),_xlfn.RANK.EQ(AC559,$AC$2:$AC$1031),"")</f>
        <v/>
      </c>
      <c r="AE559" s="15">
        <f>IF(ISNUMBER(AF559),AF559/3630,"")</f>
        <v/>
      </c>
      <c r="AF559" s="14">
        <f>IFERROR(C559+D559+E559+F559+J559+K559+L559+M559+Q559+R559+S559+T559+IF(ISNUMBER(X559),X559,0)+N(Y559)+N(Z559)+N(AA559),"")</f>
        <v/>
      </c>
      <c r="AG559" s="14">
        <f>IF(ISNUMBER(AF559),AF559,"")</f>
        <v/>
      </c>
      <c r="AH559" s="14">
        <f>IF(ISNUMBER(AG559),_xlfn.RANK.EQ(AG559,$AG$2:$AG$1031),"")</f>
        <v/>
      </c>
    </row>
    <row r="560">
      <c r="A560" s="18" t="n">
        <v>1363</v>
      </c>
      <c r="B560" s="18" t="inlineStr">
        <is>
          <t>عمر عبد العزيز فوزى منصور عكاشه</t>
        </is>
      </c>
      <c r="C560" s="1" t="n">
        <v>621.9</v>
      </c>
      <c r="D560" s="1" t="n">
        <v>24</v>
      </c>
      <c r="E560" s="1" t="n">
        <v>25</v>
      </c>
      <c r="F560" s="1" t="n">
        <v>24</v>
      </c>
      <c r="G560" s="1">
        <f>C560+D560+E560+F560</f>
        <v/>
      </c>
      <c r="H560" s="1">
        <f>IF(ISNUMBER(G560),G560,"")</f>
        <v/>
      </c>
      <c r="I560" s="1">
        <f>_xlfn.RANK.EQ(H560,$H$2:$H$1031)</f>
        <v/>
      </c>
      <c r="J560" s="5" t="n">
        <v>634</v>
      </c>
      <c r="K560" s="5" t="n">
        <v>49</v>
      </c>
      <c r="L560" s="5" t="n">
        <v>23</v>
      </c>
      <c r="M560" s="5" t="n">
        <v>25</v>
      </c>
      <c r="N560" s="5">
        <f>J560+K560+L560+M560</f>
        <v/>
      </c>
      <c r="O560" s="5">
        <f>IF(ISNUMBER(N560),N560,"")</f>
        <v/>
      </c>
      <c r="P560" s="5">
        <f>_xlfn.RANK.EQ(O560,$O$2:$O$1031)</f>
        <v/>
      </c>
      <c r="Q560" s="9" t="n">
        <v>286</v>
      </c>
      <c r="R560" s="9" t="n">
        <v>50</v>
      </c>
      <c r="S560" s="9" t="n">
        <v>25</v>
      </c>
      <c r="T560" s="9" t="n">
        <v>25</v>
      </c>
      <c r="U560" s="9">
        <f>Q560+R560+S560+T560</f>
        <v/>
      </c>
      <c r="V560" s="9">
        <f>IF(ISNUMBER(U560),U560,"")</f>
        <v/>
      </c>
      <c r="W560" s="9">
        <f>_xlfn.RANK.EQ(V560,$V$2:$V$1031)</f>
        <v/>
      </c>
      <c r="X560" s="13" t="n">
        <v>1528.4208333333</v>
      </c>
      <c r="Y560" s="13" t="n">
        <v>25</v>
      </c>
      <c r="Z560" s="13" t="n">
        <v>25</v>
      </c>
      <c r="AA560" s="13" t="n">
        <v>24</v>
      </c>
      <c r="AB560" s="13">
        <f>IF(ISNUMBER(X560),X560+N(Y560)+N(Z560)+N(AA560),X560)</f>
        <v/>
      </c>
      <c r="AC560" s="13">
        <f>IF(ISNUMBER(AB560),AB560,"")</f>
        <v/>
      </c>
      <c r="AD560" s="13">
        <f>IF(ISNUMBER(AC560),_xlfn.RANK.EQ(AC560,$AC$2:$AC$1031),"")</f>
        <v/>
      </c>
      <c r="AE560" s="15">
        <f>IF(ISNUMBER(AF560),AF560/3630,"")</f>
        <v/>
      </c>
      <c r="AF560" s="14">
        <f>IFERROR(C560+D560+E560+F560+J560+K560+L560+M560+Q560+R560+S560+T560+IF(ISNUMBER(X560),X560,0)+N(Y560)+N(Z560)+N(AA560),"")</f>
        <v/>
      </c>
      <c r="AG560" s="14">
        <f>IF(ISNUMBER(AF560),AF560,"")</f>
        <v/>
      </c>
      <c r="AH560" s="14">
        <f>IF(ISNUMBER(AG560),_xlfn.RANK.EQ(AG560,$AG$2:$AG$1031),"")</f>
        <v/>
      </c>
    </row>
    <row r="561">
      <c r="A561" s="18" t="n">
        <v>1364</v>
      </c>
      <c r="B561" s="18" t="inlineStr">
        <is>
          <t>عمر عبد العظيم عبد العال أحمد</t>
        </is>
      </c>
      <c r="C561" s="1" t="n">
        <v>594.2</v>
      </c>
      <c r="D561" s="1" t="n">
        <v>22</v>
      </c>
      <c r="E561" s="1" t="n">
        <v>23</v>
      </c>
      <c r="F561" s="1" t="n">
        <v>19</v>
      </c>
      <c r="G561" s="1">
        <f>C561+D561+E561+F561</f>
        <v/>
      </c>
      <c r="H561" s="1">
        <f>IF(ISNUMBER(G561),G561,"")</f>
        <v/>
      </c>
      <c r="I561" s="1">
        <f>_xlfn.RANK.EQ(H561,$H$2:$H$1031)</f>
        <v/>
      </c>
      <c r="J561" s="5" t="n">
        <v>561.5</v>
      </c>
      <c r="K561" s="5" t="n">
        <v>40</v>
      </c>
      <c r="L561" s="5" t="n">
        <v>20</v>
      </c>
      <c r="M561" s="5" t="n">
        <v>18</v>
      </c>
      <c r="N561" s="5">
        <f>J561+K561+L561+M561</f>
        <v/>
      </c>
      <c r="O561" s="5">
        <f>IF(ISNUMBER(N561),N561,"")</f>
        <v/>
      </c>
      <c r="P561" s="5">
        <f>_xlfn.RANK.EQ(O561,$O$2:$O$1031)</f>
        <v/>
      </c>
      <c r="Q561" s="9" t="n">
        <v>246</v>
      </c>
      <c r="R561" s="9" t="n">
        <v>45</v>
      </c>
      <c r="S561" s="9" t="n">
        <v>22</v>
      </c>
      <c r="T561" s="9" t="n">
        <v>25</v>
      </c>
      <c r="U561" s="9">
        <f>Q561+R561+S561+T561</f>
        <v/>
      </c>
      <c r="V561" s="9">
        <f>IF(ISNUMBER(U561),U561,"")</f>
        <v/>
      </c>
      <c r="W561" s="9">
        <f>_xlfn.RANK.EQ(V561,$V$2:$V$1031)</f>
        <v/>
      </c>
      <c r="X561" s="13" t="n">
        <v>1397.3291666667</v>
      </c>
      <c r="Y561" s="13" t="n">
        <v>20</v>
      </c>
      <c r="Z561" s="13" t="n">
        <v>23</v>
      </c>
      <c r="AA561" s="13" t="n">
        <v>23</v>
      </c>
      <c r="AB561" s="13">
        <f>IF(ISNUMBER(X561),X561+N(Y561)+N(Z561)+N(AA561),X561)</f>
        <v/>
      </c>
      <c r="AC561" s="13">
        <f>IF(ISNUMBER(AB561),AB561,"")</f>
        <v/>
      </c>
      <c r="AD561" s="13">
        <f>IF(ISNUMBER(AC561),_xlfn.RANK.EQ(AC561,$AC$2:$AC$1031),"")</f>
        <v/>
      </c>
      <c r="AE561" s="15">
        <f>IF(ISNUMBER(AF561),AF561/3630,"")</f>
        <v/>
      </c>
      <c r="AF561" s="14">
        <f>IFERROR(C561+D561+E561+F561+J561+K561+L561+M561+Q561+R561+S561+T561+IF(ISNUMBER(X561),X561,0)+N(Y561)+N(Z561)+N(AA561),"")</f>
        <v/>
      </c>
      <c r="AG561" s="14">
        <f>IF(ISNUMBER(AF561),AF561,"")</f>
        <v/>
      </c>
      <c r="AH561" s="14">
        <f>IF(ISNUMBER(AG561),_xlfn.RANK.EQ(AG561,$AG$2:$AG$1031),"")</f>
        <v/>
      </c>
    </row>
    <row r="562">
      <c r="A562" s="18" t="n">
        <v>1367</v>
      </c>
      <c r="B562" s="18" t="inlineStr">
        <is>
          <t>عمر علي عمر سليمان</t>
        </is>
      </c>
      <c r="C562" s="1" t="n">
        <v>630.2</v>
      </c>
      <c r="D562" s="1" t="n">
        <v>24</v>
      </c>
      <c r="E562" s="1" t="n">
        <v>24</v>
      </c>
      <c r="F562" s="1" t="n">
        <v>23</v>
      </c>
      <c r="G562" s="1">
        <f>C562+D562+E562+F562</f>
        <v/>
      </c>
      <c r="H562" s="1">
        <f>IF(ISNUMBER(G562),G562,"")</f>
        <v/>
      </c>
      <c r="I562" s="1">
        <f>_xlfn.RANK.EQ(H562,$H$2:$H$1031)</f>
        <v/>
      </c>
      <c r="J562" s="5" t="n">
        <v>617.25</v>
      </c>
      <c r="K562" s="5" t="n">
        <v>46</v>
      </c>
      <c r="L562" s="5" t="n">
        <v>22</v>
      </c>
      <c r="M562" s="5" t="n">
        <v>23</v>
      </c>
      <c r="N562" s="5">
        <f>J562+K562+L562+M562</f>
        <v/>
      </c>
      <c r="O562" s="5">
        <f>IF(ISNUMBER(N562),N562,"")</f>
        <v/>
      </c>
      <c r="P562" s="5">
        <f>_xlfn.RANK.EQ(O562,$O$2:$O$1031)</f>
        <v/>
      </c>
      <c r="Q562" s="9" t="n">
        <v>275.75</v>
      </c>
      <c r="R562" s="9" t="n">
        <v>49.5</v>
      </c>
      <c r="S562" s="9" t="n">
        <v>24</v>
      </c>
      <c r="T562" s="9" t="n">
        <v>24</v>
      </c>
      <c r="U562" s="9">
        <f>Q562+R562+S562+T562</f>
        <v/>
      </c>
      <c r="V562" s="9">
        <f>IF(ISNUMBER(U562),U562,"")</f>
        <v/>
      </c>
      <c r="W562" s="9">
        <f>_xlfn.RANK.EQ(V562,$V$2:$V$1031)</f>
        <v/>
      </c>
      <c r="X562" s="13" t="n">
        <v>1365.625</v>
      </c>
      <c r="Y562" s="13" t="n">
        <v>22</v>
      </c>
      <c r="Z562" s="13" t="n">
        <v>22</v>
      </c>
      <c r="AA562" s="13" t="n">
        <v>23</v>
      </c>
      <c r="AB562" s="13">
        <f>IF(ISNUMBER(X562),X562+N(Y562)+N(Z562)+N(AA562),X562)</f>
        <v/>
      </c>
      <c r="AC562" s="13">
        <f>IF(ISNUMBER(AB562),AB562,"")</f>
        <v/>
      </c>
      <c r="AD562" s="13">
        <f>IF(ISNUMBER(AC562),_xlfn.RANK.EQ(AC562,$AC$2:$AC$1031),"")</f>
        <v/>
      </c>
      <c r="AE562" s="15">
        <f>IF(ISNUMBER(AF562),AF562/3630,"")</f>
        <v/>
      </c>
      <c r="AF562" s="14">
        <f>IFERROR(C562+D562+E562+F562+J562+K562+L562+M562+Q562+R562+S562+T562+IF(ISNUMBER(X562),X562,0)+N(Y562)+N(Z562)+N(AA562),"")</f>
        <v/>
      </c>
      <c r="AG562" s="14">
        <f>IF(ISNUMBER(AF562),AF562,"")</f>
        <v/>
      </c>
      <c r="AH562" s="14">
        <f>IF(ISNUMBER(AG562),_xlfn.RANK.EQ(AG562,$AG$2:$AG$1031),"")</f>
        <v/>
      </c>
    </row>
    <row r="563">
      <c r="A563" s="18" t="n">
        <v>1369</v>
      </c>
      <c r="B563" s="18" t="inlineStr">
        <is>
          <t>عمر عوض الله طه ابراهيم</t>
        </is>
      </c>
      <c r="C563" s="1" t="n">
        <v>639.3</v>
      </c>
      <c r="D563" s="1" t="n">
        <v>25</v>
      </c>
      <c r="E563" s="1" t="n">
        <v>24</v>
      </c>
      <c r="F563" s="1" t="n">
        <v>24</v>
      </c>
      <c r="G563" s="1">
        <f>C563+D563+E563+F563</f>
        <v/>
      </c>
      <c r="H563" s="1">
        <f>IF(ISNUMBER(G563),G563,"")</f>
        <v/>
      </c>
      <c r="I563" s="1">
        <f>_xlfn.RANK.EQ(H563,$H$2:$H$1031)</f>
        <v/>
      </c>
      <c r="J563" s="5" t="n">
        <v>628.2</v>
      </c>
      <c r="K563" s="5" t="n">
        <v>47</v>
      </c>
      <c r="L563" s="5" t="n">
        <v>25</v>
      </c>
      <c r="M563" s="5" t="n">
        <v>24</v>
      </c>
      <c r="N563" s="5">
        <f>J563+K563+L563+M563</f>
        <v/>
      </c>
      <c r="O563" s="5">
        <f>IF(ISNUMBER(N563),N563,"")</f>
        <v/>
      </c>
      <c r="P563" s="5">
        <f>_xlfn.RANK.EQ(O563,$O$2:$O$1031)</f>
        <v/>
      </c>
      <c r="Q563" s="9" t="n">
        <v>287</v>
      </c>
      <c r="R563" s="9" t="n">
        <v>50</v>
      </c>
      <c r="S563" s="9" t="n">
        <v>25</v>
      </c>
      <c r="T563" s="9" t="n">
        <v>25</v>
      </c>
      <c r="U563" s="9">
        <f>Q563+R563+S563+T563</f>
        <v/>
      </c>
      <c r="V563" s="9">
        <f>IF(ISNUMBER(U563),U563,"")</f>
        <v/>
      </c>
      <c r="W563" s="9">
        <f>_xlfn.RANK.EQ(V563,$V$2:$V$1031)</f>
        <v/>
      </c>
      <c r="X563" s="13" t="n">
        <v>1526.9875</v>
      </c>
      <c r="Y563" s="13" t="n">
        <v>24</v>
      </c>
      <c r="Z563" s="13" t="n">
        <v>25</v>
      </c>
      <c r="AA563" s="13" t="n">
        <v>25</v>
      </c>
      <c r="AB563" s="13">
        <f>IF(ISNUMBER(X563),X563+N(Y563)+N(Z563)+N(AA563),X563)</f>
        <v/>
      </c>
      <c r="AC563" s="13">
        <f>IF(ISNUMBER(AB563),AB563,"")</f>
        <v/>
      </c>
      <c r="AD563" s="13">
        <f>IF(ISNUMBER(AC563),_xlfn.RANK.EQ(AC563,$AC$2:$AC$1031),"")</f>
        <v/>
      </c>
      <c r="AE563" s="15">
        <f>IF(ISNUMBER(AF563),AF563/3630,"")</f>
        <v/>
      </c>
      <c r="AF563" s="14">
        <f>IFERROR(C563+D563+E563+F563+J563+K563+L563+M563+Q563+R563+S563+T563+IF(ISNUMBER(X563),X563,0)+N(Y563)+N(Z563)+N(AA563),"")</f>
        <v/>
      </c>
      <c r="AG563" s="14">
        <f>IF(ISNUMBER(AF563),AF563,"")</f>
        <v/>
      </c>
      <c r="AH563" s="14">
        <f>IF(ISNUMBER(AG563),_xlfn.RANK.EQ(AG563,$AG$2:$AG$1031),"")</f>
        <v/>
      </c>
    </row>
    <row r="564">
      <c r="A564" s="18" t="n">
        <v>1371</v>
      </c>
      <c r="B564" s="18" t="inlineStr">
        <is>
          <t>عمر فتحي  عبد الحليم  بطاح</t>
        </is>
      </c>
      <c r="C564" s="1" t="n">
        <v>622.6</v>
      </c>
      <c r="D564" s="1" t="n">
        <v>21</v>
      </c>
      <c r="E564" s="1" t="n">
        <v>24</v>
      </c>
      <c r="F564" s="1" t="n">
        <v>24</v>
      </c>
      <c r="G564" s="1">
        <f>C564+D564+E564+F564</f>
        <v/>
      </c>
      <c r="H564" s="1">
        <f>IF(ISNUMBER(G564),G564,"")</f>
        <v/>
      </c>
      <c r="I564" s="1">
        <f>_xlfn.RANK.EQ(H564,$H$2:$H$1031)</f>
        <v/>
      </c>
      <c r="J564" s="5" t="n">
        <v>552</v>
      </c>
      <c r="K564" s="5" t="n">
        <v>48</v>
      </c>
      <c r="L564" s="5" t="n">
        <v>24</v>
      </c>
      <c r="M564" s="5" t="n">
        <v>23</v>
      </c>
      <c r="N564" s="5">
        <f>J564+K564+L564+M564</f>
        <v/>
      </c>
      <c r="O564" s="5">
        <f>IF(ISNUMBER(N564),N564,"")</f>
        <v/>
      </c>
      <c r="P564" s="5">
        <f>_xlfn.RANK.EQ(O564,$O$2:$O$1031)</f>
        <v/>
      </c>
      <c r="Q564" s="9" t="n">
        <v>257.75</v>
      </c>
      <c r="R564" s="9" t="n">
        <v>48.5</v>
      </c>
      <c r="S564" s="9" t="n">
        <v>23</v>
      </c>
      <c r="T564" s="9" t="n">
        <v>25</v>
      </c>
      <c r="U564" s="9">
        <f>Q564+R564+S564+T564</f>
        <v/>
      </c>
      <c r="V564" s="9">
        <f>IF(ISNUMBER(U564),U564,"")</f>
        <v/>
      </c>
      <c r="W564" s="9">
        <f>_xlfn.RANK.EQ(V564,$V$2:$V$1031)</f>
        <v/>
      </c>
      <c r="X564" s="13" t="n">
        <v>1529.1708333333</v>
      </c>
      <c r="Y564" s="13" t="n">
        <v>25</v>
      </c>
      <c r="Z564" s="13" t="n">
        <v>25</v>
      </c>
      <c r="AA564" s="13" t="n">
        <v>24</v>
      </c>
      <c r="AB564" s="13">
        <f>IF(ISNUMBER(X564),X564+N(Y564)+N(Z564)+N(AA564),X564)</f>
        <v/>
      </c>
      <c r="AC564" s="13">
        <f>IF(ISNUMBER(AB564),AB564,"")</f>
        <v/>
      </c>
      <c r="AD564" s="13">
        <f>IF(ISNUMBER(AC564),_xlfn.RANK.EQ(AC564,$AC$2:$AC$1031),"")</f>
        <v/>
      </c>
      <c r="AE564" s="15">
        <f>IF(ISNUMBER(AF564),AF564/3630,"")</f>
        <v/>
      </c>
      <c r="AF564" s="14">
        <f>IFERROR(C564+D564+E564+F564+J564+K564+L564+M564+Q564+R564+S564+T564+IF(ISNUMBER(X564),X564,0)+N(Y564)+N(Z564)+N(AA564),"")</f>
        <v/>
      </c>
      <c r="AG564" s="14">
        <f>IF(ISNUMBER(AF564),AF564,"")</f>
        <v/>
      </c>
      <c r="AH564" s="14">
        <f>IF(ISNUMBER(AG564),_xlfn.RANK.EQ(AG564,$AG$2:$AG$1031),"")</f>
        <v/>
      </c>
    </row>
    <row r="565">
      <c r="A565" s="18" t="n">
        <v>1372</v>
      </c>
      <c r="B565" s="18" t="inlineStr">
        <is>
          <t>عمر قطب السيد السيد</t>
        </is>
      </c>
      <c r="C565" s="1" t="n">
        <v>508.5</v>
      </c>
      <c r="D565" s="1" t="n">
        <v>23</v>
      </c>
      <c r="E565" s="1" t="n">
        <v>20</v>
      </c>
      <c r="F565" s="1" t="n">
        <v>18</v>
      </c>
      <c r="G565" s="1">
        <f>C565+D565+E565+F565</f>
        <v/>
      </c>
      <c r="H565" s="1">
        <f>IF(ISNUMBER(G565),G565,"")</f>
        <v/>
      </c>
      <c r="I565" s="1">
        <f>_xlfn.RANK.EQ(H565,$H$2:$H$1031)</f>
        <v/>
      </c>
      <c r="J565" s="5" t="n">
        <v>549.2</v>
      </c>
      <c r="K565" s="5" t="n">
        <v>40</v>
      </c>
      <c r="L565" s="5" t="n">
        <v>20</v>
      </c>
      <c r="M565" s="5" t="n">
        <v>18</v>
      </c>
      <c r="N565" s="5">
        <f>J565+K565+L565+M565</f>
        <v/>
      </c>
      <c r="O565" s="5">
        <f>IF(ISNUMBER(N565),N565,"")</f>
        <v/>
      </c>
      <c r="P565" s="5">
        <f>_xlfn.RANK.EQ(O565,$O$2:$O$1031)</f>
        <v/>
      </c>
      <c r="Q565" s="9" t="n">
        <v>203.75</v>
      </c>
      <c r="R565" s="9" t="n">
        <v>39.5</v>
      </c>
      <c r="S565" s="9" t="n">
        <v>25</v>
      </c>
      <c r="T565" s="9" t="n">
        <v>25</v>
      </c>
      <c r="U565" s="9">
        <f>Q565+R565+S565+T565</f>
        <v/>
      </c>
      <c r="V565" s="9">
        <f>IF(ISNUMBER(U565),U565,"")</f>
        <v/>
      </c>
      <c r="W565" s="9">
        <f>_xlfn.RANK.EQ(V565,$V$2:$V$1031)</f>
        <v/>
      </c>
      <c r="X565" s="13" t="n">
        <v>1362.9208333333</v>
      </c>
      <c r="Y565" s="13" t="n">
        <v>23</v>
      </c>
      <c r="Z565" s="13" t="n">
        <v>22</v>
      </c>
      <c r="AA565" s="13" t="n">
        <v>18</v>
      </c>
      <c r="AB565" s="13">
        <f>IF(ISNUMBER(X565),X565+N(Y565)+N(Z565)+N(AA565),X565)</f>
        <v/>
      </c>
      <c r="AC565" s="13">
        <f>IF(ISNUMBER(AB565),AB565,"")</f>
        <v/>
      </c>
      <c r="AD565" s="13">
        <f>IF(ISNUMBER(AC565),_xlfn.RANK.EQ(AC565,$AC$2:$AC$1031),"")</f>
        <v/>
      </c>
      <c r="AE565" s="15">
        <f>IF(ISNUMBER(AF565),AF565/3630,"")</f>
        <v/>
      </c>
      <c r="AF565" s="14">
        <f>IFERROR(C565+D565+E565+F565+J565+K565+L565+M565+Q565+R565+S565+T565+IF(ISNUMBER(X565),X565,0)+N(Y565)+N(Z565)+N(AA565),"")</f>
        <v/>
      </c>
      <c r="AG565" s="14">
        <f>IF(ISNUMBER(AF565),AF565,"")</f>
        <v/>
      </c>
      <c r="AH565" s="14">
        <f>IF(ISNUMBER(AG565),_xlfn.RANK.EQ(AG565,$AG$2:$AG$1031),"")</f>
        <v/>
      </c>
    </row>
    <row r="566">
      <c r="A566" s="18" t="n">
        <v>1374</v>
      </c>
      <c r="B566" s="18" t="inlineStr">
        <is>
          <t>عمر محمد احمد المسلماني</t>
        </is>
      </c>
      <c r="C566" s="1" t="n">
        <v>657.5</v>
      </c>
      <c r="D566" s="1" t="n">
        <v>25</v>
      </c>
      <c r="E566" s="1" t="n">
        <v>25</v>
      </c>
      <c r="F566" s="1" t="n">
        <v>23</v>
      </c>
      <c r="G566" s="1">
        <f>C566+D566+E566+F566</f>
        <v/>
      </c>
      <c r="H566" s="1">
        <f>IF(ISNUMBER(G566),G566,"")</f>
        <v/>
      </c>
      <c r="I566" s="1">
        <f>_xlfn.RANK.EQ(H566,$H$2:$H$1031)</f>
        <v/>
      </c>
      <c r="J566" s="5" t="n">
        <v>642.2</v>
      </c>
      <c r="K566" s="5" t="n">
        <v>47</v>
      </c>
      <c r="L566" s="5" t="n">
        <v>24</v>
      </c>
      <c r="M566" s="5" t="n">
        <v>24</v>
      </c>
      <c r="N566" s="5">
        <f>J566+K566+L566+M566</f>
        <v/>
      </c>
      <c r="O566" s="5">
        <f>IF(ISNUMBER(N566),N566,"")</f>
        <v/>
      </c>
      <c r="P566" s="5">
        <f>_xlfn.RANK.EQ(O566,$O$2:$O$1031)</f>
        <v/>
      </c>
      <c r="Q566" s="9" t="n">
        <v>290</v>
      </c>
      <c r="R566" s="9" t="n">
        <v>48</v>
      </c>
      <c r="S566" s="9" t="n">
        <v>24</v>
      </c>
      <c r="T566" s="9" t="n">
        <v>24</v>
      </c>
      <c r="U566" s="9">
        <f>Q566+R566+S566+T566</f>
        <v/>
      </c>
      <c r="V566" s="9">
        <f>IF(ISNUMBER(U566),U566,"")</f>
        <v/>
      </c>
      <c r="W566" s="9">
        <f>_xlfn.RANK.EQ(V566,$V$2:$V$1031)</f>
        <v/>
      </c>
      <c r="X566" s="13" t="n">
        <v>1595.5416666667</v>
      </c>
      <c r="Y566" s="13" t="n">
        <v>23</v>
      </c>
      <c r="Z566" s="13" t="n">
        <v>23</v>
      </c>
      <c r="AA566" s="13" t="n">
        <v>23</v>
      </c>
      <c r="AB566" s="13">
        <f>IF(ISNUMBER(X566),X566+N(Y566)+N(Z566)+N(AA566),X566)</f>
        <v/>
      </c>
      <c r="AC566" s="13">
        <f>IF(ISNUMBER(AB566),AB566,"")</f>
        <v/>
      </c>
      <c r="AD566" s="13">
        <f>IF(ISNUMBER(AC566),_xlfn.RANK.EQ(AC566,$AC$2:$AC$1031),"")</f>
        <v/>
      </c>
      <c r="AE566" s="15">
        <f>IF(ISNUMBER(AF566),AF566/3630,"")</f>
        <v/>
      </c>
      <c r="AF566" s="14">
        <f>IFERROR(C566+D566+E566+F566+J566+K566+L566+M566+Q566+R566+S566+T566+IF(ISNUMBER(X566),X566,0)+N(Y566)+N(Z566)+N(AA566),"")</f>
        <v/>
      </c>
      <c r="AG566" s="14">
        <f>IF(ISNUMBER(AF566),AF566,"")</f>
        <v/>
      </c>
      <c r="AH566" s="14">
        <f>IF(ISNUMBER(AG566),_xlfn.RANK.EQ(AG566,$AG$2:$AG$1031),"")</f>
        <v/>
      </c>
    </row>
    <row r="567">
      <c r="A567" s="18" t="n">
        <v>1375</v>
      </c>
      <c r="B567" s="18" t="inlineStr">
        <is>
          <t>عمر محمد اشرف علي عبدالحميد بلبع</t>
        </is>
      </c>
      <c r="C567" s="1" t="n">
        <v>648</v>
      </c>
      <c r="D567" s="1" t="n">
        <v>25</v>
      </c>
      <c r="E567" s="1" t="n">
        <v>24</v>
      </c>
      <c r="F567" s="1" t="n">
        <v>24</v>
      </c>
      <c r="G567" s="1">
        <f>C567+D567+E567+F567</f>
        <v/>
      </c>
      <c r="H567" s="1">
        <f>IF(ISNUMBER(G567),G567,"")</f>
        <v/>
      </c>
      <c r="I567" s="1">
        <f>_xlfn.RANK.EQ(H567,$H$2:$H$1031)</f>
        <v/>
      </c>
      <c r="J567" s="5" t="n">
        <v>627.5</v>
      </c>
      <c r="K567" s="5" t="n">
        <v>48</v>
      </c>
      <c r="L567" s="5" t="n">
        <v>22</v>
      </c>
      <c r="M567" s="5" t="n">
        <v>25</v>
      </c>
      <c r="N567" s="5">
        <f>J567+K567+L567+M567</f>
        <v/>
      </c>
      <c r="O567" s="5">
        <f>IF(ISNUMBER(N567),N567,"")</f>
        <v/>
      </c>
      <c r="P567" s="5">
        <f>_xlfn.RANK.EQ(O567,$O$2:$O$1031)</f>
        <v/>
      </c>
      <c r="Q567" s="9" t="n">
        <v>281.75</v>
      </c>
      <c r="R567" s="9" t="n">
        <v>48.5</v>
      </c>
      <c r="S567" s="9" t="n">
        <v>23</v>
      </c>
      <c r="T567" s="9" t="n">
        <v>25</v>
      </c>
      <c r="U567" s="9">
        <f>Q567+R567+S567+T567</f>
        <v/>
      </c>
      <c r="V567" s="9">
        <f>IF(ISNUMBER(U567),U567,"")</f>
        <v/>
      </c>
      <c r="W567" s="9">
        <f>_xlfn.RANK.EQ(V567,$V$2:$V$1031)</f>
        <v/>
      </c>
      <c r="X567" s="13" t="n">
        <v>1551.9875</v>
      </c>
      <c r="Y567" s="13" t="n">
        <v>25</v>
      </c>
      <c r="Z567" s="13" t="n">
        <v>25</v>
      </c>
      <c r="AA567" s="13" t="n">
        <v>24</v>
      </c>
      <c r="AB567" s="13">
        <f>IF(ISNUMBER(X567),X567+N(Y567)+N(Z567)+N(AA567),X567)</f>
        <v/>
      </c>
      <c r="AC567" s="13">
        <f>IF(ISNUMBER(AB567),AB567,"")</f>
        <v/>
      </c>
      <c r="AD567" s="13">
        <f>IF(ISNUMBER(AC567),_xlfn.RANK.EQ(AC567,$AC$2:$AC$1031),"")</f>
        <v/>
      </c>
      <c r="AE567" s="15">
        <f>IF(ISNUMBER(AF567),AF567/3630,"")</f>
        <v/>
      </c>
      <c r="AF567" s="14">
        <f>IFERROR(C567+D567+E567+F567+J567+K567+L567+M567+Q567+R567+S567+T567+IF(ISNUMBER(X567),X567,0)+N(Y567)+N(Z567)+N(AA567),"")</f>
        <v/>
      </c>
      <c r="AG567" s="14">
        <f>IF(ISNUMBER(AF567),AF567,"")</f>
        <v/>
      </c>
      <c r="AH567" s="14">
        <f>IF(ISNUMBER(AG567),_xlfn.RANK.EQ(AG567,$AG$2:$AG$1031),"")</f>
        <v/>
      </c>
    </row>
    <row r="568">
      <c r="A568" s="18" t="n">
        <v>1380</v>
      </c>
      <c r="B568" s="18" t="inlineStr">
        <is>
          <t>عمر محمد صفوت وهبان</t>
        </is>
      </c>
      <c r="C568" s="1" t="n">
        <v>569.9</v>
      </c>
      <c r="D568" s="1" t="n">
        <v>24</v>
      </c>
      <c r="E568" s="1" t="n">
        <v>22</v>
      </c>
      <c r="F568" s="1" t="n">
        <v>23</v>
      </c>
      <c r="G568" s="1">
        <f>C568+D568+E568+F568</f>
        <v/>
      </c>
      <c r="H568" s="1">
        <f>IF(ISNUMBER(G568),G568,"")</f>
        <v/>
      </c>
      <c r="I568" s="1">
        <f>_xlfn.RANK.EQ(H568,$H$2:$H$1031)</f>
        <v/>
      </c>
      <c r="J568" s="5" t="n">
        <v>595.2</v>
      </c>
      <c r="K568" s="5" t="n">
        <v>48</v>
      </c>
      <c r="L568" s="5" t="n">
        <v>21</v>
      </c>
      <c r="M568" s="5" t="n">
        <v>19</v>
      </c>
      <c r="N568" s="5">
        <f>J568+K568+L568+M568</f>
        <v/>
      </c>
      <c r="O568" s="5">
        <f>IF(ISNUMBER(N568),N568,"")</f>
        <v/>
      </c>
      <c r="P568" s="5">
        <f>_xlfn.RANK.EQ(O568,$O$2:$O$1031)</f>
        <v/>
      </c>
      <c r="Q568" s="9" t="n">
        <v>253.5</v>
      </c>
      <c r="R568" s="9" t="n">
        <v>44.5</v>
      </c>
      <c r="S568" s="9" t="n">
        <v>25</v>
      </c>
      <c r="T568" s="9" t="n">
        <v>25</v>
      </c>
      <c r="U568" s="9">
        <f>Q568+R568+S568+T568</f>
        <v/>
      </c>
      <c r="V568" s="9">
        <f>IF(ISNUMBER(U568),U568,"")</f>
        <v/>
      </c>
      <c r="W568" s="9">
        <f>_xlfn.RANK.EQ(V568,$V$2:$V$1031)</f>
        <v/>
      </c>
      <c r="X568" s="13" t="n">
        <v>1511.9208333333</v>
      </c>
      <c r="Y568" s="13" t="n">
        <v>25</v>
      </c>
      <c r="Z568" s="13" t="n">
        <v>24.5</v>
      </c>
      <c r="AA568" s="13" t="n">
        <v>21</v>
      </c>
      <c r="AB568" s="13">
        <f>IF(ISNUMBER(X568),X568+N(Y568)+N(Z568)+N(AA568),X568)</f>
        <v/>
      </c>
      <c r="AC568" s="13">
        <f>IF(ISNUMBER(AB568),AB568,"")</f>
        <v/>
      </c>
      <c r="AD568" s="13">
        <f>IF(ISNUMBER(AC568),_xlfn.RANK.EQ(AC568,$AC$2:$AC$1031),"")</f>
        <v/>
      </c>
      <c r="AE568" s="15">
        <f>IF(ISNUMBER(AF568),AF568/3630,"")</f>
        <v/>
      </c>
      <c r="AF568" s="14">
        <f>IFERROR(C568+D568+E568+F568+J568+K568+L568+M568+Q568+R568+S568+T568+IF(ISNUMBER(X568),X568,0)+N(Y568)+N(Z568)+N(AA568),"")</f>
        <v/>
      </c>
      <c r="AG568" s="14">
        <f>IF(ISNUMBER(AF568),AF568,"")</f>
        <v/>
      </c>
      <c r="AH568" s="14">
        <f>IF(ISNUMBER(AG568),_xlfn.RANK.EQ(AG568,$AG$2:$AG$1031),"")</f>
        <v/>
      </c>
    </row>
    <row r="569">
      <c r="A569" s="18" t="n">
        <v>1381</v>
      </c>
      <c r="B569" s="18" t="inlineStr">
        <is>
          <t>عمر محمد عبد الله السيد محمد</t>
        </is>
      </c>
      <c r="C569" s="1" t="n">
        <v>621</v>
      </c>
      <c r="D569" s="1" t="n">
        <v>25</v>
      </c>
      <c r="E569" s="1" t="n">
        <v>24</v>
      </c>
      <c r="F569" s="1" t="n">
        <v>23</v>
      </c>
      <c r="G569" s="1">
        <f>C569+D569+E569+F569</f>
        <v/>
      </c>
      <c r="H569" s="1">
        <f>IF(ISNUMBER(G569),G569,"")</f>
        <v/>
      </c>
      <c r="I569" s="1">
        <f>_xlfn.RANK.EQ(H569,$H$2:$H$1031)</f>
        <v/>
      </c>
      <c r="J569" s="5" t="n">
        <v>628.7</v>
      </c>
      <c r="K569" s="5" t="n">
        <v>48</v>
      </c>
      <c r="L569" s="5" t="n">
        <v>23</v>
      </c>
      <c r="M569" s="5" t="n">
        <v>25</v>
      </c>
      <c r="N569" s="5">
        <f>J569+K569+L569+M569</f>
        <v/>
      </c>
      <c r="O569" s="5">
        <f>IF(ISNUMBER(N569),N569,"")</f>
        <v/>
      </c>
      <c r="P569" s="5">
        <f>_xlfn.RANK.EQ(O569,$O$2:$O$1031)</f>
        <v/>
      </c>
      <c r="Q569" s="9" t="n">
        <v>272</v>
      </c>
      <c r="R569" s="9" t="n">
        <v>49.5</v>
      </c>
      <c r="S569" s="9" t="n">
        <v>25</v>
      </c>
      <c r="T569" s="9" t="n">
        <v>25</v>
      </c>
      <c r="U569" s="9">
        <f>Q569+R569+S569+T569</f>
        <v/>
      </c>
      <c r="V569" s="9">
        <f>IF(ISNUMBER(U569),U569,"")</f>
        <v/>
      </c>
      <c r="W569" s="9">
        <f>_xlfn.RANK.EQ(V569,$V$2:$V$1031)</f>
        <v/>
      </c>
      <c r="X569" s="13" t="n">
        <v>1551.5875</v>
      </c>
      <c r="Y569" s="13" t="n">
        <v>25</v>
      </c>
      <c r="Z569" s="13" t="n">
        <v>25</v>
      </c>
      <c r="AA569" s="13" t="n">
        <v>24</v>
      </c>
      <c r="AB569" s="13">
        <f>IF(ISNUMBER(X569),X569+N(Y569)+N(Z569)+N(AA569),X569)</f>
        <v/>
      </c>
      <c r="AC569" s="13">
        <f>IF(ISNUMBER(AB569),AB569,"")</f>
        <v/>
      </c>
      <c r="AD569" s="13">
        <f>IF(ISNUMBER(AC569),_xlfn.RANK.EQ(AC569,$AC$2:$AC$1031),"")</f>
        <v/>
      </c>
      <c r="AE569" s="15">
        <f>IF(ISNUMBER(AF569),AF569/3630,"")</f>
        <v/>
      </c>
      <c r="AF569" s="14">
        <f>IFERROR(C569+D569+E569+F569+J569+K569+L569+M569+Q569+R569+S569+T569+IF(ISNUMBER(X569),X569,0)+N(Y569)+N(Z569)+N(AA569),"")</f>
        <v/>
      </c>
      <c r="AG569" s="14">
        <f>IF(ISNUMBER(AF569),AF569,"")</f>
        <v/>
      </c>
      <c r="AH569" s="14">
        <f>IF(ISNUMBER(AG569),_xlfn.RANK.EQ(AG569,$AG$2:$AG$1031),"")</f>
        <v/>
      </c>
    </row>
    <row r="570">
      <c r="A570" s="18" t="n">
        <v>1384</v>
      </c>
      <c r="B570" s="18" t="inlineStr">
        <is>
          <t>عمر مصطفى احمد علام</t>
        </is>
      </c>
      <c r="C570" s="1" t="n">
        <v>632.6</v>
      </c>
      <c r="D570" s="1" t="n">
        <v>25</v>
      </c>
      <c r="E570" s="1" t="n">
        <v>24</v>
      </c>
      <c r="F570" s="1" t="n">
        <v>24</v>
      </c>
      <c r="G570" s="1">
        <f>C570+D570+E570+F570</f>
        <v/>
      </c>
      <c r="H570" s="1">
        <f>IF(ISNUMBER(G570),G570,"")</f>
        <v/>
      </c>
      <c r="I570" s="1">
        <f>_xlfn.RANK.EQ(H570,$H$2:$H$1031)</f>
        <v/>
      </c>
      <c r="J570" s="5" t="n">
        <v>617.7</v>
      </c>
      <c r="K570" s="5" t="n">
        <v>49</v>
      </c>
      <c r="L570" s="5" t="n">
        <v>21</v>
      </c>
      <c r="M570" s="5" t="n">
        <v>25</v>
      </c>
      <c r="N570" s="5">
        <f>J570+K570+L570+M570</f>
        <v/>
      </c>
      <c r="O570" s="5">
        <f>IF(ISNUMBER(N570),N570,"")</f>
        <v/>
      </c>
      <c r="P570" s="5">
        <f>_xlfn.RANK.EQ(O570,$O$2:$O$1031)</f>
        <v/>
      </c>
      <c r="Q570" s="9" t="n">
        <v>244.75</v>
      </c>
      <c r="R570" s="9" t="n">
        <v>47.5</v>
      </c>
      <c r="S570" s="9" t="n">
        <v>24</v>
      </c>
      <c r="T570" s="9" t="n">
        <v>25</v>
      </c>
      <c r="U570" s="9">
        <f>Q570+R570+S570+T570</f>
        <v/>
      </c>
      <c r="V570" s="9">
        <f>IF(ISNUMBER(U570),U570,"")</f>
        <v/>
      </c>
      <c r="W570" s="9">
        <f>_xlfn.RANK.EQ(V570,$V$2:$V$1031)</f>
        <v/>
      </c>
      <c r="X570" s="13" t="n">
        <v>1501.8666666667</v>
      </c>
      <c r="Y570" s="13" t="n">
        <v>24</v>
      </c>
      <c r="Z570" s="13" t="n">
        <v>25</v>
      </c>
      <c r="AA570" s="13" t="n">
        <v>21</v>
      </c>
      <c r="AB570" s="13">
        <f>IF(ISNUMBER(X570),X570+N(Y570)+N(Z570)+N(AA570),X570)</f>
        <v/>
      </c>
      <c r="AC570" s="13">
        <f>IF(ISNUMBER(AB570),AB570,"")</f>
        <v/>
      </c>
      <c r="AD570" s="13">
        <f>IF(ISNUMBER(AC570),_xlfn.RANK.EQ(AC570,$AC$2:$AC$1031),"")</f>
        <v/>
      </c>
      <c r="AE570" s="15">
        <f>IF(ISNUMBER(AF570),AF570/3630,"")</f>
        <v/>
      </c>
      <c r="AF570" s="14">
        <f>IFERROR(C570+D570+E570+F570+J570+K570+L570+M570+Q570+R570+S570+T570+IF(ISNUMBER(X570),X570,0)+N(Y570)+N(Z570)+N(AA570),"")</f>
        <v/>
      </c>
      <c r="AG570" s="14">
        <f>IF(ISNUMBER(AF570),AF570,"")</f>
        <v/>
      </c>
      <c r="AH570" s="14">
        <f>IF(ISNUMBER(AG570),_xlfn.RANK.EQ(AG570,$AG$2:$AG$1031),"")</f>
        <v/>
      </c>
    </row>
    <row r="571">
      <c r="A571" s="18" t="n">
        <v>1385</v>
      </c>
      <c r="B571" s="18" t="inlineStr">
        <is>
          <t>عمر مصطفى السيد ابراهيم المدخوم</t>
        </is>
      </c>
      <c r="C571" s="1" t="n">
        <v>557.3</v>
      </c>
      <c r="D571" s="1" t="n">
        <v>23</v>
      </c>
      <c r="E571" s="1" t="n">
        <v>20</v>
      </c>
      <c r="F571" s="1" t="n">
        <v>20</v>
      </c>
      <c r="G571" s="1">
        <f>C571+D571+E571+F571</f>
        <v/>
      </c>
      <c r="H571" s="1">
        <f>IF(ISNUMBER(G571),G571,"")</f>
        <v/>
      </c>
      <c r="I571" s="1">
        <f>_xlfn.RANK.EQ(H571,$H$2:$H$1031)</f>
        <v/>
      </c>
      <c r="J571" s="5" t="n">
        <v>568.5</v>
      </c>
      <c r="K571" s="5" t="n">
        <v>47</v>
      </c>
      <c r="L571" s="5" t="n">
        <v>18</v>
      </c>
      <c r="M571" s="5" t="n">
        <v>25</v>
      </c>
      <c r="N571" s="5">
        <f>J571+K571+L571+M571</f>
        <v/>
      </c>
      <c r="O571" s="5">
        <f>IF(ISNUMBER(N571),N571,"")</f>
        <v/>
      </c>
      <c r="P571" s="5">
        <f>_xlfn.RANK.EQ(O571,$O$2:$O$1031)</f>
        <v/>
      </c>
      <c r="Q571" s="9" t="n">
        <v>248</v>
      </c>
      <c r="R571" s="9" t="n">
        <v>43</v>
      </c>
      <c r="S571" s="9" t="n">
        <v>24</v>
      </c>
      <c r="T571" s="9" t="n">
        <v>23.5</v>
      </c>
      <c r="U571" s="9">
        <f>Q571+R571+S571+T571</f>
        <v/>
      </c>
      <c r="V571" s="9">
        <f>IF(ISNUMBER(U571),U571,"")</f>
        <v/>
      </c>
      <c r="W571" s="9">
        <f>_xlfn.RANK.EQ(V571,$V$2:$V$1031)</f>
        <v/>
      </c>
      <c r="X571" s="13" t="n">
        <v>1476.5</v>
      </c>
      <c r="Y571" s="13" t="n">
        <v>25</v>
      </c>
      <c r="Z571" s="13" t="n">
        <v>25</v>
      </c>
      <c r="AA571" s="13" t="n">
        <v>23</v>
      </c>
      <c r="AB571" s="13">
        <f>IF(ISNUMBER(X571),X571+N(Y571)+N(Z571)+N(AA571),X571)</f>
        <v/>
      </c>
      <c r="AC571" s="13">
        <f>IF(ISNUMBER(AB571),AB571,"")</f>
        <v/>
      </c>
      <c r="AD571" s="13">
        <f>IF(ISNUMBER(AC571),_xlfn.RANK.EQ(AC571,$AC$2:$AC$1031),"")</f>
        <v/>
      </c>
      <c r="AE571" s="15">
        <f>IF(ISNUMBER(AF571),AF571/3630,"")</f>
        <v/>
      </c>
      <c r="AF571" s="14">
        <f>IFERROR(C571+D571+E571+F571+J571+K571+L571+M571+Q571+R571+S571+T571+IF(ISNUMBER(X571),X571,0)+N(Y571)+N(Z571)+N(AA571),"")</f>
        <v/>
      </c>
      <c r="AG571" s="14">
        <f>IF(ISNUMBER(AF571),AF571,"")</f>
        <v/>
      </c>
      <c r="AH571" s="14">
        <f>IF(ISNUMBER(AG571),_xlfn.RANK.EQ(AG571,$AG$2:$AG$1031),"")</f>
        <v/>
      </c>
    </row>
    <row r="572">
      <c r="A572" s="18" t="n">
        <v>1387</v>
      </c>
      <c r="B572" s="18" t="inlineStr">
        <is>
          <t>عمر مصطفى دسوقي  نوفل</t>
        </is>
      </c>
      <c r="C572" s="1" t="n">
        <v>488.2</v>
      </c>
      <c r="D572" s="1" t="n">
        <v>17</v>
      </c>
      <c r="E572" s="1" t="n">
        <v>11</v>
      </c>
      <c r="F572" s="1" t="n">
        <v>15</v>
      </c>
      <c r="G572" s="1">
        <f>C572+D572+E572+F572</f>
        <v/>
      </c>
      <c r="H572" s="1">
        <f>IF(ISNUMBER(G572),G572,"")</f>
        <v/>
      </c>
      <c r="I572" s="1">
        <f>_xlfn.RANK.EQ(H572,$H$2:$H$1031)</f>
        <v/>
      </c>
      <c r="J572" s="5" t="n">
        <v>553.5</v>
      </c>
      <c r="K572" s="5" t="n">
        <v>44</v>
      </c>
      <c r="L572" s="5" t="n">
        <v>23</v>
      </c>
      <c r="M572" s="5" t="n">
        <v>19</v>
      </c>
      <c r="N572" s="5">
        <f>J572+K572+L572+M572</f>
        <v/>
      </c>
      <c r="O572" s="5">
        <f>IF(ISNUMBER(N572),N572,"")</f>
        <v/>
      </c>
      <c r="P572" s="5">
        <f>_xlfn.RANK.EQ(O572,$O$2:$O$1031)</f>
        <v/>
      </c>
      <c r="Q572" s="9" t="n">
        <v>264</v>
      </c>
      <c r="R572" s="9" t="n">
        <v>42.5</v>
      </c>
      <c r="S572" s="9" t="n">
        <v>23</v>
      </c>
      <c r="T572" s="9" t="n">
        <v>24</v>
      </c>
      <c r="U572" s="9">
        <f>Q572+R572+S572+T572</f>
        <v/>
      </c>
      <c r="V572" s="9">
        <f>IF(ISNUMBER(U572),U572,"")</f>
        <v/>
      </c>
      <c r="W572" s="9">
        <f>_xlfn.RANK.EQ(V572,$V$2:$V$1031)</f>
        <v/>
      </c>
      <c r="X572" s="13" t="n">
        <v>1405.9416666667</v>
      </c>
      <c r="Y572" s="13" t="n">
        <v>24</v>
      </c>
      <c r="Z572" s="13" t="n">
        <v>19.5</v>
      </c>
      <c r="AA572" s="13" t="n">
        <v>19</v>
      </c>
      <c r="AB572" s="13">
        <f>IF(ISNUMBER(X572),X572+N(Y572)+N(Z572)+N(AA572),X572)</f>
        <v/>
      </c>
      <c r="AC572" s="13">
        <f>IF(ISNUMBER(AB572),AB572,"")</f>
        <v/>
      </c>
      <c r="AD572" s="13">
        <f>IF(ISNUMBER(AC572),_xlfn.RANK.EQ(AC572,$AC$2:$AC$1031),"")</f>
        <v/>
      </c>
      <c r="AE572" s="15">
        <f>IF(ISNUMBER(AF572),AF572/3630,"")</f>
        <v/>
      </c>
      <c r="AF572" s="14">
        <f>IFERROR(C572+D572+E572+F572+J572+K572+L572+M572+Q572+R572+S572+T572+IF(ISNUMBER(X572),X572,0)+N(Y572)+N(Z572)+N(AA572),"")</f>
        <v/>
      </c>
      <c r="AG572" s="14">
        <f>IF(ISNUMBER(AF572),AF572,"")</f>
        <v/>
      </c>
      <c r="AH572" s="14">
        <f>IF(ISNUMBER(AG572),_xlfn.RANK.EQ(AG572,$AG$2:$AG$1031),"")</f>
        <v/>
      </c>
    </row>
    <row r="573">
      <c r="A573" s="18" t="n">
        <v>1389</v>
      </c>
      <c r="B573" s="18" t="inlineStr">
        <is>
          <t>عمر ناجي حلمي  الوكيل</t>
        </is>
      </c>
      <c r="C573" s="1" t="n">
        <v>656.6</v>
      </c>
      <c r="D573" s="1" t="n">
        <v>25</v>
      </c>
      <c r="E573" s="1" t="n">
        <v>23</v>
      </c>
      <c r="F573" s="1" t="n">
        <v>22</v>
      </c>
      <c r="G573" s="1">
        <f>C573+D573+E573+F573</f>
        <v/>
      </c>
      <c r="H573" s="1">
        <f>IF(ISNUMBER(G573),G573,"")</f>
        <v/>
      </c>
      <c r="I573" s="1">
        <f>_xlfn.RANK.EQ(H573,$H$2:$H$1031)</f>
        <v/>
      </c>
      <c r="J573" s="5" t="n">
        <v>617.5</v>
      </c>
      <c r="K573" s="5" t="n">
        <v>46</v>
      </c>
      <c r="L573" s="5" t="n">
        <v>23</v>
      </c>
      <c r="M573" s="5" t="n">
        <v>23</v>
      </c>
      <c r="N573" s="5">
        <f>J573+K573+L573+M573</f>
        <v/>
      </c>
      <c r="O573" s="5">
        <f>IF(ISNUMBER(N573),N573,"")</f>
        <v/>
      </c>
      <c r="P573" s="5">
        <f>_xlfn.RANK.EQ(O573,$O$2:$O$1031)</f>
        <v/>
      </c>
      <c r="Q573" s="9" t="n">
        <v>250</v>
      </c>
      <c r="R573" s="9" t="n">
        <v>48.5</v>
      </c>
      <c r="S573" s="9" t="n">
        <v>24</v>
      </c>
      <c r="T573" s="9" t="n">
        <v>24</v>
      </c>
      <c r="U573" s="9">
        <f>Q573+R573+S573+T573</f>
        <v/>
      </c>
      <c r="V573" s="9">
        <f>IF(ISNUMBER(U573),U573,"")</f>
        <v/>
      </c>
      <c r="W573" s="9">
        <f>_xlfn.RANK.EQ(V573,$V$2:$V$1031)</f>
        <v/>
      </c>
      <c r="X573" s="13" t="n">
        <v>1574.9833333333</v>
      </c>
      <c r="Y573" s="13" t="n">
        <v>25</v>
      </c>
      <c r="Z573" s="13" t="n">
        <v>24.5</v>
      </c>
      <c r="AA573" s="13" t="n">
        <v>20</v>
      </c>
      <c r="AB573" s="13">
        <f>IF(ISNUMBER(X573),X573+N(Y573)+N(Z573)+N(AA573),X573)</f>
        <v/>
      </c>
      <c r="AC573" s="13">
        <f>IF(ISNUMBER(AB573),AB573,"")</f>
        <v/>
      </c>
      <c r="AD573" s="13">
        <f>IF(ISNUMBER(AC573),_xlfn.RANK.EQ(AC573,$AC$2:$AC$1031),"")</f>
        <v/>
      </c>
      <c r="AE573" s="15">
        <f>IF(ISNUMBER(AF573),AF573/3630,"")</f>
        <v/>
      </c>
      <c r="AF573" s="14">
        <f>IFERROR(C573+D573+E573+F573+J573+K573+L573+M573+Q573+R573+S573+T573+IF(ISNUMBER(X573),X573,0)+N(Y573)+N(Z573)+N(AA573),"")</f>
        <v/>
      </c>
      <c r="AG573" s="14">
        <f>IF(ISNUMBER(AF573),AF573,"")</f>
        <v/>
      </c>
      <c r="AH573" s="14">
        <f>IF(ISNUMBER(AG573),_xlfn.RANK.EQ(AG573,$AG$2:$AG$1031),"")</f>
        <v/>
      </c>
    </row>
    <row r="574">
      <c r="A574" s="18" t="n">
        <v>1390</v>
      </c>
      <c r="B574" s="18" t="inlineStr">
        <is>
          <t>عمرو اسماعيل فتح الله اسماعيل بسيونى</t>
        </is>
      </c>
      <c r="C574" s="1" t="n">
        <v>544.7</v>
      </c>
      <c r="D574" s="1" t="n">
        <v>22</v>
      </c>
      <c r="E574" s="1" t="n">
        <v>21</v>
      </c>
      <c r="F574" s="1" t="n">
        <v>18</v>
      </c>
      <c r="G574" s="1">
        <f>C574+D574+E574+F574</f>
        <v/>
      </c>
      <c r="H574" s="1">
        <f>IF(ISNUMBER(G574),G574,"")</f>
        <v/>
      </c>
      <c r="I574" s="1">
        <f>_xlfn.RANK.EQ(H574,$H$2:$H$1031)</f>
        <v/>
      </c>
      <c r="J574" s="5" t="n">
        <v>543</v>
      </c>
      <c r="K574" s="5" t="n">
        <v>35</v>
      </c>
      <c r="L574" s="5" t="n">
        <v>15</v>
      </c>
      <c r="M574" s="5" t="n">
        <v>20</v>
      </c>
      <c r="N574" s="5">
        <f>J574+K574+L574+M574</f>
        <v/>
      </c>
      <c r="O574" s="5">
        <f>IF(ISNUMBER(N574),N574,"")</f>
        <v/>
      </c>
      <c r="P574" s="5">
        <f>_xlfn.RANK.EQ(O574,$O$2:$O$1031)</f>
        <v/>
      </c>
      <c r="Q574" s="9" t="n">
        <v>193</v>
      </c>
      <c r="R574" s="9" t="n">
        <v>36</v>
      </c>
      <c r="S574" s="9" t="n">
        <v>24</v>
      </c>
      <c r="T574" s="9" t="n">
        <v>23</v>
      </c>
      <c r="U574" s="9">
        <f>Q574+R574+S574+T574</f>
        <v/>
      </c>
      <c r="V574" s="9">
        <f>IF(ISNUMBER(U574),U574,"")</f>
        <v/>
      </c>
      <c r="W574" s="9">
        <f>_xlfn.RANK.EQ(V574,$V$2:$V$1031)</f>
        <v/>
      </c>
      <c r="X574" s="13" t="n">
        <v>1329.8416666667</v>
      </c>
      <c r="Y574" s="13" t="n">
        <v>23</v>
      </c>
      <c r="Z574" s="13" t="n">
        <v>22.5</v>
      </c>
      <c r="AA574" s="13" t="n">
        <v>17</v>
      </c>
      <c r="AB574" s="13">
        <f>IF(ISNUMBER(X574),X574+N(Y574)+N(Z574)+N(AA574),X574)</f>
        <v/>
      </c>
      <c r="AC574" s="13">
        <f>IF(ISNUMBER(AB574),AB574,"")</f>
        <v/>
      </c>
      <c r="AD574" s="13">
        <f>IF(ISNUMBER(AC574),_xlfn.RANK.EQ(AC574,$AC$2:$AC$1031),"")</f>
        <v/>
      </c>
      <c r="AE574" s="15">
        <f>IF(ISNUMBER(AF574),AF574/3630,"")</f>
        <v/>
      </c>
      <c r="AF574" s="14">
        <f>IFERROR(C574+D574+E574+F574+J574+K574+L574+M574+Q574+R574+S574+T574+IF(ISNUMBER(X574),X574,0)+N(Y574)+N(Z574)+N(AA574),"")</f>
        <v/>
      </c>
      <c r="AG574" s="14">
        <f>IF(ISNUMBER(AF574),AF574,"")</f>
        <v/>
      </c>
      <c r="AH574" s="14">
        <f>IF(ISNUMBER(AG574),_xlfn.RANK.EQ(AG574,$AG$2:$AG$1031),"")</f>
        <v/>
      </c>
    </row>
    <row r="575">
      <c r="A575" s="18" t="n">
        <v>1391</v>
      </c>
      <c r="B575" s="18" t="inlineStr">
        <is>
          <t>عمرو بشير احمد محمد</t>
        </is>
      </c>
      <c r="C575" s="1" t="n">
        <v>417</v>
      </c>
      <c r="D575" s="1" t="n">
        <v>11</v>
      </c>
      <c r="E575" s="1" t="n">
        <v>20</v>
      </c>
      <c r="F575" s="1" t="n">
        <v>18</v>
      </c>
      <c r="G575" s="1">
        <f>C575+D575+E575+F575</f>
        <v/>
      </c>
      <c r="H575" s="1">
        <f>IF(ISNUMBER(G575),G575,"")</f>
        <v/>
      </c>
      <c r="I575" s="1">
        <f>_xlfn.RANK.EQ(H575,$H$2:$H$1031)</f>
        <v/>
      </c>
      <c r="J575" s="5" t="n">
        <v>409.5</v>
      </c>
      <c r="K575" s="5" t="n">
        <v>42</v>
      </c>
      <c r="L575" s="5" t="n">
        <v>18</v>
      </c>
      <c r="M575" s="5" t="n">
        <v>21</v>
      </c>
      <c r="N575" s="5">
        <f>J575+K575+L575+M575</f>
        <v/>
      </c>
      <c r="O575" s="5">
        <f>IF(ISNUMBER(N575),N575,"")</f>
        <v/>
      </c>
      <c r="P575" s="5">
        <f>_xlfn.RANK.EQ(O575,$O$2:$O$1031)</f>
        <v/>
      </c>
      <c r="Q575" s="9" t="n">
        <v>150.75</v>
      </c>
      <c r="R575" s="9" t="n">
        <v>34.5</v>
      </c>
      <c r="S575" s="9" t="n">
        <v>20</v>
      </c>
      <c r="T575" s="9" t="n">
        <v>22</v>
      </c>
      <c r="U575" s="9">
        <f>Q575+R575+S575+T575</f>
        <v/>
      </c>
      <c r="V575" s="9">
        <f>IF(ISNUMBER(U575),U575,"")</f>
        <v/>
      </c>
      <c r="W575" s="9">
        <f>_xlfn.RANK.EQ(V575,$V$2:$V$1031)</f>
        <v/>
      </c>
      <c r="X575" s="13" t="inlineStr">
        <is>
          <t>راسب</t>
        </is>
      </c>
      <c r="Y575" s="13" t="n">
        <v>25</v>
      </c>
      <c r="Z575" s="13" t="n">
        <v>19.5</v>
      </c>
      <c r="AA575" s="13" t="n">
        <v>19</v>
      </c>
      <c r="AB575" s="13">
        <f>IF(ISNUMBER(X575),X575+N(Y575)+N(Z575)+N(AA575),X575)</f>
        <v/>
      </c>
      <c r="AC575" s="13">
        <f>IF(ISNUMBER(AB575),AB575,"")</f>
        <v/>
      </c>
      <c r="AD575" s="13">
        <f>IF(ISNUMBER(AC575),_xlfn.RANK.EQ(AC575,$AC$2:$AC$1031),"")</f>
        <v/>
      </c>
      <c r="AE575" s="15">
        <f>IF(ISNUMBER(AF575),AF575/3630,"")</f>
        <v/>
      </c>
      <c r="AF575" s="14">
        <f>IFERROR(C575+D575+E575+F575+J575+K575+L575+M575+Q575+R575+S575+T575+IF(ISNUMBER(X575),X575,0)+N(Y575)+N(Z575)+N(AA575),"")</f>
        <v/>
      </c>
      <c r="AG575" s="14">
        <f>IF(ISNUMBER(AF575),AF575,"")</f>
        <v/>
      </c>
      <c r="AH575" s="14">
        <f>IF(ISNUMBER(AG575),_xlfn.RANK.EQ(AG575,$AG$2:$AG$1031),"")</f>
        <v/>
      </c>
    </row>
    <row r="576">
      <c r="A576" s="18" t="n">
        <v>1392</v>
      </c>
      <c r="B576" s="18" t="inlineStr">
        <is>
          <t>عمرو حسن سعد عبد العزيز عوض</t>
        </is>
      </c>
      <c r="C576" s="1" t="n">
        <v>444.8</v>
      </c>
      <c r="D576" s="1" t="n">
        <v>8</v>
      </c>
      <c r="E576" s="1" t="n">
        <v>23</v>
      </c>
      <c r="F576" s="1" t="n">
        <v>10</v>
      </c>
      <c r="G576" s="1">
        <f>C576+D576+E576+F576</f>
        <v/>
      </c>
      <c r="H576" s="1">
        <f>IF(ISNUMBER(G576),G576,"")</f>
        <v/>
      </c>
      <c r="I576" s="1">
        <f>_xlfn.RANK.EQ(H576,$H$2:$H$1031)</f>
        <v/>
      </c>
      <c r="J576" s="5" t="n">
        <v>446.5</v>
      </c>
      <c r="K576" s="5" t="n">
        <v>46</v>
      </c>
      <c r="L576" s="5" t="n">
        <v>20</v>
      </c>
      <c r="M576" s="5" t="n">
        <v>21</v>
      </c>
      <c r="N576" s="5">
        <f>J576+K576+L576+M576</f>
        <v/>
      </c>
      <c r="O576" s="5">
        <f>IF(ISNUMBER(N576),N576,"")</f>
        <v/>
      </c>
      <c r="P576" s="5">
        <f>_xlfn.RANK.EQ(O576,$O$2:$O$1031)</f>
        <v/>
      </c>
      <c r="Q576" s="9" t="n">
        <v>196.75</v>
      </c>
      <c r="R576" s="9" t="n">
        <v>36</v>
      </c>
      <c r="S576" s="9" t="n">
        <v>24</v>
      </c>
      <c r="T576" s="9" t="n">
        <v>23.5</v>
      </c>
      <c r="U576" s="9">
        <f>Q576+R576+S576+T576</f>
        <v/>
      </c>
      <c r="V576" s="9">
        <f>IF(ISNUMBER(U576),U576,"")</f>
        <v/>
      </c>
      <c r="W576" s="9">
        <f>_xlfn.RANK.EQ(V576,$V$2:$V$1031)</f>
        <v/>
      </c>
      <c r="X576" s="13" t="inlineStr">
        <is>
          <t>راسب</t>
        </is>
      </c>
      <c r="Y576" s="13" t="n">
        <v>25</v>
      </c>
      <c r="Z576" s="13" t="n">
        <v>24.5</v>
      </c>
      <c r="AA576" s="13" t="n">
        <v>19</v>
      </c>
      <c r="AB576" s="13">
        <f>IF(ISNUMBER(X576),X576+N(Y576)+N(Z576)+N(AA576),X576)</f>
        <v/>
      </c>
      <c r="AC576" s="13">
        <f>IF(ISNUMBER(AB576),AB576,"")</f>
        <v/>
      </c>
      <c r="AD576" s="13">
        <f>IF(ISNUMBER(AC576),_xlfn.RANK.EQ(AC576,$AC$2:$AC$1031),"")</f>
        <v/>
      </c>
      <c r="AE576" s="15">
        <f>IF(ISNUMBER(AF576),AF576/3630,"")</f>
        <v/>
      </c>
      <c r="AF576" s="14">
        <f>IFERROR(C576+D576+E576+F576+J576+K576+L576+M576+Q576+R576+S576+T576+IF(ISNUMBER(X576),X576,0)+N(Y576)+N(Z576)+N(AA576),"")</f>
        <v/>
      </c>
      <c r="AG576" s="14">
        <f>IF(ISNUMBER(AF576),AF576,"")</f>
        <v/>
      </c>
      <c r="AH576" s="14">
        <f>IF(ISNUMBER(AG576),_xlfn.RANK.EQ(AG576,$AG$2:$AG$1031),"")</f>
        <v/>
      </c>
    </row>
    <row r="577">
      <c r="A577" s="18" t="n">
        <v>1393</v>
      </c>
      <c r="B577" s="18" t="inlineStr">
        <is>
          <t>عمرو خالد عبد الجواد عبدالرحيم السيد</t>
        </is>
      </c>
      <c r="C577" s="1" t="n">
        <v>493.3</v>
      </c>
      <c r="D577" s="1" t="n">
        <v>17</v>
      </c>
      <c r="E577" s="1" t="n">
        <v>22</v>
      </c>
      <c r="F577" s="1" t="n">
        <v>23</v>
      </c>
      <c r="G577" s="1">
        <f>C577+D577+E577+F577</f>
        <v/>
      </c>
      <c r="H577" s="1">
        <f>IF(ISNUMBER(G577),G577,"")</f>
        <v/>
      </c>
      <c r="I577" s="1">
        <f>_xlfn.RANK.EQ(H577,$H$2:$H$1031)</f>
        <v/>
      </c>
      <c r="J577" s="5" t="n">
        <v>554.5</v>
      </c>
      <c r="K577" s="5" t="n">
        <v>41</v>
      </c>
      <c r="L577" s="5" t="n">
        <v>20</v>
      </c>
      <c r="M577" s="5" t="n">
        <v>20</v>
      </c>
      <c r="N577" s="5">
        <f>J577+K577+L577+M577</f>
        <v/>
      </c>
      <c r="O577" s="5">
        <f>IF(ISNUMBER(N577),N577,"")</f>
        <v/>
      </c>
      <c r="P577" s="5">
        <f>_xlfn.RANK.EQ(O577,$O$2:$O$1031)</f>
        <v/>
      </c>
      <c r="Q577" s="9" t="n">
        <v>239.75</v>
      </c>
      <c r="R577" s="9" t="n">
        <v>41</v>
      </c>
      <c r="S577" s="9" t="n">
        <v>20</v>
      </c>
      <c r="T577" s="9" t="n">
        <v>21.5</v>
      </c>
      <c r="U577" s="9">
        <f>Q577+R577+S577+T577</f>
        <v/>
      </c>
      <c r="V577" s="9">
        <f>IF(ISNUMBER(U577),U577,"")</f>
        <v/>
      </c>
      <c r="W577" s="9">
        <f>_xlfn.RANK.EQ(V577,$V$2:$V$1031)</f>
        <v/>
      </c>
      <c r="X577" s="13" t="n">
        <v>1372.9208333333</v>
      </c>
      <c r="Y577" s="13" t="n">
        <v>25</v>
      </c>
      <c r="Z577" s="13" t="n">
        <v>22.5</v>
      </c>
      <c r="AA577" s="13" t="n">
        <v>21</v>
      </c>
      <c r="AB577" s="13">
        <f>IF(ISNUMBER(X577),X577+N(Y577)+N(Z577)+N(AA577),X577)</f>
        <v/>
      </c>
      <c r="AC577" s="13">
        <f>IF(ISNUMBER(AB577),AB577,"")</f>
        <v/>
      </c>
      <c r="AD577" s="13">
        <f>IF(ISNUMBER(AC577),_xlfn.RANK.EQ(AC577,$AC$2:$AC$1031),"")</f>
        <v/>
      </c>
      <c r="AE577" s="15">
        <f>IF(ISNUMBER(AF577),AF577/3630,"")</f>
        <v/>
      </c>
      <c r="AF577" s="14">
        <f>IFERROR(C577+D577+E577+F577+J577+K577+L577+M577+Q577+R577+S577+T577+IF(ISNUMBER(X577),X577,0)+N(Y577)+N(Z577)+N(AA577),"")</f>
        <v/>
      </c>
      <c r="AG577" s="14">
        <f>IF(ISNUMBER(AF577),AF577,"")</f>
        <v/>
      </c>
      <c r="AH577" s="14">
        <f>IF(ISNUMBER(AG577),_xlfn.RANK.EQ(AG577,$AG$2:$AG$1031),"")</f>
        <v/>
      </c>
    </row>
    <row r="578">
      <c r="A578" s="18" t="n">
        <v>1394</v>
      </c>
      <c r="B578" s="18" t="inlineStr">
        <is>
          <t>عمرو خالد محمد فريد نعمه الله</t>
        </is>
      </c>
      <c r="C578" s="1" t="n">
        <v>624.1</v>
      </c>
      <c r="D578" s="1" t="n">
        <v>23</v>
      </c>
      <c r="E578" s="1" t="n">
        <v>21</v>
      </c>
      <c r="F578" s="1" t="n">
        <v>19</v>
      </c>
      <c r="G578" s="1">
        <f>C578+D578+E578+F578</f>
        <v/>
      </c>
      <c r="H578" s="1">
        <f>IF(ISNUMBER(G578),G578,"")</f>
        <v/>
      </c>
      <c r="I578" s="1">
        <f>_xlfn.RANK.EQ(H578,$H$2:$H$1031)</f>
        <v/>
      </c>
      <c r="J578" s="5" t="n">
        <v>606</v>
      </c>
      <c r="K578" s="5" t="n">
        <v>47</v>
      </c>
      <c r="L578" s="5" t="n">
        <v>23</v>
      </c>
      <c r="M578" s="5" t="n">
        <v>20</v>
      </c>
      <c r="N578" s="5">
        <f>J578+K578+L578+M578</f>
        <v/>
      </c>
      <c r="O578" s="5">
        <f>IF(ISNUMBER(N578),N578,"")</f>
        <v/>
      </c>
      <c r="P578" s="5">
        <f>_xlfn.RANK.EQ(O578,$O$2:$O$1031)</f>
        <v/>
      </c>
      <c r="Q578" s="9" t="n">
        <v>231</v>
      </c>
      <c r="R578" s="9" t="n">
        <v>41</v>
      </c>
      <c r="S578" s="9" t="n">
        <v>25</v>
      </c>
      <c r="T578" s="9" t="n">
        <v>24</v>
      </c>
      <c r="U578" s="9">
        <f>Q578+R578+S578+T578</f>
        <v/>
      </c>
      <c r="V578" s="9">
        <f>IF(ISNUMBER(U578),U578,"")</f>
        <v/>
      </c>
      <c r="W578" s="9">
        <f>_xlfn.RANK.EQ(V578,$V$2:$V$1031)</f>
        <v/>
      </c>
      <c r="X578" s="13" t="n">
        <v>1484.4208333333</v>
      </c>
      <c r="Y578" s="13" t="n">
        <v>25</v>
      </c>
      <c r="Z578" s="13" t="n">
        <v>24</v>
      </c>
      <c r="AA578" s="13" t="n">
        <v>25</v>
      </c>
      <c r="AB578" s="13">
        <f>IF(ISNUMBER(X578),X578+N(Y578)+N(Z578)+N(AA578),X578)</f>
        <v/>
      </c>
      <c r="AC578" s="13">
        <f>IF(ISNUMBER(AB578),AB578,"")</f>
        <v/>
      </c>
      <c r="AD578" s="13">
        <f>IF(ISNUMBER(AC578),_xlfn.RANK.EQ(AC578,$AC$2:$AC$1031),"")</f>
        <v/>
      </c>
      <c r="AE578" s="15">
        <f>IF(ISNUMBER(AF578),AF578/3630,"")</f>
        <v/>
      </c>
      <c r="AF578" s="14">
        <f>IFERROR(C578+D578+E578+F578+J578+K578+L578+M578+Q578+R578+S578+T578+IF(ISNUMBER(X578),X578,0)+N(Y578)+N(Z578)+N(AA578),"")</f>
        <v/>
      </c>
      <c r="AG578" s="14">
        <f>IF(ISNUMBER(AF578),AF578,"")</f>
        <v/>
      </c>
      <c r="AH578" s="14">
        <f>IF(ISNUMBER(AG578),_xlfn.RANK.EQ(AG578,$AG$2:$AG$1031),"")</f>
        <v/>
      </c>
    </row>
    <row r="579">
      <c r="A579" s="18" t="n">
        <v>1395</v>
      </c>
      <c r="B579" s="18" t="inlineStr">
        <is>
          <t>عمرو خالد محمد محمد غنيم</t>
        </is>
      </c>
      <c r="C579" s="1" t="n">
        <v>592.1</v>
      </c>
      <c r="D579" s="1" t="n">
        <v>24</v>
      </c>
      <c r="E579" s="1" t="n">
        <v>23</v>
      </c>
      <c r="F579" s="1" t="n">
        <v>23</v>
      </c>
      <c r="G579" s="1">
        <f>C579+D579+E579+F579</f>
        <v/>
      </c>
      <c r="H579" s="1">
        <f>IF(ISNUMBER(G579),G579,"")</f>
        <v/>
      </c>
      <c r="I579" s="1">
        <f>_xlfn.RANK.EQ(H579,$H$2:$H$1031)</f>
        <v/>
      </c>
      <c r="J579" s="5" t="n">
        <v>553.5</v>
      </c>
      <c r="K579" s="5" t="n">
        <v>45</v>
      </c>
      <c r="L579" s="5" t="n">
        <v>21</v>
      </c>
      <c r="M579" s="5" t="n">
        <v>21</v>
      </c>
      <c r="N579" s="5">
        <f>J579+K579+L579+M579</f>
        <v/>
      </c>
      <c r="O579" s="5">
        <f>IF(ISNUMBER(N579),N579,"")</f>
        <v/>
      </c>
      <c r="P579" s="5">
        <f>_xlfn.RANK.EQ(O579,$O$2:$O$1031)</f>
        <v/>
      </c>
      <c r="Q579" s="9" t="n">
        <v>226.75</v>
      </c>
      <c r="R579" s="9" t="n">
        <v>43</v>
      </c>
      <c r="S579" s="9" t="n">
        <v>25</v>
      </c>
      <c r="T579" s="9" t="n">
        <v>24</v>
      </c>
      <c r="U579" s="9">
        <f>Q579+R579+S579+T579</f>
        <v/>
      </c>
      <c r="V579" s="9">
        <f>IF(ISNUMBER(U579),U579,"")</f>
        <v/>
      </c>
      <c r="W579" s="9">
        <f>_xlfn.RANK.EQ(V579,$V$2:$V$1031)</f>
        <v/>
      </c>
      <c r="X579" s="13" t="n">
        <v>1393.0375</v>
      </c>
      <c r="Y579" s="13" t="n">
        <v>20</v>
      </c>
      <c r="Z579" s="13" t="n">
        <v>23</v>
      </c>
      <c r="AA579" s="13" t="n">
        <v>22</v>
      </c>
      <c r="AB579" s="13">
        <f>IF(ISNUMBER(X579),X579+N(Y579)+N(Z579)+N(AA579),X579)</f>
        <v/>
      </c>
      <c r="AC579" s="13">
        <f>IF(ISNUMBER(AB579),AB579,"")</f>
        <v/>
      </c>
      <c r="AD579" s="13">
        <f>IF(ISNUMBER(AC579),_xlfn.RANK.EQ(AC579,$AC$2:$AC$1031),"")</f>
        <v/>
      </c>
      <c r="AE579" s="15">
        <f>IF(ISNUMBER(AF579),AF579/3630,"")</f>
        <v/>
      </c>
      <c r="AF579" s="14">
        <f>IFERROR(C579+D579+E579+F579+J579+K579+L579+M579+Q579+R579+S579+T579+IF(ISNUMBER(X579),X579,0)+N(Y579)+N(Z579)+N(AA579),"")</f>
        <v/>
      </c>
      <c r="AG579" s="14">
        <f>IF(ISNUMBER(AF579),AF579,"")</f>
        <v/>
      </c>
      <c r="AH579" s="14">
        <f>IF(ISNUMBER(AG579),_xlfn.RANK.EQ(AG579,$AG$2:$AG$1031),"")</f>
        <v/>
      </c>
    </row>
    <row r="580">
      <c r="A580" s="18" t="n">
        <v>1396</v>
      </c>
      <c r="B580" s="18" t="inlineStr">
        <is>
          <t>عمرو سليمان طاهر البهنسى</t>
        </is>
      </c>
      <c r="C580" s="1" t="n">
        <v>563.8</v>
      </c>
      <c r="D580" s="1" t="n">
        <v>23</v>
      </c>
      <c r="E580" s="1" t="n">
        <v>20</v>
      </c>
      <c r="F580" s="1" t="n">
        <v>21</v>
      </c>
      <c r="G580" s="1">
        <f>C580+D580+E580+F580</f>
        <v/>
      </c>
      <c r="H580" s="1">
        <f>IF(ISNUMBER(G580),G580,"")</f>
        <v/>
      </c>
      <c r="I580" s="1">
        <f>_xlfn.RANK.EQ(H580,$H$2:$H$1031)</f>
        <v/>
      </c>
      <c r="J580" s="5" t="n">
        <v>569</v>
      </c>
      <c r="K580" s="5" t="n">
        <v>45</v>
      </c>
      <c r="L580" s="5" t="n">
        <v>19</v>
      </c>
      <c r="M580" s="5" t="n">
        <v>18</v>
      </c>
      <c r="N580" s="5">
        <f>J580+K580+L580+M580</f>
        <v/>
      </c>
      <c r="O580" s="5">
        <f>IF(ISNUMBER(N580),N580,"")</f>
        <v/>
      </c>
      <c r="P580" s="5">
        <f>_xlfn.RANK.EQ(O580,$O$2:$O$1031)</f>
        <v/>
      </c>
      <c r="Q580" s="9" t="n">
        <v>224</v>
      </c>
      <c r="R580" s="9" t="n">
        <v>46</v>
      </c>
      <c r="S580" s="9" t="n">
        <v>24</v>
      </c>
      <c r="T580" s="9" t="n">
        <v>24</v>
      </c>
      <c r="U580" s="9">
        <f>Q580+R580+S580+T580</f>
        <v/>
      </c>
      <c r="V580" s="9">
        <f>IF(ISNUMBER(U580),U580,"")</f>
        <v/>
      </c>
      <c r="W580" s="9">
        <f>_xlfn.RANK.EQ(V580,$V$2:$V$1031)</f>
        <v/>
      </c>
      <c r="X580" s="13" t="n">
        <v>1430.7791666667</v>
      </c>
      <c r="Y580" s="13" t="n">
        <v>25</v>
      </c>
      <c r="Z580" s="13" t="n">
        <v>25</v>
      </c>
      <c r="AA580" s="13" t="n">
        <v>23</v>
      </c>
      <c r="AB580" s="13">
        <f>IF(ISNUMBER(X580),X580+N(Y580)+N(Z580)+N(AA580),X580)</f>
        <v/>
      </c>
      <c r="AC580" s="13">
        <f>IF(ISNUMBER(AB580),AB580,"")</f>
        <v/>
      </c>
      <c r="AD580" s="13">
        <f>IF(ISNUMBER(AC580),_xlfn.RANK.EQ(AC580,$AC$2:$AC$1031),"")</f>
        <v/>
      </c>
      <c r="AE580" s="15">
        <f>IF(ISNUMBER(AF580),AF580/3630,"")</f>
        <v/>
      </c>
      <c r="AF580" s="14">
        <f>IFERROR(C580+D580+E580+F580+J580+K580+L580+M580+Q580+R580+S580+T580+IF(ISNUMBER(X580),X580,0)+N(Y580)+N(Z580)+N(AA580),"")</f>
        <v/>
      </c>
      <c r="AG580" s="14">
        <f>IF(ISNUMBER(AF580),AF580,"")</f>
        <v/>
      </c>
      <c r="AH580" s="14">
        <f>IF(ISNUMBER(AG580),_xlfn.RANK.EQ(AG580,$AG$2:$AG$1031),"")</f>
        <v/>
      </c>
    </row>
    <row r="581">
      <c r="A581" s="18" t="n">
        <v>1399</v>
      </c>
      <c r="B581" s="18" t="inlineStr">
        <is>
          <t>عمرو عبدالهادى سعيد السقيلى</t>
        </is>
      </c>
      <c r="C581" s="1" t="n">
        <v>599</v>
      </c>
      <c r="D581" s="1" t="n">
        <v>21</v>
      </c>
      <c r="E581" s="1" t="n">
        <v>24</v>
      </c>
      <c r="F581" s="1" t="n">
        <v>21</v>
      </c>
      <c r="G581" s="1">
        <f>C581+D581+E581+F581</f>
        <v/>
      </c>
      <c r="H581" s="1">
        <f>IF(ISNUMBER(G581),G581,"")</f>
        <v/>
      </c>
      <c r="I581" s="1">
        <f>_xlfn.RANK.EQ(H581,$H$2:$H$1031)</f>
        <v/>
      </c>
      <c r="J581" s="5" t="n">
        <v>528</v>
      </c>
      <c r="K581" s="5" t="n">
        <v>46</v>
      </c>
      <c r="L581" s="5" t="n">
        <v>20</v>
      </c>
      <c r="M581" s="5" t="n">
        <v>19</v>
      </c>
      <c r="N581" s="5">
        <f>J581+K581+L581+M581</f>
        <v/>
      </c>
      <c r="O581" s="5">
        <f>IF(ISNUMBER(N581),N581,"")</f>
        <v/>
      </c>
      <c r="P581" s="5">
        <f>_xlfn.RANK.EQ(O581,$O$2:$O$1031)</f>
        <v/>
      </c>
      <c r="Q581" s="9" t="n">
        <v>213.5</v>
      </c>
      <c r="R581" s="9" t="n">
        <v>36.5</v>
      </c>
      <c r="S581" s="9" t="n">
        <v>21</v>
      </c>
      <c r="T581" s="9" t="n">
        <v>24</v>
      </c>
      <c r="U581" s="9">
        <f>Q581+R581+S581+T581</f>
        <v/>
      </c>
      <c r="V581" s="9">
        <f>IF(ISNUMBER(U581),U581,"")</f>
        <v/>
      </c>
      <c r="W581" s="9">
        <f>_xlfn.RANK.EQ(V581,$V$2:$V$1031)</f>
        <v/>
      </c>
      <c r="X581" s="13" t="n">
        <v>1337.9708333333</v>
      </c>
      <c r="Y581" s="13" t="n">
        <v>24</v>
      </c>
      <c r="Z581" s="13" t="n">
        <v>18.5</v>
      </c>
      <c r="AA581" s="13" t="n">
        <v>18</v>
      </c>
      <c r="AB581" s="13">
        <f>IF(ISNUMBER(X581),X581+N(Y581)+N(Z581)+N(AA581),X581)</f>
        <v/>
      </c>
      <c r="AC581" s="13">
        <f>IF(ISNUMBER(AB581),AB581,"")</f>
        <v/>
      </c>
      <c r="AD581" s="13">
        <f>IF(ISNUMBER(AC581),_xlfn.RANK.EQ(AC581,$AC$2:$AC$1031),"")</f>
        <v/>
      </c>
      <c r="AE581" s="15">
        <f>IF(ISNUMBER(AF581),AF581/3630,"")</f>
        <v/>
      </c>
      <c r="AF581" s="14">
        <f>IFERROR(C581+D581+E581+F581+J581+K581+L581+M581+Q581+R581+S581+T581+IF(ISNUMBER(X581),X581,0)+N(Y581)+N(Z581)+N(AA581),"")</f>
        <v/>
      </c>
      <c r="AG581" s="14">
        <f>IF(ISNUMBER(AF581),AF581,"")</f>
        <v/>
      </c>
      <c r="AH581" s="14">
        <f>IF(ISNUMBER(AG581),_xlfn.RANK.EQ(AG581,$AG$2:$AG$1031),"")</f>
        <v/>
      </c>
    </row>
    <row r="582">
      <c r="A582" s="18" t="n">
        <v>1400</v>
      </c>
      <c r="B582" s="18" t="inlineStr">
        <is>
          <t>عمرو على مهران محمد على</t>
        </is>
      </c>
      <c r="C582" s="1" t="n">
        <v>567.3</v>
      </c>
      <c r="D582" s="1" t="n">
        <v>25</v>
      </c>
      <c r="E582" s="1" t="n">
        <v>24</v>
      </c>
      <c r="F582" s="1" t="n">
        <v>19</v>
      </c>
      <c r="G582" s="1">
        <f>C582+D582+E582+F582</f>
        <v/>
      </c>
      <c r="H582" s="1">
        <f>IF(ISNUMBER(G582),G582,"")</f>
        <v/>
      </c>
      <c r="I582" s="1">
        <f>_xlfn.RANK.EQ(H582,$H$2:$H$1031)</f>
        <v/>
      </c>
      <c r="J582" s="5" t="n">
        <v>555.5</v>
      </c>
      <c r="K582" s="5" t="n">
        <v>44</v>
      </c>
      <c r="L582" s="5" t="n">
        <v>22</v>
      </c>
      <c r="M582" s="5" t="n">
        <v>23</v>
      </c>
      <c r="N582" s="5">
        <f>J582+K582+L582+M582</f>
        <v/>
      </c>
      <c r="O582" s="5">
        <f>IF(ISNUMBER(N582),N582,"")</f>
        <v/>
      </c>
      <c r="P582" s="5">
        <f>_xlfn.RANK.EQ(O582,$O$2:$O$1031)</f>
        <v/>
      </c>
      <c r="Q582" s="9" t="n">
        <v>204</v>
      </c>
      <c r="R582" s="9" t="n">
        <v>39</v>
      </c>
      <c r="S582" s="9" t="n">
        <v>21</v>
      </c>
      <c r="T582" s="9" t="n">
        <v>24</v>
      </c>
      <c r="U582" s="9">
        <f>Q582+R582+S582+T582</f>
        <v/>
      </c>
      <c r="V582" s="9">
        <f>IF(ISNUMBER(U582),U582,"")</f>
        <v/>
      </c>
      <c r="W582" s="9">
        <f>_xlfn.RANK.EQ(V582,$V$2:$V$1031)</f>
        <v/>
      </c>
      <c r="X582" s="13" t="inlineStr">
        <is>
          <t>راسب</t>
        </is>
      </c>
      <c r="Y582" s="13" t="n">
        <v>25</v>
      </c>
      <c r="Z582" s="13" t="n">
        <v>20</v>
      </c>
      <c r="AA582" s="13" t="n">
        <v>22</v>
      </c>
      <c r="AB582" s="13">
        <f>IF(ISNUMBER(X582),X582+N(Y582)+N(Z582)+N(AA582),X582)</f>
        <v/>
      </c>
      <c r="AC582" s="13">
        <f>IF(ISNUMBER(AB582),AB582,"")</f>
        <v/>
      </c>
      <c r="AD582" s="13">
        <f>IF(ISNUMBER(AC582),_xlfn.RANK.EQ(AC582,$AC$2:$AC$1031),"")</f>
        <v/>
      </c>
      <c r="AE582" s="15">
        <f>IF(ISNUMBER(AF582),AF582/3630,"")</f>
        <v/>
      </c>
      <c r="AF582" s="14">
        <f>IFERROR(C582+D582+E582+F582+J582+K582+L582+M582+Q582+R582+S582+T582+IF(ISNUMBER(X582),X582,0)+N(Y582)+N(Z582)+N(AA582),"")</f>
        <v/>
      </c>
      <c r="AG582" s="14">
        <f>IF(ISNUMBER(AF582),AF582,"")</f>
        <v/>
      </c>
      <c r="AH582" s="14">
        <f>IF(ISNUMBER(AG582),_xlfn.RANK.EQ(AG582,$AG$2:$AG$1031),"")</f>
        <v/>
      </c>
    </row>
    <row r="583">
      <c r="A583" s="18" t="n">
        <v>1401</v>
      </c>
      <c r="B583" s="18" t="inlineStr">
        <is>
          <t>عمرو مجدي حسن عبد العال</t>
        </is>
      </c>
      <c r="C583" s="1" t="n">
        <v>624.2</v>
      </c>
      <c r="D583" s="1" t="n">
        <v>23</v>
      </c>
      <c r="E583" s="1" t="n">
        <v>24</v>
      </c>
      <c r="F583" s="1" t="n">
        <v>19</v>
      </c>
      <c r="G583" s="1">
        <f>C583+D583+E583+F583</f>
        <v/>
      </c>
      <c r="H583" s="1">
        <f>IF(ISNUMBER(G583),G583,"")</f>
        <v/>
      </c>
      <c r="I583" s="1">
        <f>_xlfn.RANK.EQ(H583,$H$2:$H$1031)</f>
        <v/>
      </c>
      <c r="J583" s="5" t="n">
        <v>627</v>
      </c>
      <c r="K583" s="5" t="n">
        <v>47</v>
      </c>
      <c r="L583" s="5" t="n">
        <v>22</v>
      </c>
      <c r="M583" s="5" t="n">
        <v>23</v>
      </c>
      <c r="N583" s="5">
        <f>J583+K583+L583+M583</f>
        <v/>
      </c>
      <c r="O583" s="5">
        <f>IF(ISNUMBER(N583),N583,"")</f>
        <v/>
      </c>
      <c r="P583" s="5">
        <f>_xlfn.RANK.EQ(O583,$O$2:$O$1031)</f>
        <v/>
      </c>
      <c r="Q583" s="9" t="n">
        <v>272.75</v>
      </c>
      <c r="R583" s="9" t="n">
        <v>44.5</v>
      </c>
      <c r="S583" s="9" t="n">
        <v>23</v>
      </c>
      <c r="T583" s="9" t="n">
        <v>25</v>
      </c>
      <c r="U583" s="9">
        <f>Q583+R583+S583+T583</f>
        <v/>
      </c>
      <c r="V583" s="9">
        <f>IF(ISNUMBER(U583),U583,"")</f>
        <v/>
      </c>
      <c r="W583" s="9">
        <f>_xlfn.RANK.EQ(V583,$V$2:$V$1031)</f>
        <v/>
      </c>
      <c r="X583" s="13" t="n">
        <v>1560.2958333333</v>
      </c>
      <c r="Y583" s="13" t="n">
        <v>25</v>
      </c>
      <c r="Z583" s="13" t="n">
        <v>24</v>
      </c>
      <c r="AA583" s="13" t="n">
        <v>21</v>
      </c>
      <c r="AB583" s="13">
        <f>IF(ISNUMBER(X583),X583+N(Y583)+N(Z583)+N(AA583),X583)</f>
        <v/>
      </c>
      <c r="AC583" s="13">
        <f>IF(ISNUMBER(AB583),AB583,"")</f>
        <v/>
      </c>
      <c r="AD583" s="13">
        <f>IF(ISNUMBER(AC583),_xlfn.RANK.EQ(AC583,$AC$2:$AC$1031),"")</f>
        <v/>
      </c>
      <c r="AE583" s="15">
        <f>IF(ISNUMBER(AF583),AF583/3630,"")</f>
        <v/>
      </c>
      <c r="AF583" s="14">
        <f>IFERROR(C583+D583+E583+F583+J583+K583+L583+M583+Q583+R583+S583+T583+IF(ISNUMBER(X583),X583,0)+N(Y583)+N(Z583)+N(AA583),"")</f>
        <v/>
      </c>
      <c r="AG583" s="14">
        <f>IF(ISNUMBER(AF583),AF583,"")</f>
        <v/>
      </c>
      <c r="AH583" s="14">
        <f>IF(ISNUMBER(AG583),_xlfn.RANK.EQ(AG583,$AG$2:$AG$1031),"")</f>
        <v/>
      </c>
    </row>
    <row r="584">
      <c r="A584" s="18" t="n">
        <v>1403</v>
      </c>
      <c r="B584" s="18" t="inlineStr">
        <is>
          <t>عمرو محمد عبيده على عبيده</t>
        </is>
      </c>
      <c r="C584" s="1" t="e">
        <v>#N/A</v>
      </c>
      <c r="D584" s="1" t="n">
        <v>25</v>
      </c>
      <c r="E584" s="1" t="n">
        <v>23</v>
      </c>
      <c r="F584" s="1" t="n">
        <v>19</v>
      </c>
      <c r="G584" s="1">
        <f>C584+D584+E584+F584</f>
        <v/>
      </c>
      <c r="H584" s="1">
        <f>IF(ISNUMBER(G584),G584,"")</f>
        <v/>
      </c>
      <c r="I584" s="1">
        <f>_xlfn.RANK.EQ(H584,$H$2:$H$1031)</f>
        <v/>
      </c>
      <c r="J584" s="5" t="n">
        <v>594</v>
      </c>
      <c r="K584" s="5" t="n">
        <v>45</v>
      </c>
      <c r="L584" s="5" t="n">
        <v>22</v>
      </c>
      <c r="M584" s="5" t="n">
        <v>18</v>
      </c>
      <c r="N584" s="5">
        <f>J584+K584+L584+M584</f>
        <v/>
      </c>
      <c r="O584" s="5">
        <f>IF(ISNUMBER(N584),N584,"")</f>
        <v/>
      </c>
      <c r="P584" s="5">
        <f>_xlfn.RANK.EQ(O584,$O$2:$O$1031)</f>
        <v/>
      </c>
      <c r="Q584" s="9" t="n">
        <v>190.5</v>
      </c>
      <c r="R584" s="9" t="n">
        <v>31.5</v>
      </c>
      <c r="S584" s="9" t="n">
        <v>22</v>
      </c>
      <c r="T584" s="9" t="n">
        <v>22</v>
      </c>
      <c r="U584" s="9">
        <f>Q584+R584+S584+T584</f>
        <v/>
      </c>
      <c r="V584" s="9">
        <f>IF(ISNUMBER(U584),U584,"")</f>
        <v/>
      </c>
      <c r="W584" s="9">
        <f>_xlfn.RANK.EQ(V584,$V$2:$V$1031)</f>
        <v/>
      </c>
      <c r="X584" s="13" t="n">
        <v>1290.4125</v>
      </c>
      <c r="Y584" s="13" t="n">
        <v>22</v>
      </c>
      <c r="Z584" s="13" t="n">
        <v>23</v>
      </c>
      <c r="AA584" s="13" t="n">
        <v>19</v>
      </c>
      <c r="AB584" s="13">
        <f>IF(ISNUMBER(X584),X584+N(Y584)+N(Z584)+N(AA584),X584)</f>
        <v/>
      </c>
      <c r="AC584" s="13">
        <f>IF(ISNUMBER(AB584),AB584,"")</f>
        <v/>
      </c>
      <c r="AD584" s="13">
        <f>IF(ISNUMBER(AC584),_xlfn.RANK.EQ(AC584,$AC$2:$AC$1031),"")</f>
        <v/>
      </c>
      <c r="AE584" s="15">
        <f>IF(ISNUMBER(AF584),AF584/3630,"")</f>
        <v/>
      </c>
      <c r="AF584" s="14">
        <f>IFERROR(C584+D584+E584+F584+J584+K584+L584+M584+Q584+R584+S584+T584+IF(ISNUMBER(X584),X584,0)+N(Y584)+N(Z584)+N(AA584),"")</f>
        <v/>
      </c>
      <c r="AG584" s="14">
        <f>IF(ISNUMBER(AF584),AF584,"")</f>
        <v/>
      </c>
      <c r="AH584" s="14">
        <f>IF(ISNUMBER(AG584),_xlfn.RANK.EQ(AG584,$AG$2:$AG$1031),"")</f>
        <v/>
      </c>
    </row>
    <row r="585">
      <c r="A585" s="18" t="n">
        <v>1415</v>
      </c>
      <c r="B585" s="18" t="inlineStr">
        <is>
          <t>غادة عبد المجيد احمد عبد المجيد ابو حى</t>
        </is>
      </c>
      <c r="C585" s="1" t="n">
        <v>615.4</v>
      </c>
      <c r="D585" s="1" t="n">
        <v>25</v>
      </c>
      <c r="E585" s="1" t="n">
        <v>25</v>
      </c>
      <c r="F585" s="1" t="n">
        <v>24</v>
      </c>
      <c r="G585" s="1">
        <f>C585+D585+E585+F585</f>
        <v/>
      </c>
      <c r="H585" s="1">
        <f>IF(ISNUMBER(G585),G585,"")</f>
        <v/>
      </c>
      <c r="I585" s="1">
        <f>_xlfn.RANK.EQ(H585,$H$2:$H$1031)</f>
        <v/>
      </c>
      <c r="J585" s="5" t="n">
        <v>614</v>
      </c>
      <c r="K585" s="5" t="n">
        <v>49</v>
      </c>
      <c r="L585" s="5" t="n">
        <v>23</v>
      </c>
      <c r="M585" s="5" t="n">
        <v>24</v>
      </c>
      <c r="N585" s="5">
        <f>J585+K585+L585+M585</f>
        <v/>
      </c>
      <c r="O585" s="5">
        <f>IF(ISNUMBER(N585),N585,"")</f>
        <v/>
      </c>
      <c r="P585" s="5">
        <f>_xlfn.RANK.EQ(O585,$O$2:$O$1031)</f>
        <v/>
      </c>
      <c r="Q585" s="9" t="n">
        <v>276</v>
      </c>
      <c r="R585" s="9" t="n">
        <v>48.5</v>
      </c>
      <c r="S585" s="9" t="n">
        <v>24</v>
      </c>
      <c r="T585" s="9" t="n">
        <v>25</v>
      </c>
      <c r="U585" s="9">
        <f>Q585+R585+S585+T585</f>
        <v/>
      </c>
      <c r="V585" s="9">
        <f>IF(ISNUMBER(U585),U585,"")</f>
        <v/>
      </c>
      <c r="W585" s="9">
        <f>_xlfn.RANK.EQ(V585,$V$2:$V$1031)</f>
        <v/>
      </c>
      <c r="X585" s="13" t="n">
        <v>1520</v>
      </c>
      <c r="Y585" s="13" t="n">
        <v>25</v>
      </c>
      <c r="Z585" s="13" t="n">
        <v>25</v>
      </c>
      <c r="AA585" s="13" t="n">
        <v>22</v>
      </c>
      <c r="AB585" s="13">
        <f>IF(ISNUMBER(X585),X585+N(Y585)+N(Z585)+N(AA585),X585)</f>
        <v/>
      </c>
      <c r="AC585" s="13">
        <f>IF(ISNUMBER(AB585),AB585,"")</f>
        <v/>
      </c>
      <c r="AD585" s="13">
        <f>IF(ISNUMBER(AC585),_xlfn.RANK.EQ(AC585,$AC$2:$AC$1031),"")</f>
        <v/>
      </c>
      <c r="AE585" s="15">
        <f>IF(ISNUMBER(AF585),AF585/3630,"")</f>
        <v/>
      </c>
      <c r="AF585" s="14">
        <f>IFERROR(C585+D585+E585+F585+J585+K585+L585+M585+Q585+R585+S585+T585+IF(ISNUMBER(X585),X585,0)+N(Y585)+N(Z585)+N(AA585),"")</f>
        <v/>
      </c>
      <c r="AG585" s="14">
        <f>IF(ISNUMBER(AF585),AF585,"")</f>
        <v/>
      </c>
      <c r="AH585" s="14">
        <f>IF(ISNUMBER(AG585),_xlfn.RANK.EQ(AG585,$AG$2:$AG$1031),"")</f>
        <v/>
      </c>
    </row>
    <row r="586">
      <c r="A586" s="18" t="n">
        <v>1422</v>
      </c>
      <c r="B586" s="18" t="inlineStr">
        <is>
          <t>فاتن كمال سعد السيد</t>
        </is>
      </c>
      <c r="C586" s="1" t="n">
        <v>532.1</v>
      </c>
      <c r="D586" s="1" t="n">
        <v>23</v>
      </c>
      <c r="E586" s="1" t="n">
        <v>25</v>
      </c>
      <c r="F586" s="1" t="n">
        <v>16.5</v>
      </c>
      <c r="G586" s="1">
        <f>C586+D586+E586+F586</f>
        <v/>
      </c>
      <c r="H586" s="1">
        <f>IF(ISNUMBER(G586),G586,"")</f>
        <v/>
      </c>
      <c r="I586" s="1">
        <f>_xlfn.RANK.EQ(H586,$H$2:$H$1031)</f>
        <v/>
      </c>
      <c r="J586" s="5" t="n">
        <v>575</v>
      </c>
      <c r="K586" s="5" t="n">
        <v>42</v>
      </c>
      <c r="L586" s="5" t="n">
        <v>18</v>
      </c>
      <c r="M586" s="5" t="n">
        <v>21</v>
      </c>
      <c r="N586" s="5">
        <f>J586+K586+L586+M586</f>
        <v/>
      </c>
      <c r="O586" s="5">
        <f>IF(ISNUMBER(N586),N586,"")</f>
        <v/>
      </c>
      <c r="P586" s="5">
        <f>_xlfn.RANK.EQ(O586,$O$2:$O$1031)</f>
        <v/>
      </c>
      <c r="Q586" s="9" t="n">
        <v>235.75</v>
      </c>
      <c r="R586" s="9" t="n">
        <v>47</v>
      </c>
      <c r="S586" s="9" t="n">
        <v>22</v>
      </c>
      <c r="T586" s="9" t="n">
        <v>22</v>
      </c>
      <c r="U586" s="9">
        <f>Q586+R586+S586+T586</f>
        <v/>
      </c>
      <c r="V586" s="9">
        <f>IF(ISNUMBER(U586),U586,"")</f>
        <v/>
      </c>
      <c r="W586" s="9">
        <f>_xlfn.RANK.EQ(V586,$V$2:$V$1031)</f>
        <v/>
      </c>
      <c r="X586" s="13" t="n">
        <v>1360.0458333333</v>
      </c>
      <c r="Y586" s="13" t="n">
        <v>24</v>
      </c>
      <c r="Z586" s="13" t="n">
        <v>24</v>
      </c>
      <c r="AA586" s="13" t="n">
        <v>21</v>
      </c>
      <c r="AB586" s="13">
        <f>IF(ISNUMBER(X586),X586+N(Y586)+N(Z586)+N(AA586),X586)</f>
        <v/>
      </c>
      <c r="AC586" s="13">
        <f>IF(ISNUMBER(AB586),AB586,"")</f>
        <v/>
      </c>
      <c r="AD586" s="13">
        <f>IF(ISNUMBER(AC586),_xlfn.RANK.EQ(AC586,$AC$2:$AC$1031),"")</f>
        <v/>
      </c>
      <c r="AE586" s="15">
        <f>IF(ISNUMBER(AF586),AF586/3630,"")</f>
        <v/>
      </c>
      <c r="AF586" s="14">
        <f>IFERROR(C586+D586+E586+F586+J586+K586+L586+M586+Q586+R586+S586+T586+IF(ISNUMBER(X586),X586,0)+N(Y586)+N(Z586)+N(AA586),"")</f>
        <v/>
      </c>
      <c r="AG586" s="14">
        <f>IF(ISNUMBER(AF586),AF586,"")</f>
        <v/>
      </c>
      <c r="AH586" s="14">
        <f>IF(ISNUMBER(AG586),_xlfn.RANK.EQ(AG586,$AG$2:$AG$1031),"")</f>
        <v/>
      </c>
    </row>
    <row r="587">
      <c r="A587" s="18" t="n">
        <v>1424</v>
      </c>
      <c r="B587" s="18" t="inlineStr">
        <is>
          <t>فادي مجدي داود سعد</t>
        </is>
      </c>
      <c r="C587" s="1" t="n">
        <v>644.9</v>
      </c>
      <c r="D587" s="1" t="n">
        <v>25</v>
      </c>
      <c r="E587" s="1" t="n">
        <v>24</v>
      </c>
      <c r="F587" s="1" t="n">
        <v>18</v>
      </c>
      <c r="G587" s="1">
        <f>C587+D587+E587+F587</f>
        <v/>
      </c>
      <c r="H587" s="1">
        <f>IF(ISNUMBER(G587),G587,"")</f>
        <v/>
      </c>
      <c r="I587" s="1">
        <f>_xlfn.RANK.EQ(H587,$H$2:$H$1031)</f>
        <v/>
      </c>
      <c r="J587" s="5" t="n">
        <v>637</v>
      </c>
      <c r="K587" s="5" t="n">
        <v>48</v>
      </c>
      <c r="L587" s="5" t="n">
        <v>23</v>
      </c>
      <c r="M587" s="5" t="n">
        <v>24</v>
      </c>
      <c r="N587" s="5">
        <f>J587+K587+L587+M587</f>
        <v/>
      </c>
      <c r="O587" s="5">
        <f>IF(ISNUMBER(N587),N587,"")</f>
        <v/>
      </c>
      <c r="P587" s="5">
        <f>_xlfn.RANK.EQ(O587,$O$2:$O$1031)</f>
        <v/>
      </c>
      <c r="Q587" s="9" t="n">
        <v>289</v>
      </c>
      <c r="R587" s="9" t="n">
        <v>49</v>
      </c>
      <c r="S587" s="9" t="n">
        <v>24</v>
      </c>
      <c r="T587" s="9" t="n">
        <v>25</v>
      </c>
      <c r="U587" s="9">
        <f>Q587+R587+S587+T587</f>
        <v/>
      </c>
      <c r="V587" s="9">
        <f>IF(ISNUMBER(U587),U587,"")</f>
        <v/>
      </c>
      <c r="W587" s="9">
        <f>_xlfn.RANK.EQ(V587,$V$2:$V$1031)</f>
        <v/>
      </c>
      <c r="X587" s="13" t="n">
        <v>1595.5875</v>
      </c>
      <c r="Y587" s="13" t="n">
        <v>25</v>
      </c>
      <c r="Z587" s="13" t="n">
        <v>24</v>
      </c>
      <c r="AA587" s="13" t="n">
        <v>25</v>
      </c>
      <c r="AB587" s="13">
        <f>IF(ISNUMBER(X587),X587+N(Y587)+N(Z587)+N(AA587),X587)</f>
        <v/>
      </c>
      <c r="AC587" s="13">
        <f>IF(ISNUMBER(AB587),AB587,"")</f>
        <v/>
      </c>
      <c r="AD587" s="13">
        <f>IF(ISNUMBER(AC587),_xlfn.RANK.EQ(AC587,$AC$2:$AC$1031),"")</f>
        <v/>
      </c>
      <c r="AE587" s="15">
        <f>IF(ISNUMBER(AF587),AF587/3630,"")</f>
        <v/>
      </c>
      <c r="AF587" s="14">
        <f>IFERROR(C587+D587+E587+F587+J587+K587+L587+M587+Q587+R587+S587+T587+IF(ISNUMBER(X587),X587,0)+N(Y587)+N(Z587)+N(AA587),"")</f>
        <v/>
      </c>
      <c r="AG587" s="14">
        <f>IF(ISNUMBER(AF587),AF587,"")</f>
        <v/>
      </c>
      <c r="AH587" s="14">
        <f>IF(ISNUMBER(AG587),_xlfn.RANK.EQ(AG587,$AG$2:$AG$1031),"")</f>
        <v/>
      </c>
    </row>
    <row r="588">
      <c r="A588" s="18" t="n">
        <v>1425</v>
      </c>
      <c r="B588" s="18" t="inlineStr">
        <is>
          <t>فادي محمد الدسوقي كمال الصايغ</t>
        </is>
      </c>
      <c r="C588" s="1" t="n">
        <v>657.5</v>
      </c>
      <c r="D588" s="1" t="n">
        <v>25</v>
      </c>
      <c r="E588" s="1" t="n">
        <v>24</v>
      </c>
      <c r="F588" s="1" t="n">
        <v>24</v>
      </c>
      <c r="G588" s="1">
        <f>C588+D588+E588+F588</f>
        <v/>
      </c>
      <c r="H588" s="1">
        <f>IF(ISNUMBER(G588),G588,"")</f>
        <v/>
      </c>
      <c r="I588" s="1">
        <f>_xlfn.RANK.EQ(H588,$H$2:$H$1031)</f>
        <v/>
      </c>
      <c r="J588" s="5" t="n">
        <v>639.5</v>
      </c>
      <c r="K588" s="5" t="n">
        <v>49</v>
      </c>
      <c r="L588" s="5" t="n">
        <v>24</v>
      </c>
      <c r="M588" s="5" t="n">
        <v>25</v>
      </c>
      <c r="N588" s="5">
        <f>J588+K588+L588+M588</f>
        <v/>
      </c>
      <c r="O588" s="5">
        <f>IF(ISNUMBER(N588),N588,"")</f>
        <v/>
      </c>
      <c r="P588" s="5">
        <f>_xlfn.RANK.EQ(O588,$O$2:$O$1031)</f>
        <v/>
      </c>
      <c r="Q588" s="9" t="n">
        <v>295</v>
      </c>
      <c r="R588" s="9" t="n">
        <v>49.5</v>
      </c>
      <c r="S588" s="9" t="n">
        <v>25</v>
      </c>
      <c r="T588" s="9" t="n">
        <v>24</v>
      </c>
      <c r="U588" s="9">
        <f>Q588+R588+S588+T588</f>
        <v/>
      </c>
      <c r="V588" s="9">
        <f>IF(ISNUMBER(U588),U588,"")</f>
        <v/>
      </c>
      <c r="W588" s="9">
        <f>_xlfn.RANK.EQ(V588,$V$2:$V$1031)</f>
        <v/>
      </c>
      <c r="X588" s="13" t="n">
        <v>1595.1041666667</v>
      </c>
      <c r="Y588" s="13" t="n">
        <v>25</v>
      </c>
      <c r="Z588" s="13" t="n">
        <v>24</v>
      </c>
      <c r="AA588" s="13" t="n">
        <v>25</v>
      </c>
      <c r="AB588" s="13">
        <f>IF(ISNUMBER(X588),X588+N(Y588)+N(Z588)+N(AA588),X588)</f>
        <v/>
      </c>
      <c r="AC588" s="13">
        <f>IF(ISNUMBER(AB588),AB588,"")</f>
        <v/>
      </c>
      <c r="AD588" s="13">
        <f>IF(ISNUMBER(AC588),_xlfn.RANK.EQ(AC588,$AC$2:$AC$1031),"")</f>
        <v/>
      </c>
      <c r="AE588" s="15">
        <f>IF(ISNUMBER(AF588),AF588/3630,"")</f>
        <v/>
      </c>
      <c r="AF588" s="14">
        <f>IFERROR(C588+D588+E588+F588+J588+K588+L588+M588+Q588+R588+S588+T588+IF(ISNUMBER(X588),X588,0)+N(Y588)+N(Z588)+N(AA588),"")</f>
        <v/>
      </c>
      <c r="AG588" s="14">
        <f>IF(ISNUMBER(AF588),AF588,"")</f>
        <v/>
      </c>
      <c r="AH588" s="14">
        <f>IF(ISNUMBER(AG588),_xlfn.RANK.EQ(AG588,$AG$2:$AG$1031),"")</f>
        <v/>
      </c>
    </row>
    <row r="589">
      <c r="A589" s="18" t="n">
        <v>1426</v>
      </c>
      <c r="B589" s="18" t="inlineStr">
        <is>
          <t>فادي محمد محمد حسونه</t>
        </is>
      </c>
      <c r="C589" s="1" t="n">
        <v>575.9</v>
      </c>
      <c r="D589" s="1" t="n">
        <v>24</v>
      </c>
      <c r="E589" s="1" t="n">
        <v>24</v>
      </c>
      <c r="F589" s="1" t="n">
        <v>22</v>
      </c>
      <c r="G589" s="1">
        <f>C589+D589+E589+F589</f>
        <v/>
      </c>
      <c r="H589" s="1">
        <f>IF(ISNUMBER(G589),G589,"")</f>
        <v/>
      </c>
      <c r="I589" s="1">
        <f>_xlfn.RANK.EQ(H589,$H$2:$H$1031)</f>
        <v/>
      </c>
      <c r="J589" s="5" t="n">
        <v>601</v>
      </c>
      <c r="K589" s="5" t="n">
        <v>49</v>
      </c>
      <c r="L589" s="5" t="n">
        <v>22</v>
      </c>
      <c r="M589" s="5" t="n">
        <v>23</v>
      </c>
      <c r="N589" s="5">
        <f>J589+K589+L589+M589</f>
        <v/>
      </c>
      <c r="O589" s="5">
        <f>IF(ISNUMBER(N589),N589,"")</f>
        <v/>
      </c>
      <c r="P589" s="5">
        <f>_xlfn.RANK.EQ(O589,$O$2:$O$1031)</f>
        <v/>
      </c>
      <c r="Q589" s="9" t="n">
        <v>233.5</v>
      </c>
      <c r="R589" s="9" t="n">
        <v>46</v>
      </c>
      <c r="S589" s="9" t="n">
        <v>23</v>
      </c>
      <c r="T589" s="9" t="n">
        <v>24</v>
      </c>
      <c r="U589" s="9">
        <f>Q589+R589+S589+T589</f>
        <v/>
      </c>
      <c r="V589" s="9">
        <f>IF(ISNUMBER(U589),U589,"")</f>
        <v/>
      </c>
      <c r="W589" s="9">
        <f>_xlfn.RANK.EQ(V589,$V$2:$V$1031)</f>
        <v/>
      </c>
      <c r="X589" s="13" t="n">
        <v>1401.4041666667</v>
      </c>
      <c r="Y589" s="13" t="n">
        <v>25</v>
      </c>
      <c r="Z589" s="13" t="n">
        <v>24</v>
      </c>
      <c r="AA589" s="13" t="n">
        <v>25</v>
      </c>
      <c r="AB589" s="13">
        <f>IF(ISNUMBER(X589),X589+N(Y589)+N(Z589)+N(AA589),X589)</f>
        <v/>
      </c>
      <c r="AC589" s="13">
        <f>IF(ISNUMBER(AB589),AB589,"")</f>
        <v/>
      </c>
      <c r="AD589" s="13">
        <f>IF(ISNUMBER(AC589),_xlfn.RANK.EQ(AC589,$AC$2:$AC$1031),"")</f>
        <v/>
      </c>
      <c r="AE589" s="15">
        <f>IF(ISNUMBER(AF589),AF589/3630,"")</f>
        <v/>
      </c>
      <c r="AF589" s="14">
        <f>IFERROR(C589+D589+E589+F589+J589+K589+L589+M589+Q589+R589+S589+T589+IF(ISNUMBER(X589),X589,0)+N(Y589)+N(Z589)+N(AA589),"")</f>
        <v/>
      </c>
      <c r="AG589" s="14">
        <f>IF(ISNUMBER(AF589),AF589,"")</f>
        <v/>
      </c>
      <c r="AH589" s="14">
        <f>IF(ISNUMBER(AG589),_xlfn.RANK.EQ(AG589,$AG$2:$AG$1031),"")</f>
        <v/>
      </c>
    </row>
    <row r="590">
      <c r="A590" s="18" t="n">
        <v>1427</v>
      </c>
      <c r="B590" s="18" t="inlineStr">
        <is>
          <t>فارس ادهم  منصور الباز محمد التابعي</t>
        </is>
      </c>
      <c r="C590" s="1" t="n">
        <v>430.25</v>
      </c>
      <c r="D590" s="1" t="n">
        <v>18</v>
      </c>
      <c r="E590" s="1" t="n">
        <v>22</v>
      </c>
      <c r="F590" s="1" t="n">
        <v>19</v>
      </c>
      <c r="G590" s="1">
        <f>C590+D590+E590+F590</f>
        <v/>
      </c>
      <c r="H590" s="1">
        <f>IF(ISNUMBER(G590),G590,"")</f>
        <v/>
      </c>
      <c r="I590" s="1">
        <f>_xlfn.RANK.EQ(H590,$H$2:$H$1031)</f>
        <v/>
      </c>
      <c r="J590" s="5" t="n">
        <v>471.85</v>
      </c>
      <c r="K590" s="5" t="n">
        <v>40</v>
      </c>
      <c r="L590" s="5" t="n">
        <v>25</v>
      </c>
      <c r="M590" s="5" t="n">
        <v>25</v>
      </c>
      <c r="N590" s="5">
        <f>J590+K590+L590+M590</f>
        <v/>
      </c>
      <c r="O590" s="5">
        <f>IF(ISNUMBER(N590),N590,"")</f>
        <v/>
      </c>
      <c r="P590" s="5">
        <f>_xlfn.RANK.EQ(O590,$O$2:$O$1031)</f>
        <v/>
      </c>
      <c r="Q590" s="9" t="n">
        <v>211</v>
      </c>
      <c r="R590" s="9" t="n">
        <v>45</v>
      </c>
      <c r="S590" s="9" t="n">
        <v>20</v>
      </c>
      <c r="T590" s="9" t="n">
        <v>21</v>
      </c>
      <c r="U590" s="9">
        <f>Q590+R590+S590+T590</f>
        <v/>
      </c>
      <c r="V590" s="9">
        <f>IF(ISNUMBER(U590),U590,"")</f>
        <v/>
      </c>
      <c r="W590" s="9">
        <f>_xlfn.RANK.EQ(V590,$V$2:$V$1031)</f>
        <v/>
      </c>
      <c r="X590" s="13" t="n">
        <v>1237.8166666667</v>
      </c>
      <c r="Y590" s="13" t="n">
        <v>25</v>
      </c>
      <c r="Z590" s="13" t="n">
        <v>25</v>
      </c>
      <c r="AA590" s="13" t="n">
        <v>21</v>
      </c>
      <c r="AB590" s="13">
        <f>IF(ISNUMBER(X590),X590+N(Y590)+N(Z590)+N(AA590),X590)</f>
        <v/>
      </c>
      <c r="AC590" s="13">
        <f>IF(ISNUMBER(AB590),AB590,"")</f>
        <v/>
      </c>
      <c r="AD590" s="13">
        <f>IF(ISNUMBER(AC590),_xlfn.RANK.EQ(AC590,$AC$2:$AC$1031),"")</f>
        <v/>
      </c>
      <c r="AE590" s="15">
        <f>IF(ISNUMBER(AF590),AF590/3630,"")</f>
        <v/>
      </c>
      <c r="AF590" s="14">
        <f>IFERROR(C590+D590+E590+F590+J590+K590+L590+M590+Q590+R590+S590+T590+IF(ISNUMBER(X590),X590,0)+N(Y590)+N(Z590)+N(AA590),"")</f>
        <v/>
      </c>
      <c r="AG590" s="14">
        <f>IF(ISNUMBER(AF590),AF590,"")</f>
        <v/>
      </c>
      <c r="AH590" s="14">
        <f>IF(ISNUMBER(AG590),_xlfn.RANK.EQ(AG590,$AG$2:$AG$1031),"")</f>
        <v/>
      </c>
    </row>
    <row r="591">
      <c r="A591" s="18" t="n">
        <v>1429</v>
      </c>
      <c r="B591" s="18" t="inlineStr">
        <is>
          <t>فارس محمد عماد الدين عبدالعزيز ساروخ</t>
        </is>
      </c>
      <c r="C591" s="1" t="n">
        <v>630.8</v>
      </c>
      <c r="D591" s="1" t="n">
        <v>23</v>
      </c>
      <c r="E591" s="1" t="n">
        <v>23</v>
      </c>
      <c r="F591" s="1" t="n">
        <v>22</v>
      </c>
      <c r="G591" s="1">
        <f>C591+D591+E591+F591</f>
        <v/>
      </c>
      <c r="H591" s="1">
        <f>IF(ISNUMBER(G591),G591,"")</f>
        <v/>
      </c>
      <c r="I591" s="1">
        <f>_xlfn.RANK.EQ(H591,$H$2:$H$1031)</f>
        <v/>
      </c>
      <c r="J591" s="5" t="n">
        <v>627</v>
      </c>
      <c r="K591" s="5" t="n">
        <v>49</v>
      </c>
      <c r="L591" s="5" t="n">
        <v>23</v>
      </c>
      <c r="M591" s="5" t="n">
        <v>22</v>
      </c>
      <c r="N591" s="5">
        <f>J591+K591+L591+M591</f>
        <v/>
      </c>
      <c r="O591" s="5">
        <f>IF(ISNUMBER(N591),N591,"")</f>
        <v/>
      </c>
      <c r="P591" s="5">
        <f>_xlfn.RANK.EQ(O591,$O$2:$O$1031)</f>
        <v/>
      </c>
      <c r="Q591" s="9" t="n">
        <v>266</v>
      </c>
      <c r="R591" s="9" t="n">
        <v>47</v>
      </c>
      <c r="S591" s="9" t="n">
        <v>24</v>
      </c>
      <c r="T591" s="9" t="n">
        <v>23.5</v>
      </c>
      <c r="U591" s="9">
        <f>Q591+R591+S591+T591</f>
        <v/>
      </c>
      <c r="V591" s="9">
        <f>IF(ISNUMBER(U591),U591,"")</f>
        <v/>
      </c>
      <c r="W591" s="9">
        <f>_xlfn.RANK.EQ(V591,$V$2:$V$1031)</f>
        <v/>
      </c>
      <c r="X591" s="13" t="n">
        <v>1469.2958333333</v>
      </c>
      <c r="Y591" s="13" t="n">
        <v>25</v>
      </c>
      <c r="Z591" s="13" t="n">
        <v>24</v>
      </c>
      <c r="AA591" s="13" t="n">
        <v>22</v>
      </c>
      <c r="AB591" s="13">
        <f>IF(ISNUMBER(X591),X591+N(Y591)+N(Z591)+N(AA591),X591)</f>
        <v/>
      </c>
      <c r="AC591" s="13">
        <f>IF(ISNUMBER(AB591),AB591,"")</f>
        <v/>
      </c>
      <c r="AD591" s="13">
        <f>IF(ISNUMBER(AC591),_xlfn.RANK.EQ(AC591,$AC$2:$AC$1031),"")</f>
        <v/>
      </c>
      <c r="AE591" s="15">
        <f>IF(ISNUMBER(AF591),AF591/3630,"")</f>
        <v/>
      </c>
      <c r="AF591" s="14">
        <f>IFERROR(C591+D591+E591+F591+J591+K591+L591+M591+Q591+R591+S591+T591+IF(ISNUMBER(X591),X591,0)+N(Y591)+N(Z591)+N(AA591),"")</f>
        <v/>
      </c>
      <c r="AG591" s="14">
        <f>IF(ISNUMBER(AF591),AF591,"")</f>
        <v/>
      </c>
      <c r="AH591" s="14">
        <f>IF(ISNUMBER(AG591),_xlfn.RANK.EQ(AG591,$AG$2:$AG$1031),"")</f>
        <v/>
      </c>
    </row>
    <row r="592">
      <c r="A592" s="18" t="n">
        <v>1430</v>
      </c>
      <c r="B592" s="18" t="inlineStr">
        <is>
          <t>فارس محمد كمال محمد</t>
        </is>
      </c>
      <c r="C592" s="1" t="n">
        <v>458.3</v>
      </c>
      <c r="D592" s="1" t="n">
        <v>23</v>
      </c>
      <c r="E592" s="1" t="n">
        <v>19</v>
      </c>
      <c r="F592" s="1" t="n">
        <v>19</v>
      </c>
      <c r="G592" s="1">
        <f>C592+D592+E592+F592</f>
        <v/>
      </c>
      <c r="H592" s="1">
        <f>IF(ISNUMBER(G592),G592,"")</f>
        <v/>
      </c>
      <c r="I592" s="1">
        <f>_xlfn.RANK.EQ(H592,$H$2:$H$1031)</f>
        <v/>
      </c>
      <c r="J592" s="5" t="n">
        <v>454.5</v>
      </c>
      <c r="K592" s="5" t="n">
        <v>45</v>
      </c>
      <c r="L592" s="5" t="n">
        <v>22</v>
      </c>
      <c r="M592" s="5" t="n">
        <v>21</v>
      </c>
      <c r="N592" s="5">
        <f>J592+K592+L592+M592</f>
        <v/>
      </c>
      <c r="O592" s="5">
        <f>IF(ISNUMBER(N592),N592,"")</f>
        <v/>
      </c>
      <c r="P592" s="5">
        <f>_xlfn.RANK.EQ(O592,$O$2:$O$1031)</f>
        <v/>
      </c>
      <c r="Q592" s="9" t="n">
        <v>201.75</v>
      </c>
      <c r="R592" s="9" t="n">
        <v>44.5</v>
      </c>
      <c r="S592" s="9" t="n">
        <v>25</v>
      </c>
      <c r="T592" s="9" t="n">
        <v>24</v>
      </c>
      <c r="U592" s="9">
        <f>Q592+R592+S592+T592</f>
        <v/>
      </c>
      <c r="V592" s="9">
        <f>IF(ISNUMBER(U592),U592,"")</f>
        <v/>
      </c>
      <c r="W592" s="9">
        <f>_xlfn.RANK.EQ(V592,$V$2:$V$1031)</f>
        <v/>
      </c>
      <c r="X592" s="13" t="n">
        <v>1396.5</v>
      </c>
      <c r="Y592" s="13" t="n">
        <v>25</v>
      </c>
      <c r="Z592" s="13" t="n">
        <v>22</v>
      </c>
      <c r="AA592" s="13" t="n">
        <v>23</v>
      </c>
      <c r="AB592" s="13">
        <f>IF(ISNUMBER(X592),X592+N(Y592)+N(Z592)+N(AA592),X592)</f>
        <v/>
      </c>
      <c r="AC592" s="13">
        <f>IF(ISNUMBER(AB592),AB592,"")</f>
        <v/>
      </c>
      <c r="AD592" s="13">
        <f>IF(ISNUMBER(AC592),_xlfn.RANK.EQ(AC592,$AC$2:$AC$1031),"")</f>
        <v/>
      </c>
      <c r="AE592" s="15">
        <f>IF(ISNUMBER(AF592),AF592/3630,"")</f>
        <v/>
      </c>
      <c r="AF592" s="14">
        <f>IFERROR(C592+D592+E592+F592+J592+K592+L592+M592+Q592+R592+S592+T592+IF(ISNUMBER(X592),X592,0)+N(Y592)+N(Z592)+N(AA592),"")</f>
        <v/>
      </c>
      <c r="AG592" s="14">
        <f>IF(ISNUMBER(AF592),AF592,"")</f>
        <v/>
      </c>
      <c r="AH592" s="14">
        <f>IF(ISNUMBER(AG592),_xlfn.RANK.EQ(AG592,$AG$2:$AG$1031),"")</f>
        <v/>
      </c>
    </row>
    <row r="593">
      <c r="A593" s="18" t="n">
        <v>1431</v>
      </c>
      <c r="B593" s="18" t="inlineStr">
        <is>
          <t>فاروق شريف فاروق الزواوي</t>
        </is>
      </c>
      <c r="C593" s="1" t="n">
        <v>639.2</v>
      </c>
      <c r="D593" s="1" t="n">
        <v>25</v>
      </c>
      <c r="E593" s="1" t="n">
        <v>24</v>
      </c>
      <c r="F593" s="1" t="n">
        <v>24</v>
      </c>
      <c r="G593" s="1">
        <f>C593+D593+E593+F593</f>
        <v/>
      </c>
      <c r="H593" s="1">
        <f>IF(ISNUMBER(G593),G593,"")</f>
        <v/>
      </c>
      <c r="I593" s="1">
        <f>_xlfn.RANK.EQ(H593,$H$2:$H$1031)</f>
        <v/>
      </c>
      <c r="J593" s="5" t="n">
        <v>611.5</v>
      </c>
      <c r="K593" s="5" t="n">
        <v>49</v>
      </c>
      <c r="L593" s="5" t="n">
        <v>22</v>
      </c>
      <c r="M593" s="5" t="n">
        <v>25</v>
      </c>
      <c r="N593" s="5">
        <f>J593+K593+L593+M593</f>
        <v/>
      </c>
      <c r="O593" s="5">
        <f>IF(ISNUMBER(N593),N593,"")</f>
        <v/>
      </c>
      <c r="P593" s="5">
        <f>_xlfn.RANK.EQ(O593,$O$2:$O$1031)</f>
        <v/>
      </c>
      <c r="Q593" s="9" t="n">
        <v>271</v>
      </c>
      <c r="R593" s="9" t="n">
        <v>48.5</v>
      </c>
      <c r="S593" s="9" t="n">
        <v>25</v>
      </c>
      <c r="T593" s="9" t="n">
        <v>24</v>
      </c>
      <c r="U593" s="9">
        <f>Q593+R593+S593+T593</f>
        <v/>
      </c>
      <c r="V593" s="9">
        <f>IF(ISNUMBER(U593),U593,"")</f>
        <v/>
      </c>
      <c r="W593" s="9">
        <f>_xlfn.RANK.EQ(V593,$V$2:$V$1031)</f>
        <v/>
      </c>
      <c r="X593" s="13" t="n">
        <v>1505.3833333333</v>
      </c>
      <c r="Y593" s="13" t="n">
        <v>25</v>
      </c>
      <c r="Z593" s="13" t="n">
        <v>24</v>
      </c>
      <c r="AA593" s="13" t="n">
        <v>25</v>
      </c>
      <c r="AB593" s="13">
        <f>IF(ISNUMBER(X593),X593+N(Y593)+N(Z593)+N(AA593),X593)</f>
        <v/>
      </c>
      <c r="AC593" s="13">
        <f>IF(ISNUMBER(AB593),AB593,"")</f>
        <v/>
      </c>
      <c r="AD593" s="13">
        <f>IF(ISNUMBER(AC593),_xlfn.RANK.EQ(AC593,$AC$2:$AC$1031),"")</f>
        <v/>
      </c>
      <c r="AE593" s="15">
        <f>IF(ISNUMBER(AF593),AF593/3630,"")</f>
        <v/>
      </c>
      <c r="AF593" s="14">
        <f>IFERROR(C593+D593+E593+F593+J593+K593+L593+M593+Q593+R593+S593+T593+IF(ISNUMBER(X593),X593,0)+N(Y593)+N(Z593)+N(AA593),"")</f>
        <v/>
      </c>
      <c r="AG593" s="14">
        <f>IF(ISNUMBER(AF593),AF593,"")</f>
        <v/>
      </c>
      <c r="AH593" s="14">
        <f>IF(ISNUMBER(AG593),_xlfn.RANK.EQ(AG593,$AG$2:$AG$1031),"")</f>
        <v/>
      </c>
    </row>
    <row r="594">
      <c r="A594" s="18" t="n">
        <v>1433</v>
      </c>
      <c r="B594" s="18" t="inlineStr">
        <is>
          <t>فاطمه احمد عبدالحليم عبدالحليم فايد</t>
        </is>
      </c>
      <c r="C594" s="1" t="n">
        <v>615.6</v>
      </c>
      <c r="D594" s="1" t="n">
        <v>25</v>
      </c>
      <c r="E594" s="1" t="n">
        <v>23</v>
      </c>
      <c r="F594" s="1" t="n">
        <v>21</v>
      </c>
      <c r="G594" s="1">
        <f>C594+D594+E594+F594</f>
        <v/>
      </c>
      <c r="H594" s="1">
        <f>IF(ISNUMBER(G594),G594,"")</f>
        <v/>
      </c>
      <c r="I594" s="1">
        <f>_xlfn.RANK.EQ(H594,$H$2:$H$1031)</f>
        <v/>
      </c>
      <c r="J594" s="5" t="n">
        <v>585</v>
      </c>
      <c r="K594" s="5" t="n">
        <v>42</v>
      </c>
      <c r="L594" s="5" t="n">
        <v>20</v>
      </c>
      <c r="M594" s="5" t="n">
        <v>18</v>
      </c>
      <c r="N594" s="5">
        <f>J594+K594+L594+M594</f>
        <v/>
      </c>
      <c r="O594" s="5">
        <f>IF(ISNUMBER(N594),N594,"")</f>
        <v/>
      </c>
      <c r="P594" s="5">
        <f>_xlfn.RANK.EQ(O594,$O$2:$O$1031)</f>
        <v/>
      </c>
      <c r="Q594" s="9" t="n">
        <v>242.75</v>
      </c>
      <c r="R594" s="9" t="n">
        <v>48</v>
      </c>
      <c r="S594" s="9" t="n">
        <v>19</v>
      </c>
      <c r="T594" s="9" t="n">
        <v>25</v>
      </c>
      <c r="U594" s="9">
        <f>Q594+R594+S594+T594</f>
        <v/>
      </c>
      <c r="V594" s="9">
        <f>IF(ISNUMBER(U594),U594,"")</f>
        <v/>
      </c>
      <c r="W594" s="9">
        <f>_xlfn.RANK.EQ(V594,$V$2:$V$1031)</f>
        <v/>
      </c>
      <c r="X594" s="13" t="n">
        <v>1367.2791666667</v>
      </c>
      <c r="Y594" s="13" t="n">
        <v>24</v>
      </c>
      <c r="Z594" s="13" t="n">
        <v>23</v>
      </c>
      <c r="AA594" s="13" t="n">
        <v>23</v>
      </c>
      <c r="AB594" s="13">
        <f>IF(ISNUMBER(X594),X594+N(Y594)+N(Z594)+N(AA594),X594)</f>
        <v/>
      </c>
      <c r="AC594" s="13">
        <f>IF(ISNUMBER(AB594),AB594,"")</f>
        <v/>
      </c>
      <c r="AD594" s="13">
        <f>IF(ISNUMBER(AC594),_xlfn.RANK.EQ(AC594,$AC$2:$AC$1031),"")</f>
        <v/>
      </c>
      <c r="AE594" s="15">
        <f>IF(ISNUMBER(AF594),AF594/3630,"")</f>
        <v/>
      </c>
      <c r="AF594" s="14">
        <f>IFERROR(C594+D594+E594+F594+J594+K594+L594+M594+Q594+R594+S594+T594+IF(ISNUMBER(X594),X594,0)+N(Y594)+N(Z594)+N(AA594),"")</f>
        <v/>
      </c>
      <c r="AG594" s="14">
        <f>IF(ISNUMBER(AF594),AF594,"")</f>
        <v/>
      </c>
      <c r="AH594" s="14">
        <f>IF(ISNUMBER(AG594),_xlfn.RANK.EQ(AG594,$AG$2:$AG$1031),"")</f>
        <v/>
      </c>
    </row>
    <row r="595">
      <c r="A595" s="18" t="n">
        <v>1434</v>
      </c>
      <c r="B595" s="18" t="inlineStr">
        <is>
          <t>فاطمه الزهراء محمد حسين عبد الحميد يوسف</t>
        </is>
      </c>
      <c r="C595" s="1" t="n">
        <v>504.4</v>
      </c>
      <c r="D595" s="1" t="n">
        <v>24</v>
      </c>
      <c r="E595" s="1" t="n">
        <v>17</v>
      </c>
      <c r="F595" s="1" t="n">
        <v>18</v>
      </c>
      <c r="G595" s="1">
        <f>C595+D595+E595+F595</f>
        <v/>
      </c>
      <c r="H595" s="1">
        <f>IF(ISNUMBER(G595),G595,"")</f>
        <v/>
      </c>
      <c r="I595" s="1">
        <f>_xlfn.RANK.EQ(H595,$H$2:$H$1031)</f>
        <v/>
      </c>
      <c r="J595" s="5" t="n">
        <v>449.5</v>
      </c>
      <c r="K595" s="5" t="n">
        <v>41</v>
      </c>
      <c r="L595" s="5" t="n">
        <v>19</v>
      </c>
      <c r="M595" s="5" t="n">
        <v>16</v>
      </c>
      <c r="N595" s="5">
        <f>J595+K595+L595+M595</f>
        <v/>
      </c>
      <c r="O595" s="5">
        <f>IF(ISNUMBER(N595),N595,"")</f>
        <v/>
      </c>
      <c r="P595" s="5">
        <f>_xlfn.RANK.EQ(O595,$O$2:$O$1031)</f>
        <v/>
      </c>
      <c r="Q595" s="9" t="n">
        <v>169.75</v>
      </c>
      <c r="R595" s="9" t="n">
        <v>33.5</v>
      </c>
      <c r="S595" s="9" t="n">
        <v>24</v>
      </c>
      <c r="T595" s="9" t="n">
        <v>25</v>
      </c>
      <c r="U595" s="9">
        <f>Q595+R595+S595+T595</f>
        <v/>
      </c>
      <c r="V595" s="9">
        <f>IF(ISNUMBER(U595),U595,"")</f>
        <v/>
      </c>
      <c r="W595" s="9">
        <f>_xlfn.RANK.EQ(V595,$V$2:$V$1031)</f>
        <v/>
      </c>
      <c r="X595" s="13" t="inlineStr">
        <is>
          <t>راسب</t>
        </is>
      </c>
      <c r="Y595" s="13" t="n">
        <v>24</v>
      </c>
      <c r="Z595" s="13" t="n">
        <v>23</v>
      </c>
      <c r="AA595" s="13" t="n">
        <v>22</v>
      </c>
      <c r="AB595" s="13">
        <f>IF(ISNUMBER(X595),X595+N(Y595)+N(Z595)+N(AA595),X595)</f>
        <v/>
      </c>
      <c r="AC595" s="13">
        <f>IF(ISNUMBER(AB595),AB595,"")</f>
        <v/>
      </c>
      <c r="AD595" s="13">
        <f>IF(ISNUMBER(AC595),_xlfn.RANK.EQ(AC595,$AC$2:$AC$1031),"")</f>
        <v/>
      </c>
      <c r="AE595" s="15">
        <f>IF(ISNUMBER(AF595),AF595/3630,"")</f>
        <v/>
      </c>
      <c r="AF595" s="14">
        <f>IFERROR(C595+D595+E595+F595+J595+K595+L595+M595+Q595+R595+S595+T595+IF(ISNUMBER(X595),X595,0)+N(Y595)+N(Z595)+N(AA595),"")</f>
        <v/>
      </c>
      <c r="AG595" s="14">
        <f>IF(ISNUMBER(AF595),AF595,"")</f>
        <v/>
      </c>
      <c r="AH595" s="14">
        <f>IF(ISNUMBER(AG595),_xlfn.RANK.EQ(AG595,$AG$2:$AG$1031),"")</f>
        <v/>
      </c>
    </row>
    <row r="596">
      <c r="A596" s="18" t="n">
        <v>1435</v>
      </c>
      <c r="B596" s="18" t="inlineStr">
        <is>
          <t>فاطمه شريف سعيد رجب</t>
        </is>
      </c>
      <c r="C596" s="1" t="n">
        <v>472.9</v>
      </c>
      <c r="D596" s="1" t="n">
        <v>21</v>
      </c>
      <c r="E596" s="1" t="n">
        <v>15</v>
      </c>
      <c r="F596" s="1" t="n">
        <v>16</v>
      </c>
      <c r="G596" s="1">
        <f>C596+D596+E596+F596</f>
        <v/>
      </c>
      <c r="H596" s="1">
        <f>IF(ISNUMBER(G596),G596,"")</f>
        <v/>
      </c>
      <c r="I596" s="1">
        <f>_xlfn.RANK.EQ(H596,$H$2:$H$1031)</f>
        <v/>
      </c>
      <c r="J596" s="5" t="n">
        <v>587.7</v>
      </c>
      <c r="K596" s="5" t="n">
        <v>44</v>
      </c>
      <c r="L596" s="5" t="n">
        <v>18</v>
      </c>
      <c r="M596" s="5" t="n">
        <v>19</v>
      </c>
      <c r="N596" s="5">
        <f>J596+K596+L596+M596</f>
        <v/>
      </c>
      <c r="O596" s="5">
        <f>IF(ISNUMBER(N596),N596,"")</f>
        <v/>
      </c>
      <c r="P596" s="5">
        <f>_xlfn.RANK.EQ(O596,$O$2:$O$1031)</f>
        <v/>
      </c>
      <c r="Q596" s="9" t="n">
        <v>250.75</v>
      </c>
      <c r="R596" s="9" t="n">
        <v>41</v>
      </c>
      <c r="S596" s="9" t="n">
        <v>21</v>
      </c>
      <c r="T596" s="9" t="n">
        <v>25</v>
      </c>
      <c r="U596" s="9">
        <f>Q596+R596+S596+T596</f>
        <v/>
      </c>
      <c r="V596" s="9">
        <f>IF(ISNUMBER(U596),U596,"")</f>
        <v/>
      </c>
      <c r="W596" s="9">
        <f>_xlfn.RANK.EQ(V596,$V$2:$V$1031)</f>
        <v/>
      </c>
      <c r="X596" s="13" t="n">
        <v>1221.7291666667</v>
      </c>
      <c r="Y596" s="13" t="n">
        <v>25</v>
      </c>
      <c r="Z596" s="13" t="n">
        <v>22</v>
      </c>
      <c r="AA596" s="13" t="n">
        <v>20</v>
      </c>
      <c r="AB596" s="13">
        <f>IF(ISNUMBER(X596),X596+N(Y596)+N(Z596)+N(AA596),X596)</f>
        <v/>
      </c>
      <c r="AC596" s="13">
        <f>IF(ISNUMBER(AB596),AB596,"")</f>
        <v/>
      </c>
      <c r="AD596" s="13">
        <f>IF(ISNUMBER(AC596),_xlfn.RANK.EQ(AC596,$AC$2:$AC$1031),"")</f>
        <v/>
      </c>
      <c r="AE596" s="15">
        <f>IF(ISNUMBER(AF596),AF596/3630,"")</f>
        <v/>
      </c>
      <c r="AF596" s="14">
        <f>IFERROR(C596+D596+E596+F596+J596+K596+L596+M596+Q596+R596+S596+T596+IF(ISNUMBER(X596),X596,0)+N(Y596)+N(Z596)+N(AA596),"")</f>
        <v/>
      </c>
      <c r="AG596" s="14">
        <f>IF(ISNUMBER(AF596),AF596,"")</f>
        <v/>
      </c>
      <c r="AH596" s="14">
        <f>IF(ISNUMBER(AG596),_xlfn.RANK.EQ(AG596,$AG$2:$AG$1031),"")</f>
        <v/>
      </c>
    </row>
    <row r="597">
      <c r="A597" s="18" t="n">
        <v>1436</v>
      </c>
      <c r="B597" s="18" t="inlineStr">
        <is>
          <t>فاطمه طارق على عبد السلام اسماعيل</t>
        </is>
      </c>
      <c r="C597" s="1" t="n">
        <v>604.3</v>
      </c>
      <c r="D597" s="1" t="n">
        <v>21</v>
      </c>
      <c r="E597" s="1" t="n">
        <v>24</v>
      </c>
      <c r="F597" s="1" t="n">
        <v>22</v>
      </c>
      <c r="G597" s="1">
        <f>C597+D597+E597+F597</f>
        <v/>
      </c>
      <c r="H597" s="1">
        <f>IF(ISNUMBER(G597),G597,"")</f>
        <v/>
      </c>
      <c r="I597" s="1">
        <f>_xlfn.RANK.EQ(H597,$H$2:$H$1031)</f>
        <v/>
      </c>
      <c r="J597" s="5" t="n">
        <v>612.5</v>
      </c>
      <c r="K597" s="5" t="n">
        <v>46</v>
      </c>
      <c r="L597" s="5" t="n">
        <v>21</v>
      </c>
      <c r="M597" s="5" t="n">
        <v>21</v>
      </c>
      <c r="N597" s="5">
        <f>J597+K597+L597+M597</f>
        <v/>
      </c>
      <c r="O597" s="5">
        <f>IF(ISNUMBER(N597),N597,"")</f>
        <v/>
      </c>
      <c r="P597" s="5">
        <f>_xlfn.RANK.EQ(O597,$O$2:$O$1031)</f>
        <v/>
      </c>
      <c r="Q597" s="9" t="n">
        <v>256.75</v>
      </c>
      <c r="R597" s="9" t="n">
        <v>48</v>
      </c>
      <c r="S597" s="9" t="n">
        <v>22</v>
      </c>
      <c r="T597" s="9" t="n">
        <v>25</v>
      </c>
      <c r="U597" s="9">
        <f>Q597+R597+S597+T597</f>
        <v/>
      </c>
      <c r="V597" s="9">
        <f>IF(ISNUMBER(U597),U597,"")</f>
        <v/>
      </c>
      <c r="W597" s="9">
        <f>_xlfn.RANK.EQ(V597,$V$2:$V$1031)</f>
        <v/>
      </c>
      <c r="X597" s="13" t="n">
        <v>1504.1208333333</v>
      </c>
      <c r="Y597" s="13" t="n">
        <v>25</v>
      </c>
      <c r="Z597" s="13" t="n">
        <v>25</v>
      </c>
      <c r="AA597" s="13" t="n">
        <v>24</v>
      </c>
      <c r="AB597" s="13">
        <f>IF(ISNUMBER(X597),X597+N(Y597)+N(Z597)+N(AA597),X597)</f>
        <v/>
      </c>
      <c r="AC597" s="13">
        <f>IF(ISNUMBER(AB597),AB597,"")</f>
        <v/>
      </c>
      <c r="AD597" s="13">
        <f>IF(ISNUMBER(AC597),_xlfn.RANK.EQ(AC597,$AC$2:$AC$1031),"")</f>
        <v/>
      </c>
      <c r="AE597" s="15">
        <f>IF(ISNUMBER(AF597),AF597/3630,"")</f>
        <v/>
      </c>
      <c r="AF597" s="14">
        <f>IFERROR(C597+D597+E597+F597+J597+K597+L597+M597+Q597+R597+S597+T597+IF(ISNUMBER(X597),X597,0)+N(Y597)+N(Z597)+N(AA597),"")</f>
        <v/>
      </c>
      <c r="AG597" s="14">
        <f>IF(ISNUMBER(AF597),AF597,"")</f>
        <v/>
      </c>
      <c r="AH597" s="14">
        <f>IF(ISNUMBER(AG597),_xlfn.RANK.EQ(AG597,$AG$2:$AG$1031),"")</f>
        <v/>
      </c>
    </row>
    <row r="598">
      <c r="A598" s="18" t="n">
        <v>1439</v>
      </c>
      <c r="B598" s="18" t="inlineStr">
        <is>
          <t>فاطمه عبده احمد حسن على</t>
        </is>
      </c>
      <c r="C598" s="1" t="n">
        <v>581</v>
      </c>
      <c r="D598" s="1" t="n">
        <v>25</v>
      </c>
      <c r="E598" s="1" t="n">
        <v>24</v>
      </c>
      <c r="F598" s="1" t="n">
        <v>18</v>
      </c>
      <c r="G598" s="1">
        <f>C598+D598+E598+F598</f>
        <v/>
      </c>
      <c r="H598" s="1">
        <f>IF(ISNUMBER(G598),G598,"")</f>
        <v/>
      </c>
      <c r="I598" s="1">
        <f>_xlfn.RANK.EQ(H598,$H$2:$H$1031)</f>
        <v/>
      </c>
      <c r="J598" s="5" t="n">
        <v>595</v>
      </c>
      <c r="K598" s="5" t="n">
        <v>49</v>
      </c>
      <c r="L598" s="5" t="n">
        <v>25</v>
      </c>
      <c r="M598" s="5" t="n">
        <v>24</v>
      </c>
      <c r="N598" s="5">
        <f>J598+K598+L598+M598</f>
        <v/>
      </c>
      <c r="O598" s="5">
        <f>IF(ISNUMBER(N598),N598,"")</f>
        <v/>
      </c>
      <c r="P598" s="5">
        <f>_xlfn.RANK.EQ(O598,$O$2:$O$1031)</f>
        <v/>
      </c>
      <c r="Q598" s="9" t="n">
        <v>244</v>
      </c>
      <c r="R598" s="9" t="n">
        <v>47.5</v>
      </c>
      <c r="S598" s="9" t="n">
        <v>24</v>
      </c>
      <c r="T598" s="9" t="n">
        <v>22</v>
      </c>
      <c r="U598" s="9">
        <f>Q598+R598+S598+T598</f>
        <v/>
      </c>
      <c r="V598" s="9">
        <f>IF(ISNUMBER(U598),U598,"")</f>
        <v/>
      </c>
      <c r="W598" s="9">
        <f>_xlfn.RANK.EQ(V598,$V$2:$V$1031)</f>
        <v/>
      </c>
      <c r="X598" s="13" t="n">
        <v>1169.9708333333</v>
      </c>
      <c r="Y598" s="13" t="n">
        <v>24</v>
      </c>
      <c r="Z598" s="13" t="n">
        <v>25</v>
      </c>
      <c r="AA598" s="13" t="n">
        <v>22</v>
      </c>
      <c r="AB598" s="13">
        <f>IF(ISNUMBER(X598),X598+N(Y598)+N(Z598)+N(AA598),X598)</f>
        <v/>
      </c>
      <c r="AC598" s="13">
        <f>IF(ISNUMBER(AB598),AB598,"")</f>
        <v/>
      </c>
      <c r="AD598" s="13">
        <f>IF(ISNUMBER(AC598),_xlfn.RANK.EQ(AC598,$AC$2:$AC$1031),"")</f>
        <v/>
      </c>
      <c r="AE598" s="15">
        <f>IF(ISNUMBER(AF598),AF598/3630,"")</f>
        <v/>
      </c>
      <c r="AF598" s="14">
        <f>IFERROR(C598+D598+E598+F598+J598+K598+L598+M598+Q598+R598+S598+T598+IF(ISNUMBER(X598),X598,0)+N(Y598)+N(Z598)+N(AA598),"")</f>
        <v/>
      </c>
      <c r="AG598" s="14">
        <f>IF(ISNUMBER(AF598),AF598,"")</f>
        <v/>
      </c>
      <c r="AH598" s="14">
        <f>IF(ISNUMBER(AG598),_xlfn.RANK.EQ(AG598,$AG$2:$AG$1031),"")</f>
        <v/>
      </c>
    </row>
    <row r="599">
      <c r="A599" s="18" t="n">
        <v>1442</v>
      </c>
      <c r="B599" s="18" t="inlineStr">
        <is>
          <t>فاطمه محمد احمد احمد نوح</t>
        </is>
      </c>
      <c r="C599" s="1" t="n">
        <v>520.3</v>
      </c>
      <c r="D599" s="1" t="n">
        <v>25</v>
      </c>
      <c r="E599" s="1" t="n">
        <v>25</v>
      </c>
      <c r="F599" s="1" t="n">
        <v>22</v>
      </c>
      <c r="G599" s="1">
        <f>C599+D599+E599+F599</f>
        <v/>
      </c>
      <c r="H599" s="1">
        <f>IF(ISNUMBER(G599),G599,"")</f>
        <v/>
      </c>
      <c r="I599" s="1">
        <f>_xlfn.RANK.EQ(H599,$H$2:$H$1031)</f>
        <v/>
      </c>
      <c r="J599" s="5" t="n">
        <v>580</v>
      </c>
      <c r="K599" s="5" t="n">
        <v>46</v>
      </c>
      <c r="L599" s="5" t="n">
        <v>21</v>
      </c>
      <c r="M599" s="5" t="n">
        <v>24</v>
      </c>
      <c r="N599" s="5">
        <f>J599+K599+L599+M599</f>
        <v/>
      </c>
      <c r="O599" s="5">
        <f>IF(ISNUMBER(N599),N599,"")</f>
        <v/>
      </c>
      <c r="P599" s="5">
        <f>_xlfn.RANK.EQ(O599,$O$2:$O$1031)</f>
        <v/>
      </c>
      <c r="Q599" s="9" t="n">
        <v>245.75</v>
      </c>
      <c r="R599" s="9" t="n">
        <v>47</v>
      </c>
      <c r="S599" s="9" t="n">
        <v>24</v>
      </c>
      <c r="T599" s="9" t="n">
        <v>25</v>
      </c>
      <c r="U599" s="9">
        <f>Q599+R599+S599+T599</f>
        <v/>
      </c>
      <c r="V599" s="9">
        <f>IF(ISNUMBER(U599),U599,"")</f>
        <v/>
      </c>
      <c r="W599" s="9">
        <f>_xlfn.RANK.EQ(V599,$V$2:$V$1031)</f>
        <v/>
      </c>
      <c r="X599" s="13" t="n">
        <v>1362.0125</v>
      </c>
      <c r="Y599" s="13" t="n">
        <v>25</v>
      </c>
      <c r="Z599" s="13" t="n">
        <v>25</v>
      </c>
      <c r="AA599" s="13" t="n">
        <v>23</v>
      </c>
      <c r="AB599" s="13">
        <f>IF(ISNUMBER(X599),X599+N(Y599)+N(Z599)+N(AA599),X599)</f>
        <v/>
      </c>
      <c r="AC599" s="13">
        <f>IF(ISNUMBER(AB599),AB599,"")</f>
        <v/>
      </c>
      <c r="AD599" s="13">
        <f>IF(ISNUMBER(AC599),_xlfn.RANK.EQ(AC599,$AC$2:$AC$1031),"")</f>
        <v/>
      </c>
      <c r="AE599" s="15">
        <f>IF(ISNUMBER(AF599),AF599/3630,"")</f>
        <v/>
      </c>
      <c r="AF599" s="14">
        <f>IFERROR(C599+D599+E599+F599+J599+K599+L599+M599+Q599+R599+S599+T599+IF(ISNUMBER(X599),X599,0)+N(Y599)+N(Z599)+N(AA599),"")</f>
        <v/>
      </c>
      <c r="AG599" s="14">
        <f>IF(ISNUMBER(AF599),AF599,"")</f>
        <v/>
      </c>
      <c r="AH599" s="14">
        <f>IF(ISNUMBER(AG599),_xlfn.RANK.EQ(AG599,$AG$2:$AG$1031),"")</f>
        <v/>
      </c>
    </row>
    <row r="600">
      <c r="A600" s="18" t="n">
        <v>1443</v>
      </c>
      <c r="B600" s="18" t="inlineStr">
        <is>
          <t>فاطمه محمد الحسيني ابو المجد</t>
        </is>
      </c>
      <c r="C600" s="1" t="n">
        <v>621.1</v>
      </c>
      <c r="D600" s="1" t="n"/>
      <c r="E600" s="1" t="n">
        <v>24</v>
      </c>
      <c r="F600" s="1" t="n">
        <v>23</v>
      </c>
      <c r="G600" s="1">
        <f>C600+D600+E600+F600</f>
        <v/>
      </c>
      <c r="H600" s="1">
        <f>IF(ISNUMBER(G600),G600,"")</f>
        <v/>
      </c>
      <c r="I600" s="1">
        <f>_xlfn.RANK.EQ(H600,$H$2:$H$1031)</f>
        <v/>
      </c>
      <c r="J600" s="5" t="n">
        <v>575.25</v>
      </c>
      <c r="K600" s="5" t="n">
        <v>46</v>
      </c>
      <c r="L600" s="5" t="n">
        <v>23</v>
      </c>
      <c r="M600" s="5" t="n">
        <v>21</v>
      </c>
      <c r="N600" s="5">
        <f>J600+K600+L600+M600</f>
        <v/>
      </c>
      <c r="O600" s="5">
        <f>IF(ISNUMBER(N600),N600,"")</f>
        <v/>
      </c>
      <c r="P600" s="5">
        <f>_xlfn.RANK.EQ(O600,$O$2:$O$1031)</f>
        <v/>
      </c>
      <c r="Q600" s="9" t="n">
        <v>218</v>
      </c>
      <c r="R600" s="9" t="n">
        <v>43</v>
      </c>
      <c r="S600" s="9" t="n">
        <v>24</v>
      </c>
      <c r="T600" s="9" t="n">
        <v>24</v>
      </c>
      <c r="U600" s="9">
        <f>Q600+R600+S600+T600</f>
        <v/>
      </c>
      <c r="V600" s="9">
        <f>IF(ISNUMBER(U600),U600,"")</f>
        <v/>
      </c>
      <c r="W600" s="9">
        <f>_xlfn.RANK.EQ(V600,$V$2:$V$1031)</f>
        <v/>
      </c>
      <c r="X600" s="13" t="n">
        <v>1255.35</v>
      </c>
      <c r="Y600" s="13" t="n">
        <v>25</v>
      </c>
      <c r="Z600" s="13" t="n">
        <v>23</v>
      </c>
      <c r="AA600" s="13" t="n">
        <v>21</v>
      </c>
      <c r="AB600" s="13">
        <f>IF(ISNUMBER(X600),X600+N(Y600)+N(Z600)+N(AA600),X600)</f>
        <v/>
      </c>
      <c r="AC600" s="13">
        <f>IF(ISNUMBER(AB600),AB600,"")</f>
        <v/>
      </c>
      <c r="AD600" s="13">
        <f>IF(ISNUMBER(AC600),_xlfn.RANK.EQ(AC600,$AC$2:$AC$1031),"")</f>
        <v/>
      </c>
      <c r="AE600" s="15">
        <f>IF(ISNUMBER(AF600),AF600/3630,"")</f>
        <v/>
      </c>
      <c r="AF600" s="14">
        <f>IFERROR(C600+D600+E600+F600+J600+K600+L600+M600+Q600+R600+S600+T600+IF(ISNUMBER(X600),X600,0)+N(Y600)+N(Z600)+N(AA600),"")</f>
        <v/>
      </c>
      <c r="AG600" s="14">
        <f>IF(ISNUMBER(AF600),AF600,"")</f>
        <v/>
      </c>
      <c r="AH600" s="14">
        <f>IF(ISNUMBER(AG600),_xlfn.RANK.EQ(AG600,$AG$2:$AG$1031),"")</f>
        <v/>
      </c>
    </row>
    <row r="601">
      <c r="A601" s="18" t="n">
        <v>1445</v>
      </c>
      <c r="B601" s="18" t="inlineStr">
        <is>
          <t>فايزه محمد عبدالحفيظ سيد أحمد طبليه</t>
        </is>
      </c>
      <c r="C601" s="1" t="n">
        <v>588.3</v>
      </c>
      <c r="D601" s="1" t="n">
        <v>25</v>
      </c>
      <c r="E601" s="1" t="n">
        <v>25</v>
      </c>
      <c r="F601" s="1" t="n">
        <v>24</v>
      </c>
      <c r="G601" s="1">
        <f>C601+D601+E601+F601</f>
        <v/>
      </c>
      <c r="H601" s="1">
        <f>IF(ISNUMBER(G601),G601,"")</f>
        <v/>
      </c>
      <c r="I601" s="1">
        <f>_xlfn.RANK.EQ(H601,$H$2:$H$1031)</f>
        <v/>
      </c>
      <c r="J601" s="5" t="n">
        <v>567.75</v>
      </c>
      <c r="K601" s="5" t="n">
        <v>48</v>
      </c>
      <c r="L601" s="5" t="n">
        <v>22</v>
      </c>
      <c r="M601" s="5" t="n">
        <v>24</v>
      </c>
      <c r="N601" s="5">
        <f>J601+K601+L601+M601</f>
        <v/>
      </c>
      <c r="O601" s="5">
        <f>IF(ISNUMBER(N601),N601,"")</f>
        <v/>
      </c>
      <c r="P601" s="5">
        <f>_xlfn.RANK.EQ(O601,$O$2:$O$1031)</f>
        <v/>
      </c>
      <c r="Q601" s="9" t="n">
        <v>232</v>
      </c>
      <c r="R601" s="9" t="n">
        <v>45</v>
      </c>
      <c r="S601" s="9" t="n">
        <v>25</v>
      </c>
      <c r="T601" s="9" t="n">
        <v>25</v>
      </c>
      <c r="U601" s="9">
        <f>Q601+R601+S601+T601</f>
        <v/>
      </c>
      <c r="V601" s="9">
        <f>IF(ISNUMBER(U601),U601,"")</f>
        <v/>
      </c>
      <c r="W601" s="9">
        <f>_xlfn.RANK.EQ(V601,$V$2:$V$1031)</f>
        <v/>
      </c>
      <c r="X601" s="13" t="inlineStr">
        <is>
          <t>راسب</t>
        </is>
      </c>
      <c r="Y601" s="13" t="n">
        <v>25</v>
      </c>
      <c r="Z601" s="13" t="n">
        <v>25</v>
      </c>
      <c r="AA601" s="13" t="n">
        <v>23</v>
      </c>
      <c r="AB601" s="13">
        <f>IF(ISNUMBER(X601),X601+N(Y601)+N(Z601)+N(AA601),X601)</f>
        <v/>
      </c>
      <c r="AC601" s="13">
        <f>IF(ISNUMBER(AB601),AB601,"")</f>
        <v/>
      </c>
      <c r="AD601" s="13">
        <f>IF(ISNUMBER(AC601),_xlfn.RANK.EQ(AC601,$AC$2:$AC$1031),"")</f>
        <v/>
      </c>
      <c r="AE601" s="15">
        <f>IF(ISNUMBER(AF601),AF601/3630,"")</f>
        <v/>
      </c>
      <c r="AF601" s="14">
        <f>IFERROR(C601+D601+E601+F601+J601+K601+L601+M601+Q601+R601+S601+T601+IF(ISNUMBER(X601),X601,0)+N(Y601)+N(Z601)+N(AA601),"")</f>
        <v/>
      </c>
      <c r="AG601" s="14">
        <f>IF(ISNUMBER(AF601),AF601,"")</f>
        <v/>
      </c>
      <c r="AH601" s="14">
        <f>IF(ISNUMBER(AG601),_xlfn.RANK.EQ(AG601,$AG$2:$AG$1031),"")</f>
        <v/>
      </c>
    </row>
    <row r="602">
      <c r="A602" s="18" t="n">
        <v>1446</v>
      </c>
      <c r="B602" s="18" t="inlineStr">
        <is>
          <t>فبرونيا رومانى حنا عرابى سليمان</t>
        </is>
      </c>
      <c r="C602" s="1" t="n">
        <v>606.6</v>
      </c>
      <c r="D602" s="1" t="n">
        <v>24</v>
      </c>
      <c r="E602" s="1" t="n">
        <v>24</v>
      </c>
      <c r="F602" s="1" t="n">
        <v>24</v>
      </c>
      <c r="G602" s="1">
        <f>C602+D602+E602+F602</f>
        <v/>
      </c>
      <c r="H602" s="1">
        <f>IF(ISNUMBER(G602),G602,"")</f>
        <v/>
      </c>
      <c r="I602" s="1">
        <f>_xlfn.RANK.EQ(H602,$H$2:$H$1031)</f>
        <v/>
      </c>
      <c r="J602" s="5" t="n">
        <v>617.25</v>
      </c>
      <c r="K602" s="5" t="n">
        <v>49</v>
      </c>
      <c r="L602" s="5" t="n">
        <v>24</v>
      </c>
      <c r="M602" s="5" t="n">
        <v>22</v>
      </c>
      <c r="N602" s="5">
        <f>J602+K602+L602+M602</f>
        <v/>
      </c>
      <c r="O602" s="5">
        <f>IF(ISNUMBER(N602),N602,"")</f>
        <v/>
      </c>
      <c r="P602" s="5">
        <f>_xlfn.RANK.EQ(O602,$O$2:$O$1031)</f>
        <v/>
      </c>
      <c r="Q602" s="9" t="n">
        <v>261</v>
      </c>
      <c r="R602" s="9" t="n">
        <v>47.5</v>
      </c>
      <c r="S602" s="9" t="n">
        <v>22</v>
      </c>
      <c r="T602" s="9" t="n">
        <v>23</v>
      </c>
      <c r="U602" s="9">
        <f>Q602+R602+S602+T602</f>
        <v/>
      </c>
      <c r="V602" s="9">
        <f>IF(ISNUMBER(U602),U602,"")</f>
        <v/>
      </c>
      <c r="W602" s="9">
        <f>_xlfn.RANK.EQ(V602,$V$2:$V$1031)</f>
        <v/>
      </c>
      <c r="X602" s="13" t="n">
        <v>1438.4</v>
      </c>
      <c r="Y602" s="13" t="n">
        <v>25</v>
      </c>
      <c r="Z602" s="13" t="n">
        <v>24</v>
      </c>
      <c r="AA602" s="13" t="n">
        <v>25</v>
      </c>
      <c r="AB602" s="13">
        <f>IF(ISNUMBER(X602),X602+N(Y602)+N(Z602)+N(AA602),X602)</f>
        <v/>
      </c>
      <c r="AC602" s="13">
        <f>IF(ISNUMBER(AB602),AB602,"")</f>
        <v/>
      </c>
      <c r="AD602" s="13">
        <f>IF(ISNUMBER(AC602),_xlfn.RANK.EQ(AC602,$AC$2:$AC$1031),"")</f>
        <v/>
      </c>
      <c r="AE602" s="15">
        <f>IF(ISNUMBER(AF602),AF602/3630,"")</f>
        <v/>
      </c>
      <c r="AF602" s="14">
        <f>IFERROR(C602+D602+E602+F602+J602+K602+L602+M602+Q602+R602+S602+T602+IF(ISNUMBER(X602),X602,0)+N(Y602)+N(Z602)+N(AA602),"")</f>
        <v/>
      </c>
      <c r="AG602" s="14">
        <f>IF(ISNUMBER(AF602),AF602,"")</f>
        <v/>
      </c>
      <c r="AH602" s="14">
        <f>IF(ISNUMBER(AG602),_xlfn.RANK.EQ(AG602,$AG$2:$AG$1031),"")</f>
        <v/>
      </c>
    </row>
    <row r="603">
      <c r="A603" s="18" t="n">
        <v>1451</v>
      </c>
      <c r="B603" s="18" t="inlineStr">
        <is>
          <t>فرح  صلاح عبدالنظير علي حسين</t>
        </is>
      </c>
      <c r="C603" s="1" t="n">
        <v>641.8</v>
      </c>
      <c r="D603" s="1" t="n">
        <v>25</v>
      </c>
      <c r="E603" s="1" t="n">
        <v>21</v>
      </c>
      <c r="F603" s="1" t="n">
        <v>22</v>
      </c>
      <c r="G603" s="1">
        <f>C603+D603+E603+F603</f>
        <v/>
      </c>
      <c r="H603" s="1">
        <f>IF(ISNUMBER(G603),G603,"")</f>
        <v/>
      </c>
      <c r="I603" s="1">
        <f>_xlfn.RANK.EQ(H603,$H$2:$H$1031)</f>
        <v/>
      </c>
      <c r="J603" s="5" t="n">
        <v>620</v>
      </c>
      <c r="K603" s="5" t="n">
        <v>46</v>
      </c>
      <c r="L603" s="5" t="n">
        <v>21</v>
      </c>
      <c r="M603" s="5" t="n">
        <v>24</v>
      </c>
      <c r="N603" s="5">
        <f>J603+K603+L603+M603</f>
        <v/>
      </c>
      <c r="O603" s="5">
        <f>IF(ISNUMBER(N603),N603,"")</f>
        <v/>
      </c>
      <c r="P603" s="5">
        <f>_xlfn.RANK.EQ(O603,$O$2:$O$1031)</f>
        <v/>
      </c>
      <c r="Q603" s="9" t="n">
        <v>266</v>
      </c>
      <c r="R603" s="9" t="n">
        <v>47.5</v>
      </c>
      <c r="S603" s="9" t="n">
        <v>23</v>
      </c>
      <c r="T603" s="9" t="n">
        <v>25</v>
      </c>
      <c r="U603" s="9">
        <f>Q603+R603+S603+T603</f>
        <v/>
      </c>
      <c r="V603" s="9">
        <f>IF(ISNUMBER(U603),U603,"")</f>
        <v/>
      </c>
      <c r="W603" s="9">
        <f>_xlfn.RANK.EQ(V603,$V$2:$V$1031)</f>
        <v/>
      </c>
      <c r="X603" s="13" t="n">
        <v>1439.2625</v>
      </c>
      <c r="Y603" s="13" t="n">
        <v>25</v>
      </c>
      <c r="Z603" s="13" t="n">
        <v>24</v>
      </c>
      <c r="AA603" s="13" t="n">
        <v>21</v>
      </c>
      <c r="AB603" s="13">
        <f>IF(ISNUMBER(X603),X603+N(Y603)+N(Z603)+N(AA603),X603)</f>
        <v/>
      </c>
      <c r="AC603" s="13">
        <f>IF(ISNUMBER(AB603),AB603,"")</f>
        <v/>
      </c>
      <c r="AD603" s="13">
        <f>IF(ISNUMBER(AC603),_xlfn.RANK.EQ(AC603,$AC$2:$AC$1031),"")</f>
        <v/>
      </c>
      <c r="AE603" s="15">
        <f>IF(ISNUMBER(AF603),AF603/3630,"")</f>
        <v/>
      </c>
      <c r="AF603" s="14">
        <f>IFERROR(C603+D603+E603+F603+J603+K603+L603+M603+Q603+R603+S603+T603+IF(ISNUMBER(X603),X603,0)+N(Y603)+N(Z603)+N(AA603),"")</f>
        <v/>
      </c>
      <c r="AG603" s="14">
        <f>IF(ISNUMBER(AF603),AF603,"")</f>
        <v/>
      </c>
      <c r="AH603" s="14">
        <f>IF(ISNUMBER(AG603),_xlfn.RANK.EQ(AG603,$AG$2:$AG$1031),"")</f>
        <v/>
      </c>
    </row>
    <row r="604">
      <c r="A604" s="18" t="n">
        <v>1452</v>
      </c>
      <c r="B604" s="18" t="inlineStr">
        <is>
          <t>فرح احمد عبد الفتاح احمد عرفة</t>
        </is>
      </c>
      <c r="C604" s="1" t="n">
        <v>657.5</v>
      </c>
      <c r="D604" s="1" t="n">
        <v>25</v>
      </c>
      <c r="E604" s="1" t="n">
        <v>25</v>
      </c>
      <c r="F604" s="1" t="n">
        <v>25</v>
      </c>
      <c r="G604" s="1">
        <f>C604+D604+E604+F604</f>
        <v/>
      </c>
      <c r="H604" s="1">
        <f>IF(ISNUMBER(G604),G604,"")</f>
        <v/>
      </c>
      <c r="I604" s="1">
        <f>_xlfn.RANK.EQ(H604,$H$2:$H$1031)</f>
        <v/>
      </c>
      <c r="J604" s="5" t="n">
        <v>645</v>
      </c>
      <c r="K604" s="5" t="n">
        <v>48</v>
      </c>
      <c r="L604" s="5" t="n">
        <v>25</v>
      </c>
      <c r="M604" s="5" t="n">
        <v>25</v>
      </c>
      <c r="N604" s="5">
        <f>J604+K604+L604+M604</f>
        <v/>
      </c>
      <c r="O604" s="5">
        <f>IF(ISNUMBER(N604),N604,"")</f>
        <v/>
      </c>
      <c r="P604" s="5">
        <f>_xlfn.RANK.EQ(O604,$O$2:$O$1031)</f>
        <v/>
      </c>
      <c r="Q604" s="9" t="n">
        <v>293</v>
      </c>
      <c r="R604" s="9" t="n">
        <v>49.5</v>
      </c>
      <c r="S604" s="9" t="n">
        <v>25</v>
      </c>
      <c r="T604" s="9" t="n">
        <v>24</v>
      </c>
      <c r="U604" s="9">
        <f>Q604+R604+S604+T604</f>
        <v/>
      </c>
      <c r="V604" s="9">
        <f>IF(ISNUMBER(U604),U604,"")</f>
        <v/>
      </c>
      <c r="W604" s="9">
        <f>_xlfn.RANK.EQ(V604,$V$2:$V$1031)</f>
        <v/>
      </c>
      <c r="X604" s="13" t="n">
        <v>1612.6875</v>
      </c>
      <c r="Y604" s="13" t="n">
        <v>25</v>
      </c>
      <c r="Z604" s="13" t="n">
        <v>25</v>
      </c>
      <c r="AA604" s="13" t="n">
        <v>24</v>
      </c>
      <c r="AB604" s="13">
        <f>IF(ISNUMBER(X604),X604+N(Y604)+N(Z604)+N(AA604),X604)</f>
        <v/>
      </c>
      <c r="AC604" s="13">
        <f>IF(ISNUMBER(AB604),AB604,"")</f>
        <v/>
      </c>
      <c r="AD604" s="13">
        <f>IF(ISNUMBER(AC604),_xlfn.RANK.EQ(AC604,$AC$2:$AC$1031),"")</f>
        <v/>
      </c>
      <c r="AE604" s="15">
        <f>IF(ISNUMBER(AF604),AF604/3630,"")</f>
        <v/>
      </c>
      <c r="AF604" s="14">
        <f>IFERROR(C604+D604+E604+F604+J604+K604+L604+M604+Q604+R604+S604+T604+IF(ISNUMBER(X604),X604,0)+N(Y604)+N(Z604)+N(AA604),"")</f>
        <v/>
      </c>
      <c r="AG604" s="14">
        <f>IF(ISNUMBER(AF604),AF604,"")</f>
        <v/>
      </c>
      <c r="AH604" s="14">
        <f>IF(ISNUMBER(AG604),_xlfn.RANK.EQ(AG604,$AG$2:$AG$1031),"")</f>
        <v/>
      </c>
    </row>
    <row r="605">
      <c r="A605" s="18" t="n">
        <v>1453</v>
      </c>
      <c r="B605" s="18" t="inlineStr">
        <is>
          <t>فرح خالد حسن الدرديري</t>
        </is>
      </c>
      <c r="C605" s="1" t="n">
        <v>582</v>
      </c>
      <c r="D605" s="1" t="n">
        <v>22</v>
      </c>
      <c r="E605" s="1" t="n">
        <v>22</v>
      </c>
      <c r="F605" s="1" t="n">
        <v>23</v>
      </c>
      <c r="G605" s="1">
        <f>C605+D605+E605+F605</f>
        <v/>
      </c>
      <c r="H605" s="1">
        <f>IF(ISNUMBER(G605),G605,"")</f>
        <v/>
      </c>
      <c r="I605" s="1">
        <f>_xlfn.RANK.EQ(H605,$H$2:$H$1031)</f>
        <v/>
      </c>
      <c r="J605" s="5" t="n">
        <v>576.5</v>
      </c>
      <c r="K605" s="5" t="n">
        <v>50</v>
      </c>
      <c r="L605" s="5" t="n">
        <v>22</v>
      </c>
      <c r="M605" s="5" t="n">
        <v>22</v>
      </c>
      <c r="N605" s="5">
        <f>J605+K605+L605+M605</f>
        <v/>
      </c>
      <c r="O605" s="5">
        <f>IF(ISNUMBER(N605),N605,"")</f>
        <v/>
      </c>
      <c r="P605" s="5">
        <f>_xlfn.RANK.EQ(O605,$O$2:$O$1031)</f>
        <v/>
      </c>
      <c r="Q605" s="9" t="n">
        <v>251.75</v>
      </c>
      <c r="R605" s="9" t="n">
        <v>46</v>
      </c>
      <c r="S605" s="9" t="n">
        <v>25</v>
      </c>
      <c r="T605" s="9" t="n">
        <v>24</v>
      </c>
      <c r="U605" s="9">
        <f>Q605+R605+S605+T605</f>
        <v/>
      </c>
      <c r="V605" s="9">
        <f>IF(ISNUMBER(U605),U605,"")</f>
        <v/>
      </c>
      <c r="W605" s="9">
        <f>_xlfn.RANK.EQ(V605,$V$2:$V$1031)</f>
        <v/>
      </c>
      <c r="X605" s="13" t="n">
        <v>1456.6916666667</v>
      </c>
      <c r="Y605" s="13" t="n">
        <v>25</v>
      </c>
      <c r="Z605" s="13" t="n">
        <v>25</v>
      </c>
      <c r="AA605" s="13" t="n">
        <v>24</v>
      </c>
      <c r="AB605" s="13">
        <f>IF(ISNUMBER(X605),X605+N(Y605)+N(Z605)+N(AA605),X605)</f>
        <v/>
      </c>
      <c r="AC605" s="13">
        <f>IF(ISNUMBER(AB605),AB605,"")</f>
        <v/>
      </c>
      <c r="AD605" s="13">
        <f>IF(ISNUMBER(AC605),_xlfn.RANK.EQ(AC605,$AC$2:$AC$1031),"")</f>
        <v/>
      </c>
      <c r="AE605" s="15">
        <f>IF(ISNUMBER(AF605),AF605/3630,"")</f>
        <v/>
      </c>
      <c r="AF605" s="14">
        <f>IFERROR(C605+D605+E605+F605+J605+K605+L605+M605+Q605+R605+S605+T605+IF(ISNUMBER(X605),X605,0)+N(Y605)+N(Z605)+N(AA605),"")</f>
        <v/>
      </c>
      <c r="AG605" s="14">
        <f>IF(ISNUMBER(AF605),AF605,"")</f>
        <v/>
      </c>
      <c r="AH605" s="14">
        <f>IF(ISNUMBER(AG605),_xlfn.RANK.EQ(AG605,$AG$2:$AG$1031),"")</f>
        <v/>
      </c>
    </row>
    <row r="606">
      <c r="A606" s="18" t="n">
        <v>1455</v>
      </c>
      <c r="B606" s="18" t="inlineStr">
        <is>
          <t>فرح شحاته محمد عبد الحافظ ابراهيم</t>
        </is>
      </c>
      <c r="C606" s="1" t="n">
        <v>616.3</v>
      </c>
      <c r="D606" s="1" t="n">
        <v>25</v>
      </c>
      <c r="E606" s="1" t="n">
        <v>24</v>
      </c>
      <c r="F606" s="1" t="n">
        <v>22</v>
      </c>
      <c r="G606" s="1">
        <f>C606+D606+E606+F606</f>
        <v/>
      </c>
      <c r="H606" s="1">
        <f>IF(ISNUMBER(G606),G606,"")</f>
        <v/>
      </c>
      <c r="I606" s="1">
        <f>_xlfn.RANK.EQ(H606,$H$2:$H$1031)</f>
        <v/>
      </c>
      <c r="J606" s="5" t="n">
        <v>589</v>
      </c>
      <c r="K606" s="5" t="n">
        <v>48</v>
      </c>
      <c r="L606" s="5" t="n">
        <v>24</v>
      </c>
      <c r="M606" s="5" t="n">
        <v>23</v>
      </c>
      <c r="N606" s="5">
        <f>J606+K606+L606+M606</f>
        <v/>
      </c>
      <c r="O606" s="5">
        <f>IF(ISNUMBER(N606),N606,"")</f>
        <v/>
      </c>
      <c r="P606" s="5">
        <f>_xlfn.RANK.EQ(O606,$O$2:$O$1031)</f>
        <v/>
      </c>
      <c r="Q606" s="9" t="n">
        <v>246.75</v>
      </c>
      <c r="R606" s="9" t="n">
        <v>47</v>
      </c>
      <c r="S606" s="9" t="n">
        <v>23</v>
      </c>
      <c r="T606" s="9" t="n">
        <v>24</v>
      </c>
      <c r="U606" s="9">
        <f>Q606+R606+S606+T606</f>
        <v/>
      </c>
      <c r="V606" s="9">
        <f>IF(ISNUMBER(U606),U606,"")</f>
        <v/>
      </c>
      <c r="W606" s="9">
        <f>_xlfn.RANK.EQ(V606,$V$2:$V$1031)</f>
        <v/>
      </c>
      <c r="X606" s="13" t="n">
        <v>1439.7291666667</v>
      </c>
      <c r="Y606" s="13" t="n">
        <v>25</v>
      </c>
      <c r="Z606" s="13" t="n">
        <v>25</v>
      </c>
      <c r="AA606" s="13" t="n">
        <v>23</v>
      </c>
      <c r="AB606" s="13">
        <f>IF(ISNUMBER(X606),X606+N(Y606)+N(Z606)+N(AA606),X606)</f>
        <v/>
      </c>
      <c r="AC606" s="13">
        <f>IF(ISNUMBER(AB606),AB606,"")</f>
        <v/>
      </c>
      <c r="AD606" s="13">
        <f>IF(ISNUMBER(AC606),_xlfn.RANK.EQ(AC606,$AC$2:$AC$1031),"")</f>
        <v/>
      </c>
      <c r="AE606" s="15">
        <f>IF(ISNUMBER(AF606),AF606/3630,"")</f>
        <v/>
      </c>
      <c r="AF606" s="14">
        <f>IFERROR(C606+D606+E606+F606+J606+K606+L606+M606+Q606+R606+S606+T606+IF(ISNUMBER(X606),X606,0)+N(Y606)+N(Z606)+N(AA606),"")</f>
        <v/>
      </c>
      <c r="AG606" s="14">
        <f>IF(ISNUMBER(AF606),AF606,"")</f>
        <v/>
      </c>
      <c r="AH606" s="14">
        <f>IF(ISNUMBER(AG606),_xlfn.RANK.EQ(AG606,$AG$2:$AG$1031),"")</f>
        <v/>
      </c>
    </row>
    <row r="607">
      <c r="A607" s="18" t="n">
        <v>1458</v>
      </c>
      <c r="B607" s="18" t="inlineStr">
        <is>
          <t>فريدة اسامة عبدالحليم مناع</t>
        </is>
      </c>
      <c r="C607" s="1" t="n">
        <v>536.8</v>
      </c>
      <c r="D607" s="1" t="n">
        <v>20</v>
      </c>
      <c r="E607" s="1" t="n">
        <v>23</v>
      </c>
      <c r="F607" s="1" t="n">
        <v>19</v>
      </c>
      <c r="G607" s="1">
        <f>C607+D607+E607+F607</f>
        <v/>
      </c>
      <c r="H607" s="1">
        <f>IF(ISNUMBER(G607),G607,"")</f>
        <v/>
      </c>
      <c r="I607" s="1">
        <f>_xlfn.RANK.EQ(H607,$H$2:$H$1031)</f>
        <v/>
      </c>
      <c r="J607" s="5" t="n">
        <v>490.5</v>
      </c>
      <c r="K607" s="5" t="n">
        <v>42</v>
      </c>
      <c r="L607" s="5" t="n">
        <v>19</v>
      </c>
      <c r="M607" s="5" t="n">
        <v>19</v>
      </c>
      <c r="N607" s="5">
        <f>J607+K607+L607+M607</f>
        <v/>
      </c>
      <c r="O607" s="5">
        <f>IF(ISNUMBER(N607),N607,"")</f>
        <v/>
      </c>
      <c r="P607" s="5">
        <f>_xlfn.RANK.EQ(O607,$O$2:$O$1031)</f>
        <v/>
      </c>
      <c r="Q607" s="9" t="n">
        <v>211.5</v>
      </c>
      <c r="R607" s="9" t="n">
        <v>37.5</v>
      </c>
      <c r="S607" s="9" t="n">
        <v>23</v>
      </c>
      <c r="T607" s="9" t="n">
        <v>25</v>
      </c>
      <c r="U607" s="9">
        <f>Q607+R607+S607+T607</f>
        <v/>
      </c>
      <c r="V607" s="9">
        <f>IF(ISNUMBER(U607),U607,"")</f>
        <v/>
      </c>
      <c r="W607" s="9">
        <f>_xlfn.RANK.EQ(V607,$V$2:$V$1031)</f>
        <v/>
      </c>
      <c r="X607" s="13" t="n">
        <v>1400.6041666667</v>
      </c>
      <c r="Y607" s="13" t="n">
        <v>25</v>
      </c>
      <c r="Z607" s="13" t="n">
        <v>23</v>
      </c>
      <c r="AA607" s="13" t="n">
        <v>23</v>
      </c>
      <c r="AB607" s="13">
        <f>IF(ISNUMBER(X607),X607+N(Y607)+N(Z607)+N(AA607),X607)</f>
        <v/>
      </c>
      <c r="AC607" s="13">
        <f>IF(ISNUMBER(AB607),AB607,"")</f>
        <v/>
      </c>
      <c r="AD607" s="13">
        <f>IF(ISNUMBER(AC607),_xlfn.RANK.EQ(AC607,$AC$2:$AC$1031),"")</f>
        <v/>
      </c>
      <c r="AE607" s="15">
        <f>IF(ISNUMBER(AF607),AF607/3630,"")</f>
        <v/>
      </c>
      <c r="AF607" s="14">
        <f>IFERROR(C607+D607+E607+F607+J607+K607+L607+M607+Q607+R607+S607+T607+IF(ISNUMBER(X607),X607,0)+N(Y607)+N(Z607)+N(AA607),"")</f>
        <v/>
      </c>
      <c r="AG607" s="14">
        <f>IF(ISNUMBER(AF607),AF607,"")</f>
        <v/>
      </c>
      <c r="AH607" s="14">
        <f>IF(ISNUMBER(AG607),_xlfn.RANK.EQ(AG607,$AG$2:$AG$1031),"")</f>
        <v/>
      </c>
    </row>
    <row r="608">
      <c r="A608" s="18" t="n">
        <v>1459</v>
      </c>
      <c r="B608" s="18" t="inlineStr">
        <is>
          <t>فريدة علاء كامل محمد عيد</t>
        </is>
      </c>
      <c r="C608" s="1" t="n">
        <v>633.2</v>
      </c>
      <c r="D608" s="1" t="n">
        <v>25</v>
      </c>
      <c r="E608" s="1" t="n">
        <v>24</v>
      </c>
      <c r="F608" s="1" t="n">
        <v>24</v>
      </c>
      <c r="G608" s="1">
        <f>C608+D608+E608+F608</f>
        <v/>
      </c>
      <c r="H608" s="1">
        <f>IF(ISNUMBER(G608),G608,"")</f>
        <v/>
      </c>
      <c r="I608" s="1">
        <f>_xlfn.RANK.EQ(H608,$H$2:$H$1031)</f>
        <v/>
      </c>
      <c r="J608" s="5" t="n">
        <v>602.7</v>
      </c>
      <c r="K608" s="5" t="n">
        <v>48</v>
      </c>
      <c r="L608" s="5" t="n">
        <v>23</v>
      </c>
      <c r="M608" s="5" t="n">
        <v>24</v>
      </c>
      <c r="N608" s="5">
        <f>J608+K608+L608+M608</f>
        <v/>
      </c>
      <c r="O608" s="5">
        <f>IF(ISNUMBER(N608),N608,"")</f>
        <v/>
      </c>
      <c r="P608" s="5">
        <f>_xlfn.RANK.EQ(O608,$O$2:$O$1031)</f>
        <v/>
      </c>
      <c r="Q608" s="9" t="n">
        <v>268.75</v>
      </c>
      <c r="R608" s="9" t="n">
        <v>49</v>
      </c>
      <c r="S608" s="9" t="n">
        <v>25</v>
      </c>
      <c r="T608" s="9" t="n">
        <v>25</v>
      </c>
      <c r="U608" s="9">
        <f>Q608+R608+S608+T608</f>
        <v/>
      </c>
      <c r="V608" s="9">
        <f>IF(ISNUMBER(U608),U608,"")</f>
        <v/>
      </c>
      <c r="W608" s="9">
        <f>_xlfn.RANK.EQ(V608,$V$2:$V$1031)</f>
        <v/>
      </c>
      <c r="X608" s="13" t="n">
        <v>1498.6208333333</v>
      </c>
      <c r="Y608" s="13" t="n">
        <v>25</v>
      </c>
      <c r="Z608" s="13" t="n">
        <v>24</v>
      </c>
      <c r="AA608" s="13" t="n">
        <v>24</v>
      </c>
      <c r="AB608" s="13">
        <f>IF(ISNUMBER(X608),X608+N(Y608)+N(Z608)+N(AA608),X608)</f>
        <v/>
      </c>
      <c r="AC608" s="13">
        <f>IF(ISNUMBER(AB608),AB608,"")</f>
        <v/>
      </c>
      <c r="AD608" s="13">
        <f>IF(ISNUMBER(AC608),_xlfn.RANK.EQ(AC608,$AC$2:$AC$1031),"")</f>
        <v/>
      </c>
      <c r="AE608" s="15">
        <f>IF(ISNUMBER(AF608),AF608/3630,"")</f>
        <v/>
      </c>
      <c r="AF608" s="14">
        <f>IFERROR(C608+D608+E608+F608+J608+K608+L608+M608+Q608+R608+S608+T608+IF(ISNUMBER(X608),X608,0)+N(Y608)+N(Z608)+N(AA608),"")</f>
        <v/>
      </c>
      <c r="AG608" s="14">
        <f>IF(ISNUMBER(AF608),AF608,"")</f>
        <v/>
      </c>
      <c r="AH608" s="14">
        <f>IF(ISNUMBER(AG608),_xlfn.RANK.EQ(AG608,$AG$2:$AG$1031),"")</f>
        <v/>
      </c>
    </row>
    <row r="609">
      <c r="A609" s="18" t="n">
        <v>1464</v>
      </c>
      <c r="B609" s="18" t="inlineStr">
        <is>
          <t>فيروز عادل حمدي علي</t>
        </is>
      </c>
      <c r="C609" s="1" t="n">
        <v>495.7</v>
      </c>
      <c r="D609" s="1" t="n">
        <v>18</v>
      </c>
      <c r="E609" s="1" t="n">
        <v>23</v>
      </c>
      <c r="F609" s="1" t="n">
        <v>17</v>
      </c>
      <c r="G609" s="1">
        <f>C609+D609+E609+F609</f>
        <v/>
      </c>
      <c r="H609" s="1">
        <f>IF(ISNUMBER(G609),G609,"")</f>
        <v/>
      </c>
      <c r="I609" s="1">
        <f>_xlfn.RANK.EQ(H609,$H$2:$H$1031)</f>
        <v/>
      </c>
      <c r="J609" s="5" t="n">
        <v>410</v>
      </c>
      <c r="K609" s="5" t="n">
        <v>50</v>
      </c>
      <c r="L609" s="5" t="n">
        <v>22</v>
      </c>
      <c r="M609" s="5" t="n">
        <v>24</v>
      </c>
      <c r="N609" s="5">
        <f>J609+K609+L609+M609</f>
        <v/>
      </c>
      <c r="O609" s="5">
        <f>IF(ISNUMBER(N609),N609,"")</f>
        <v/>
      </c>
      <c r="P609" s="5">
        <f>_xlfn.RANK.EQ(O609,$O$2:$O$1031)</f>
        <v/>
      </c>
      <c r="Q609" s="9" t="n">
        <v>198</v>
      </c>
      <c r="R609" s="9" t="n">
        <v>42</v>
      </c>
      <c r="S609" s="9" t="n">
        <v>24</v>
      </c>
      <c r="T609" s="9" t="n">
        <v>23</v>
      </c>
      <c r="U609" s="9">
        <f>Q609+R609+S609+T609</f>
        <v/>
      </c>
      <c r="V609" s="9">
        <f>IF(ISNUMBER(U609),U609,"")</f>
        <v/>
      </c>
      <c r="W609" s="9">
        <f>_xlfn.RANK.EQ(V609,$V$2:$V$1031)</f>
        <v/>
      </c>
      <c r="X609" s="13" t="n">
        <v>1241.3708333333</v>
      </c>
      <c r="Y609" s="13" t="n">
        <v>25</v>
      </c>
      <c r="Z609" s="13" t="n">
        <v>23</v>
      </c>
      <c r="AA609" s="13" t="n">
        <v>21</v>
      </c>
      <c r="AB609" s="13">
        <f>IF(ISNUMBER(X609),X609+N(Y609)+N(Z609)+N(AA609),X609)</f>
        <v/>
      </c>
      <c r="AC609" s="13">
        <f>IF(ISNUMBER(AB609),AB609,"")</f>
        <v/>
      </c>
      <c r="AD609" s="13">
        <f>IF(ISNUMBER(AC609),_xlfn.RANK.EQ(AC609,$AC$2:$AC$1031),"")</f>
        <v/>
      </c>
      <c r="AE609" s="15">
        <f>IF(ISNUMBER(AF609),AF609/3630,"")</f>
        <v/>
      </c>
      <c r="AF609" s="14">
        <f>IFERROR(C609+D609+E609+F609+J609+K609+L609+M609+Q609+R609+S609+T609+IF(ISNUMBER(X609),X609,0)+N(Y609)+N(Z609)+N(AA609),"")</f>
        <v/>
      </c>
      <c r="AG609" s="14">
        <f>IF(ISNUMBER(AF609),AF609,"")</f>
        <v/>
      </c>
      <c r="AH609" s="14">
        <f>IF(ISNUMBER(AG609),_xlfn.RANK.EQ(AG609,$AG$2:$AG$1031),"")</f>
        <v/>
      </c>
    </row>
    <row r="610">
      <c r="A610" s="18" t="n">
        <v>1465</v>
      </c>
      <c r="B610" s="18" t="inlineStr">
        <is>
          <t>فيروز عماد فتحى مراد</t>
        </is>
      </c>
      <c r="C610" s="1" t="n">
        <v>607.9</v>
      </c>
      <c r="D610" s="1" t="n">
        <v>22</v>
      </c>
      <c r="E610" s="1" t="n">
        <v>25</v>
      </c>
      <c r="F610" s="1" t="n">
        <v>23</v>
      </c>
      <c r="G610" s="1">
        <f>C610+D610+E610+F610</f>
        <v/>
      </c>
      <c r="H610" s="1">
        <f>IF(ISNUMBER(G610),G610,"")</f>
        <v/>
      </c>
      <c r="I610" s="1">
        <f>_xlfn.RANK.EQ(H610,$H$2:$H$1031)</f>
        <v/>
      </c>
      <c r="J610" s="5" t="n">
        <v>614.75</v>
      </c>
      <c r="K610" s="5" t="n">
        <v>50</v>
      </c>
      <c r="L610" s="5" t="n">
        <v>22</v>
      </c>
      <c r="M610" s="5" t="n">
        <v>24</v>
      </c>
      <c r="N610" s="5">
        <f>J610+K610+L610+M610</f>
        <v/>
      </c>
      <c r="O610" s="5">
        <f>IF(ISNUMBER(N610),N610,"")</f>
        <v/>
      </c>
      <c r="P610" s="5">
        <f>_xlfn.RANK.EQ(O610,$O$2:$O$1031)</f>
        <v/>
      </c>
      <c r="Q610" s="9" t="n">
        <v>283</v>
      </c>
      <c r="R610" s="9" t="n">
        <v>47.5</v>
      </c>
      <c r="S610" s="9" t="n">
        <v>25</v>
      </c>
      <c r="T610" s="9" t="n">
        <v>25</v>
      </c>
      <c r="U610" s="9">
        <f>Q610+R610+S610+T610</f>
        <v/>
      </c>
      <c r="V610" s="9">
        <f>IF(ISNUMBER(U610),U610,"")</f>
        <v/>
      </c>
      <c r="W610" s="9">
        <f>_xlfn.RANK.EQ(V610,$V$2:$V$1031)</f>
        <v/>
      </c>
      <c r="X610" s="13" t="n">
        <v>1541.4458333333</v>
      </c>
      <c r="Y610" s="13" t="n">
        <v>25</v>
      </c>
      <c r="Z610" s="13" t="n">
        <v>24</v>
      </c>
      <c r="AA610" s="13" t="n">
        <v>23</v>
      </c>
      <c r="AB610" s="13">
        <f>IF(ISNUMBER(X610),X610+N(Y610)+N(Z610)+N(AA610),X610)</f>
        <v/>
      </c>
      <c r="AC610" s="13">
        <f>IF(ISNUMBER(AB610),AB610,"")</f>
        <v/>
      </c>
      <c r="AD610" s="13">
        <f>IF(ISNUMBER(AC610),_xlfn.RANK.EQ(AC610,$AC$2:$AC$1031),"")</f>
        <v/>
      </c>
      <c r="AE610" s="15">
        <f>IF(ISNUMBER(AF610),AF610/3630,"")</f>
        <v/>
      </c>
      <c r="AF610" s="14">
        <f>IFERROR(C610+D610+E610+F610+J610+K610+L610+M610+Q610+R610+S610+T610+IF(ISNUMBER(X610),X610,0)+N(Y610)+N(Z610)+N(AA610),"")</f>
        <v/>
      </c>
      <c r="AG610" s="14">
        <f>IF(ISNUMBER(AF610),AF610,"")</f>
        <v/>
      </c>
      <c r="AH610" s="14">
        <f>IF(ISNUMBER(AG610),_xlfn.RANK.EQ(AG610,$AG$2:$AG$1031),"")</f>
        <v/>
      </c>
    </row>
    <row r="611">
      <c r="A611" s="18" t="n">
        <v>1473</v>
      </c>
      <c r="B611" s="18" t="inlineStr">
        <is>
          <t>فيلوباتير عادل صبحى عطا الله عطا</t>
        </is>
      </c>
      <c r="C611" s="1" t="n">
        <v>622.4</v>
      </c>
      <c r="D611" s="1" t="n">
        <v>24</v>
      </c>
      <c r="E611" s="1" t="n">
        <v>23</v>
      </c>
      <c r="F611" s="1" t="n">
        <v>24</v>
      </c>
      <c r="G611" s="1">
        <f>C611+D611+E611+F611</f>
        <v/>
      </c>
      <c r="H611" s="1">
        <f>IF(ISNUMBER(G611),G611,"")</f>
        <v/>
      </c>
      <c r="I611" s="1">
        <f>_xlfn.RANK.EQ(H611,$H$2:$H$1031)</f>
        <v/>
      </c>
      <c r="J611" s="5" t="n">
        <v>611.75</v>
      </c>
      <c r="K611" s="5" t="n">
        <v>48</v>
      </c>
      <c r="L611" s="5" t="n">
        <v>23</v>
      </c>
      <c r="M611" s="5" t="n">
        <v>25</v>
      </c>
      <c r="N611" s="5">
        <f>J611+K611+L611+M611</f>
        <v/>
      </c>
      <c r="O611" s="5">
        <f>IF(ISNUMBER(N611),N611,"")</f>
        <v/>
      </c>
      <c r="P611" s="5">
        <f>_xlfn.RANK.EQ(O611,$O$2:$O$1031)</f>
        <v/>
      </c>
      <c r="Q611" s="9" t="n">
        <v>277.5</v>
      </c>
      <c r="R611" s="9" t="n">
        <v>48.5</v>
      </c>
      <c r="S611" s="9" t="n">
        <v>22</v>
      </c>
      <c r="T611" s="9" t="n">
        <v>24</v>
      </c>
      <c r="U611" s="9">
        <f>Q611+R611+S611+T611</f>
        <v/>
      </c>
      <c r="V611" s="9">
        <f>IF(ISNUMBER(U611),U611,"")</f>
        <v/>
      </c>
      <c r="W611" s="9">
        <f>_xlfn.RANK.EQ(V611,$V$2:$V$1031)</f>
        <v/>
      </c>
      <c r="X611" s="13" t="n">
        <v>1474.0166666667</v>
      </c>
      <c r="Y611" s="13" t="n">
        <v>25</v>
      </c>
      <c r="Z611" s="13" t="n">
        <v>25</v>
      </c>
      <c r="AA611" s="13" t="n">
        <v>23</v>
      </c>
      <c r="AB611" s="13">
        <f>IF(ISNUMBER(X611),X611+N(Y611)+N(Z611)+N(AA611),X611)</f>
        <v/>
      </c>
      <c r="AC611" s="13">
        <f>IF(ISNUMBER(AB611),AB611,"")</f>
        <v/>
      </c>
      <c r="AD611" s="13">
        <f>IF(ISNUMBER(AC611),_xlfn.RANK.EQ(AC611,$AC$2:$AC$1031),"")</f>
        <v/>
      </c>
      <c r="AE611" s="15">
        <f>IF(ISNUMBER(AF611),AF611/3630,"")</f>
        <v/>
      </c>
      <c r="AF611" s="14">
        <f>IFERROR(C611+D611+E611+F611+J611+K611+L611+M611+Q611+R611+S611+T611+IF(ISNUMBER(X611),X611,0)+N(Y611)+N(Z611)+N(AA611),"")</f>
        <v/>
      </c>
      <c r="AG611" s="14">
        <f>IF(ISNUMBER(AF611),AF611,"")</f>
        <v/>
      </c>
      <c r="AH611" s="14">
        <f>IF(ISNUMBER(AG611),_xlfn.RANK.EQ(AG611,$AG$2:$AG$1031),"")</f>
        <v/>
      </c>
    </row>
    <row r="612">
      <c r="A612" s="18" t="n">
        <v>1477</v>
      </c>
      <c r="B612" s="18" t="inlineStr">
        <is>
          <t>ليلى بشير كامل محمد هجرس</t>
        </is>
      </c>
      <c r="C612" s="1" t="n">
        <v>504.3</v>
      </c>
      <c r="D612" s="1" t="n">
        <v>20</v>
      </c>
      <c r="E612" s="1" t="n">
        <v>24</v>
      </c>
      <c r="F612" s="1" t="n">
        <v>19</v>
      </c>
      <c r="G612" s="1">
        <f>C612+D612+E612+F612</f>
        <v/>
      </c>
      <c r="H612" s="1">
        <f>IF(ISNUMBER(G612),G612,"")</f>
        <v/>
      </c>
      <c r="I612" s="1">
        <f>_xlfn.RANK.EQ(H612,$H$2:$H$1031)</f>
        <v/>
      </c>
      <c r="J612" s="5" t="n">
        <v>509.5</v>
      </c>
      <c r="K612" s="5" t="n">
        <v>46</v>
      </c>
      <c r="L612" s="5" t="n">
        <v>15</v>
      </c>
      <c r="M612" s="5" t="n">
        <v>22</v>
      </c>
      <c r="N612" s="5">
        <f>J612+K612+L612+M612</f>
        <v/>
      </c>
      <c r="O612" s="5">
        <f>IF(ISNUMBER(N612),N612,"")</f>
        <v/>
      </c>
      <c r="P612" s="5">
        <f>_xlfn.RANK.EQ(O612,$O$2:$O$1031)</f>
        <v/>
      </c>
      <c r="Q612" s="9" t="n">
        <v>226</v>
      </c>
      <c r="R612" s="9" t="n">
        <v>41.5</v>
      </c>
      <c r="S612" s="9" t="n">
        <v>24</v>
      </c>
      <c r="T612" s="9" t="n">
        <v>22</v>
      </c>
      <c r="U612" s="9">
        <f>Q612+R612+S612+T612</f>
        <v/>
      </c>
      <c r="V612" s="9">
        <f>IF(ISNUMBER(U612),U612,"")</f>
        <v/>
      </c>
      <c r="W612" s="9">
        <f>_xlfn.RANK.EQ(V612,$V$2:$V$1031)</f>
        <v/>
      </c>
      <c r="X612" s="13" t="inlineStr">
        <is>
          <t>راسب</t>
        </is>
      </c>
      <c r="Y612" s="13" t="n">
        <v>24</v>
      </c>
      <c r="Z612" s="13" t="n">
        <v>20</v>
      </c>
      <c r="AA612" s="13" t="n">
        <v>24</v>
      </c>
      <c r="AB612" s="13">
        <f>IF(ISNUMBER(X612),X612+N(Y612)+N(Z612)+N(AA612),X612)</f>
        <v/>
      </c>
      <c r="AC612" s="13">
        <f>IF(ISNUMBER(AB612),AB612,"")</f>
        <v/>
      </c>
      <c r="AD612" s="13">
        <f>IF(ISNUMBER(AC612),_xlfn.RANK.EQ(AC612,$AC$2:$AC$1031),"")</f>
        <v/>
      </c>
      <c r="AE612" s="15">
        <f>IF(ISNUMBER(AF612),AF612/3630,"")</f>
        <v/>
      </c>
      <c r="AF612" s="14">
        <f>IFERROR(C612+D612+E612+F612+J612+K612+L612+M612+Q612+R612+S612+T612+IF(ISNUMBER(X612),X612,0)+N(Y612)+N(Z612)+N(AA612),"")</f>
        <v/>
      </c>
      <c r="AG612" s="14">
        <f>IF(ISNUMBER(AF612),AF612,"")</f>
        <v/>
      </c>
      <c r="AH612" s="14">
        <f>IF(ISNUMBER(AG612),_xlfn.RANK.EQ(AG612,$AG$2:$AG$1031),"")</f>
        <v/>
      </c>
    </row>
    <row r="613">
      <c r="A613" s="18" t="n">
        <v>1485</v>
      </c>
      <c r="B613" s="18" t="inlineStr">
        <is>
          <t>كارول شريف ويصا لبيب</t>
        </is>
      </c>
      <c r="C613" s="1" t="n">
        <v>504.6</v>
      </c>
      <c r="D613" s="1" t="n">
        <v>25</v>
      </c>
      <c r="E613" s="1" t="n">
        <v>23</v>
      </c>
      <c r="F613" s="1" t="n">
        <v>21</v>
      </c>
      <c r="G613" s="1">
        <f>C613+D613+E613+F613</f>
        <v/>
      </c>
      <c r="H613" s="1">
        <f>IF(ISNUMBER(G613),G613,"")</f>
        <v/>
      </c>
      <c r="I613" s="1">
        <f>_xlfn.RANK.EQ(H613,$H$2:$H$1031)</f>
        <v/>
      </c>
      <c r="J613" s="5" t="n">
        <v>452.25</v>
      </c>
      <c r="K613" s="5" t="n">
        <v>45</v>
      </c>
      <c r="L613" s="5" t="n">
        <v>22</v>
      </c>
      <c r="M613" s="5" t="n">
        <v>21</v>
      </c>
      <c r="N613" s="5">
        <f>J613+K613+L613+M613</f>
        <v/>
      </c>
      <c r="O613" s="5">
        <f>IF(ISNUMBER(N613),N613,"")</f>
        <v/>
      </c>
      <c r="P613" s="5">
        <f>_xlfn.RANK.EQ(O613,$O$2:$O$1031)</f>
        <v/>
      </c>
      <c r="Q613" s="9" t="n">
        <v>201</v>
      </c>
      <c r="R613" s="9" t="n">
        <v>43</v>
      </c>
      <c r="S613" s="9" t="n">
        <v>22</v>
      </c>
      <c r="T613" s="9" t="n">
        <v>24</v>
      </c>
      <c r="U613" s="9">
        <f>Q613+R613+S613+T613</f>
        <v/>
      </c>
      <c r="V613" s="9">
        <f>IF(ISNUMBER(U613),U613,"")</f>
        <v/>
      </c>
      <c r="W613" s="9">
        <f>_xlfn.RANK.EQ(V613,$V$2:$V$1031)</f>
        <v/>
      </c>
      <c r="X613" s="13" t="n">
        <v>1254.4958333333</v>
      </c>
      <c r="Y613" s="13" t="n">
        <v>25</v>
      </c>
      <c r="Z613" s="13" t="n">
        <v>22</v>
      </c>
      <c r="AA613" s="13" t="n">
        <v>22</v>
      </c>
      <c r="AB613" s="13">
        <f>IF(ISNUMBER(X613),X613+N(Y613)+N(Z613)+N(AA613),X613)</f>
        <v/>
      </c>
      <c r="AC613" s="13">
        <f>IF(ISNUMBER(AB613),AB613,"")</f>
        <v/>
      </c>
      <c r="AD613" s="13">
        <f>IF(ISNUMBER(AC613),_xlfn.RANK.EQ(AC613,$AC$2:$AC$1031),"")</f>
        <v/>
      </c>
      <c r="AE613" s="15">
        <f>IF(ISNUMBER(AF613),AF613/3630,"")</f>
        <v/>
      </c>
      <c r="AF613" s="14">
        <f>IFERROR(C613+D613+E613+F613+J613+K613+L613+M613+Q613+R613+S613+T613+IF(ISNUMBER(X613),X613,0)+N(Y613)+N(Z613)+N(AA613),"")</f>
        <v/>
      </c>
      <c r="AG613" s="14">
        <f>IF(ISNUMBER(AF613),AF613,"")</f>
        <v/>
      </c>
      <c r="AH613" s="14">
        <f>IF(ISNUMBER(AG613),_xlfn.RANK.EQ(AG613,$AG$2:$AG$1031),"")</f>
        <v/>
      </c>
    </row>
    <row r="614">
      <c r="A614" s="18" t="n">
        <v>1486</v>
      </c>
      <c r="B614" s="18" t="inlineStr">
        <is>
          <t>كارولين  فريج  غطاس  فرج</t>
        </is>
      </c>
      <c r="C614" s="1" t="n">
        <v>590.4</v>
      </c>
      <c r="D614" s="1" t="n">
        <v>24</v>
      </c>
      <c r="E614" s="1" t="n">
        <v>20</v>
      </c>
      <c r="F614" s="1" t="n">
        <v>22</v>
      </c>
      <c r="G614" s="1">
        <f>C614+D614+E614+F614</f>
        <v/>
      </c>
      <c r="H614" s="1">
        <f>IF(ISNUMBER(G614),G614,"")</f>
        <v/>
      </c>
      <c r="I614" s="1">
        <f>_xlfn.RANK.EQ(H614,$H$2:$H$1031)</f>
        <v/>
      </c>
      <c r="J614" s="5" t="n">
        <v>569</v>
      </c>
      <c r="K614" s="5" t="n">
        <v>45</v>
      </c>
      <c r="L614" s="5" t="n">
        <v>22</v>
      </c>
      <c r="M614" s="5" t="n">
        <v>23</v>
      </c>
      <c r="N614" s="5">
        <f>J614+K614+L614+M614</f>
        <v/>
      </c>
      <c r="O614" s="5">
        <f>IF(ISNUMBER(N614),N614,"")</f>
        <v/>
      </c>
      <c r="P614" s="5">
        <f>_xlfn.RANK.EQ(O614,$O$2:$O$1031)</f>
        <v/>
      </c>
      <c r="Q614" s="9" t="n">
        <v>231.75</v>
      </c>
      <c r="R614" s="9" t="n">
        <v>41.5</v>
      </c>
      <c r="S614" s="9" t="n">
        <v>22</v>
      </c>
      <c r="T614" s="9" t="n">
        <v>23</v>
      </c>
      <c r="U614" s="9">
        <f>Q614+R614+S614+T614</f>
        <v/>
      </c>
      <c r="V614" s="9">
        <f>IF(ISNUMBER(U614),U614,"")</f>
        <v/>
      </c>
      <c r="W614" s="9">
        <f>_xlfn.RANK.EQ(V614,$V$2:$V$1031)</f>
        <v/>
      </c>
      <c r="X614" s="13" t="n">
        <v>1285.7375</v>
      </c>
      <c r="Y614" s="13" t="n">
        <v>24</v>
      </c>
      <c r="Z614" s="13" t="n">
        <v>22</v>
      </c>
      <c r="AA614" s="13" t="n">
        <v>20</v>
      </c>
      <c r="AB614" s="13">
        <f>IF(ISNUMBER(X614),X614+N(Y614)+N(Z614)+N(AA614),X614)</f>
        <v/>
      </c>
      <c r="AC614" s="13">
        <f>IF(ISNUMBER(AB614),AB614,"")</f>
        <v/>
      </c>
      <c r="AD614" s="13">
        <f>IF(ISNUMBER(AC614),_xlfn.RANK.EQ(AC614,$AC$2:$AC$1031),"")</f>
        <v/>
      </c>
      <c r="AE614" s="15">
        <f>IF(ISNUMBER(AF614),AF614/3630,"")</f>
        <v/>
      </c>
      <c r="AF614" s="14">
        <f>IFERROR(C614+D614+E614+F614+J614+K614+L614+M614+Q614+R614+S614+T614+IF(ISNUMBER(X614),X614,0)+N(Y614)+N(Z614)+N(AA614),"")</f>
        <v/>
      </c>
      <c r="AG614" s="14">
        <f>IF(ISNUMBER(AF614),AF614,"")</f>
        <v/>
      </c>
      <c r="AH614" s="14">
        <f>IF(ISNUMBER(AG614),_xlfn.RANK.EQ(AG614,$AG$2:$AG$1031),"")</f>
        <v/>
      </c>
    </row>
    <row r="615">
      <c r="A615" s="18" t="n">
        <v>1487</v>
      </c>
      <c r="B615" s="18" t="inlineStr">
        <is>
          <t>كارين حسام ناصف  وسيلي</t>
        </is>
      </c>
      <c r="C615" s="1" t="n">
        <v>621.9</v>
      </c>
      <c r="D615" s="1" t="n">
        <v>25</v>
      </c>
      <c r="E615" s="1" t="n">
        <v>25</v>
      </c>
      <c r="F615" s="1" t="n">
        <v>24</v>
      </c>
      <c r="G615" s="1">
        <f>C615+D615+E615+F615</f>
        <v/>
      </c>
      <c r="H615" s="1">
        <f>IF(ISNUMBER(G615),G615,"")</f>
        <v/>
      </c>
      <c r="I615" s="1">
        <f>_xlfn.RANK.EQ(H615,$H$2:$H$1031)</f>
        <v/>
      </c>
      <c r="J615" s="5" t="n">
        <v>608.7</v>
      </c>
      <c r="K615" s="5" t="n">
        <v>48</v>
      </c>
      <c r="L615" s="5" t="n">
        <v>23</v>
      </c>
      <c r="M615" s="5" t="n">
        <v>25</v>
      </c>
      <c r="N615" s="5">
        <f>J615+K615+L615+M615</f>
        <v/>
      </c>
      <c r="O615" s="5">
        <f>IF(ISNUMBER(N615),N615,"")</f>
        <v/>
      </c>
      <c r="P615" s="5">
        <f>_xlfn.RANK.EQ(O615,$O$2:$O$1031)</f>
        <v/>
      </c>
      <c r="Q615" s="9" t="n">
        <v>252.75</v>
      </c>
      <c r="R615" s="9" t="n">
        <v>47</v>
      </c>
      <c r="S615" s="9" t="n">
        <v>22</v>
      </c>
      <c r="T615" s="9" t="n">
        <v>25</v>
      </c>
      <c r="U615" s="9">
        <f>Q615+R615+S615+T615</f>
        <v/>
      </c>
      <c r="V615" s="9">
        <f>IF(ISNUMBER(U615),U615,"")</f>
        <v/>
      </c>
      <c r="W615" s="9">
        <f>_xlfn.RANK.EQ(V615,$V$2:$V$1031)</f>
        <v/>
      </c>
      <c r="X615" s="13" t="n">
        <v>1450.4041666667</v>
      </c>
      <c r="Y615" s="13" t="n">
        <v>25</v>
      </c>
      <c r="Z615" s="13" t="n">
        <v>25</v>
      </c>
      <c r="AA615" s="13" t="n">
        <v>24</v>
      </c>
      <c r="AB615" s="13">
        <f>IF(ISNUMBER(X615),X615+N(Y615)+N(Z615)+N(AA615),X615)</f>
        <v/>
      </c>
      <c r="AC615" s="13">
        <f>IF(ISNUMBER(AB615),AB615,"")</f>
        <v/>
      </c>
      <c r="AD615" s="13">
        <f>IF(ISNUMBER(AC615),_xlfn.RANK.EQ(AC615,$AC$2:$AC$1031),"")</f>
        <v/>
      </c>
      <c r="AE615" s="15">
        <f>IF(ISNUMBER(AF615),AF615/3630,"")</f>
        <v/>
      </c>
      <c r="AF615" s="14">
        <f>IFERROR(C615+D615+E615+F615+J615+K615+L615+M615+Q615+R615+S615+T615+IF(ISNUMBER(X615),X615,0)+N(Y615)+N(Z615)+N(AA615),"")</f>
        <v/>
      </c>
      <c r="AG615" s="14">
        <f>IF(ISNUMBER(AF615),AF615,"")</f>
        <v/>
      </c>
      <c r="AH615" s="14">
        <f>IF(ISNUMBER(AG615),_xlfn.RANK.EQ(AG615,$AG$2:$AG$1031),"")</f>
        <v/>
      </c>
    </row>
    <row r="616">
      <c r="A616" s="18" t="n">
        <v>1488</v>
      </c>
      <c r="B616" s="18" t="inlineStr">
        <is>
          <t>كامل عبد الفتاح عبد الله كامل عقدة</t>
        </is>
      </c>
      <c r="C616" s="1" t="n">
        <v>564.2</v>
      </c>
      <c r="D616" s="1" t="n">
        <v>21</v>
      </c>
      <c r="E616" s="1" t="n">
        <v>23</v>
      </c>
      <c r="F616" s="1" t="n">
        <v>19</v>
      </c>
      <c r="G616" s="1">
        <f>C616+D616+E616+F616</f>
        <v/>
      </c>
      <c r="H616" s="1">
        <f>IF(ISNUMBER(G616),G616,"")</f>
        <v/>
      </c>
      <c r="I616" s="1">
        <f>_xlfn.RANK.EQ(H616,$H$2:$H$1031)</f>
        <v/>
      </c>
      <c r="J616" s="5" t="n">
        <v>549.5</v>
      </c>
      <c r="K616" s="5" t="n">
        <v>43</v>
      </c>
      <c r="L616" s="5" t="n">
        <v>18</v>
      </c>
      <c r="M616" s="5" t="n">
        <v>20</v>
      </c>
      <c r="N616" s="5">
        <f>J616+K616+L616+M616</f>
        <v/>
      </c>
      <c r="O616" s="5">
        <f>IF(ISNUMBER(N616),N616,"")</f>
        <v/>
      </c>
      <c r="P616" s="5">
        <f>_xlfn.RANK.EQ(O616,$O$2:$O$1031)</f>
        <v/>
      </c>
      <c r="Q616" s="9" t="n">
        <v>235</v>
      </c>
      <c r="R616" s="9" t="n">
        <v>40</v>
      </c>
      <c r="S616" s="9" t="n">
        <v>24</v>
      </c>
      <c r="T616" s="9" t="n">
        <v>24</v>
      </c>
      <c r="U616" s="9">
        <f>Q616+R616+S616+T616</f>
        <v/>
      </c>
      <c r="V616" s="9">
        <f>IF(ISNUMBER(U616),U616,"")</f>
        <v/>
      </c>
      <c r="W616" s="9">
        <f>_xlfn.RANK.EQ(V616,$V$2:$V$1031)</f>
        <v/>
      </c>
      <c r="X616" s="13" t="n">
        <v>1293</v>
      </c>
      <c r="Y616" s="13" t="n">
        <v>25</v>
      </c>
      <c r="Z616" s="13" t="n">
        <v>25</v>
      </c>
      <c r="AA616" s="13" t="n">
        <v>20</v>
      </c>
      <c r="AB616" s="13">
        <f>IF(ISNUMBER(X616),X616+N(Y616)+N(Z616)+N(AA616),X616)</f>
        <v/>
      </c>
      <c r="AC616" s="13">
        <f>IF(ISNUMBER(AB616),AB616,"")</f>
        <v/>
      </c>
      <c r="AD616" s="13">
        <f>IF(ISNUMBER(AC616),_xlfn.RANK.EQ(AC616,$AC$2:$AC$1031),"")</f>
        <v/>
      </c>
      <c r="AE616" s="15">
        <f>IF(ISNUMBER(AF616),AF616/3630,"")</f>
        <v/>
      </c>
      <c r="AF616" s="14">
        <f>IFERROR(C616+D616+E616+F616+J616+K616+L616+M616+Q616+R616+S616+T616+IF(ISNUMBER(X616),X616,0)+N(Y616)+N(Z616)+N(AA616),"")</f>
        <v/>
      </c>
      <c r="AG616" s="14">
        <f>IF(ISNUMBER(AF616),AF616,"")</f>
        <v/>
      </c>
      <c r="AH616" s="14">
        <f>IF(ISNUMBER(AG616),_xlfn.RANK.EQ(AG616,$AG$2:$AG$1031),"")</f>
        <v/>
      </c>
    </row>
    <row r="617">
      <c r="A617" s="18" t="n">
        <v>1489</v>
      </c>
      <c r="B617" s="18" t="inlineStr">
        <is>
          <t>كاميليا حسين ممدوح حسين عبد الدايم</t>
        </is>
      </c>
      <c r="C617" s="1" t="n">
        <v>430.95</v>
      </c>
      <c r="D617" s="1" t="n">
        <v>20</v>
      </c>
      <c r="E617" s="1" t="n">
        <v>20</v>
      </c>
      <c r="F617" s="1" t="n">
        <v>19</v>
      </c>
      <c r="G617" s="1">
        <f>C617+D617+E617+F617</f>
        <v/>
      </c>
      <c r="H617" s="1">
        <f>IF(ISNUMBER(G617),G617,"")</f>
        <v/>
      </c>
      <c r="I617" s="1">
        <f>_xlfn.RANK.EQ(H617,$H$2:$H$1031)</f>
        <v/>
      </c>
      <c r="J617" s="5" t="n">
        <v>466</v>
      </c>
      <c r="K617" s="5" t="n">
        <v>41</v>
      </c>
      <c r="L617" s="5" t="n">
        <v>20</v>
      </c>
      <c r="M617" s="5" t="n">
        <v>19</v>
      </c>
      <c r="N617" s="5">
        <f>J617+K617+L617+M617</f>
        <v/>
      </c>
      <c r="O617" s="5">
        <f>IF(ISNUMBER(N617),N617,"")</f>
        <v/>
      </c>
      <c r="P617" s="5">
        <f>_xlfn.RANK.EQ(O617,$O$2:$O$1031)</f>
        <v/>
      </c>
      <c r="Q617" s="9" t="n">
        <v>163.75</v>
      </c>
      <c r="R617" s="9" t="n">
        <v>34.5</v>
      </c>
      <c r="S617" s="9" t="n">
        <v>24</v>
      </c>
      <c r="T617" s="9" t="n">
        <v>23</v>
      </c>
      <c r="U617" s="9">
        <f>Q617+R617+S617+T617</f>
        <v/>
      </c>
      <c r="V617" s="9">
        <f>IF(ISNUMBER(U617),U617,"")</f>
        <v/>
      </c>
      <c r="W617" s="9">
        <f>_xlfn.RANK.EQ(V617,$V$2:$V$1031)</f>
        <v/>
      </c>
      <c r="X617" s="13" t="inlineStr">
        <is>
          <t>راسب</t>
        </is>
      </c>
      <c r="Y617" s="13" t="n">
        <v>24</v>
      </c>
      <c r="Z617" s="13" t="n">
        <v>23</v>
      </c>
      <c r="AA617" s="13" t="n">
        <v>20</v>
      </c>
      <c r="AB617" s="13">
        <f>IF(ISNUMBER(X617),X617+N(Y617)+N(Z617)+N(AA617),X617)</f>
        <v/>
      </c>
      <c r="AC617" s="13">
        <f>IF(ISNUMBER(AB617),AB617,"")</f>
        <v/>
      </c>
      <c r="AD617" s="13">
        <f>IF(ISNUMBER(AC617),_xlfn.RANK.EQ(AC617,$AC$2:$AC$1031),"")</f>
        <v/>
      </c>
      <c r="AE617" s="15">
        <f>IF(ISNUMBER(AF617),AF617/3630,"")</f>
        <v/>
      </c>
      <c r="AF617" s="14">
        <f>IFERROR(C617+D617+E617+F617+J617+K617+L617+M617+Q617+R617+S617+T617+IF(ISNUMBER(X617),X617,0)+N(Y617)+N(Z617)+N(AA617),"")</f>
        <v/>
      </c>
      <c r="AG617" s="14">
        <f>IF(ISNUMBER(AF617),AF617,"")</f>
        <v/>
      </c>
      <c r="AH617" s="14">
        <f>IF(ISNUMBER(AG617),_xlfn.RANK.EQ(AG617,$AG$2:$AG$1031),"")</f>
        <v/>
      </c>
    </row>
    <row r="618">
      <c r="A618" s="18" t="n">
        <v>1492</v>
      </c>
      <c r="B618" s="18" t="inlineStr">
        <is>
          <t>كريم احمد محمد عبده عبدالعال</t>
        </is>
      </c>
      <c r="C618" s="1" t="n">
        <v>603</v>
      </c>
      <c r="D618" s="1" t="n">
        <v>24</v>
      </c>
      <c r="E618" s="1" t="n">
        <v>24</v>
      </c>
      <c r="F618" s="1" t="n">
        <v>23</v>
      </c>
      <c r="G618" s="1">
        <f>C618+D618+E618+F618</f>
        <v/>
      </c>
      <c r="H618" s="1">
        <f>IF(ISNUMBER(G618),G618,"")</f>
        <v/>
      </c>
      <c r="I618" s="1">
        <f>_xlfn.RANK.EQ(H618,$H$2:$H$1031)</f>
        <v/>
      </c>
      <c r="J618" s="5" t="n">
        <v>628</v>
      </c>
      <c r="K618" s="5" t="n">
        <v>46</v>
      </c>
      <c r="L618" s="5" t="n">
        <v>23</v>
      </c>
      <c r="M618" s="5" t="n">
        <v>0</v>
      </c>
      <c r="N618" s="5">
        <f>J618+K618+L618+M618</f>
        <v/>
      </c>
      <c r="O618" s="5">
        <f>IF(ISNUMBER(N618),N618,"")</f>
        <v/>
      </c>
      <c r="P618" s="5">
        <f>_xlfn.RANK.EQ(O618,$O$2:$O$1031)</f>
        <v/>
      </c>
      <c r="Q618" s="9" t="n">
        <v>272</v>
      </c>
      <c r="R618" s="9" t="n">
        <v>48.5</v>
      </c>
      <c r="S618" s="9" t="n">
        <v>25</v>
      </c>
      <c r="T618" s="9" t="n">
        <v>25</v>
      </c>
      <c r="U618" s="9">
        <f>Q618+R618+S618+T618</f>
        <v/>
      </c>
      <c r="V618" s="9">
        <f>IF(ISNUMBER(U618),U618,"")</f>
        <v/>
      </c>
      <c r="W618" s="9">
        <f>_xlfn.RANK.EQ(V618,$V$2:$V$1031)</f>
        <v/>
      </c>
      <c r="X618" s="13" t="n">
        <v>1542.8791666667</v>
      </c>
      <c r="Y618" s="13" t="n">
        <v>25</v>
      </c>
      <c r="Z618" s="13" t="n">
        <v>25</v>
      </c>
      <c r="AA618" s="13" t="n">
        <v>25</v>
      </c>
      <c r="AB618" s="13">
        <f>IF(ISNUMBER(X618),X618+N(Y618)+N(Z618)+N(AA618),X618)</f>
        <v/>
      </c>
      <c r="AC618" s="13">
        <f>IF(ISNUMBER(AB618),AB618,"")</f>
        <v/>
      </c>
      <c r="AD618" s="13">
        <f>IF(ISNUMBER(AC618),_xlfn.RANK.EQ(AC618,$AC$2:$AC$1031),"")</f>
        <v/>
      </c>
      <c r="AE618" s="15">
        <f>IF(ISNUMBER(AF618),AF618/3630,"")</f>
        <v/>
      </c>
      <c r="AF618" s="14">
        <f>IFERROR(C618+D618+E618+F618+J618+K618+L618+M618+Q618+R618+S618+T618+IF(ISNUMBER(X618),X618,0)+N(Y618)+N(Z618)+N(AA618),"")</f>
        <v/>
      </c>
      <c r="AG618" s="14">
        <f>IF(ISNUMBER(AF618),AF618,"")</f>
        <v/>
      </c>
      <c r="AH618" s="14">
        <f>IF(ISNUMBER(AG618),_xlfn.RANK.EQ(AG618,$AG$2:$AG$1031),"")</f>
        <v/>
      </c>
    </row>
    <row r="619">
      <c r="A619" s="18" t="n">
        <v>1493</v>
      </c>
      <c r="B619" s="18" t="inlineStr">
        <is>
          <t>كريم احمد يوسف محمد</t>
        </is>
      </c>
      <c r="C619" s="1" t="n">
        <v>601.5</v>
      </c>
      <c r="D619" s="1" t="n">
        <v>24</v>
      </c>
      <c r="E619" s="1" t="n">
        <v>25</v>
      </c>
      <c r="F619" s="1" t="n">
        <v>23</v>
      </c>
      <c r="G619" s="1">
        <f>C619+D619+E619+F619</f>
        <v/>
      </c>
      <c r="H619" s="1">
        <f>IF(ISNUMBER(G619),G619,"")</f>
        <v/>
      </c>
      <c r="I619" s="1">
        <f>_xlfn.RANK.EQ(H619,$H$2:$H$1031)</f>
        <v/>
      </c>
      <c r="J619" s="5" t="n">
        <v>622</v>
      </c>
      <c r="K619" s="5" t="n">
        <v>46</v>
      </c>
      <c r="L619" s="5" t="n">
        <v>23</v>
      </c>
      <c r="M619" s="5" t="n">
        <v>21</v>
      </c>
      <c r="N619" s="5">
        <f>J619+K619+L619+M619</f>
        <v/>
      </c>
      <c r="O619" s="5">
        <f>IF(ISNUMBER(N619),N619,"")</f>
        <v/>
      </c>
      <c r="P619" s="5">
        <f>_xlfn.RANK.EQ(O619,$O$2:$O$1031)</f>
        <v/>
      </c>
      <c r="Q619" s="9" t="n">
        <v>237</v>
      </c>
      <c r="R619" s="9" t="n">
        <v>46.5</v>
      </c>
      <c r="S619" s="9" t="n">
        <v>24</v>
      </c>
      <c r="T619" s="9" t="n">
        <v>25</v>
      </c>
      <c r="U619" s="9">
        <f>Q619+R619+S619+T619</f>
        <v/>
      </c>
      <c r="V619" s="9">
        <f>IF(ISNUMBER(U619),U619,"")</f>
        <v/>
      </c>
      <c r="W619" s="9">
        <f>_xlfn.RANK.EQ(V619,$V$2:$V$1031)</f>
        <v/>
      </c>
      <c r="X619" s="13" t="n">
        <v>1394.125</v>
      </c>
      <c r="Y619" s="13" t="n">
        <v>25</v>
      </c>
      <c r="Z619" s="13" t="n">
        <v>25</v>
      </c>
      <c r="AA619" s="13" t="n">
        <v>24</v>
      </c>
      <c r="AB619" s="13">
        <f>IF(ISNUMBER(X619),X619+N(Y619)+N(Z619)+N(AA619),X619)</f>
        <v/>
      </c>
      <c r="AC619" s="13">
        <f>IF(ISNUMBER(AB619),AB619,"")</f>
        <v/>
      </c>
      <c r="AD619" s="13">
        <f>IF(ISNUMBER(AC619),_xlfn.RANK.EQ(AC619,$AC$2:$AC$1031),"")</f>
        <v/>
      </c>
      <c r="AE619" s="15">
        <f>IF(ISNUMBER(AF619),AF619/3630,"")</f>
        <v/>
      </c>
      <c r="AF619" s="14">
        <f>IFERROR(C619+D619+E619+F619+J619+K619+L619+M619+Q619+R619+S619+T619+IF(ISNUMBER(X619),X619,0)+N(Y619)+N(Z619)+N(AA619),"")</f>
        <v/>
      </c>
      <c r="AG619" s="14">
        <f>IF(ISNUMBER(AF619),AF619,"")</f>
        <v/>
      </c>
      <c r="AH619" s="14">
        <f>IF(ISNUMBER(AG619),_xlfn.RANK.EQ(AG619,$AG$2:$AG$1031),"")</f>
        <v/>
      </c>
    </row>
    <row r="620">
      <c r="A620" s="18" t="n">
        <v>1498</v>
      </c>
      <c r="B620" s="18" t="inlineStr">
        <is>
          <t>كريم رمضان جمعة علي صقر</t>
        </is>
      </c>
      <c r="C620" s="1" t="n">
        <v>521.5</v>
      </c>
      <c r="D620" s="1" t="n">
        <v>19</v>
      </c>
      <c r="E620" s="1" t="n">
        <v>18</v>
      </c>
      <c r="F620" s="1" t="n">
        <v>19</v>
      </c>
      <c r="G620" s="1">
        <f>C620+D620+E620+F620</f>
        <v/>
      </c>
      <c r="H620" s="1">
        <f>IF(ISNUMBER(G620),G620,"")</f>
        <v/>
      </c>
      <c r="I620" s="1">
        <f>_xlfn.RANK.EQ(H620,$H$2:$H$1031)</f>
        <v/>
      </c>
      <c r="J620" s="5" t="n">
        <v>587.5</v>
      </c>
      <c r="K620" s="5" t="n">
        <v>46</v>
      </c>
      <c r="L620" s="5" t="n">
        <v>20</v>
      </c>
      <c r="M620" s="5" t="n">
        <v>22</v>
      </c>
      <c r="N620" s="5">
        <f>J620+K620+L620+M620</f>
        <v/>
      </c>
      <c r="O620" s="5">
        <f>IF(ISNUMBER(N620),N620,"")</f>
        <v/>
      </c>
      <c r="P620" s="5">
        <f>_xlfn.RANK.EQ(O620,$O$2:$O$1031)</f>
        <v/>
      </c>
      <c r="Q620" s="9" t="n">
        <v>258.75</v>
      </c>
      <c r="R620" s="9" t="n">
        <v>44</v>
      </c>
      <c r="S620" s="9" t="n">
        <v>21</v>
      </c>
      <c r="T620" s="9" t="n">
        <v>25</v>
      </c>
      <c r="U620" s="9">
        <f>Q620+R620+S620+T620</f>
        <v/>
      </c>
      <c r="V620" s="9">
        <f>IF(ISNUMBER(U620),U620,"")</f>
        <v/>
      </c>
      <c r="W620" s="9">
        <f>_xlfn.RANK.EQ(V620,$V$2:$V$1031)</f>
        <v/>
      </c>
      <c r="X620" s="13" t="n">
        <v>1325.9833333333</v>
      </c>
      <c r="Y620" s="13" t="n">
        <v>25</v>
      </c>
      <c r="Z620" s="13" t="n">
        <v>24</v>
      </c>
      <c r="AA620" s="13" t="n">
        <v>22</v>
      </c>
      <c r="AB620" s="13">
        <f>IF(ISNUMBER(X620),X620+N(Y620)+N(Z620)+N(AA620),X620)</f>
        <v/>
      </c>
      <c r="AC620" s="13">
        <f>IF(ISNUMBER(AB620),AB620,"")</f>
        <v/>
      </c>
      <c r="AD620" s="13">
        <f>IF(ISNUMBER(AC620),_xlfn.RANK.EQ(AC620,$AC$2:$AC$1031),"")</f>
        <v/>
      </c>
      <c r="AE620" s="15">
        <f>IF(ISNUMBER(AF620),AF620/3630,"")</f>
        <v/>
      </c>
      <c r="AF620" s="14">
        <f>IFERROR(C620+D620+E620+F620+J620+K620+L620+M620+Q620+R620+S620+T620+IF(ISNUMBER(X620),X620,0)+N(Y620)+N(Z620)+N(AA620),"")</f>
        <v/>
      </c>
      <c r="AG620" s="14">
        <f>IF(ISNUMBER(AF620),AF620,"")</f>
        <v/>
      </c>
      <c r="AH620" s="14">
        <f>IF(ISNUMBER(AG620),_xlfn.RANK.EQ(AG620,$AG$2:$AG$1031),"")</f>
        <v/>
      </c>
    </row>
    <row r="621">
      <c r="A621" s="18" t="n">
        <v>1499</v>
      </c>
      <c r="B621" s="18" t="inlineStr">
        <is>
          <t>كريم ضياء شعبان محمد شيخ روحه</t>
        </is>
      </c>
      <c r="C621" s="1" t="n">
        <v>548.1</v>
      </c>
      <c r="D621" s="1" t="n">
        <v>18</v>
      </c>
      <c r="E621" s="1" t="n">
        <v>23</v>
      </c>
      <c r="F621" s="1" t="n">
        <v>19</v>
      </c>
      <c r="G621" s="1">
        <f>C621+D621+E621+F621</f>
        <v/>
      </c>
      <c r="H621" s="1">
        <f>IF(ISNUMBER(G621),G621,"")</f>
        <v/>
      </c>
      <c r="I621" s="1">
        <f>_xlfn.RANK.EQ(H621,$H$2:$H$1031)</f>
        <v/>
      </c>
      <c r="J621" s="5" t="n">
        <v>534</v>
      </c>
      <c r="K621" s="5" t="n">
        <v>33</v>
      </c>
      <c r="L621" s="5" t="n">
        <v>17</v>
      </c>
      <c r="M621" s="5" t="n">
        <v>14</v>
      </c>
      <c r="N621" s="5">
        <f>J621+K621+L621+M621</f>
        <v/>
      </c>
      <c r="O621" s="5">
        <f>IF(ISNUMBER(N621),N621,"")</f>
        <v/>
      </c>
      <c r="P621" s="5">
        <f>_xlfn.RANK.EQ(O621,$O$2:$O$1031)</f>
        <v/>
      </c>
      <c r="Q621" s="9" t="n">
        <v>174</v>
      </c>
      <c r="R621" s="9" t="n">
        <v>34.5</v>
      </c>
      <c r="S621" s="9" t="n">
        <v>20</v>
      </c>
      <c r="T621" s="9" t="n">
        <v>21</v>
      </c>
      <c r="U621" s="9">
        <f>Q621+R621+S621+T621</f>
        <v/>
      </c>
      <c r="V621" s="9">
        <f>IF(ISNUMBER(U621),U621,"")</f>
        <v/>
      </c>
      <c r="W621" s="9">
        <f>_xlfn.RANK.EQ(V621,$V$2:$V$1031)</f>
        <v/>
      </c>
      <c r="X621" s="13" t="n">
        <v>1216.6833333333</v>
      </c>
      <c r="Y621" s="13" t="n">
        <v>24</v>
      </c>
      <c r="Z621" s="13" t="n">
        <v>19</v>
      </c>
      <c r="AA621" s="13" t="n">
        <v>20</v>
      </c>
      <c r="AB621" s="13">
        <f>IF(ISNUMBER(X621),X621+N(Y621)+N(Z621)+N(AA621),X621)</f>
        <v/>
      </c>
      <c r="AC621" s="13">
        <f>IF(ISNUMBER(AB621),AB621,"")</f>
        <v/>
      </c>
      <c r="AD621" s="13">
        <f>IF(ISNUMBER(AC621),_xlfn.RANK.EQ(AC621,$AC$2:$AC$1031),"")</f>
        <v/>
      </c>
      <c r="AE621" s="15">
        <f>IF(ISNUMBER(AF621),AF621/3630,"")</f>
        <v/>
      </c>
      <c r="AF621" s="14">
        <f>IFERROR(C621+D621+E621+F621+J621+K621+L621+M621+Q621+R621+S621+T621+IF(ISNUMBER(X621),X621,0)+N(Y621)+N(Z621)+N(AA621),"")</f>
        <v/>
      </c>
      <c r="AG621" s="14">
        <f>IF(ISNUMBER(AF621),AF621,"")</f>
        <v/>
      </c>
      <c r="AH621" s="14">
        <f>IF(ISNUMBER(AG621),_xlfn.RANK.EQ(AG621,$AG$2:$AG$1031),"")</f>
        <v/>
      </c>
    </row>
    <row r="622">
      <c r="A622" s="18" t="n">
        <v>1500</v>
      </c>
      <c r="B622" s="18" t="inlineStr">
        <is>
          <t>كريم محمد صبرى محمد احمد</t>
        </is>
      </c>
      <c r="C622" s="1" t="n">
        <v>620.2</v>
      </c>
      <c r="D622" s="1" t="n">
        <v>21</v>
      </c>
      <c r="E622" s="1" t="n">
        <v>23</v>
      </c>
      <c r="F622" s="1" t="n">
        <v>22</v>
      </c>
      <c r="G622" s="1">
        <f>C622+D622+E622+F622</f>
        <v/>
      </c>
      <c r="H622" s="1">
        <f>IF(ISNUMBER(G622),G622,"")</f>
        <v/>
      </c>
      <c r="I622" s="1">
        <f>_xlfn.RANK.EQ(H622,$H$2:$H$1031)</f>
        <v/>
      </c>
      <c r="J622" s="5" t="n">
        <v>603</v>
      </c>
      <c r="K622" s="5" t="n">
        <v>45</v>
      </c>
      <c r="L622" s="5" t="n">
        <v>20</v>
      </c>
      <c r="M622" s="5" t="n">
        <v>21</v>
      </c>
      <c r="N622" s="5">
        <f>J622+K622+L622+M622</f>
        <v/>
      </c>
      <c r="O622" s="5">
        <f>IF(ISNUMBER(N622),N622,"")</f>
        <v/>
      </c>
      <c r="P622" s="5">
        <f>_xlfn.RANK.EQ(O622,$O$2:$O$1031)</f>
        <v/>
      </c>
      <c r="Q622" s="9" t="n">
        <v>254.75</v>
      </c>
      <c r="R622" s="9" t="n">
        <v>47</v>
      </c>
      <c r="S622" s="9" t="n">
        <v>22</v>
      </c>
      <c r="T622" s="9" t="n">
        <v>25</v>
      </c>
      <c r="U622" s="9">
        <f>Q622+R622+S622+T622</f>
        <v/>
      </c>
      <c r="V622" s="9">
        <f>IF(ISNUMBER(U622),U622,"")</f>
        <v/>
      </c>
      <c r="W622" s="9">
        <f>_xlfn.RANK.EQ(V622,$V$2:$V$1031)</f>
        <v/>
      </c>
      <c r="X622" s="13" t="n">
        <v>1532.3125</v>
      </c>
      <c r="Y622" s="13" t="n">
        <v>25</v>
      </c>
      <c r="Z622" s="13" t="n">
        <v>25</v>
      </c>
      <c r="AA622" s="13" t="n">
        <v>23</v>
      </c>
      <c r="AB622" s="13">
        <f>IF(ISNUMBER(X622),X622+N(Y622)+N(Z622)+N(AA622),X622)</f>
        <v/>
      </c>
      <c r="AC622" s="13">
        <f>IF(ISNUMBER(AB622),AB622,"")</f>
        <v/>
      </c>
      <c r="AD622" s="13">
        <f>IF(ISNUMBER(AC622),_xlfn.RANK.EQ(AC622,$AC$2:$AC$1031),"")</f>
        <v/>
      </c>
      <c r="AE622" s="15">
        <f>IF(ISNUMBER(AF622),AF622/3630,"")</f>
        <v/>
      </c>
      <c r="AF622" s="14">
        <f>IFERROR(C622+D622+E622+F622+J622+K622+L622+M622+Q622+R622+S622+T622+IF(ISNUMBER(X622),X622,0)+N(Y622)+N(Z622)+N(AA622),"")</f>
        <v/>
      </c>
      <c r="AG622" s="14">
        <f>IF(ISNUMBER(AF622),AF622,"")</f>
        <v/>
      </c>
      <c r="AH622" s="14">
        <f>IF(ISNUMBER(AG622),_xlfn.RANK.EQ(AG622,$AG$2:$AG$1031),"")</f>
        <v/>
      </c>
    </row>
    <row r="623">
      <c r="A623" s="18" t="n">
        <v>1503</v>
      </c>
      <c r="B623" s="18" t="inlineStr">
        <is>
          <t>كريمة شهاب محمد اسماعيل</t>
        </is>
      </c>
      <c r="C623" s="1" t="n">
        <v>639.1</v>
      </c>
      <c r="D623" s="1" t="n">
        <v>25</v>
      </c>
      <c r="E623" s="1" t="n">
        <v>25</v>
      </c>
      <c r="F623" s="1" t="n">
        <v>24</v>
      </c>
      <c r="G623" s="1">
        <f>C623+D623+E623+F623</f>
        <v/>
      </c>
      <c r="H623" s="1">
        <f>IF(ISNUMBER(G623),G623,"")</f>
        <v/>
      </c>
      <c r="I623" s="1">
        <f>_xlfn.RANK.EQ(H623,$H$2:$H$1031)</f>
        <v/>
      </c>
      <c r="J623" s="5" t="n">
        <v>592.5</v>
      </c>
      <c r="K623" s="5" t="n">
        <v>47</v>
      </c>
      <c r="L623" s="5" t="n">
        <v>21</v>
      </c>
      <c r="M623" s="5" t="n">
        <v>19</v>
      </c>
      <c r="N623" s="5">
        <f>J623+K623+L623+M623</f>
        <v/>
      </c>
      <c r="O623" s="5">
        <f>IF(ISNUMBER(N623),N623,"")</f>
        <v/>
      </c>
      <c r="P623" s="5">
        <f>_xlfn.RANK.EQ(O623,$O$2:$O$1031)</f>
        <v/>
      </c>
      <c r="Q623" s="9" t="n">
        <v>232</v>
      </c>
      <c r="R623" s="9" t="n">
        <v>43.5</v>
      </c>
      <c r="S623" s="9" t="n">
        <v>25</v>
      </c>
      <c r="T623" s="9" t="n">
        <v>24</v>
      </c>
      <c r="U623" s="9">
        <f>Q623+R623+S623+T623</f>
        <v/>
      </c>
      <c r="V623" s="9">
        <f>IF(ISNUMBER(U623),U623,"")</f>
        <v/>
      </c>
      <c r="W623" s="9">
        <f>_xlfn.RANK.EQ(V623,$V$2:$V$1031)</f>
        <v/>
      </c>
      <c r="X623" s="13" t="n">
        <v>1371.05</v>
      </c>
      <c r="Y623" s="13" t="n">
        <v>25</v>
      </c>
      <c r="Z623" s="13" t="n">
        <v>25</v>
      </c>
      <c r="AA623" s="13" t="n">
        <v>22</v>
      </c>
      <c r="AB623" s="13">
        <f>IF(ISNUMBER(X623),X623+N(Y623)+N(Z623)+N(AA623),X623)</f>
        <v/>
      </c>
      <c r="AC623" s="13">
        <f>IF(ISNUMBER(AB623),AB623,"")</f>
        <v/>
      </c>
      <c r="AD623" s="13">
        <f>IF(ISNUMBER(AC623),_xlfn.RANK.EQ(AC623,$AC$2:$AC$1031),"")</f>
        <v/>
      </c>
      <c r="AE623" s="15">
        <f>IF(ISNUMBER(AF623),AF623/3630,"")</f>
        <v/>
      </c>
      <c r="AF623" s="14">
        <f>IFERROR(C623+D623+E623+F623+J623+K623+L623+M623+Q623+R623+S623+T623+IF(ISNUMBER(X623),X623,0)+N(Y623)+N(Z623)+N(AA623),"")</f>
        <v/>
      </c>
      <c r="AG623" s="14">
        <f>IF(ISNUMBER(AF623),AF623,"")</f>
        <v/>
      </c>
      <c r="AH623" s="14">
        <f>IF(ISNUMBER(AG623),_xlfn.RANK.EQ(AG623,$AG$2:$AG$1031),"")</f>
        <v/>
      </c>
    </row>
    <row r="624">
      <c r="A624" s="18" t="n">
        <v>1504</v>
      </c>
      <c r="B624" s="18" t="inlineStr">
        <is>
          <t>كمال عبد الحميد كمال عبد الحميد</t>
        </is>
      </c>
      <c r="C624" s="1" t="n">
        <v>592.8</v>
      </c>
      <c r="D624" s="1" t="n">
        <v>21</v>
      </c>
      <c r="E624" s="1" t="n">
        <v>24</v>
      </c>
      <c r="F624" s="1" t="n">
        <v>18.5</v>
      </c>
      <c r="G624" s="1">
        <f>C624+D624+E624+F624</f>
        <v/>
      </c>
      <c r="H624" s="1">
        <f>IF(ISNUMBER(G624),G624,"")</f>
        <v/>
      </c>
      <c r="I624" s="1">
        <f>_xlfn.RANK.EQ(H624,$H$2:$H$1031)</f>
        <v/>
      </c>
      <c r="J624" s="5" t="n">
        <v>594</v>
      </c>
      <c r="K624" s="5" t="n">
        <v>39</v>
      </c>
      <c r="L624" s="5" t="n">
        <v>23</v>
      </c>
      <c r="M624" s="5" t="n">
        <v>22</v>
      </c>
      <c r="N624" s="5">
        <f>J624+K624+L624+M624</f>
        <v/>
      </c>
      <c r="O624" s="5">
        <f>IF(ISNUMBER(N624),N624,"")</f>
        <v/>
      </c>
      <c r="P624" s="5">
        <f>_xlfn.RANK.EQ(O624,$O$2:$O$1031)</f>
        <v/>
      </c>
      <c r="Q624" s="9" t="n">
        <v>239.5</v>
      </c>
      <c r="R624" s="9" t="n">
        <v>41</v>
      </c>
      <c r="S624" s="9" t="n">
        <v>23</v>
      </c>
      <c r="T624" s="9" t="n">
        <v>25</v>
      </c>
      <c r="U624" s="9">
        <f>Q624+R624+S624+T624</f>
        <v/>
      </c>
      <c r="V624" s="9">
        <f>IF(ISNUMBER(U624),U624,"")</f>
        <v/>
      </c>
      <c r="W624" s="9">
        <f>_xlfn.RANK.EQ(V624,$V$2:$V$1031)</f>
        <v/>
      </c>
      <c r="X624" s="13" t="n">
        <v>1366.8541666667</v>
      </c>
      <c r="Y624" s="13" t="n">
        <v>24</v>
      </c>
      <c r="Z624" s="13" t="n">
        <v>25</v>
      </c>
      <c r="AA624" s="13" t="n">
        <v>20</v>
      </c>
      <c r="AB624" s="13">
        <f>IF(ISNUMBER(X624),X624+N(Y624)+N(Z624)+N(AA624),X624)</f>
        <v/>
      </c>
      <c r="AC624" s="13">
        <f>IF(ISNUMBER(AB624),AB624,"")</f>
        <v/>
      </c>
      <c r="AD624" s="13">
        <f>IF(ISNUMBER(AC624),_xlfn.RANK.EQ(AC624,$AC$2:$AC$1031),"")</f>
        <v/>
      </c>
      <c r="AE624" s="15">
        <f>IF(ISNUMBER(AF624),AF624/3630,"")</f>
        <v/>
      </c>
      <c r="AF624" s="14">
        <f>IFERROR(C624+D624+E624+F624+J624+K624+L624+M624+Q624+R624+S624+T624+IF(ISNUMBER(X624),X624,0)+N(Y624)+N(Z624)+N(AA624),"")</f>
        <v/>
      </c>
      <c r="AG624" s="14">
        <f>IF(ISNUMBER(AF624),AF624,"")</f>
        <v/>
      </c>
      <c r="AH624" s="14">
        <f>IF(ISNUMBER(AG624),_xlfn.RANK.EQ(AG624,$AG$2:$AG$1031),"")</f>
        <v/>
      </c>
    </row>
    <row r="625">
      <c r="A625" s="18" t="n">
        <v>1505</v>
      </c>
      <c r="B625" s="18" t="inlineStr">
        <is>
          <t>كمال محمد كمال علي</t>
        </is>
      </c>
      <c r="C625" s="1" t="n">
        <v>439</v>
      </c>
      <c r="D625" s="1" t="n">
        <v>23</v>
      </c>
      <c r="E625" s="1" t="n">
        <v>23</v>
      </c>
      <c r="F625" s="1" t="n">
        <v>21</v>
      </c>
      <c r="G625" s="1">
        <f>C625+D625+E625+F625</f>
        <v/>
      </c>
      <c r="H625" s="1">
        <f>IF(ISNUMBER(G625),G625,"")</f>
        <v/>
      </c>
      <c r="I625" s="1">
        <f>_xlfn.RANK.EQ(H625,$H$2:$H$1031)</f>
        <v/>
      </c>
      <c r="J625" s="5" t="n">
        <v>390</v>
      </c>
      <c r="K625" s="5" t="n">
        <v>39</v>
      </c>
      <c r="L625" s="5" t="n">
        <v>23</v>
      </c>
      <c r="M625" s="5" t="n">
        <v>22</v>
      </c>
      <c r="N625" s="5">
        <f>J625+K625+L625+M625</f>
        <v/>
      </c>
      <c r="O625" s="5">
        <f>IF(ISNUMBER(N625),N625,"")</f>
        <v/>
      </c>
      <c r="P625" s="5">
        <f>_xlfn.RANK.EQ(O625,$O$2:$O$1031)</f>
        <v/>
      </c>
      <c r="Q625" s="9" t="n">
        <v>140.75</v>
      </c>
      <c r="R625" s="9" t="n">
        <v>37.5</v>
      </c>
      <c r="S625" s="9" t="n">
        <v>22</v>
      </c>
      <c r="T625" s="9" t="n">
        <v>24</v>
      </c>
      <c r="U625" s="9">
        <f>Q625+R625+S625+T625</f>
        <v/>
      </c>
      <c r="V625" s="9">
        <f>IF(ISNUMBER(U625),U625,"")</f>
        <v/>
      </c>
      <c r="W625" s="9">
        <f>_xlfn.RANK.EQ(V625,$V$2:$V$1031)</f>
        <v/>
      </c>
      <c r="X625" s="13" t="inlineStr">
        <is>
          <t>راسب</t>
        </is>
      </c>
      <c r="Y625" s="13" t="n">
        <v>24</v>
      </c>
      <c r="Z625" s="13" t="n">
        <v>22</v>
      </c>
      <c r="AA625" s="13" t="n">
        <v>22</v>
      </c>
      <c r="AB625" s="13">
        <f>IF(ISNUMBER(X625),X625+N(Y625)+N(Z625)+N(AA625),X625)</f>
        <v/>
      </c>
      <c r="AC625" s="13">
        <f>IF(ISNUMBER(AB625),AB625,"")</f>
        <v/>
      </c>
      <c r="AD625" s="13">
        <f>IF(ISNUMBER(AC625),_xlfn.RANK.EQ(AC625,$AC$2:$AC$1031),"")</f>
        <v/>
      </c>
      <c r="AE625" s="15">
        <f>IF(ISNUMBER(AF625),AF625/3630,"")</f>
        <v/>
      </c>
      <c r="AF625" s="14">
        <f>IFERROR(C625+D625+E625+F625+J625+K625+L625+M625+Q625+R625+S625+T625+IF(ISNUMBER(X625),X625,0)+N(Y625)+N(Z625)+N(AA625),"")</f>
        <v/>
      </c>
      <c r="AG625" s="14">
        <f>IF(ISNUMBER(AF625),AF625,"")</f>
        <v/>
      </c>
      <c r="AH625" s="14">
        <f>IF(ISNUMBER(AG625),_xlfn.RANK.EQ(AG625,$AG$2:$AG$1031),"")</f>
        <v/>
      </c>
    </row>
    <row r="626">
      <c r="A626" s="18" t="n">
        <v>1508</v>
      </c>
      <c r="B626" s="18" t="inlineStr">
        <is>
          <t>كنزي عبد العزيز محمد النقيدي</t>
        </is>
      </c>
      <c r="C626" s="1" t="n">
        <v>615.1</v>
      </c>
      <c r="D626" s="1" t="n">
        <v>23</v>
      </c>
      <c r="E626" s="1" t="n">
        <v>24</v>
      </c>
      <c r="F626" s="1" t="n">
        <v>21</v>
      </c>
      <c r="G626" s="1">
        <f>C626+D626+E626+F626</f>
        <v/>
      </c>
      <c r="H626" s="1">
        <f>IF(ISNUMBER(G626),G626,"")</f>
        <v/>
      </c>
      <c r="I626" s="1">
        <f>_xlfn.RANK.EQ(H626,$H$2:$H$1031)</f>
        <v/>
      </c>
      <c r="J626" s="5" t="n">
        <v>598.05</v>
      </c>
      <c r="K626" s="5" t="n">
        <v>46</v>
      </c>
      <c r="L626" s="5" t="n">
        <v>21</v>
      </c>
      <c r="M626" s="5" t="n">
        <v>21</v>
      </c>
      <c r="N626" s="5">
        <f>J626+K626+L626+M626</f>
        <v/>
      </c>
      <c r="O626" s="5">
        <f>IF(ISNUMBER(N626),N626,"")</f>
        <v/>
      </c>
      <c r="P626" s="5">
        <f>_xlfn.RANK.EQ(O626,$O$2:$O$1031)</f>
        <v/>
      </c>
      <c r="Q626" s="9" t="n">
        <v>245.75</v>
      </c>
      <c r="R626" s="9" t="n">
        <v>46.5</v>
      </c>
      <c r="S626" s="9" t="n">
        <v>25</v>
      </c>
      <c r="T626" s="9" t="n">
        <v>24</v>
      </c>
      <c r="U626" s="9">
        <f>Q626+R626+S626+T626</f>
        <v/>
      </c>
      <c r="V626" s="9">
        <f>IF(ISNUMBER(U626),U626,"")</f>
        <v/>
      </c>
      <c r="W626" s="9">
        <f>_xlfn.RANK.EQ(V626,$V$2:$V$1031)</f>
        <v/>
      </c>
      <c r="X626" s="13" t="n">
        <v>1446.6</v>
      </c>
      <c r="Y626" s="13" t="n">
        <v>25</v>
      </c>
      <c r="Z626" s="13" t="n">
        <v>23</v>
      </c>
      <c r="AA626" s="13" t="n">
        <v>24</v>
      </c>
      <c r="AB626" s="13">
        <f>IF(ISNUMBER(X626),X626+N(Y626)+N(Z626)+N(AA626),X626)</f>
        <v/>
      </c>
      <c r="AC626" s="13">
        <f>IF(ISNUMBER(AB626),AB626,"")</f>
        <v/>
      </c>
      <c r="AD626" s="13">
        <f>IF(ISNUMBER(AC626),_xlfn.RANK.EQ(AC626,$AC$2:$AC$1031),"")</f>
        <v/>
      </c>
      <c r="AE626" s="15">
        <f>IF(ISNUMBER(AF626),AF626/3630,"")</f>
        <v/>
      </c>
      <c r="AF626" s="14">
        <f>IFERROR(C626+D626+E626+F626+J626+K626+L626+M626+Q626+R626+S626+T626+IF(ISNUMBER(X626),X626,0)+N(Y626)+N(Z626)+N(AA626),"")</f>
        <v/>
      </c>
      <c r="AG626" s="14">
        <f>IF(ISNUMBER(AF626),AF626,"")</f>
        <v/>
      </c>
      <c r="AH626" s="14">
        <f>IF(ISNUMBER(AG626),_xlfn.RANK.EQ(AG626,$AG$2:$AG$1031),"")</f>
        <v/>
      </c>
    </row>
    <row r="627">
      <c r="A627" s="18" t="n">
        <v>1509</v>
      </c>
      <c r="B627" s="18" t="inlineStr">
        <is>
          <t>كنزي عصام السيد أمين</t>
        </is>
      </c>
      <c r="C627" s="1" t="n">
        <v>559.3</v>
      </c>
      <c r="D627" s="1" t="n">
        <v>24</v>
      </c>
      <c r="E627" s="1" t="n">
        <v>24</v>
      </c>
      <c r="F627" s="1" t="n">
        <v>22</v>
      </c>
      <c r="G627" s="1">
        <f>C627+D627+E627+F627</f>
        <v/>
      </c>
      <c r="H627" s="1">
        <f>IF(ISNUMBER(G627),G627,"")</f>
        <v/>
      </c>
      <c r="I627" s="1">
        <f>_xlfn.RANK.EQ(H627,$H$2:$H$1031)</f>
        <v/>
      </c>
      <c r="J627" s="5" t="n">
        <v>575.55</v>
      </c>
      <c r="K627" s="5" t="n">
        <v>48</v>
      </c>
      <c r="L627" s="5" t="n">
        <v>21</v>
      </c>
      <c r="M627" s="5" t="n">
        <v>23</v>
      </c>
      <c r="N627" s="5">
        <f>J627+K627+L627+M627</f>
        <v/>
      </c>
      <c r="O627" s="5">
        <f>IF(ISNUMBER(N627),N627,"")</f>
        <v/>
      </c>
      <c r="P627" s="5">
        <f>_xlfn.RANK.EQ(O627,$O$2:$O$1031)</f>
        <v/>
      </c>
      <c r="Q627" s="9" t="inlineStr">
        <is>
          <t>راسب</t>
        </is>
      </c>
      <c r="R627" s="9" t="n">
        <v>46.5</v>
      </c>
      <c r="S627" s="9" t="n">
        <v>25</v>
      </c>
      <c r="T627" s="9" t="n">
        <v>24</v>
      </c>
      <c r="U627" s="9">
        <f>Q627+R627+S627+T627</f>
        <v/>
      </c>
      <c r="V627" s="9">
        <f>IF(ISNUMBER(U627),U627,"")</f>
        <v/>
      </c>
      <c r="W627" s="9">
        <f>_xlfn.RANK.EQ(V627,$V$2:$V$1031)</f>
        <v/>
      </c>
      <c r="X627" s="13" t="n">
        <v>1390.1583333333</v>
      </c>
      <c r="Y627" s="13" t="n">
        <v>25</v>
      </c>
      <c r="Z627" s="13" t="n">
        <v>25</v>
      </c>
      <c r="AA627" s="13" t="n">
        <v>23</v>
      </c>
      <c r="AB627" s="13">
        <f>IF(ISNUMBER(X627),X627+N(Y627)+N(Z627)+N(AA627),X627)</f>
        <v/>
      </c>
      <c r="AC627" s="13">
        <f>IF(ISNUMBER(AB627),AB627,"")</f>
        <v/>
      </c>
      <c r="AD627" s="13">
        <f>IF(ISNUMBER(AC627),_xlfn.RANK.EQ(AC627,$AC$2:$AC$1031),"")</f>
        <v/>
      </c>
      <c r="AE627" s="15">
        <f>IF(ISNUMBER(AF627),AF627/3630,"")</f>
        <v/>
      </c>
      <c r="AF627" s="14">
        <f>IFERROR(C627+D627+E627+F627+J627+K627+L627+M627+Q627+R627+S627+T627+IF(ISNUMBER(X627),X627,0)+N(Y627)+N(Z627)+N(AA627),"")</f>
        <v/>
      </c>
      <c r="AG627" s="14">
        <f>IF(ISNUMBER(AF627),AF627,"")</f>
        <v/>
      </c>
      <c r="AH627" s="14">
        <f>IF(ISNUMBER(AG627),_xlfn.RANK.EQ(AG627,$AG$2:$AG$1031),"")</f>
        <v/>
      </c>
    </row>
    <row r="628">
      <c r="A628" s="18" t="n">
        <v>1510</v>
      </c>
      <c r="B628" s="18" t="inlineStr">
        <is>
          <t>كنزي محمد حسين فرحات حسان</t>
        </is>
      </c>
      <c r="C628" s="1" t="n">
        <v>580.8</v>
      </c>
      <c r="D628" s="1" t="n">
        <v>25</v>
      </c>
      <c r="E628" s="1" t="n">
        <v>22</v>
      </c>
      <c r="F628" s="1" t="n">
        <v>21</v>
      </c>
      <c r="G628" s="1">
        <f>C628+D628+E628+F628</f>
        <v/>
      </c>
      <c r="H628" s="1">
        <f>IF(ISNUMBER(G628),G628,"")</f>
        <v/>
      </c>
      <c r="I628" s="1">
        <f>_xlfn.RANK.EQ(H628,$H$2:$H$1031)</f>
        <v/>
      </c>
      <c r="J628" s="5" t="n">
        <v>548.55</v>
      </c>
      <c r="K628" s="5" t="n">
        <v>40</v>
      </c>
      <c r="L628" s="5" t="n">
        <v>21</v>
      </c>
      <c r="M628" s="5" t="n">
        <v>23</v>
      </c>
      <c r="N628" s="5">
        <f>J628+K628+L628+M628</f>
        <v/>
      </c>
      <c r="O628" s="5">
        <f>IF(ISNUMBER(N628),N628,"")</f>
        <v/>
      </c>
      <c r="P628" s="5">
        <f>_xlfn.RANK.EQ(O628,$O$2:$O$1031)</f>
        <v/>
      </c>
      <c r="Q628" s="9" t="n">
        <v>239.5</v>
      </c>
      <c r="R628" s="9" t="n">
        <v>47</v>
      </c>
      <c r="S628" s="9" t="n">
        <v>23</v>
      </c>
      <c r="T628" s="9" t="n">
        <v>25</v>
      </c>
      <c r="U628" s="9">
        <f>Q628+R628+S628+T628</f>
        <v/>
      </c>
      <c r="V628" s="9">
        <f>IF(ISNUMBER(U628),U628,"")</f>
        <v/>
      </c>
      <c r="W628" s="9">
        <f>_xlfn.RANK.EQ(V628,$V$2:$V$1031)</f>
        <v/>
      </c>
      <c r="X628" s="13" t="n">
        <v>1300.7875</v>
      </c>
      <c r="Y628" s="13" t="n">
        <v>25</v>
      </c>
      <c r="Z628" s="13" t="n">
        <v>22</v>
      </c>
      <c r="AA628" s="13" t="n">
        <v>23</v>
      </c>
      <c r="AB628" s="13">
        <f>IF(ISNUMBER(X628),X628+N(Y628)+N(Z628)+N(AA628),X628)</f>
        <v/>
      </c>
      <c r="AC628" s="13">
        <f>IF(ISNUMBER(AB628),AB628,"")</f>
        <v/>
      </c>
      <c r="AD628" s="13">
        <f>IF(ISNUMBER(AC628),_xlfn.RANK.EQ(AC628,$AC$2:$AC$1031),"")</f>
        <v/>
      </c>
      <c r="AE628" s="15">
        <f>IF(ISNUMBER(AF628),AF628/3630,"")</f>
        <v/>
      </c>
      <c r="AF628" s="14">
        <f>IFERROR(C628+D628+E628+F628+J628+K628+L628+M628+Q628+R628+S628+T628+IF(ISNUMBER(X628),X628,0)+N(Y628)+N(Z628)+N(AA628),"")</f>
        <v/>
      </c>
      <c r="AG628" s="14">
        <f>IF(ISNUMBER(AF628),AF628,"")</f>
        <v/>
      </c>
      <c r="AH628" s="14">
        <f>IF(ISNUMBER(AG628),_xlfn.RANK.EQ(AG628,$AG$2:$AG$1031),"")</f>
        <v/>
      </c>
    </row>
    <row r="629">
      <c r="A629" s="18" t="n">
        <v>1511</v>
      </c>
      <c r="B629" s="18" t="inlineStr">
        <is>
          <t>كوثر حسين يوسف  خليل</t>
        </is>
      </c>
      <c r="C629" s="1" t="n">
        <v>560.9</v>
      </c>
      <c r="D629" s="1" t="n">
        <v>23</v>
      </c>
      <c r="E629" s="1" t="n">
        <v>17</v>
      </c>
      <c r="F629" s="1" t="n">
        <v>23</v>
      </c>
      <c r="G629" s="1">
        <f>C629+D629+E629+F629</f>
        <v/>
      </c>
      <c r="H629" s="1">
        <f>IF(ISNUMBER(G629),G629,"")</f>
        <v/>
      </c>
      <c r="I629" s="1">
        <f>_xlfn.RANK.EQ(H629,$H$2:$H$1031)</f>
        <v/>
      </c>
      <c r="J629" s="5" t="n">
        <v>544.05</v>
      </c>
      <c r="K629" s="5" t="n">
        <v>48</v>
      </c>
      <c r="L629" s="5" t="n">
        <v>21</v>
      </c>
      <c r="M629" s="5" t="n">
        <v>23</v>
      </c>
      <c r="N629" s="5">
        <f>J629+K629+L629+M629</f>
        <v/>
      </c>
      <c r="O629" s="5">
        <f>IF(ISNUMBER(N629),N629,"")</f>
        <v/>
      </c>
      <c r="P629" s="5">
        <f>_xlfn.RANK.EQ(O629,$O$2:$O$1031)</f>
        <v/>
      </c>
      <c r="Q629" s="9" t="n">
        <v>243.75</v>
      </c>
      <c r="R629" s="9" t="n">
        <v>43</v>
      </c>
      <c r="S629" s="9" t="n">
        <v>24</v>
      </c>
      <c r="T629" s="9" t="n">
        <v>25</v>
      </c>
      <c r="U629" s="9">
        <f>Q629+R629+S629+T629</f>
        <v/>
      </c>
      <c r="V629" s="9">
        <f>IF(ISNUMBER(U629),U629,"")</f>
        <v/>
      </c>
      <c r="W629" s="9">
        <f>_xlfn.RANK.EQ(V629,$V$2:$V$1031)</f>
        <v/>
      </c>
      <c r="X629" s="13" t="n">
        <v>1452.175</v>
      </c>
      <c r="Y629" s="13" t="n">
        <v>25</v>
      </c>
      <c r="Z629" s="13" t="n">
        <v>24</v>
      </c>
      <c r="AA629" s="13" t="n">
        <v>22</v>
      </c>
      <c r="AB629" s="13">
        <f>IF(ISNUMBER(X629),X629+N(Y629)+N(Z629)+N(AA629),X629)</f>
        <v/>
      </c>
      <c r="AC629" s="13">
        <f>IF(ISNUMBER(AB629),AB629,"")</f>
        <v/>
      </c>
      <c r="AD629" s="13">
        <f>IF(ISNUMBER(AC629),_xlfn.RANK.EQ(AC629,$AC$2:$AC$1031),"")</f>
        <v/>
      </c>
      <c r="AE629" s="15">
        <f>IF(ISNUMBER(AF629),AF629/3630,"")</f>
        <v/>
      </c>
      <c r="AF629" s="14">
        <f>IFERROR(C629+D629+E629+F629+J629+K629+L629+M629+Q629+R629+S629+T629+IF(ISNUMBER(X629),X629,0)+N(Y629)+N(Z629)+N(AA629),"")</f>
        <v/>
      </c>
      <c r="AG629" s="14">
        <f>IF(ISNUMBER(AF629),AF629,"")</f>
        <v/>
      </c>
      <c r="AH629" s="14">
        <f>IF(ISNUMBER(AG629),_xlfn.RANK.EQ(AG629,$AG$2:$AG$1031),"")</f>
        <v/>
      </c>
    </row>
    <row r="630">
      <c r="A630" s="18" t="n">
        <v>1512</v>
      </c>
      <c r="B630" s="18" t="inlineStr">
        <is>
          <t>كيرلس جورج الفونس جورجى</t>
        </is>
      </c>
      <c r="C630" s="1" t="n">
        <v>656</v>
      </c>
      <c r="D630" s="1" t="n">
        <v>25</v>
      </c>
      <c r="E630" s="1" t="n">
        <v>24</v>
      </c>
      <c r="F630" s="1" t="n">
        <v>24</v>
      </c>
      <c r="G630" s="1">
        <f>C630+D630+E630+F630</f>
        <v/>
      </c>
      <c r="H630" s="1">
        <f>IF(ISNUMBER(G630),G630,"")</f>
        <v/>
      </c>
      <c r="I630" s="1">
        <f>_xlfn.RANK.EQ(H630,$H$2:$H$1031)</f>
        <v/>
      </c>
      <c r="J630" s="5" t="n">
        <v>621.55</v>
      </c>
      <c r="K630" s="5" t="n">
        <v>48</v>
      </c>
      <c r="L630" s="5" t="n">
        <v>24</v>
      </c>
      <c r="M630" s="5" t="n">
        <v>24</v>
      </c>
      <c r="N630" s="5">
        <f>J630+K630+L630+M630</f>
        <v/>
      </c>
      <c r="O630" s="5">
        <f>IF(ISNUMBER(N630),N630,"")</f>
        <v/>
      </c>
      <c r="P630" s="5">
        <f>_xlfn.RANK.EQ(O630,$O$2:$O$1031)</f>
        <v/>
      </c>
      <c r="Q630" s="9" t="n">
        <v>260.75</v>
      </c>
      <c r="R630" s="9" t="n">
        <v>48.5</v>
      </c>
      <c r="S630" s="9" t="n">
        <v>25</v>
      </c>
      <c r="T630" s="9" t="n">
        <v>25</v>
      </c>
      <c r="U630" s="9">
        <f>Q630+R630+S630+T630</f>
        <v/>
      </c>
      <c r="V630" s="9">
        <f>IF(ISNUMBER(U630),U630,"")</f>
        <v/>
      </c>
      <c r="W630" s="9">
        <f>_xlfn.RANK.EQ(V630,$V$2:$V$1031)</f>
        <v/>
      </c>
      <c r="X630" s="13" t="n">
        <v>1512.05</v>
      </c>
      <c r="Y630" s="13" t="n">
        <v>25</v>
      </c>
      <c r="Z630" s="13" t="n">
        <v>24</v>
      </c>
      <c r="AA630" s="13" t="n">
        <v>23</v>
      </c>
      <c r="AB630" s="13">
        <f>IF(ISNUMBER(X630),X630+N(Y630)+N(Z630)+N(AA630),X630)</f>
        <v/>
      </c>
      <c r="AC630" s="13">
        <f>IF(ISNUMBER(AB630),AB630,"")</f>
        <v/>
      </c>
      <c r="AD630" s="13">
        <f>IF(ISNUMBER(AC630),_xlfn.RANK.EQ(AC630,$AC$2:$AC$1031),"")</f>
        <v/>
      </c>
      <c r="AE630" s="15">
        <f>IF(ISNUMBER(AF630),AF630/3630,"")</f>
        <v/>
      </c>
      <c r="AF630" s="14">
        <f>IFERROR(C630+D630+E630+F630+J630+K630+L630+M630+Q630+R630+S630+T630+IF(ISNUMBER(X630),X630,0)+N(Y630)+N(Z630)+N(AA630),"")</f>
        <v/>
      </c>
      <c r="AG630" s="14">
        <f>IF(ISNUMBER(AF630),AF630,"")</f>
        <v/>
      </c>
      <c r="AH630" s="14">
        <f>IF(ISNUMBER(AG630),_xlfn.RANK.EQ(AG630,$AG$2:$AG$1031),"")</f>
        <v/>
      </c>
    </row>
    <row r="631">
      <c r="A631" s="18" t="n">
        <v>1513</v>
      </c>
      <c r="B631" s="18" t="inlineStr">
        <is>
          <t>لارا عماد منيرميخائيل جرجس</t>
        </is>
      </c>
      <c r="C631" s="1" t="n">
        <v>478.9</v>
      </c>
      <c r="D631" s="1" t="n">
        <v>23</v>
      </c>
      <c r="E631" s="1" t="n">
        <v>19</v>
      </c>
      <c r="F631" s="1" t="n">
        <v>20</v>
      </c>
      <c r="G631" s="1">
        <f>C631+D631+E631+F631</f>
        <v/>
      </c>
      <c r="H631" s="1">
        <f>IF(ISNUMBER(G631),G631,"")</f>
        <v/>
      </c>
      <c r="I631" s="1">
        <f>_xlfn.RANK.EQ(H631,$H$2:$H$1031)</f>
        <v/>
      </c>
      <c r="J631" s="5" t="n">
        <v>514.05</v>
      </c>
      <c r="K631" s="5" t="n">
        <v>48</v>
      </c>
      <c r="L631" s="5" t="n">
        <v>22</v>
      </c>
      <c r="M631" s="5" t="n">
        <v>24</v>
      </c>
      <c r="N631" s="5">
        <f>J631+K631+L631+M631</f>
        <v/>
      </c>
      <c r="O631" s="5">
        <f>IF(ISNUMBER(N631),N631,"")</f>
        <v/>
      </c>
      <c r="P631" s="5">
        <f>_xlfn.RANK.EQ(O631,$O$2:$O$1031)</f>
        <v/>
      </c>
      <c r="Q631" s="9" t="n">
        <v>211.75</v>
      </c>
      <c r="R631" s="9" t="n">
        <v>42.5</v>
      </c>
      <c r="S631" s="9" t="n">
        <v>23</v>
      </c>
      <c r="T631" s="9" t="n">
        <v>25</v>
      </c>
      <c r="U631" s="9">
        <f>Q631+R631+S631+T631</f>
        <v/>
      </c>
      <c r="V631" s="9">
        <f>IF(ISNUMBER(U631),U631,"")</f>
        <v/>
      </c>
      <c r="W631" s="9">
        <f>_xlfn.RANK.EQ(V631,$V$2:$V$1031)</f>
        <v/>
      </c>
      <c r="X631" s="13" t="n">
        <v>1353.3958333333</v>
      </c>
      <c r="Y631" s="13" t="n">
        <v>25</v>
      </c>
      <c r="Z631" s="13" t="n">
        <v>24</v>
      </c>
      <c r="AA631" s="13" t="n">
        <v>24</v>
      </c>
      <c r="AB631" s="13">
        <f>IF(ISNUMBER(X631),X631+N(Y631)+N(Z631)+N(AA631),X631)</f>
        <v/>
      </c>
      <c r="AC631" s="13">
        <f>IF(ISNUMBER(AB631),AB631,"")</f>
        <v/>
      </c>
      <c r="AD631" s="13">
        <f>IF(ISNUMBER(AC631),_xlfn.RANK.EQ(AC631,$AC$2:$AC$1031),"")</f>
        <v/>
      </c>
      <c r="AE631" s="15">
        <f>IF(ISNUMBER(AF631),AF631/3630,"")</f>
        <v/>
      </c>
      <c r="AF631" s="14">
        <f>IFERROR(C631+D631+E631+F631+J631+K631+L631+M631+Q631+R631+S631+T631+IF(ISNUMBER(X631),X631,0)+N(Y631)+N(Z631)+N(AA631),"")</f>
        <v/>
      </c>
      <c r="AG631" s="14">
        <f>IF(ISNUMBER(AF631),AF631,"")</f>
        <v/>
      </c>
      <c r="AH631" s="14">
        <f>IF(ISNUMBER(AG631),_xlfn.RANK.EQ(AG631,$AG$2:$AG$1031),"")</f>
        <v/>
      </c>
    </row>
    <row r="632">
      <c r="A632" s="18" t="n">
        <v>1514</v>
      </c>
      <c r="B632" s="18" t="inlineStr">
        <is>
          <t>لارا وائل ابراهيم قبارى عبد الخالق</t>
        </is>
      </c>
      <c r="C632" s="1" t="n">
        <v>661</v>
      </c>
      <c r="D632" s="1" t="n">
        <v>25</v>
      </c>
      <c r="E632" s="1" t="n">
        <v>25</v>
      </c>
      <c r="F632" s="1" t="n">
        <v>24</v>
      </c>
      <c r="G632" s="1">
        <f>C632+D632+E632+F632</f>
        <v/>
      </c>
      <c r="H632" s="1">
        <f>IF(ISNUMBER(G632),G632,"")</f>
        <v/>
      </c>
      <c r="I632" s="1">
        <f>_xlfn.RANK.EQ(H632,$H$2:$H$1031)</f>
        <v/>
      </c>
      <c r="J632" s="5" t="n">
        <v>639.05</v>
      </c>
      <c r="K632" s="5" t="n">
        <v>49</v>
      </c>
      <c r="L632" s="5" t="n">
        <v>24</v>
      </c>
      <c r="M632" s="5" t="n">
        <v>24</v>
      </c>
      <c r="N632" s="5">
        <f>J632+K632+L632+M632</f>
        <v/>
      </c>
      <c r="O632" s="5">
        <f>IF(ISNUMBER(N632),N632,"")</f>
        <v/>
      </c>
      <c r="P632" s="5">
        <f>_xlfn.RANK.EQ(O632,$O$2:$O$1031)</f>
        <v/>
      </c>
      <c r="Q632" s="9" t="n">
        <v>294</v>
      </c>
      <c r="R632" s="9" t="n">
        <v>49</v>
      </c>
      <c r="S632" s="9" t="n">
        <v>25</v>
      </c>
      <c r="T632" s="9" t="n">
        <v>25</v>
      </c>
      <c r="U632" s="9">
        <f>Q632+R632+S632+T632</f>
        <v/>
      </c>
      <c r="V632" s="9">
        <f>IF(ISNUMBER(U632),U632,"")</f>
        <v/>
      </c>
      <c r="W632" s="9">
        <f>_xlfn.RANK.EQ(V632,$V$2:$V$1031)</f>
        <v/>
      </c>
      <c r="X632" s="13" t="n">
        <v>1571.2416666667</v>
      </c>
      <c r="Y632" s="13" t="n">
        <v>25</v>
      </c>
      <c r="Z632" s="13" t="n">
        <v>25</v>
      </c>
      <c r="AA632" s="13" t="n">
        <v>25</v>
      </c>
      <c r="AB632" s="13">
        <f>IF(ISNUMBER(X632),X632+N(Y632)+N(Z632)+N(AA632),X632)</f>
        <v/>
      </c>
      <c r="AC632" s="13">
        <f>IF(ISNUMBER(AB632),AB632,"")</f>
        <v/>
      </c>
      <c r="AD632" s="13">
        <f>IF(ISNUMBER(AC632),_xlfn.RANK.EQ(AC632,$AC$2:$AC$1031),"")</f>
        <v/>
      </c>
      <c r="AE632" s="15">
        <f>IF(ISNUMBER(AF632),AF632/3630,"")</f>
        <v/>
      </c>
      <c r="AF632" s="14">
        <f>IFERROR(C632+D632+E632+F632+J632+K632+L632+M632+Q632+R632+S632+T632+IF(ISNUMBER(X632),X632,0)+N(Y632)+N(Z632)+N(AA632),"")</f>
        <v/>
      </c>
      <c r="AG632" s="14">
        <f>IF(ISNUMBER(AF632),AF632,"")</f>
        <v/>
      </c>
      <c r="AH632" s="14">
        <f>IF(ISNUMBER(AG632),_xlfn.RANK.EQ(AG632,$AG$2:$AG$1031),"")</f>
        <v/>
      </c>
    </row>
    <row r="633">
      <c r="A633" s="18" t="n">
        <v>1515</v>
      </c>
      <c r="B633" s="18" t="inlineStr">
        <is>
          <t>لجين ابراهيم علام ابراهيم</t>
        </is>
      </c>
      <c r="C633" s="1" t="n">
        <v>493.4</v>
      </c>
      <c r="D633" s="1" t="n">
        <v>23</v>
      </c>
      <c r="E633" s="1" t="n">
        <v>20</v>
      </c>
      <c r="F633" s="1" t="n">
        <v>23</v>
      </c>
      <c r="G633" s="1">
        <f>C633+D633+E633+F633</f>
        <v/>
      </c>
      <c r="H633" s="1">
        <f>IF(ISNUMBER(G633),G633,"")</f>
        <v/>
      </c>
      <c r="I633" s="1">
        <f>_xlfn.RANK.EQ(H633,$H$2:$H$1031)</f>
        <v/>
      </c>
      <c r="J633" s="5" t="n">
        <v>532.05</v>
      </c>
      <c r="K633" s="5" t="n">
        <v>43</v>
      </c>
      <c r="L633" s="5" t="n">
        <v>22</v>
      </c>
      <c r="M633" s="5" t="n">
        <v>22</v>
      </c>
      <c r="N633" s="5">
        <f>J633+K633+L633+M633</f>
        <v/>
      </c>
      <c r="O633" s="5">
        <f>IF(ISNUMBER(N633),N633,"")</f>
        <v/>
      </c>
      <c r="P633" s="5">
        <f>_xlfn.RANK.EQ(O633,$O$2:$O$1031)</f>
        <v/>
      </c>
      <c r="Q633" s="9" t="n">
        <v>236.75</v>
      </c>
      <c r="R633" s="9" t="n">
        <v>38.5</v>
      </c>
      <c r="S633" s="9" t="n">
        <v>18</v>
      </c>
      <c r="T633" s="9" t="n">
        <v>25</v>
      </c>
      <c r="U633" s="9">
        <f>Q633+R633+S633+T633</f>
        <v/>
      </c>
      <c r="V633" s="9">
        <f>IF(ISNUMBER(U633),U633,"")</f>
        <v/>
      </c>
      <c r="W633" s="9">
        <f>_xlfn.RANK.EQ(V633,$V$2:$V$1031)</f>
        <v/>
      </c>
      <c r="X633" s="13" t="n">
        <v>1311.7083333333</v>
      </c>
      <c r="Y633" s="13" t="n">
        <v>24</v>
      </c>
      <c r="Z633" s="13" t="n">
        <v>22</v>
      </c>
      <c r="AA633" s="13" t="n">
        <v>25</v>
      </c>
      <c r="AB633" s="13">
        <f>IF(ISNUMBER(X633),X633+N(Y633)+N(Z633)+N(AA633),X633)</f>
        <v/>
      </c>
      <c r="AC633" s="13">
        <f>IF(ISNUMBER(AB633),AB633,"")</f>
        <v/>
      </c>
      <c r="AD633" s="13">
        <f>IF(ISNUMBER(AC633),_xlfn.RANK.EQ(AC633,$AC$2:$AC$1031),"")</f>
        <v/>
      </c>
      <c r="AE633" s="15">
        <f>IF(ISNUMBER(AF633),AF633/3630,"")</f>
        <v/>
      </c>
      <c r="AF633" s="14">
        <f>IFERROR(C633+D633+E633+F633+J633+K633+L633+M633+Q633+R633+S633+T633+IF(ISNUMBER(X633),X633,0)+N(Y633)+N(Z633)+N(AA633),"")</f>
        <v/>
      </c>
      <c r="AG633" s="14">
        <f>IF(ISNUMBER(AF633),AF633,"")</f>
        <v/>
      </c>
      <c r="AH633" s="14">
        <f>IF(ISNUMBER(AG633),_xlfn.RANK.EQ(AG633,$AG$2:$AG$1031),"")</f>
        <v/>
      </c>
    </row>
    <row r="634">
      <c r="A634" s="18" t="n">
        <v>1516</v>
      </c>
      <c r="B634" s="18" t="inlineStr">
        <is>
          <t>لجين ايهاب كمال حمامة</t>
        </is>
      </c>
      <c r="C634" s="1" t="n">
        <v>629.1</v>
      </c>
      <c r="D634" s="1" t="n">
        <v>25</v>
      </c>
      <c r="E634" s="1" t="n">
        <v>24</v>
      </c>
      <c r="F634" s="1" t="n">
        <v>23</v>
      </c>
      <c r="G634" s="1">
        <f>C634+D634+E634+F634</f>
        <v/>
      </c>
      <c r="H634" s="1">
        <f>IF(ISNUMBER(G634),G634,"")</f>
        <v/>
      </c>
      <c r="I634" s="1">
        <f>_xlfn.RANK.EQ(H634,$H$2:$H$1031)</f>
        <v/>
      </c>
      <c r="J634" s="5" t="n">
        <v>570.55</v>
      </c>
      <c r="K634" s="5" t="n">
        <v>47</v>
      </c>
      <c r="L634" s="5" t="n">
        <v>24</v>
      </c>
      <c r="M634" s="5" t="n">
        <v>22</v>
      </c>
      <c r="N634" s="5">
        <f>J634+K634+L634+M634</f>
        <v/>
      </c>
      <c r="O634" s="5">
        <f>IF(ISNUMBER(N634),N634,"")</f>
        <v/>
      </c>
      <c r="P634" s="5">
        <f>_xlfn.RANK.EQ(O634,$O$2:$O$1031)</f>
        <v/>
      </c>
      <c r="Q634" s="9" t="n">
        <v>255</v>
      </c>
      <c r="R634" s="9" t="n">
        <v>48.5</v>
      </c>
      <c r="S634" s="9" t="n">
        <v>24</v>
      </c>
      <c r="T634" s="9" t="n">
        <v>24</v>
      </c>
      <c r="U634" s="9">
        <f>Q634+R634+S634+T634</f>
        <v/>
      </c>
      <c r="V634" s="9">
        <f>IF(ISNUMBER(U634),U634,"")</f>
        <v/>
      </c>
      <c r="W634" s="9">
        <f>_xlfn.RANK.EQ(V634,$V$2:$V$1031)</f>
        <v/>
      </c>
      <c r="X634" s="13" t="inlineStr">
        <is>
          <t>غ ب</t>
        </is>
      </c>
      <c r="Y634" s="13" t="n">
        <v>24</v>
      </c>
      <c r="Z634" s="13" t="n">
        <v>23</v>
      </c>
      <c r="AA634" s="13" t="n">
        <v>24</v>
      </c>
      <c r="AB634" s="13">
        <f>IF(ISNUMBER(X634),X634+N(Y634)+N(Z634)+N(AA634),X634)</f>
        <v/>
      </c>
      <c r="AC634" s="13">
        <f>IF(ISNUMBER(AB634),AB634,"")</f>
        <v/>
      </c>
      <c r="AD634" s="13">
        <f>IF(ISNUMBER(AC634),_xlfn.RANK.EQ(AC634,$AC$2:$AC$1031),"")</f>
        <v/>
      </c>
      <c r="AE634" s="15">
        <f>IF(ISNUMBER(AF634),AF634/3630,"")</f>
        <v/>
      </c>
      <c r="AF634" s="14">
        <f>IFERROR(C634+D634+E634+F634+J634+K634+L634+M634+Q634+R634+S634+T634+IF(ISNUMBER(X634),X634,0)+N(Y634)+N(Z634)+N(AA634),"")</f>
        <v/>
      </c>
      <c r="AG634" s="14">
        <f>IF(ISNUMBER(AF634),AF634,"")</f>
        <v/>
      </c>
      <c r="AH634" s="14">
        <f>IF(ISNUMBER(AG634),_xlfn.RANK.EQ(AG634,$AG$2:$AG$1031),"")</f>
        <v/>
      </c>
    </row>
    <row r="635">
      <c r="A635" s="18" t="n">
        <v>1523</v>
      </c>
      <c r="B635" s="18" t="inlineStr">
        <is>
          <t>لجين محمد فؤاد محمد علي خضر</t>
        </is>
      </c>
      <c r="C635" s="1" t="n">
        <v>565.2</v>
      </c>
      <c r="D635" s="1" t="n">
        <v>23</v>
      </c>
      <c r="E635" s="1" t="n">
        <v>25</v>
      </c>
      <c r="F635" s="1" t="n">
        <v>22</v>
      </c>
      <c r="G635" s="1">
        <f>C635+D635+E635+F635</f>
        <v/>
      </c>
      <c r="H635" s="1">
        <f>IF(ISNUMBER(G635),G635,"")</f>
        <v/>
      </c>
      <c r="I635" s="1">
        <f>_xlfn.RANK.EQ(H635,$H$2:$H$1031)</f>
        <v/>
      </c>
      <c r="J635" s="5" t="n">
        <v>561.55</v>
      </c>
      <c r="K635" s="5" t="n">
        <v>47</v>
      </c>
      <c r="L635" s="5" t="n">
        <v>21</v>
      </c>
      <c r="M635" s="5" t="n">
        <v>19</v>
      </c>
      <c r="N635" s="5">
        <f>J635+K635+L635+M635</f>
        <v/>
      </c>
      <c r="O635" s="5">
        <f>IF(ISNUMBER(N635),N635,"")</f>
        <v/>
      </c>
      <c r="P635" s="5">
        <f>_xlfn.RANK.EQ(O635,$O$2:$O$1031)</f>
        <v/>
      </c>
      <c r="Q635" s="9" t="n">
        <v>256.75</v>
      </c>
      <c r="R635" s="9" t="n">
        <v>44</v>
      </c>
      <c r="S635" s="9" t="n">
        <v>25</v>
      </c>
      <c r="T635" s="9" t="n">
        <v>25</v>
      </c>
      <c r="U635" s="9">
        <f>Q635+R635+S635+T635</f>
        <v/>
      </c>
      <c r="V635" s="9">
        <f>IF(ISNUMBER(U635),U635,"")</f>
        <v/>
      </c>
      <c r="W635" s="9">
        <f>_xlfn.RANK.EQ(V635,$V$2:$V$1031)</f>
        <v/>
      </c>
      <c r="X635" s="13" t="n">
        <v>1428.1041666667</v>
      </c>
      <c r="Y635" s="13" t="n">
        <v>25</v>
      </c>
      <c r="Z635" s="13" t="n">
        <v>22</v>
      </c>
      <c r="AA635" s="13" t="n">
        <v>23</v>
      </c>
      <c r="AB635" s="13">
        <f>IF(ISNUMBER(X635),X635+N(Y635)+N(Z635)+N(AA635),X635)</f>
        <v/>
      </c>
      <c r="AC635" s="13">
        <f>IF(ISNUMBER(AB635),AB635,"")</f>
        <v/>
      </c>
      <c r="AD635" s="13">
        <f>IF(ISNUMBER(AC635),_xlfn.RANK.EQ(AC635,$AC$2:$AC$1031),"")</f>
        <v/>
      </c>
      <c r="AE635" s="15">
        <f>IF(ISNUMBER(AF635),AF635/3630,"")</f>
        <v/>
      </c>
      <c r="AF635" s="14">
        <f>IFERROR(C635+D635+E635+F635+J635+K635+L635+M635+Q635+R635+S635+T635+IF(ISNUMBER(X635),X635,0)+N(Y635)+N(Z635)+N(AA635),"")</f>
        <v/>
      </c>
      <c r="AG635" s="14">
        <f>IF(ISNUMBER(AF635),AF635,"")</f>
        <v/>
      </c>
      <c r="AH635" s="14">
        <f>IF(ISNUMBER(AG635),_xlfn.RANK.EQ(AG635,$AG$2:$AG$1031),"")</f>
        <v/>
      </c>
    </row>
    <row r="636">
      <c r="A636" s="18" t="n">
        <v>1528</v>
      </c>
      <c r="B636" s="18" t="inlineStr">
        <is>
          <t>لوجينا  حسين السيد السيد  ادريس</t>
        </is>
      </c>
      <c r="C636" s="1" t="n">
        <v>507.6</v>
      </c>
      <c r="D636" s="1" t="n">
        <v>25</v>
      </c>
      <c r="E636" s="1" t="n">
        <v>23</v>
      </c>
      <c r="F636" s="1" t="n">
        <v>21</v>
      </c>
      <c r="G636" s="1">
        <f>C636+D636+E636+F636</f>
        <v/>
      </c>
      <c r="H636" s="1">
        <f>IF(ISNUMBER(G636),G636,"")</f>
        <v/>
      </c>
      <c r="I636" s="1">
        <f>_xlfn.RANK.EQ(H636,$H$2:$H$1031)</f>
        <v/>
      </c>
      <c r="J636" s="5" t="n">
        <v>546.25</v>
      </c>
      <c r="K636" s="5" t="n">
        <v>43</v>
      </c>
      <c r="L636" s="5" t="n">
        <v>22</v>
      </c>
      <c r="M636" s="5" t="n">
        <v>21</v>
      </c>
      <c r="N636" s="5">
        <f>J636+K636+L636+M636</f>
        <v/>
      </c>
      <c r="O636" s="5">
        <f>IF(ISNUMBER(N636),N636,"")</f>
        <v/>
      </c>
      <c r="P636" s="5">
        <f>_xlfn.RANK.EQ(O636,$O$2:$O$1031)</f>
        <v/>
      </c>
      <c r="Q636" s="9" t="n">
        <v>231.75</v>
      </c>
      <c r="R636" s="9" t="n">
        <v>46</v>
      </c>
      <c r="S636" s="9" t="n">
        <v>24</v>
      </c>
      <c r="T636" s="9" t="n">
        <v>25</v>
      </c>
      <c r="U636" s="9">
        <f>Q636+R636+S636+T636</f>
        <v/>
      </c>
      <c r="V636" s="9">
        <f>IF(ISNUMBER(U636),U636,"")</f>
        <v/>
      </c>
      <c r="W636" s="9">
        <f>_xlfn.RANK.EQ(V636,$V$2:$V$1031)</f>
        <v/>
      </c>
      <c r="X636" s="13" t="n">
        <v>1323.9125</v>
      </c>
      <c r="Y636" s="13" t="n">
        <v>25</v>
      </c>
      <c r="Z636" s="13" t="n">
        <v>25</v>
      </c>
      <c r="AA636" s="13" t="n">
        <v>25</v>
      </c>
      <c r="AB636" s="13">
        <f>IF(ISNUMBER(X636),X636+N(Y636)+N(Z636)+N(AA636),X636)</f>
        <v/>
      </c>
      <c r="AC636" s="13">
        <f>IF(ISNUMBER(AB636),AB636,"")</f>
        <v/>
      </c>
      <c r="AD636" s="13">
        <f>IF(ISNUMBER(AC636),_xlfn.RANK.EQ(AC636,$AC$2:$AC$1031),"")</f>
        <v/>
      </c>
      <c r="AE636" s="15">
        <f>IF(ISNUMBER(AF636),AF636/3630,"")</f>
        <v/>
      </c>
      <c r="AF636" s="14">
        <f>IFERROR(C636+D636+E636+F636+J636+K636+L636+M636+Q636+R636+S636+T636+IF(ISNUMBER(X636),X636,0)+N(Y636)+N(Z636)+N(AA636),"")</f>
        <v/>
      </c>
      <c r="AG636" s="14">
        <f>IF(ISNUMBER(AF636),AF636,"")</f>
        <v/>
      </c>
      <c r="AH636" s="14">
        <f>IF(ISNUMBER(AG636),_xlfn.RANK.EQ(AG636,$AG$2:$AG$1031),"")</f>
        <v/>
      </c>
    </row>
    <row r="637">
      <c r="A637" s="18" t="n">
        <v>1529</v>
      </c>
      <c r="B637" s="18" t="inlineStr">
        <is>
          <t>لورينا بيرو سؤال يوسف خليل</t>
        </is>
      </c>
      <c r="C637" s="1" t="n">
        <v>584</v>
      </c>
      <c r="D637" s="1" t="n">
        <v>25</v>
      </c>
      <c r="E637" s="1" t="n">
        <v>25</v>
      </c>
      <c r="F637" s="1" t="n">
        <v>21</v>
      </c>
      <c r="G637" s="1">
        <f>C637+D637+E637+F637</f>
        <v/>
      </c>
      <c r="H637" s="1">
        <f>IF(ISNUMBER(G637),G637,"")</f>
        <v/>
      </c>
      <c r="I637" s="1">
        <f>_xlfn.RANK.EQ(H637,$H$2:$H$1031)</f>
        <v/>
      </c>
      <c r="J637" s="5" t="n">
        <v>582.75</v>
      </c>
      <c r="K637" s="5" t="n">
        <v>40</v>
      </c>
      <c r="L637" s="5" t="n">
        <v>23</v>
      </c>
      <c r="M637" s="5" t="n">
        <v>22</v>
      </c>
      <c r="N637" s="5">
        <f>J637+K637+L637+M637</f>
        <v/>
      </c>
      <c r="O637" s="5">
        <f>IF(ISNUMBER(N637),N637,"")</f>
        <v/>
      </c>
      <c r="P637" s="5">
        <f>_xlfn.RANK.EQ(O637,$O$2:$O$1031)</f>
        <v/>
      </c>
      <c r="Q637" s="9" t="n">
        <v>253.5</v>
      </c>
      <c r="R637" s="9" t="n">
        <v>44</v>
      </c>
      <c r="S637" s="9" t="n">
        <v>19</v>
      </c>
      <c r="T637" s="9" t="n">
        <v>25</v>
      </c>
      <c r="U637" s="9">
        <f>Q637+R637+S637+T637</f>
        <v/>
      </c>
      <c r="V637" s="9">
        <f>IF(ISNUMBER(U637),U637,"")</f>
        <v/>
      </c>
      <c r="W637" s="9">
        <f>_xlfn.RANK.EQ(V637,$V$2:$V$1031)</f>
        <v/>
      </c>
      <c r="X637" s="13" t="n">
        <v>1451.2625</v>
      </c>
      <c r="Y637" s="13" t="n">
        <v>24</v>
      </c>
      <c r="Z637" s="13" t="n">
        <v>24</v>
      </c>
      <c r="AA637" s="13" t="n">
        <v>23</v>
      </c>
      <c r="AB637" s="13">
        <f>IF(ISNUMBER(X637),X637+N(Y637)+N(Z637)+N(AA637),X637)</f>
        <v/>
      </c>
      <c r="AC637" s="13">
        <f>IF(ISNUMBER(AB637),AB637,"")</f>
        <v/>
      </c>
      <c r="AD637" s="13">
        <f>IF(ISNUMBER(AC637),_xlfn.RANK.EQ(AC637,$AC$2:$AC$1031),"")</f>
        <v/>
      </c>
      <c r="AE637" s="15">
        <f>IF(ISNUMBER(AF637),AF637/3630,"")</f>
        <v/>
      </c>
      <c r="AF637" s="14">
        <f>IFERROR(C637+D637+E637+F637+J637+K637+L637+M637+Q637+R637+S637+T637+IF(ISNUMBER(X637),X637,0)+N(Y637)+N(Z637)+N(AA637),"")</f>
        <v/>
      </c>
      <c r="AG637" s="14">
        <f>IF(ISNUMBER(AF637),AF637,"")</f>
        <v/>
      </c>
      <c r="AH637" s="14">
        <f>IF(ISNUMBER(AG637),_xlfn.RANK.EQ(AG637,$AG$2:$AG$1031),"")</f>
        <v/>
      </c>
    </row>
    <row r="638">
      <c r="A638" s="18" t="n">
        <v>1543</v>
      </c>
      <c r="B638" s="18" t="inlineStr">
        <is>
          <t>ليلى أبوبكر عطيه حتيته</t>
        </is>
      </c>
      <c r="C638" s="1" t="n">
        <v>614.6</v>
      </c>
      <c r="D638" s="1" t="n">
        <v>25</v>
      </c>
      <c r="E638" s="1" t="n">
        <v>25</v>
      </c>
      <c r="F638" s="1" t="n">
        <v>22</v>
      </c>
      <c r="G638" s="1">
        <f>C638+D638+E638+F638</f>
        <v/>
      </c>
      <c r="H638" s="1">
        <f>IF(ISNUMBER(G638),G638,"")</f>
        <v/>
      </c>
      <c r="I638" s="1">
        <f>_xlfn.RANK.EQ(H638,$H$2:$H$1031)</f>
        <v/>
      </c>
      <c r="J638" s="5" t="n">
        <v>600.25</v>
      </c>
      <c r="K638" s="5" t="n">
        <v>45</v>
      </c>
      <c r="L638" s="5" t="n">
        <v>19</v>
      </c>
      <c r="M638" s="5" t="n">
        <v>20</v>
      </c>
      <c r="N638" s="5">
        <f>J638+K638+L638+M638</f>
        <v/>
      </c>
      <c r="O638" s="5">
        <f>IF(ISNUMBER(N638),N638,"")</f>
        <v/>
      </c>
      <c r="P638" s="5">
        <f>_xlfn.RANK.EQ(O638,$O$2:$O$1031)</f>
        <v/>
      </c>
      <c r="Q638" s="9" t="n">
        <v>261.75</v>
      </c>
      <c r="R638" s="9" t="n">
        <v>43.5</v>
      </c>
      <c r="S638" s="9" t="n">
        <v>25</v>
      </c>
      <c r="T638" s="9" t="n">
        <v>23</v>
      </c>
      <c r="U638" s="9">
        <f>Q638+R638+S638+T638</f>
        <v/>
      </c>
      <c r="V638" s="9">
        <f>IF(ISNUMBER(U638),U638,"")</f>
        <v/>
      </c>
      <c r="W638" s="9">
        <f>_xlfn.RANK.EQ(V638,$V$2:$V$1031)</f>
        <v/>
      </c>
      <c r="X638" s="13" t="n">
        <v>1396.8083333333</v>
      </c>
      <c r="Y638" s="13" t="n">
        <v>24</v>
      </c>
      <c r="Z638" s="13" t="n">
        <v>24</v>
      </c>
      <c r="AA638" s="13" t="n">
        <v>23</v>
      </c>
      <c r="AB638" s="13">
        <f>IF(ISNUMBER(X638),X638+N(Y638)+N(Z638)+N(AA638),X638)</f>
        <v/>
      </c>
      <c r="AC638" s="13">
        <f>IF(ISNUMBER(AB638),AB638,"")</f>
        <v/>
      </c>
      <c r="AD638" s="13">
        <f>IF(ISNUMBER(AC638),_xlfn.RANK.EQ(AC638,$AC$2:$AC$1031),"")</f>
        <v/>
      </c>
      <c r="AE638" s="15">
        <f>IF(ISNUMBER(AF638),AF638/3630,"")</f>
        <v/>
      </c>
      <c r="AF638" s="14">
        <f>IFERROR(C638+D638+E638+F638+J638+K638+L638+M638+Q638+R638+S638+T638+IF(ISNUMBER(X638),X638,0)+N(Y638)+N(Z638)+N(AA638),"")</f>
        <v/>
      </c>
      <c r="AG638" s="14">
        <f>IF(ISNUMBER(AF638),AF638,"")</f>
        <v/>
      </c>
      <c r="AH638" s="14">
        <f>IF(ISNUMBER(AG638),_xlfn.RANK.EQ(AG638,$AG$2:$AG$1031),"")</f>
        <v/>
      </c>
    </row>
    <row r="639">
      <c r="A639" s="18" t="n">
        <v>1544</v>
      </c>
      <c r="B639" s="18" t="inlineStr">
        <is>
          <t>ليلى محمد محمود اسماعيل خليف</t>
        </is>
      </c>
      <c r="C639" s="1" t="n">
        <v>459.1</v>
      </c>
      <c r="D639" s="1" t="n">
        <v>23</v>
      </c>
      <c r="E639" s="1" t="n">
        <v>22</v>
      </c>
      <c r="F639" s="1" t="n">
        <v>20</v>
      </c>
      <c r="G639" s="1">
        <f>C639+D639+E639+F639</f>
        <v/>
      </c>
      <c r="H639" s="1">
        <f>IF(ISNUMBER(G639),G639,"")</f>
        <v/>
      </c>
      <c r="I639" s="1">
        <f>_xlfn.RANK.EQ(H639,$H$2:$H$1031)</f>
        <v/>
      </c>
      <c r="J639" s="5" t="n">
        <v>467.25</v>
      </c>
      <c r="K639" s="5" t="n">
        <v>43</v>
      </c>
      <c r="L639" s="5" t="n">
        <v>23</v>
      </c>
      <c r="M639" s="5" t="n">
        <v>22</v>
      </c>
      <c r="N639" s="5">
        <f>J639+K639+L639+M639</f>
        <v/>
      </c>
      <c r="O639" s="5">
        <f>IF(ISNUMBER(N639),N639,"")</f>
        <v/>
      </c>
      <c r="P639" s="5">
        <f>_xlfn.RANK.EQ(O639,$O$2:$O$1031)</f>
        <v/>
      </c>
      <c r="Q639" s="9" t="n">
        <v>213.75</v>
      </c>
      <c r="R639" s="9" t="n">
        <v>44</v>
      </c>
      <c r="S639" s="9" t="n">
        <v>24</v>
      </c>
      <c r="T639" s="9" t="n">
        <v>25</v>
      </c>
      <c r="U639" s="9">
        <f>Q639+R639+S639+T639</f>
        <v/>
      </c>
      <c r="V639" s="9">
        <f>IF(ISNUMBER(U639),U639,"")</f>
        <v/>
      </c>
      <c r="W639" s="9">
        <f>_xlfn.RANK.EQ(V639,$V$2:$V$1031)</f>
        <v/>
      </c>
      <c r="X639" s="13" t="n">
        <v>1275.6083333333</v>
      </c>
      <c r="Y639" s="13" t="n">
        <v>24</v>
      </c>
      <c r="Z639" s="13" t="n">
        <v>25</v>
      </c>
      <c r="AA639" s="13" t="n">
        <v>22</v>
      </c>
      <c r="AB639" s="13">
        <f>IF(ISNUMBER(X639),X639+N(Y639)+N(Z639)+N(AA639),X639)</f>
        <v/>
      </c>
      <c r="AC639" s="13">
        <f>IF(ISNUMBER(AB639),AB639,"")</f>
        <v/>
      </c>
      <c r="AD639" s="13">
        <f>IF(ISNUMBER(AC639),_xlfn.RANK.EQ(AC639,$AC$2:$AC$1031),"")</f>
        <v/>
      </c>
      <c r="AE639" s="15">
        <f>IF(ISNUMBER(AF639),AF639/3630,"")</f>
        <v/>
      </c>
      <c r="AF639" s="14">
        <f>IFERROR(C639+D639+E639+F639+J639+K639+L639+M639+Q639+R639+S639+T639+IF(ISNUMBER(X639),X639,0)+N(Y639)+N(Z639)+N(AA639),"")</f>
        <v/>
      </c>
      <c r="AG639" s="14">
        <f>IF(ISNUMBER(AF639),AF639,"")</f>
        <v/>
      </c>
      <c r="AH639" s="14">
        <f>IF(ISNUMBER(AG639),_xlfn.RANK.EQ(AG639,$AG$2:$AG$1031),"")</f>
        <v/>
      </c>
    </row>
    <row r="640">
      <c r="A640" s="18" t="n">
        <v>1548</v>
      </c>
      <c r="B640" s="18" t="inlineStr">
        <is>
          <t>لينا احمد فاروق عبد العزيز خضر</t>
        </is>
      </c>
      <c r="C640" s="1" t="n">
        <v>523.3</v>
      </c>
      <c r="D640" s="1" t="n">
        <v>24</v>
      </c>
      <c r="E640" s="1" t="n">
        <v>24</v>
      </c>
      <c r="F640" s="1" t="n">
        <v>22</v>
      </c>
      <c r="G640" s="1">
        <f>C640+D640+E640+F640</f>
        <v/>
      </c>
      <c r="H640" s="1">
        <f>IF(ISNUMBER(G640),G640,"")</f>
        <v/>
      </c>
      <c r="I640" s="1">
        <f>_xlfn.RANK.EQ(H640,$H$2:$H$1031)</f>
        <v/>
      </c>
      <c r="J640" s="5" t="n">
        <v>506.25</v>
      </c>
      <c r="K640" s="5" t="n">
        <v>40</v>
      </c>
      <c r="L640" s="5" t="n">
        <v>25</v>
      </c>
      <c r="M640" s="5" t="n">
        <v>21</v>
      </c>
      <c r="N640" s="5">
        <f>J640+K640+L640+M640</f>
        <v/>
      </c>
      <c r="O640" s="5">
        <f>IF(ISNUMBER(N640),N640,"")</f>
        <v/>
      </c>
      <c r="P640" s="5">
        <f>_xlfn.RANK.EQ(O640,$O$2:$O$1031)</f>
        <v/>
      </c>
      <c r="Q640" s="9" t="n">
        <v>174.75</v>
      </c>
      <c r="R640" s="9" t="n">
        <v>37</v>
      </c>
      <c r="S640" s="9" t="n">
        <v>24</v>
      </c>
      <c r="T640" s="9" t="n">
        <v>25</v>
      </c>
      <c r="U640" s="9">
        <f>Q640+R640+S640+T640</f>
        <v/>
      </c>
      <c r="V640" s="9">
        <f>IF(ISNUMBER(U640),U640,"")</f>
        <v/>
      </c>
      <c r="W640" s="9">
        <f>_xlfn.RANK.EQ(V640,$V$2:$V$1031)</f>
        <v/>
      </c>
      <c r="X640" s="13" t="n">
        <v>1258.3291666667</v>
      </c>
      <c r="Y640" s="13" t="n">
        <v>24</v>
      </c>
      <c r="Z640" s="13" t="n">
        <v>24</v>
      </c>
      <c r="AA640" s="13" t="n">
        <v>22</v>
      </c>
      <c r="AB640" s="13">
        <f>IF(ISNUMBER(X640),X640+N(Y640)+N(Z640)+N(AA640),X640)</f>
        <v/>
      </c>
      <c r="AC640" s="13">
        <f>IF(ISNUMBER(AB640),AB640,"")</f>
        <v/>
      </c>
      <c r="AD640" s="13">
        <f>IF(ISNUMBER(AC640),_xlfn.RANK.EQ(AC640,$AC$2:$AC$1031),"")</f>
        <v/>
      </c>
      <c r="AE640" s="15">
        <f>IF(ISNUMBER(AF640),AF640/3630,"")</f>
        <v/>
      </c>
      <c r="AF640" s="14">
        <f>IFERROR(C640+D640+E640+F640+J640+K640+L640+M640+Q640+R640+S640+T640+IF(ISNUMBER(X640),X640,0)+N(Y640)+N(Z640)+N(AA640),"")</f>
        <v/>
      </c>
      <c r="AG640" s="14">
        <f>IF(ISNUMBER(AF640),AF640,"")</f>
        <v/>
      </c>
      <c r="AH640" s="14">
        <f>IF(ISNUMBER(AG640),_xlfn.RANK.EQ(AG640,$AG$2:$AG$1031),"")</f>
        <v/>
      </c>
    </row>
    <row r="641">
      <c r="A641" s="18" t="n">
        <v>1553</v>
      </c>
      <c r="B641" s="18" t="inlineStr">
        <is>
          <t>لينه حازم اسماعيل على</t>
        </is>
      </c>
      <c r="C641" s="1" t="n">
        <v>568.8</v>
      </c>
      <c r="D641" s="1" t="n">
        <v>25</v>
      </c>
      <c r="E641" s="1" t="n">
        <v>25</v>
      </c>
      <c r="F641" s="1" t="n">
        <v>25</v>
      </c>
      <c r="G641" s="1">
        <f>C641+D641+E641+F641</f>
        <v/>
      </c>
      <c r="H641" s="1">
        <f>IF(ISNUMBER(G641),G641,"")</f>
        <v/>
      </c>
      <c r="I641" s="1">
        <f>_xlfn.RANK.EQ(H641,$H$2:$H$1031)</f>
        <v/>
      </c>
      <c r="J641" s="5" t="n">
        <v>560.25</v>
      </c>
      <c r="K641" s="5" t="n">
        <v>42</v>
      </c>
      <c r="L641" s="5" t="n">
        <v>20</v>
      </c>
      <c r="M641" s="5" t="n">
        <v>23</v>
      </c>
      <c r="N641" s="5">
        <f>J641+K641+L641+M641</f>
        <v/>
      </c>
      <c r="O641" s="5">
        <f>IF(ISNUMBER(N641),N641,"")</f>
        <v/>
      </c>
      <c r="P641" s="5">
        <f>_xlfn.RANK.EQ(O641,$O$2:$O$1031)</f>
        <v/>
      </c>
      <c r="Q641" s="9" t="n">
        <v>241</v>
      </c>
      <c r="R641" s="9" t="n">
        <v>46.5</v>
      </c>
      <c r="S641" s="9" t="n">
        <v>25</v>
      </c>
      <c r="T641" s="9" t="n">
        <v>25</v>
      </c>
      <c r="U641" s="9">
        <f>Q641+R641+S641+T641</f>
        <v/>
      </c>
      <c r="V641" s="9">
        <f>IF(ISNUMBER(U641),U641,"")</f>
        <v/>
      </c>
      <c r="W641" s="9">
        <f>_xlfn.RANK.EQ(V641,$V$2:$V$1031)</f>
        <v/>
      </c>
      <c r="X641" s="13" t="n">
        <v>1430.275</v>
      </c>
      <c r="Y641" s="13" t="n">
        <v>24</v>
      </c>
      <c r="Z641" s="13" t="n">
        <v>25</v>
      </c>
      <c r="AA641" s="13" t="n">
        <v>25</v>
      </c>
      <c r="AB641" s="13">
        <f>IF(ISNUMBER(X641),X641+N(Y641)+N(Z641)+N(AA641),X641)</f>
        <v/>
      </c>
      <c r="AC641" s="13">
        <f>IF(ISNUMBER(AB641),AB641,"")</f>
        <v/>
      </c>
      <c r="AD641" s="13">
        <f>IF(ISNUMBER(AC641),_xlfn.RANK.EQ(AC641,$AC$2:$AC$1031),"")</f>
        <v/>
      </c>
      <c r="AE641" s="15">
        <f>IF(ISNUMBER(AF641),AF641/3630,"")</f>
        <v/>
      </c>
      <c r="AF641" s="14">
        <f>IFERROR(C641+D641+E641+F641+J641+K641+L641+M641+Q641+R641+S641+T641+IF(ISNUMBER(X641),X641,0)+N(Y641)+N(Z641)+N(AA641),"")</f>
        <v/>
      </c>
      <c r="AG641" s="14">
        <f>IF(ISNUMBER(AF641),AF641,"")</f>
        <v/>
      </c>
      <c r="AH641" s="14">
        <f>IF(ISNUMBER(AG641),_xlfn.RANK.EQ(AG641,$AG$2:$AG$1031),"")</f>
        <v/>
      </c>
    </row>
    <row r="642">
      <c r="A642" s="18" t="n">
        <v>1554</v>
      </c>
      <c r="B642" s="18" t="inlineStr">
        <is>
          <t>لينه ضياء ابو الحجاج محمد مصطفى</t>
        </is>
      </c>
      <c r="C642" s="1" t="n">
        <v>626.6</v>
      </c>
      <c r="D642" s="1" t="n">
        <v>24</v>
      </c>
      <c r="E642" s="1" t="n">
        <v>25</v>
      </c>
      <c r="F642" s="1" t="n">
        <v>25</v>
      </c>
      <c r="G642" s="1">
        <f>C642+D642+E642+F642</f>
        <v/>
      </c>
      <c r="H642" s="1">
        <f>IF(ISNUMBER(G642),G642,"")</f>
        <v/>
      </c>
      <c r="I642" s="1">
        <f>_xlfn.RANK.EQ(H642,$H$2:$H$1031)</f>
        <v/>
      </c>
      <c r="J642" s="5" t="n">
        <v>624.25</v>
      </c>
      <c r="K642" s="5" t="n">
        <v>42</v>
      </c>
      <c r="L642" s="5" t="n">
        <v>23</v>
      </c>
      <c r="M642" s="5" t="n">
        <v>24</v>
      </c>
      <c r="N642" s="5">
        <f>J642+K642+L642+M642</f>
        <v/>
      </c>
      <c r="O642" s="5">
        <f>IF(ISNUMBER(N642),N642,"")</f>
        <v/>
      </c>
      <c r="P642" s="5">
        <f>_xlfn.RANK.EQ(O642,$O$2:$O$1031)</f>
        <v/>
      </c>
      <c r="Q642" s="9" t="n">
        <v>259.75</v>
      </c>
      <c r="R642" s="9" t="n">
        <v>49</v>
      </c>
      <c r="S642" s="9" t="n">
        <v>25</v>
      </c>
      <c r="T642" s="9" t="n">
        <v>25</v>
      </c>
      <c r="U642" s="9">
        <f>Q642+R642+S642+T642</f>
        <v/>
      </c>
      <c r="V642" s="9">
        <f>IF(ISNUMBER(U642),U642,"")</f>
        <v/>
      </c>
      <c r="W642" s="9">
        <f>_xlfn.RANK.EQ(V642,$V$2:$V$1031)</f>
        <v/>
      </c>
      <c r="X642" s="13" t="n">
        <v>1490.8583333333</v>
      </c>
      <c r="Y642" s="13" t="n">
        <v>25</v>
      </c>
      <c r="Z642" s="13" t="n">
        <v>25</v>
      </c>
      <c r="AA642" s="13" t="n">
        <v>24</v>
      </c>
      <c r="AB642" s="13">
        <f>IF(ISNUMBER(X642),X642+N(Y642)+N(Z642)+N(AA642),X642)</f>
        <v/>
      </c>
      <c r="AC642" s="13">
        <f>IF(ISNUMBER(AB642),AB642,"")</f>
        <v/>
      </c>
      <c r="AD642" s="13">
        <f>IF(ISNUMBER(AC642),_xlfn.RANK.EQ(AC642,$AC$2:$AC$1031),"")</f>
        <v/>
      </c>
      <c r="AE642" s="15">
        <f>IF(ISNUMBER(AF642),AF642/3630,"")</f>
        <v/>
      </c>
      <c r="AF642" s="14">
        <f>IFERROR(C642+D642+E642+F642+J642+K642+L642+M642+Q642+R642+S642+T642+IF(ISNUMBER(X642),X642,0)+N(Y642)+N(Z642)+N(AA642),"")</f>
        <v/>
      </c>
      <c r="AG642" s="14">
        <f>IF(ISNUMBER(AF642),AF642,"")</f>
        <v/>
      </c>
      <c r="AH642" s="14">
        <f>IF(ISNUMBER(AG642),_xlfn.RANK.EQ(AG642,$AG$2:$AG$1031),"")</f>
        <v/>
      </c>
    </row>
    <row r="643">
      <c r="A643" s="18" t="n">
        <v>1555</v>
      </c>
      <c r="B643" s="18" t="inlineStr">
        <is>
          <t>لينه محمد حسن شحاته حسنين</t>
        </is>
      </c>
      <c r="C643" s="1" t="n">
        <v>630</v>
      </c>
      <c r="D643" s="1" t="n">
        <v>24</v>
      </c>
      <c r="E643" s="1" t="n">
        <v>25</v>
      </c>
      <c r="F643" s="1" t="n">
        <v>23</v>
      </c>
      <c r="G643" s="1">
        <f>C643+D643+E643+F643</f>
        <v/>
      </c>
      <c r="H643" s="1">
        <f>IF(ISNUMBER(G643),G643,"")</f>
        <v/>
      </c>
      <c r="I643" s="1">
        <f>_xlfn.RANK.EQ(H643,$H$2:$H$1031)</f>
        <v/>
      </c>
      <c r="J643" s="5" t="n">
        <v>617.75</v>
      </c>
      <c r="K643" s="5" t="n">
        <v>46</v>
      </c>
      <c r="L643" s="5" t="n">
        <v>19</v>
      </c>
      <c r="M643" s="5" t="n">
        <v>24</v>
      </c>
      <c r="N643" s="5">
        <f>J643+K643+L643+M643</f>
        <v/>
      </c>
      <c r="O643" s="5">
        <f>IF(ISNUMBER(N643),N643,"")</f>
        <v/>
      </c>
      <c r="P643" s="5">
        <f>_xlfn.RANK.EQ(O643,$O$2:$O$1031)</f>
        <v/>
      </c>
      <c r="Q643" s="9" t="n">
        <v>276</v>
      </c>
      <c r="R643" s="9" t="n">
        <v>48</v>
      </c>
      <c r="S643" s="9" t="n">
        <v>25</v>
      </c>
      <c r="T643" s="9" t="n">
        <v>25</v>
      </c>
      <c r="U643" s="9">
        <f>Q643+R643+S643+T643</f>
        <v/>
      </c>
      <c r="V643" s="9">
        <f>IF(ISNUMBER(U643),U643,"")</f>
        <v/>
      </c>
      <c r="W643" s="9">
        <f>_xlfn.RANK.EQ(V643,$V$2:$V$1031)</f>
        <v/>
      </c>
      <c r="X643" s="13" t="n">
        <v>1538.5291666667</v>
      </c>
      <c r="Y643" s="13" t="n">
        <v>24</v>
      </c>
      <c r="Z643" s="13" t="n">
        <v>25</v>
      </c>
      <c r="AA643" s="13" t="n">
        <v>23</v>
      </c>
      <c r="AB643" s="13">
        <f>IF(ISNUMBER(X643),X643+N(Y643)+N(Z643)+N(AA643),X643)</f>
        <v/>
      </c>
      <c r="AC643" s="13">
        <f>IF(ISNUMBER(AB643),AB643,"")</f>
        <v/>
      </c>
      <c r="AD643" s="13">
        <f>IF(ISNUMBER(AC643),_xlfn.RANK.EQ(AC643,$AC$2:$AC$1031),"")</f>
        <v/>
      </c>
      <c r="AE643" s="15">
        <f>IF(ISNUMBER(AF643),AF643/3630,"")</f>
        <v/>
      </c>
      <c r="AF643" s="14">
        <f>IFERROR(C643+D643+E643+F643+J643+K643+L643+M643+Q643+R643+S643+T643+IF(ISNUMBER(X643),X643,0)+N(Y643)+N(Z643)+N(AA643),"")</f>
        <v/>
      </c>
      <c r="AG643" s="14">
        <f>IF(ISNUMBER(AF643),AF643,"")</f>
        <v/>
      </c>
      <c r="AH643" s="14">
        <f>IF(ISNUMBER(AG643),_xlfn.RANK.EQ(AG643,$AG$2:$AG$1031),"")</f>
        <v/>
      </c>
    </row>
    <row r="644">
      <c r="A644" s="18" t="n">
        <v>1556</v>
      </c>
      <c r="B644" s="18" t="inlineStr">
        <is>
          <t>لينه مصطفى محمد الشحات</t>
        </is>
      </c>
      <c r="C644" s="1" t="n">
        <v>511</v>
      </c>
      <c r="D644" s="1" t="n">
        <v>24</v>
      </c>
      <c r="E644" s="1" t="n">
        <v>20</v>
      </c>
      <c r="F644" s="1" t="n">
        <v>22</v>
      </c>
      <c r="G644" s="1">
        <f>C644+D644+E644+F644</f>
        <v/>
      </c>
      <c r="H644" s="1">
        <f>IF(ISNUMBER(G644),G644,"")</f>
        <v/>
      </c>
      <c r="I644" s="1">
        <f>_xlfn.RANK.EQ(H644,$H$2:$H$1031)</f>
        <v/>
      </c>
      <c r="J644" s="5" t="n">
        <v>488.75</v>
      </c>
      <c r="K644" s="5" t="n">
        <v>42</v>
      </c>
      <c r="L644" s="5" t="n">
        <v>22</v>
      </c>
      <c r="M644" s="5" t="n">
        <v>21</v>
      </c>
      <c r="N644" s="5">
        <f>J644+K644+L644+M644</f>
        <v/>
      </c>
      <c r="O644" s="5">
        <f>IF(ISNUMBER(N644),N644,"")</f>
        <v/>
      </c>
      <c r="P644" s="5">
        <f>_xlfn.RANK.EQ(O644,$O$2:$O$1031)</f>
        <v/>
      </c>
      <c r="Q644" s="9" t="n">
        <v>227</v>
      </c>
      <c r="R644" s="9" t="n">
        <v>42.5</v>
      </c>
      <c r="S644" s="9" t="n">
        <v>23</v>
      </c>
      <c r="T644" s="9" t="n">
        <v>25</v>
      </c>
      <c r="U644" s="9">
        <f>Q644+R644+S644+T644</f>
        <v/>
      </c>
      <c r="V644" s="9">
        <f>IF(ISNUMBER(U644),U644,"")</f>
        <v/>
      </c>
      <c r="W644" s="9">
        <f>_xlfn.RANK.EQ(V644,$V$2:$V$1031)</f>
        <v/>
      </c>
      <c r="X644" s="13" t="n">
        <v>1259.8958333333</v>
      </c>
      <c r="Y644" s="13" t="n">
        <v>24</v>
      </c>
      <c r="Z644" s="13" t="n">
        <v>24</v>
      </c>
      <c r="AA644" s="13" t="n">
        <v>20</v>
      </c>
      <c r="AB644" s="13">
        <f>IF(ISNUMBER(X644),X644+N(Y644)+N(Z644)+N(AA644),X644)</f>
        <v/>
      </c>
      <c r="AC644" s="13">
        <f>IF(ISNUMBER(AB644),AB644,"")</f>
        <v/>
      </c>
      <c r="AD644" s="13">
        <f>IF(ISNUMBER(AC644),_xlfn.RANK.EQ(AC644,$AC$2:$AC$1031),"")</f>
        <v/>
      </c>
      <c r="AE644" s="15">
        <f>IF(ISNUMBER(AF644),AF644/3630,"")</f>
        <v/>
      </c>
      <c r="AF644" s="14">
        <f>IFERROR(C644+D644+E644+F644+J644+K644+L644+M644+Q644+R644+S644+T644+IF(ISNUMBER(X644),X644,0)+N(Y644)+N(Z644)+N(AA644),"")</f>
        <v/>
      </c>
      <c r="AG644" s="14">
        <f>IF(ISNUMBER(AF644),AF644,"")</f>
        <v/>
      </c>
      <c r="AH644" s="14">
        <f>IF(ISNUMBER(AG644),_xlfn.RANK.EQ(AG644,$AG$2:$AG$1031),"")</f>
        <v/>
      </c>
    </row>
    <row r="645">
      <c r="A645" s="18" t="n">
        <v>1565</v>
      </c>
      <c r="B645" s="18" t="inlineStr">
        <is>
          <t>مارفن ممدوح صبحى عياد رومان</t>
        </is>
      </c>
      <c r="C645" s="1" t="n">
        <v>612</v>
      </c>
      <c r="D645" s="1" t="n">
        <v>24</v>
      </c>
      <c r="E645" s="1" t="n">
        <v>23</v>
      </c>
      <c r="F645" s="1" t="n">
        <v>23</v>
      </c>
      <c r="G645" s="1">
        <f>C645+D645+E645+F645</f>
        <v/>
      </c>
      <c r="H645" s="1">
        <f>IF(ISNUMBER(G645),G645,"")</f>
        <v/>
      </c>
      <c r="I645" s="1">
        <f>_xlfn.RANK.EQ(H645,$H$2:$H$1031)</f>
        <v/>
      </c>
      <c r="J645" s="5" t="n">
        <v>603.25</v>
      </c>
      <c r="K645" s="5" t="n">
        <v>46</v>
      </c>
      <c r="L645" s="5" t="n">
        <v>23</v>
      </c>
      <c r="M645" s="5" t="n">
        <v>21</v>
      </c>
      <c r="N645" s="5">
        <f>J645+K645+L645+M645</f>
        <v/>
      </c>
      <c r="O645" s="5">
        <f>IF(ISNUMBER(N645),N645,"")</f>
        <v/>
      </c>
      <c r="P645" s="5">
        <f>_xlfn.RANK.EQ(O645,$O$2:$O$1031)</f>
        <v/>
      </c>
      <c r="Q645" s="9" t="n">
        <v>277.5</v>
      </c>
      <c r="R645" s="9" t="n">
        <v>45.5</v>
      </c>
      <c r="S645" s="9" t="n">
        <v>23</v>
      </c>
      <c r="T645" s="9" t="n">
        <v>23</v>
      </c>
      <c r="U645" s="9">
        <f>Q645+R645+S645+T645</f>
        <v/>
      </c>
      <c r="V645" s="9">
        <f>IF(ISNUMBER(U645),U645,"")</f>
        <v/>
      </c>
      <c r="W645" s="9">
        <f>_xlfn.RANK.EQ(V645,$V$2:$V$1031)</f>
        <v/>
      </c>
      <c r="X645" s="13" t="n">
        <v>1450.9291666667</v>
      </c>
      <c r="Y645" s="13" t="n">
        <v>25</v>
      </c>
      <c r="Z645" s="13" t="n">
        <v>25</v>
      </c>
      <c r="AA645" s="13" t="n">
        <v>21</v>
      </c>
      <c r="AB645" s="13">
        <f>IF(ISNUMBER(X645),X645+N(Y645)+N(Z645)+N(AA645),X645)</f>
        <v/>
      </c>
      <c r="AC645" s="13">
        <f>IF(ISNUMBER(AB645),AB645,"")</f>
        <v/>
      </c>
      <c r="AD645" s="13">
        <f>IF(ISNUMBER(AC645),_xlfn.RANK.EQ(AC645,$AC$2:$AC$1031),"")</f>
        <v/>
      </c>
      <c r="AE645" s="15">
        <f>IF(ISNUMBER(AF645),AF645/3630,"")</f>
        <v/>
      </c>
      <c r="AF645" s="14">
        <f>IFERROR(C645+D645+E645+F645+J645+K645+L645+M645+Q645+R645+S645+T645+IF(ISNUMBER(X645),X645,0)+N(Y645)+N(Z645)+N(AA645),"")</f>
        <v/>
      </c>
      <c r="AG645" s="14">
        <f>IF(ISNUMBER(AF645),AF645,"")</f>
        <v/>
      </c>
      <c r="AH645" s="14">
        <f>IF(ISNUMBER(AG645),_xlfn.RANK.EQ(AG645,$AG$2:$AG$1031),"")</f>
        <v/>
      </c>
    </row>
    <row r="646">
      <c r="A646" s="18" t="n">
        <v>1566</v>
      </c>
      <c r="B646" s="18" t="inlineStr">
        <is>
          <t>مارك نبيل رمسيس نصر عوض</t>
        </is>
      </c>
      <c r="C646" s="1" t="n">
        <v>584.4</v>
      </c>
      <c r="D646" s="1" t="n">
        <v>22</v>
      </c>
      <c r="E646" s="1" t="n">
        <v>24</v>
      </c>
      <c r="F646" s="1" t="n">
        <v>22</v>
      </c>
      <c r="G646" s="1">
        <f>C646+D646+E646+F646</f>
        <v/>
      </c>
      <c r="H646" s="1">
        <f>IF(ISNUMBER(G646),G646,"")</f>
        <v/>
      </c>
      <c r="I646" s="1">
        <f>_xlfn.RANK.EQ(H646,$H$2:$H$1031)</f>
        <v/>
      </c>
      <c r="J646" s="5" t="n">
        <v>575.5</v>
      </c>
      <c r="K646" s="5" t="n">
        <v>44</v>
      </c>
      <c r="L646" s="5" t="n">
        <v>22</v>
      </c>
      <c r="M646" s="5" t="n">
        <v>22</v>
      </c>
      <c r="N646" s="5">
        <f>J646+K646+L646+M646</f>
        <v/>
      </c>
      <c r="O646" s="5">
        <f>IF(ISNUMBER(N646),N646,"")</f>
        <v/>
      </c>
      <c r="P646" s="5">
        <f>_xlfn.RANK.EQ(O646,$O$2:$O$1031)</f>
        <v/>
      </c>
      <c r="Q646" s="9" t="n">
        <v>233</v>
      </c>
      <c r="R646" s="9" t="n">
        <v>48</v>
      </c>
      <c r="S646" s="9" t="n">
        <v>24</v>
      </c>
      <c r="T646" s="9" t="n">
        <v>24</v>
      </c>
      <c r="U646" s="9">
        <f>Q646+R646+S646+T646</f>
        <v/>
      </c>
      <c r="V646" s="9">
        <f>IF(ISNUMBER(U646),U646,"")</f>
        <v/>
      </c>
      <c r="W646" s="9">
        <f>_xlfn.RANK.EQ(V646,$V$2:$V$1031)</f>
        <v/>
      </c>
      <c r="X646" s="13" t="n">
        <v>1379.6166666667</v>
      </c>
      <c r="Y646" s="13" t="n">
        <v>24</v>
      </c>
      <c r="Z646" s="13" t="n">
        <v>24</v>
      </c>
      <c r="AA646" s="13" t="n">
        <v>24</v>
      </c>
      <c r="AB646" s="13">
        <f>IF(ISNUMBER(X646),X646+N(Y646)+N(Z646)+N(AA646),X646)</f>
        <v/>
      </c>
      <c r="AC646" s="13">
        <f>IF(ISNUMBER(AB646),AB646,"")</f>
        <v/>
      </c>
      <c r="AD646" s="13">
        <f>IF(ISNUMBER(AC646),_xlfn.RANK.EQ(AC646,$AC$2:$AC$1031),"")</f>
        <v/>
      </c>
      <c r="AE646" s="15">
        <f>IF(ISNUMBER(AF646),AF646/3630,"")</f>
        <v/>
      </c>
      <c r="AF646" s="14">
        <f>IFERROR(C646+D646+E646+F646+J646+K646+L646+M646+Q646+R646+S646+T646+IF(ISNUMBER(X646),X646,0)+N(Y646)+N(Z646)+N(AA646),"")</f>
        <v/>
      </c>
      <c r="AG646" s="14">
        <f>IF(ISNUMBER(AF646),AF646,"")</f>
        <v/>
      </c>
      <c r="AH646" s="14">
        <f>IF(ISNUMBER(AG646),_xlfn.RANK.EQ(AG646,$AG$2:$AG$1031),"")</f>
        <v/>
      </c>
    </row>
    <row r="647">
      <c r="A647" s="18" t="n">
        <v>1567</v>
      </c>
      <c r="B647" s="18" t="inlineStr">
        <is>
          <t>مارك هانى راضى عزيز خله</t>
        </is>
      </c>
      <c r="C647" s="1" t="n">
        <v>592.3</v>
      </c>
      <c r="D647" s="1" t="n">
        <v>22</v>
      </c>
      <c r="E647" s="1" t="n">
        <v>25</v>
      </c>
      <c r="F647" s="1" t="n">
        <v>23</v>
      </c>
      <c r="G647" s="1">
        <f>C647+D647+E647+F647</f>
        <v/>
      </c>
      <c r="H647" s="1">
        <f>IF(ISNUMBER(G647),G647,"")</f>
        <v/>
      </c>
      <c r="I647" s="1">
        <f>_xlfn.RANK.EQ(H647,$H$2:$H$1031)</f>
        <v/>
      </c>
      <c r="J647" s="5" t="n">
        <v>602.5</v>
      </c>
      <c r="K647" s="5" t="n">
        <v>48</v>
      </c>
      <c r="L647" s="5" t="n">
        <v>24</v>
      </c>
      <c r="M647" s="5" t="n">
        <v>22</v>
      </c>
      <c r="N647" s="5">
        <f>J647+K647+L647+M647</f>
        <v/>
      </c>
      <c r="O647" s="5">
        <f>IF(ISNUMBER(N647),N647,"")</f>
        <v/>
      </c>
      <c r="P647" s="5">
        <f>_xlfn.RANK.EQ(O647,$O$2:$O$1031)</f>
        <v/>
      </c>
      <c r="Q647" s="9" t="n">
        <v>258.75</v>
      </c>
      <c r="R647" s="9" t="n">
        <v>44.5</v>
      </c>
      <c r="S647" s="9" t="n">
        <v>24</v>
      </c>
      <c r="T647" s="9" t="n">
        <v>25</v>
      </c>
      <c r="U647" s="9">
        <f>Q647+R647+S647+T647</f>
        <v/>
      </c>
      <c r="V647" s="9">
        <f>IF(ISNUMBER(U647),U647,"")</f>
        <v/>
      </c>
      <c r="W647" s="9">
        <f>_xlfn.RANK.EQ(V647,$V$2:$V$1031)</f>
        <v/>
      </c>
      <c r="X647" s="13" t="n">
        <v>1498.825</v>
      </c>
      <c r="Y647" s="13" t="n">
        <v>23</v>
      </c>
      <c r="Z647" s="13" t="n">
        <v>25</v>
      </c>
      <c r="AA647" s="13" t="n">
        <v>25</v>
      </c>
      <c r="AB647" s="13">
        <f>IF(ISNUMBER(X647),X647+N(Y647)+N(Z647)+N(AA647),X647)</f>
        <v/>
      </c>
      <c r="AC647" s="13">
        <f>IF(ISNUMBER(AB647),AB647,"")</f>
        <v/>
      </c>
      <c r="AD647" s="13">
        <f>IF(ISNUMBER(AC647),_xlfn.RANK.EQ(AC647,$AC$2:$AC$1031),"")</f>
        <v/>
      </c>
      <c r="AE647" s="15">
        <f>IF(ISNUMBER(AF647),AF647/3630,"")</f>
        <v/>
      </c>
      <c r="AF647" s="14">
        <f>IFERROR(C647+D647+E647+F647+J647+K647+L647+M647+Q647+R647+S647+T647+IF(ISNUMBER(X647),X647,0)+N(Y647)+N(Z647)+N(AA647),"")</f>
        <v/>
      </c>
      <c r="AG647" s="14">
        <f>IF(ISNUMBER(AF647),AF647,"")</f>
        <v/>
      </c>
      <c r="AH647" s="14">
        <f>IF(ISNUMBER(AG647),_xlfn.RANK.EQ(AG647,$AG$2:$AG$1031),"")</f>
        <v/>
      </c>
    </row>
    <row r="648">
      <c r="A648" s="18" t="n">
        <v>1568</v>
      </c>
      <c r="B648" s="18" t="inlineStr">
        <is>
          <t>مارينا ابو الغيط عجيب يس</t>
        </is>
      </c>
      <c r="C648" s="1" t="n">
        <v>602.9</v>
      </c>
      <c r="D648" s="1" t="n">
        <v>23</v>
      </c>
      <c r="E648" s="1" t="n">
        <v>24</v>
      </c>
      <c r="F648" s="1" t="n">
        <v>24</v>
      </c>
      <c r="G648" s="1">
        <f>C648+D648+E648+F648</f>
        <v/>
      </c>
      <c r="H648" s="1">
        <f>IF(ISNUMBER(G648),G648,"")</f>
        <v/>
      </c>
      <c r="I648" s="1">
        <f>_xlfn.RANK.EQ(H648,$H$2:$H$1031)</f>
        <v/>
      </c>
      <c r="J648" s="5" t="n">
        <v>631</v>
      </c>
      <c r="K648" s="5" t="n">
        <v>48</v>
      </c>
      <c r="L648" s="5" t="n">
        <v>22</v>
      </c>
      <c r="M648" s="5" t="n">
        <v>23</v>
      </c>
      <c r="N648" s="5">
        <f>J648+K648+L648+M648</f>
        <v/>
      </c>
      <c r="O648" s="5">
        <f>IF(ISNUMBER(N648),N648,"")</f>
        <v/>
      </c>
      <c r="P648" s="5">
        <f>_xlfn.RANK.EQ(O648,$O$2:$O$1031)</f>
        <v/>
      </c>
      <c r="Q648" s="9" t="n">
        <v>267.5</v>
      </c>
      <c r="R648" s="9" t="n">
        <v>47.5</v>
      </c>
      <c r="S648" s="9" t="n">
        <v>24</v>
      </c>
      <c r="T648" s="9" t="n">
        <v>25</v>
      </c>
      <c r="U648" s="9">
        <f>Q648+R648+S648+T648</f>
        <v/>
      </c>
      <c r="V648" s="9">
        <f>IF(ISNUMBER(U648),U648,"")</f>
        <v/>
      </c>
      <c r="W648" s="9">
        <f>_xlfn.RANK.EQ(V648,$V$2:$V$1031)</f>
        <v/>
      </c>
      <c r="X648" s="13" t="n">
        <v>1486.325</v>
      </c>
      <c r="Y648" s="13" t="n">
        <v>25</v>
      </c>
      <c r="Z648" s="13" t="n">
        <v>25</v>
      </c>
      <c r="AA648" s="13" t="n">
        <v>24</v>
      </c>
      <c r="AB648" s="13">
        <f>IF(ISNUMBER(X648),X648+N(Y648)+N(Z648)+N(AA648),X648)</f>
        <v/>
      </c>
      <c r="AC648" s="13">
        <f>IF(ISNUMBER(AB648),AB648,"")</f>
        <v/>
      </c>
      <c r="AD648" s="13">
        <f>IF(ISNUMBER(AC648),_xlfn.RANK.EQ(AC648,$AC$2:$AC$1031),"")</f>
        <v/>
      </c>
      <c r="AE648" s="15">
        <f>IF(ISNUMBER(AF648),AF648/3630,"")</f>
        <v/>
      </c>
      <c r="AF648" s="14">
        <f>IFERROR(C648+D648+E648+F648+J648+K648+L648+M648+Q648+R648+S648+T648+IF(ISNUMBER(X648),X648,0)+N(Y648)+N(Z648)+N(AA648),"")</f>
        <v/>
      </c>
      <c r="AG648" s="14">
        <f>IF(ISNUMBER(AF648),AF648,"")</f>
        <v/>
      </c>
      <c r="AH648" s="14">
        <f>IF(ISNUMBER(AG648),_xlfn.RANK.EQ(AG648,$AG$2:$AG$1031),"")</f>
        <v/>
      </c>
    </row>
    <row r="649">
      <c r="A649" s="18" t="n">
        <v>1569</v>
      </c>
      <c r="B649" s="18" t="inlineStr">
        <is>
          <t>مازن السيد احمد محمد</t>
        </is>
      </c>
      <c r="C649" s="1" t="n">
        <v>452.95</v>
      </c>
      <c r="D649" s="1" t="n"/>
      <c r="E649" s="1" t="n">
        <v>20</v>
      </c>
      <c r="F649" s="1" t="n">
        <v>24</v>
      </c>
      <c r="G649" s="1">
        <f>C649+D649+E649+F649</f>
        <v/>
      </c>
      <c r="H649" s="1">
        <f>IF(ISNUMBER(G649),G649,"")</f>
        <v/>
      </c>
      <c r="I649" s="1">
        <f>_xlfn.RANK.EQ(H649,$H$2:$H$1031)</f>
        <v/>
      </c>
      <c r="J649" s="5" t="n">
        <v>454</v>
      </c>
      <c r="K649" s="5" t="n">
        <v>46</v>
      </c>
      <c r="L649" s="5" t="n">
        <v>23</v>
      </c>
      <c r="M649" s="5" t="n">
        <v>24</v>
      </c>
      <c r="N649" s="5">
        <f>J649+K649+L649+M649</f>
        <v/>
      </c>
      <c r="O649" s="5">
        <f>IF(ISNUMBER(N649),N649,"")</f>
        <v/>
      </c>
      <c r="P649" s="5">
        <f>_xlfn.RANK.EQ(O649,$O$2:$O$1031)</f>
        <v/>
      </c>
      <c r="Q649" s="9" t="n">
        <v>228.75</v>
      </c>
      <c r="R649" s="9" t="n">
        <v>45.5</v>
      </c>
      <c r="S649" s="9" t="n">
        <v>24</v>
      </c>
      <c r="T649" s="9" t="n">
        <v>25</v>
      </c>
      <c r="U649" s="9">
        <f>Q649+R649+S649+T649</f>
        <v/>
      </c>
      <c r="V649" s="9">
        <f>IF(ISNUMBER(U649),U649,"")</f>
        <v/>
      </c>
      <c r="W649" s="9">
        <f>_xlfn.RANK.EQ(V649,$V$2:$V$1031)</f>
        <v/>
      </c>
      <c r="X649" s="13" t="n">
        <v>1362.65</v>
      </c>
      <c r="Y649" s="13" t="n">
        <v>25</v>
      </c>
      <c r="Z649" s="13" t="n">
        <v>22</v>
      </c>
      <c r="AA649" s="13" t="n">
        <v>22</v>
      </c>
      <c r="AB649" s="13">
        <f>IF(ISNUMBER(X649),X649+N(Y649)+N(Z649)+N(AA649),X649)</f>
        <v/>
      </c>
      <c r="AC649" s="13">
        <f>IF(ISNUMBER(AB649),AB649,"")</f>
        <v/>
      </c>
      <c r="AD649" s="13">
        <f>IF(ISNUMBER(AC649),_xlfn.RANK.EQ(AC649,$AC$2:$AC$1031),"")</f>
        <v/>
      </c>
      <c r="AE649" s="15">
        <f>IF(ISNUMBER(AF649),AF649/3630,"")</f>
        <v/>
      </c>
      <c r="AF649" s="14">
        <f>IFERROR(C649+D649+E649+F649+J649+K649+L649+M649+Q649+R649+S649+T649+IF(ISNUMBER(X649),X649,0)+N(Y649)+N(Z649)+N(AA649),"")</f>
        <v/>
      </c>
      <c r="AG649" s="14">
        <f>IF(ISNUMBER(AF649),AF649,"")</f>
        <v/>
      </c>
      <c r="AH649" s="14">
        <f>IF(ISNUMBER(AG649),_xlfn.RANK.EQ(AG649,$AG$2:$AG$1031),"")</f>
        <v/>
      </c>
    </row>
    <row r="650">
      <c r="A650" s="18" t="n">
        <v>1570</v>
      </c>
      <c r="B650" s="18" t="inlineStr">
        <is>
          <t>مازن خالد حسن احمد السيد</t>
        </is>
      </c>
      <c r="C650" s="1" t="n">
        <v>453.6</v>
      </c>
      <c r="D650" s="1" t="n">
        <v>24</v>
      </c>
      <c r="E650" s="1" t="n">
        <v>22</v>
      </c>
      <c r="F650" s="1" t="n">
        <v>24</v>
      </c>
      <c r="G650" s="1">
        <f>C650+D650+E650+F650</f>
        <v/>
      </c>
      <c r="H650" s="1">
        <f>IF(ISNUMBER(G650),G650,"")</f>
        <v/>
      </c>
      <c r="I650" s="1">
        <f>_xlfn.RANK.EQ(H650,$H$2:$H$1031)</f>
        <v/>
      </c>
      <c r="J650" s="5" t="n">
        <v>454</v>
      </c>
      <c r="K650" s="5" t="n">
        <v>47</v>
      </c>
      <c r="L650" s="5" t="n">
        <v>24</v>
      </c>
      <c r="M650" s="5" t="n">
        <v>22</v>
      </c>
      <c r="N650" s="5">
        <f>J650+K650+L650+M650</f>
        <v/>
      </c>
      <c r="O650" s="5">
        <f>IF(ISNUMBER(N650),N650,"")</f>
        <v/>
      </c>
      <c r="P650" s="5">
        <f>_xlfn.RANK.EQ(O650,$O$2:$O$1031)</f>
        <v/>
      </c>
      <c r="Q650" s="9" t="n">
        <v>178.75</v>
      </c>
      <c r="R650" s="9" t="n">
        <v>44.5</v>
      </c>
      <c r="S650" s="9" t="n">
        <v>25</v>
      </c>
      <c r="T650" s="9" t="n">
        <v>24</v>
      </c>
      <c r="U650" s="9">
        <f>Q650+R650+S650+T650</f>
        <v/>
      </c>
      <c r="V650" s="9">
        <f>IF(ISNUMBER(U650),U650,"")</f>
        <v/>
      </c>
      <c r="W650" s="9">
        <f>_xlfn.RANK.EQ(V650,$V$2:$V$1031)</f>
        <v/>
      </c>
      <c r="X650" s="13" t="n">
        <v>1280.8958333333</v>
      </c>
      <c r="Y650" s="13" t="n">
        <v>25</v>
      </c>
      <c r="Z650" s="13" t="n">
        <v>23</v>
      </c>
      <c r="AA650" s="13" t="n">
        <v>21</v>
      </c>
      <c r="AB650" s="13">
        <f>IF(ISNUMBER(X650),X650+N(Y650)+N(Z650)+N(AA650),X650)</f>
        <v/>
      </c>
      <c r="AC650" s="13">
        <f>IF(ISNUMBER(AB650),AB650,"")</f>
        <v/>
      </c>
      <c r="AD650" s="13">
        <f>IF(ISNUMBER(AC650),_xlfn.RANK.EQ(AC650,$AC$2:$AC$1031),"")</f>
        <v/>
      </c>
      <c r="AE650" s="15">
        <f>IF(ISNUMBER(AF650),AF650/3630,"")</f>
        <v/>
      </c>
      <c r="AF650" s="14">
        <f>IFERROR(C650+D650+E650+F650+J650+K650+L650+M650+Q650+R650+S650+T650+IF(ISNUMBER(X650),X650,0)+N(Y650)+N(Z650)+N(AA650),"")</f>
        <v/>
      </c>
      <c r="AG650" s="14">
        <f>IF(ISNUMBER(AF650),AF650,"")</f>
        <v/>
      </c>
      <c r="AH650" s="14">
        <f>IF(ISNUMBER(AG650),_xlfn.RANK.EQ(AG650,$AG$2:$AG$1031),"")</f>
        <v/>
      </c>
    </row>
    <row r="651">
      <c r="A651" s="18" t="n">
        <v>1571</v>
      </c>
      <c r="B651" s="18" t="inlineStr">
        <is>
          <t>مازن سامح عبد القادر منطاوي</t>
        </is>
      </c>
      <c r="C651" s="1" t="n">
        <v>537.4</v>
      </c>
      <c r="D651" s="1" t="n">
        <v>24</v>
      </c>
      <c r="E651" s="1" t="n">
        <v>18</v>
      </c>
      <c r="F651" s="1" t="n">
        <v>20</v>
      </c>
      <c r="G651" s="1">
        <f>C651+D651+E651+F651</f>
        <v/>
      </c>
      <c r="H651" s="1">
        <f>IF(ISNUMBER(G651),G651,"")</f>
        <v/>
      </c>
      <c r="I651" s="1">
        <f>_xlfn.RANK.EQ(H651,$H$2:$H$1031)</f>
        <v/>
      </c>
      <c r="J651" s="5" t="n">
        <v>542.5</v>
      </c>
      <c r="K651" s="5" t="n">
        <v>46</v>
      </c>
      <c r="L651" s="5" t="n">
        <v>24</v>
      </c>
      <c r="M651" s="5" t="n">
        <v>21</v>
      </c>
      <c r="N651" s="5">
        <f>J651+K651+L651+M651</f>
        <v/>
      </c>
      <c r="O651" s="5">
        <f>IF(ISNUMBER(N651),N651,"")</f>
        <v/>
      </c>
      <c r="P651" s="5">
        <f>_xlfn.RANK.EQ(O651,$O$2:$O$1031)</f>
        <v/>
      </c>
      <c r="Q651" s="9" t="n">
        <v>212</v>
      </c>
      <c r="R651" s="9" t="n">
        <v>39</v>
      </c>
      <c r="S651" s="9" t="n">
        <v>21</v>
      </c>
      <c r="T651" s="9" t="n">
        <v>23</v>
      </c>
      <c r="U651" s="9">
        <f>Q651+R651+S651+T651</f>
        <v/>
      </c>
      <c r="V651" s="9">
        <f>IF(ISNUMBER(U651),U651,"")</f>
        <v/>
      </c>
      <c r="W651" s="9">
        <f>_xlfn.RANK.EQ(V651,$V$2:$V$1031)</f>
        <v/>
      </c>
      <c r="X651" s="13" t="n">
        <v>1312.7458333333</v>
      </c>
      <c r="Y651" s="13" t="n">
        <v>24</v>
      </c>
      <c r="Z651" s="13" t="n">
        <v>25</v>
      </c>
      <c r="AA651" s="13" t="n">
        <v>22</v>
      </c>
      <c r="AB651" s="13">
        <f>IF(ISNUMBER(X651),X651+N(Y651)+N(Z651)+N(AA651),X651)</f>
        <v/>
      </c>
      <c r="AC651" s="13">
        <f>IF(ISNUMBER(AB651),AB651,"")</f>
        <v/>
      </c>
      <c r="AD651" s="13">
        <f>IF(ISNUMBER(AC651),_xlfn.RANK.EQ(AC651,$AC$2:$AC$1031),"")</f>
        <v/>
      </c>
      <c r="AE651" s="15">
        <f>IF(ISNUMBER(AF651),AF651/3630,"")</f>
        <v/>
      </c>
      <c r="AF651" s="14">
        <f>IFERROR(C651+D651+E651+F651+J651+K651+L651+M651+Q651+R651+S651+T651+IF(ISNUMBER(X651),X651,0)+N(Y651)+N(Z651)+N(AA651),"")</f>
        <v/>
      </c>
      <c r="AG651" s="14">
        <f>IF(ISNUMBER(AF651),AF651,"")</f>
        <v/>
      </c>
      <c r="AH651" s="14">
        <f>IF(ISNUMBER(AG651),_xlfn.RANK.EQ(AG651,$AG$2:$AG$1031),"")</f>
        <v/>
      </c>
    </row>
    <row r="652">
      <c r="A652" s="18" t="n">
        <v>1572</v>
      </c>
      <c r="B652" s="18" t="inlineStr">
        <is>
          <t>مازن عبد السلام محمد عزالدين فرج ابوزيد</t>
        </is>
      </c>
      <c r="C652" s="1" t="n">
        <v>478.8</v>
      </c>
      <c r="D652" s="1" t="n">
        <v>20</v>
      </c>
      <c r="E652" s="1" t="n">
        <v>22</v>
      </c>
      <c r="F652" s="1" t="n">
        <v>20</v>
      </c>
      <c r="G652" s="1">
        <f>C652+D652+E652+F652</f>
        <v/>
      </c>
      <c r="H652" s="1">
        <f>IF(ISNUMBER(G652),G652,"")</f>
        <v/>
      </c>
      <c r="I652" s="1">
        <f>_xlfn.RANK.EQ(H652,$H$2:$H$1031)</f>
        <v/>
      </c>
      <c r="J652" s="5" t="n">
        <v>415.5</v>
      </c>
      <c r="K652" s="5" t="n">
        <v>45</v>
      </c>
      <c r="L652" s="5" t="n">
        <v>22</v>
      </c>
      <c r="M652" s="5" t="n">
        <v>19</v>
      </c>
      <c r="N652" s="5">
        <f>J652+K652+L652+M652</f>
        <v/>
      </c>
      <c r="O652" s="5">
        <f>IF(ISNUMBER(N652),N652,"")</f>
        <v/>
      </c>
      <c r="P652" s="5">
        <f>_xlfn.RANK.EQ(O652,$O$2:$O$1031)</f>
        <v/>
      </c>
      <c r="Q652" s="9" t="n">
        <v>163.75</v>
      </c>
      <c r="R652" s="9" t="n">
        <v>41</v>
      </c>
      <c r="S652" s="9" t="n">
        <v>24</v>
      </c>
      <c r="T652" s="9" t="n">
        <v>24</v>
      </c>
      <c r="U652" s="9">
        <f>Q652+R652+S652+T652</f>
        <v/>
      </c>
      <c r="V652" s="9">
        <f>IF(ISNUMBER(U652),U652,"")</f>
        <v/>
      </c>
      <c r="W652" s="9">
        <f>_xlfn.RANK.EQ(V652,$V$2:$V$1031)</f>
        <v/>
      </c>
      <c r="X652" s="13" t="inlineStr">
        <is>
          <t>راسب</t>
        </is>
      </c>
      <c r="Y652" s="13" t="n">
        <v>25</v>
      </c>
      <c r="Z652" s="13" t="n">
        <v>21.5</v>
      </c>
      <c r="AA652" s="13" t="n">
        <v>21</v>
      </c>
      <c r="AB652" s="13">
        <f>IF(ISNUMBER(X652),X652+N(Y652)+N(Z652)+N(AA652),X652)</f>
        <v/>
      </c>
      <c r="AC652" s="13">
        <f>IF(ISNUMBER(AB652),AB652,"")</f>
        <v/>
      </c>
      <c r="AD652" s="13">
        <f>IF(ISNUMBER(AC652),_xlfn.RANK.EQ(AC652,$AC$2:$AC$1031),"")</f>
        <v/>
      </c>
      <c r="AE652" s="15">
        <f>IF(ISNUMBER(AF652),AF652/3630,"")</f>
        <v/>
      </c>
      <c r="AF652" s="14">
        <f>IFERROR(C652+D652+E652+F652+J652+K652+L652+M652+Q652+R652+S652+T652+IF(ISNUMBER(X652),X652,0)+N(Y652)+N(Z652)+N(AA652),"")</f>
        <v/>
      </c>
      <c r="AG652" s="14">
        <f>IF(ISNUMBER(AF652),AF652,"")</f>
        <v/>
      </c>
      <c r="AH652" s="14">
        <f>IF(ISNUMBER(AG652),_xlfn.RANK.EQ(AG652,$AG$2:$AG$1031),"")</f>
        <v/>
      </c>
    </row>
    <row r="653">
      <c r="A653" s="18" t="n">
        <v>1573</v>
      </c>
      <c r="B653" s="18" t="inlineStr">
        <is>
          <t>مازن عصام عبدالفتاح المليحي</t>
        </is>
      </c>
      <c r="C653" s="1" t="n">
        <v>590.5</v>
      </c>
      <c r="D653" s="1" t="n">
        <v>20</v>
      </c>
      <c r="E653" s="1" t="n">
        <v>21</v>
      </c>
      <c r="F653" s="1" t="n">
        <v>24</v>
      </c>
      <c r="G653" s="1">
        <f>C653+D653+E653+F653</f>
        <v/>
      </c>
      <c r="H653" s="1">
        <f>IF(ISNUMBER(G653),G653,"")</f>
        <v/>
      </c>
      <c r="I653" s="1">
        <f>_xlfn.RANK.EQ(H653,$H$2:$H$1031)</f>
        <v/>
      </c>
      <c r="J653" s="5" t="n">
        <v>554.5</v>
      </c>
      <c r="K653" s="5" t="n">
        <v>41</v>
      </c>
      <c r="L653" s="5" t="n">
        <v>23</v>
      </c>
      <c r="M653" s="5" t="n">
        <v>20</v>
      </c>
      <c r="N653" s="5">
        <f>J653+K653+L653+M653</f>
        <v/>
      </c>
      <c r="O653" s="5">
        <f>IF(ISNUMBER(N653),N653,"")</f>
        <v/>
      </c>
      <c r="P653" s="5">
        <f>_xlfn.RANK.EQ(O653,$O$2:$O$1031)</f>
        <v/>
      </c>
      <c r="Q653" s="9" t="n">
        <v>227</v>
      </c>
      <c r="R653" s="9" t="n">
        <v>43</v>
      </c>
      <c r="S653" s="9" t="n">
        <v>22</v>
      </c>
      <c r="T653" s="9" t="n">
        <v>23</v>
      </c>
      <c r="U653" s="9">
        <f>Q653+R653+S653+T653</f>
        <v/>
      </c>
      <c r="V653" s="9">
        <f>IF(ISNUMBER(U653),U653,"")</f>
        <v/>
      </c>
      <c r="W653" s="9">
        <f>_xlfn.RANK.EQ(V653,$V$2:$V$1031)</f>
        <v/>
      </c>
      <c r="X653" s="13" t="n">
        <v>1374.975</v>
      </c>
      <c r="Y653" s="13" t="n">
        <v>25</v>
      </c>
      <c r="Z653" s="13" t="n">
        <v>21</v>
      </c>
      <c r="AA653" s="13" t="n">
        <v>20</v>
      </c>
      <c r="AB653" s="13">
        <f>IF(ISNUMBER(X653),X653+N(Y653)+N(Z653)+N(AA653),X653)</f>
        <v/>
      </c>
      <c r="AC653" s="13">
        <f>IF(ISNUMBER(AB653),AB653,"")</f>
        <v/>
      </c>
      <c r="AD653" s="13">
        <f>IF(ISNUMBER(AC653),_xlfn.RANK.EQ(AC653,$AC$2:$AC$1031),"")</f>
        <v/>
      </c>
      <c r="AE653" s="15">
        <f>IF(ISNUMBER(AF653),AF653/3630,"")</f>
        <v/>
      </c>
      <c r="AF653" s="14">
        <f>IFERROR(C653+D653+E653+F653+J653+K653+L653+M653+Q653+R653+S653+T653+IF(ISNUMBER(X653),X653,0)+N(Y653)+N(Z653)+N(AA653),"")</f>
        <v/>
      </c>
      <c r="AG653" s="14">
        <f>IF(ISNUMBER(AF653),AF653,"")</f>
        <v/>
      </c>
      <c r="AH653" s="14">
        <f>IF(ISNUMBER(AG653),_xlfn.RANK.EQ(AG653,$AG$2:$AG$1031),"")</f>
        <v/>
      </c>
    </row>
    <row r="654">
      <c r="A654" s="18" t="n">
        <v>1574</v>
      </c>
      <c r="B654" s="18" t="inlineStr">
        <is>
          <t>مازن محمد عبد المحسن الحمامى</t>
        </is>
      </c>
      <c r="C654" s="1" t="n">
        <v>626.2</v>
      </c>
      <c r="D654" s="1" t="n">
        <v>24</v>
      </c>
      <c r="E654" s="1" t="n">
        <v>21</v>
      </c>
      <c r="F654" s="1" t="n">
        <v>24</v>
      </c>
      <c r="G654" s="1">
        <f>C654+D654+E654+F654</f>
        <v/>
      </c>
      <c r="H654" s="1">
        <f>IF(ISNUMBER(G654),G654,"")</f>
        <v/>
      </c>
      <c r="I654" s="1">
        <f>_xlfn.RANK.EQ(H654,$H$2:$H$1031)</f>
        <v/>
      </c>
      <c r="J654" s="5" t="n">
        <v>593</v>
      </c>
      <c r="K654" s="5" t="n">
        <v>49</v>
      </c>
      <c r="L654" s="5" t="n">
        <v>23</v>
      </c>
      <c r="M654" s="5" t="n">
        <v>23</v>
      </c>
      <c r="N654" s="5">
        <f>J654+K654+L654+M654</f>
        <v/>
      </c>
      <c r="O654" s="5">
        <f>IF(ISNUMBER(N654),N654,"")</f>
        <v/>
      </c>
      <c r="P654" s="5">
        <f>_xlfn.RANK.EQ(O654,$O$2:$O$1031)</f>
        <v/>
      </c>
      <c r="Q654" s="9" t="n">
        <v>252</v>
      </c>
      <c r="R654" s="9" t="n">
        <v>45.5</v>
      </c>
      <c r="S654" s="9" t="n">
        <v>23</v>
      </c>
      <c r="T654" s="9" t="n">
        <v>24</v>
      </c>
      <c r="U654" s="9">
        <f>Q654+R654+S654+T654</f>
        <v/>
      </c>
      <c r="V654" s="9">
        <f>IF(ISNUMBER(U654),U654,"")</f>
        <v/>
      </c>
      <c r="W654" s="9">
        <f>_xlfn.RANK.EQ(V654,$V$2:$V$1031)</f>
        <v/>
      </c>
      <c r="X654" s="13" t="n">
        <v>1338.8208333333</v>
      </c>
      <c r="Y654" s="13" t="n">
        <v>25</v>
      </c>
      <c r="Z654" s="13" t="n">
        <v>22.5</v>
      </c>
      <c r="AA654" s="13" t="n">
        <v>20</v>
      </c>
      <c r="AB654" s="13">
        <f>IF(ISNUMBER(X654),X654+N(Y654)+N(Z654)+N(AA654),X654)</f>
        <v/>
      </c>
      <c r="AC654" s="13">
        <f>IF(ISNUMBER(AB654),AB654,"")</f>
        <v/>
      </c>
      <c r="AD654" s="13">
        <f>IF(ISNUMBER(AC654),_xlfn.RANK.EQ(AC654,$AC$2:$AC$1031),"")</f>
        <v/>
      </c>
      <c r="AE654" s="15">
        <f>IF(ISNUMBER(AF654),AF654/3630,"")</f>
        <v/>
      </c>
      <c r="AF654" s="14">
        <f>IFERROR(C654+D654+E654+F654+J654+K654+L654+M654+Q654+R654+S654+T654+IF(ISNUMBER(X654),X654,0)+N(Y654)+N(Z654)+N(AA654),"")</f>
        <v/>
      </c>
      <c r="AG654" s="14">
        <f>IF(ISNUMBER(AF654),AF654,"")</f>
        <v/>
      </c>
      <c r="AH654" s="14">
        <f>IF(ISNUMBER(AG654),_xlfn.RANK.EQ(AG654,$AG$2:$AG$1031),"")</f>
        <v/>
      </c>
    </row>
    <row r="655">
      <c r="A655" s="18" t="n">
        <v>1578</v>
      </c>
      <c r="B655" s="18" t="inlineStr">
        <is>
          <t>ماهر محمد عبد القادر ابو عقاده</t>
        </is>
      </c>
      <c r="C655" s="1" t="n">
        <v>659.9</v>
      </c>
      <c r="D655" s="1" t="n">
        <v>25</v>
      </c>
      <c r="E655" s="1" t="n">
        <v>25</v>
      </c>
      <c r="F655" s="1" t="n">
        <v>25</v>
      </c>
      <c r="G655" s="1">
        <f>C655+D655+E655+F655</f>
        <v/>
      </c>
      <c r="H655" s="1">
        <f>IF(ISNUMBER(G655),G655,"")</f>
        <v/>
      </c>
      <c r="I655" s="1">
        <f>_xlfn.RANK.EQ(H655,$H$2:$H$1031)</f>
        <v/>
      </c>
      <c r="J655" s="5" t="n">
        <v>637</v>
      </c>
      <c r="K655" s="5" t="n">
        <v>47</v>
      </c>
      <c r="L655" s="5" t="n">
        <v>23</v>
      </c>
      <c r="M655" s="5" t="n">
        <v>25</v>
      </c>
      <c r="N655" s="5">
        <f>J655+K655+L655+M655</f>
        <v/>
      </c>
      <c r="O655" s="5">
        <f>IF(ISNUMBER(N655),N655,"")</f>
        <v/>
      </c>
      <c r="P655" s="5">
        <f>_xlfn.RANK.EQ(O655,$O$2:$O$1031)</f>
        <v/>
      </c>
      <c r="Q655" s="9" t="n">
        <v>286.5</v>
      </c>
      <c r="R655" s="9" t="n">
        <v>48.5</v>
      </c>
      <c r="S655" s="9" t="n">
        <v>24</v>
      </c>
      <c r="T655" s="9" t="n">
        <v>24</v>
      </c>
      <c r="U655" s="9">
        <f>Q655+R655+S655+T655</f>
        <v/>
      </c>
      <c r="V655" s="9">
        <f>IF(ISNUMBER(U655),U655,"")</f>
        <v/>
      </c>
      <c r="W655" s="9">
        <f>_xlfn.RANK.EQ(V655,$V$2:$V$1031)</f>
        <v/>
      </c>
      <c r="X655" s="13" t="n">
        <v>1541.3666666667</v>
      </c>
      <c r="Y655" s="13" t="n">
        <v>25</v>
      </c>
      <c r="Z655" s="13" t="n">
        <v>24</v>
      </c>
      <c r="AA655" s="13" t="n">
        <v>22</v>
      </c>
      <c r="AB655" s="13">
        <f>IF(ISNUMBER(X655),X655+N(Y655)+N(Z655)+N(AA655),X655)</f>
        <v/>
      </c>
      <c r="AC655" s="13">
        <f>IF(ISNUMBER(AB655),AB655,"")</f>
        <v/>
      </c>
      <c r="AD655" s="13">
        <f>IF(ISNUMBER(AC655),_xlfn.RANK.EQ(AC655,$AC$2:$AC$1031),"")</f>
        <v/>
      </c>
      <c r="AE655" s="15">
        <f>IF(ISNUMBER(AF655),AF655/3630,"")</f>
        <v/>
      </c>
      <c r="AF655" s="14">
        <f>IFERROR(C655+D655+E655+F655+J655+K655+L655+M655+Q655+R655+S655+T655+IF(ISNUMBER(X655),X655,0)+N(Y655)+N(Z655)+N(AA655),"")</f>
        <v/>
      </c>
      <c r="AG655" s="14">
        <f>IF(ISNUMBER(AF655),AF655,"")</f>
        <v/>
      </c>
      <c r="AH655" s="14">
        <f>IF(ISNUMBER(AG655),_xlfn.RANK.EQ(AG655,$AG$2:$AG$1031),"")</f>
        <v/>
      </c>
    </row>
    <row r="656">
      <c r="A656" s="18" t="n">
        <v>1588</v>
      </c>
      <c r="B656" s="18" t="inlineStr">
        <is>
          <t>مجد هيثم محمد الأمير</t>
        </is>
      </c>
      <c r="C656" s="1" t="n">
        <v>621.1</v>
      </c>
      <c r="D656" s="1" t="n">
        <v>24</v>
      </c>
      <c r="E656" s="1" t="n">
        <v>25</v>
      </c>
      <c r="F656" s="1" t="n">
        <v>23</v>
      </c>
      <c r="G656" s="1">
        <f>C656+D656+E656+F656</f>
        <v/>
      </c>
      <c r="H656" s="1">
        <f>IF(ISNUMBER(G656),G656,"")</f>
        <v/>
      </c>
      <c r="I656" s="1">
        <f>_xlfn.RANK.EQ(H656,$H$2:$H$1031)</f>
        <v/>
      </c>
      <c r="J656" s="5" t="n">
        <v>623.5</v>
      </c>
      <c r="K656" s="5" t="n">
        <v>48</v>
      </c>
      <c r="L656" s="5" t="n">
        <v>23</v>
      </c>
      <c r="M656" s="5" t="n">
        <v>24</v>
      </c>
      <c r="N656" s="5">
        <f>J656+K656+L656+M656</f>
        <v/>
      </c>
      <c r="O656" s="5">
        <f>IF(ISNUMBER(N656),N656,"")</f>
        <v/>
      </c>
      <c r="P656" s="5">
        <f>_xlfn.RANK.EQ(O656,$O$2:$O$1031)</f>
        <v/>
      </c>
      <c r="Q656" s="9" t="n">
        <v>271.75</v>
      </c>
      <c r="R656" s="9" t="n">
        <v>45.5</v>
      </c>
      <c r="S656" s="9" t="n">
        <v>24</v>
      </c>
      <c r="T656" s="9" t="n">
        <v>25</v>
      </c>
      <c r="U656" s="9">
        <f>Q656+R656+S656+T656</f>
        <v/>
      </c>
      <c r="V656" s="9">
        <f>IF(ISNUMBER(U656),U656,"")</f>
        <v/>
      </c>
      <c r="W656" s="9">
        <f>_xlfn.RANK.EQ(V656,$V$2:$V$1031)</f>
        <v/>
      </c>
      <c r="X656" s="13" t="n">
        <v>1469.85</v>
      </c>
      <c r="Y656" s="13" t="n">
        <v>25</v>
      </c>
      <c r="Z656" s="13" t="n">
        <v>23</v>
      </c>
      <c r="AA656" s="13" t="n">
        <v>24</v>
      </c>
      <c r="AB656" s="13">
        <f>IF(ISNUMBER(X656),X656+N(Y656)+N(Z656)+N(AA656),X656)</f>
        <v/>
      </c>
      <c r="AC656" s="13">
        <f>IF(ISNUMBER(AB656),AB656,"")</f>
        <v/>
      </c>
      <c r="AD656" s="13">
        <f>IF(ISNUMBER(AC656),_xlfn.RANK.EQ(AC656,$AC$2:$AC$1031),"")</f>
        <v/>
      </c>
      <c r="AE656" s="15">
        <f>IF(ISNUMBER(AF656),AF656/3630,"")</f>
        <v/>
      </c>
      <c r="AF656" s="14">
        <f>IFERROR(C656+D656+E656+F656+J656+K656+L656+M656+Q656+R656+S656+T656+IF(ISNUMBER(X656),X656,0)+N(Y656)+N(Z656)+N(AA656),"")</f>
        <v/>
      </c>
      <c r="AG656" s="14">
        <f>IF(ISNUMBER(AF656),AF656,"")</f>
        <v/>
      </c>
      <c r="AH656" s="14">
        <f>IF(ISNUMBER(AG656),_xlfn.RANK.EQ(AG656,$AG$2:$AG$1031),"")</f>
        <v/>
      </c>
    </row>
    <row r="657">
      <c r="A657" s="18" t="n">
        <v>1591</v>
      </c>
      <c r="B657" s="18" t="inlineStr">
        <is>
          <t>محمد ابراهيم عبده عبدالعاطي</t>
        </is>
      </c>
      <c r="C657" s="1" t="n">
        <v>542.9</v>
      </c>
      <c r="D657" s="1" t="n">
        <v>22</v>
      </c>
      <c r="E657" s="1" t="n">
        <v>23</v>
      </c>
      <c r="F657" s="1" t="n">
        <v>21.5</v>
      </c>
      <c r="G657" s="1">
        <f>C657+D657+E657+F657</f>
        <v/>
      </c>
      <c r="H657" s="1">
        <f>IF(ISNUMBER(G657),G657,"")</f>
        <v/>
      </c>
      <c r="I657" s="1">
        <f>_xlfn.RANK.EQ(H657,$H$2:$H$1031)</f>
        <v/>
      </c>
      <c r="J657" s="5" t="n">
        <v>554.5</v>
      </c>
      <c r="K657" s="5" t="n">
        <v>44</v>
      </c>
      <c r="L657" s="5" t="n">
        <v>19</v>
      </c>
      <c r="M657" s="5" t="n">
        <v>22</v>
      </c>
      <c r="N657" s="5">
        <f>J657+K657+L657+M657</f>
        <v/>
      </c>
      <c r="O657" s="5">
        <f>IF(ISNUMBER(N657),N657,"")</f>
        <v/>
      </c>
      <c r="P657" s="5">
        <f>_xlfn.RANK.EQ(O657,$O$2:$O$1031)</f>
        <v/>
      </c>
      <c r="Q657" s="9" t="n">
        <v>204.25</v>
      </c>
      <c r="R657" s="9" t="n">
        <v>37</v>
      </c>
      <c r="S657" s="9" t="n">
        <v>21</v>
      </c>
      <c r="T657" s="9" t="n">
        <v>23</v>
      </c>
      <c r="U657" s="9">
        <f>Q657+R657+S657+T657</f>
        <v/>
      </c>
      <c r="V657" s="9">
        <f>IF(ISNUMBER(U657),U657,"")</f>
        <v/>
      </c>
      <c r="W657" s="9">
        <f>_xlfn.RANK.EQ(V657,$V$2:$V$1031)</f>
        <v/>
      </c>
      <c r="X657" s="13" t="n">
        <v>1373.0708333333</v>
      </c>
      <c r="Y657" s="13" t="n">
        <v>25</v>
      </c>
      <c r="Z657" s="13" t="n">
        <v>23.5</v>
      </c>
      <c r="AA657" s="13" t="n">
        <v>21</v>
      </c>
      <c r="AB657" s="13">
        <f>IF(ISNUMBER(X657),X657+N(Y657)+N(Z657)+N(AA657),X657)</f>
        <v/>
      </c>
      <c r="AC657" s="13">
        <f>IF(ISNUMBER(AB657),AB657,"")</f>
        <v/>
      </c>
      <c r="AD657" s="13">
        <f>IF(ISNUMBER(AC657),_xlfn.RANK.EQ(AC657,$AC$2:$AC$1031),"")</f>
        <v/>
      </c>
      <c r="AE657" s="15">
        <f>IF(ISNUMBER(AF657),AF657/3630,"")</f>
        <v/>
      </c>
      <c r="AF657" s="14">
        <f>IFERROR(C657+D657+E657+F657+J657+K657+L657+M657+Q657+R657+S657+T657+IF(ISNUMBER(X657),X657,0)+N(Y657)+N(Z657)+N(AA657),"")</f>
        <v/>
      </c>
      <c r="AG657" s="14">
        <f>IF(ISNUMBER(AF657),AF657,"")</f>
        <v/>
      </c>
      <c r="AH657" s="14">
        <f>IF(ISNUMBER(AG657),_xlfn.RANK.EQ(AG657,$AG$2:$AG$1031),"")</f>
        <v/>
      </c>
    </row>
    <row r="658">
      <c r="A658" s="18" t="n">
        <v>1592</v>
      </c>
      <c r="B658" s="18" t="inlineStr">
        <is>
          <t>محمد ابراهيم مصطفى الفرارجى</t>
        </is>
      </c>
      <c r="C658" s="1" t="n">
        <v>546.4</v>
      </c>
      <c r="D658" s="1" t="n">
        <v>24</v>
      </c>
      <c r="E658" s="1" t="n">
        <v>17</v>
      </c>
      <c r="F658" s="1" t="n">
        <v>24</v>
      </c>
      <c r="G658" s="1">
        <f>C658+D658+E658+F658</f>
        <v/>
      </c>
      <c r="H658" s="1">
        <f>IF(ISNUMBER(G658),G658,"")</f>
        <v/>
      </c>
      <c r="I658" s="1">
        <f>_xlfn.RANK.EQ(H658,$H$2:$H$1031)</f>
        <v/>
      </c>
      <c r="J658" s="5" t="n">
        <v>536</v>
      </c>
      <c r="K658" s="5" t="n">
        <v>46</v>
      </c>
      <c r="L658" s="5" t="n">
        <v>20</v>
      </c>
      <c r="M658" s="5" t="n">
        <v>19</v>
      </c>
      <c r="N658" s="5">
        <f>J658+K658+L658+M658</f>
        <v/>
      </c>
      <c r="O658" s="5">
        <f>IF(ISNUMBER(N658),N658,"")</f>
        <v/>
      </c>
      <c r="P658" s="5">
        <f>_xlfn.RANK.EQ(O658,$O$2:$O$1031)</f>
        <v/>
      </c>
      <c r="Q658" s="9" t="n">
        <v>211.75</v>
      </c>
      <c r="R658" s="9" t="n">
        <v>44</v>
      </c>
      <c r="S658" s="9" t="n">
        <v>21</v>
      </c>
      <c r="T658" s="9" t="n">
        <v>22</v>
      </c>
      <c r="U658" s="9">
        <f>Q658+R658+S658+T658</f>
        <v/>
      </c>
      <c r="V658" s="9">
        <f>IF(ISNUMBER(U658),U658,"")</f>
        <v/>
      </c>
      <c r="W658" s="9">
        <f>_xlfn.RANK.EQ(V658,$V$2:$V$1031)</f>
        <v/>
      </c>
      <c r="X658" s="13" t="n">
        <v>1377.6625</v>
      </c>
      <c r="Y658" s="13" t="n">
        <v>24</v>
      </c>
      <c r="Z658" s="13" t="n">
        <v>24.5</v>
      </c>
      <c r="AA658" s="13" t="n">
        <v>25</v>
      </c>
      <c r="AB658" s="13">
        <f>IF(ISNUMBER(X658),X658+N(Y658)+N(Z658)+N(AA658),X658)</f>
        <v/>
      </c>
      <c r="AC658" s="13">
        <f>IF(ISNUMBER(AB658),AB658,"")</f>
        <v/>
      </c>
      <c r="AD658" s="13">
        <f>IF(ISNUMBER(AC658),_xlfn.RANK.EQ(AC658,$AC$2:$AC$1031),"")</f>
        <v/>
      </c>
      <c r="AE658" s="15">
        <f>IF(ISNUMBER(AF658),AF658/3630,"")</f>
        <v/>
      </c>
      <c r="AF658" s="14">
        <f>IFERROR(C658+D658+E658+F658+J658+K658+L658+M658+Q658+R658+S658+T658+IF(ISNUMBER(X658),X658,0)+N(Y658)+N(Z658)+N(AA658),"")</f>
        <v/>
      </c>
      <c r="AG658" s="14">
        <f>IF(ISNUMBER(AF658),AF658,"")</f>
        <v/>
      </c>
      <c r="AH658" s="14">
        <f>IF(ISNUMBER(AG658),_xlfn.RANK.EQ(AG658,$AG$2:$AG$1031),"")</f>
        <v/>
      </c>
    </row>
    <row r="659">
      <c r="A659" s="18" t="n">
        <v>1597</v>
      </c>
      <c r="B659" s="18" t="inlineStr">
        <is>
          <t>محمد احمد ابراهيم الرويني</t>
        </is>
      </c>
      <c r="C659" s="1" t="n">
        <v>498.3</v>
      </c>
      <c r="D659" s="1" t="n"/>
      <c r="E659" s="1" t="n">
        <v>19</v>
      </c>
      <c r="F659" s="1" t="n">
        <v>24</v>
      </c>
      <c r="G659" s="1">
        <f>C659+D659+E659+F659</f>
        <v/>
      </c>
      <c r="H659" s="1">
        <f>IF(ISNUMBER(G659),G659,"")</f>
        <v/>
      </c>
      <c r="I659" s="1">
        <f>_xlfn.RANK.EQ(H659,$H$2:$H$1031)</f>
        <v/>
      </c>
      <c r="J659" s="5" t="n">
        <v>467</v>
      </c>
      <c r="K659" s="5" t="n">
        <v>29</v>
      </c>
      <c r="L659" s="5" t="n">
        <v>16</v>
      </c>
      <c r="M659" s="5" t="n">
        <v>13</v>
      </c>
      <c r="N659" s="5">
        <f>J659+K659+L659+M659</f>
        <v/>
      </c>
      <c r="O659" s="5">
        <f>IF(ISNUMBER(N659),N659,"")</f>
        <v/>
      </c>
      <c r="P659" s="5">
        <f>_xlfn.RANK.EQ(O659,$O$2:$O$1031)</f>
        <v/>
      </c>
      <c r="Q659" s="9" t="n">
        <v>167.5</v>
      </c>
      <c r="R659" s="9" t="n">
        <v>32.5</v>
      </c>
      <c r="S659" s="9" t="n">
        <v>21</v>
      </c>
      <c r="T659" s="9" t="n">
        <v>24</v>
      </c>
      <c r="U659" s="9">
        <f>Q659+R659+S659+T659</f>
        <v/>
      </c>
      <c r="V659" s="9">
        <f>IF(ISNUMBER(U659),U659,"")</f>
        <v/>
      </c>
      <c r="W659" s="9">
        <f>_xlfn.RANK.EQ(V659,$V$2:$V$1031)</f>
        <v/>
      </c>
      <c r="X659" s="13" t="inlineStr">
        <is>
          <t>راسب</t>
        </is>
      </c>
      <c r="Y659" s="13" t="n">
        <v>25</v>
      </c>
      <c r="Z659" s="13" t="n">
        <v>20</v>
      </c>
      <c r="AA659" s="13" t="n">
        <v>16</v>
      </c>
      <c r="AB659" s="13">
        <f>IF(ISNUMBER(X659),X659+N(Y659)+N(Z659)+N(AA659),X659)</f>
        <v/>
      </c>
      <c r="AC659" s="13">
        <f>IF(ISNUMBER(AB659),AB659,"")</f>
        <v/>
      </c>
      <c r="AD659" s="13">
        <f>IF(ISNUMBER(AC659),_xlfn.RANK.EQ(AC659,$AC$2:$AC$1031),"")</f>
        <v/>
      </c>
      <c r="AE659" s="15">
        <f>IF(ISNUMBER(AF659),AF659/3630,"")</f>
        <v/>
      </c>
      <c r="AF659" s="14">
        <f>IFERROR(C659+D659+E659+F659+J659+K659+L659+M659+Q659+R659+S659+T659+IF(ISNUMBER(X659),X659,0)+N(Y659)+N(Z659)+N(AA659),"")</f>
        <v/>
      </c>
      <c r="AG659" s="14">
        <f>IF(ISNUMBER(AF659),AF659,"")</f>
        <v/>
      </c>
      <c r="AH659" s="14">
        <f>IF(ISNUMBER(AG659),_xlfn.RANK.EQ(AG659,$AG$2:$AG$1031),"")</f>
        <v/>
      </c>
    </row>
    <row r="660">
      <c r="A660" s="18" t="n">
        <v>1600</v>
      </c>
      <c r="B660" s="18" t="inlineStr">
        <is>
          <t>محمد احمد امين دياب</t>
        </is>
      </c>
      <c r="C660" s="1" t="n">
        <v>600.4</v>
      </c>
      <c r="D660" s="1" t="n">
        <v>23</v>
      </c>
      <c r="E660" s="1" t="n">
        <v>24</v>
      </c>
      <c r="F660" s="1" t="n">
        <v>23</v>
      </c>
      <c r="G660" s="1">
        <f>C660+D660+E660+F660</f>
        <v/>
      </c>
      <c r="H660" s="1">
        <f>IF(ISNUMBER(G660),G660,"")</f>
        <v/>
      </c>
      <c r="I660" s="1">
        <f>_xlfn.RANK.EQ(H660,$H$2:$H$1031)</f>
        <v/>
      </c>
      <c r="J660" s="5" t="n">
        <v>585</v>
      </c>
      <c r="K660" s="5" t="n">
        <v>46</v>
      </c>
      <c r="L660" s="5" t="n">
        <v>18</v>
      </c>
      <c r="M660" s="5" t="n">
        <v>19</v>
      </c>
      <c r="N660" s="5">
        <f>J660+K660+L660+M660</f>
        <v/>
      </c>
      <c r="O660" s="5">
        <f>IF(ISNUMBER(N660),N660,"")</f>
        <v/>
      </c>
      <c r="P660" s="5">
        <f>_xlfn.RANK.EQ(O660,$O$2:$O$1031)</f>
        <v/>
      </c>
      <c r="Q660" s="9" t="inlineStr">
        <is>
          <t>راسب</t>
        </is>
      </c>
      <c r="R660" s="9" t="n">
        <v>44</v>
      </c>
      <c r="S660" s="9" t="n">
        <v>23</v>
      </c>
      <c r="T660" s="9" t="n">
        <v>24</v>
      </c>
      <c r="U660" s="9">
        <f>Q660+R660+S660+T660</f>
        <v/>
      </c>
      <c r="V660" s="9">
        <f>IF(ISNUMBER(U660),U660,"")</f>
        <v/>
      </c>
      <c r="W660" s="9">
        <f>_xlfn.RANK.EQ(V660,$V$2:$V$1031)</f>
        <v/>
      </c>
      <c r="X660" s="13" t="n">
        <v>1273.9541666667</v>
      </c>
      <c r="Y660" s="13" t="n">
        <v>23</v>
      </c>
      <c r="Z660" s="13" t="n">
        <v>21</v>
      </c>
      <c r="AA660" s="13" t="n">
        <v>23</v>
      </c>
      <c r="AB660" s="13">
        <f>IF(ISNUMBER(X660),X660+N(Y660)+N(Z660)+N(AA660),X660)</f>
        <v/>
      </c>
      <c r="AC660" s="13">
        <f>IF(ISNUMBER(AB660),AB660,"")</f>
        <v/>
      </c>
      <c r="AD660" s="13">
        <f>IF(ISNUMBER(AC660),_xlfn.RANK.EQ(AC660,$AC$2:$AC$1031),"")</f>
        <v/>
      </c>
      <c r="AE660" s="15">
        <f>IF(ISNUMBER(AF660),AF660/3630,"")</f>
        <v/>
      </c>
      <c r="AF660" s="14">
        <f>IFERROR(C660+D660+E660+F660+J660+K660+L660+M660+Q660+R660+S660+T660+IF(ISNUMBER(X660),X660,0)+N(Y660)+N(Z660)+N(AA660),"")</f>
        <v/>
      </c>
      <c r="AG660" s="14">
        <f>IF(ISNUMBER(AF660),AF660,"")</f>
        <v/>
      </c>
      <c r="AH660" s="14">
        <f>IF(ISNUMBER(AG660),_xlfn.RANK.EQ(AG660,$AG$2:$AG$1031),"")</f>
        <v/>
      </c>
    </row>
    <row r="661">
      <c r="A661" s="18" t="n">
        <v>1601</v>
      </c>
      <c r="B661" s="18" t="inlineStr">
        <is>
          <t>محمد احمد توفيق محمد الجندي</t>
        </is>
      </c>
      <c r="C661" s="1" t="n">
        <v>643.6</v>
      </c>
      <c r="D661" s="1" t="n">
        <v>25</v>
      </c>
      <c r="E661" s="1" t="n">
        <v>25</v>
      </c>
      <c r="F661" s="1" t="n">
        <v>24</v>
      </c>
      <c r="G661" s="1">
        <f>C661+D661+E661+F661</f>
        <v/>
      </c>
      <c r="H661" s="1">
        <f>IF(ISNUMBER(G661),G661,"")</f>
        <v/>
      </c>
      <c r="I661" s="1">
        <f>_xlfn.RANK.EQ(H661,$H$2:$H$1031)</f>
        <v/>
      </c>
      <c r="J661" s="5" t="n">
        <v>617</v>
      </c>
      <c r="K661" s="5" t="n">
        <v>48</v>
      </c>
      <c r="L661" s="5" t="n">
        <v>21</v>
      </c>
      <c r="M661" s="5" t="n">
        <v>23</v>
      </c>
      <c r="N661" s="5">
        <f>J661+K661+L661+M661</f>
        <v/>
      </c>
      <c r="O661" s="5">
        <f>IF(ISNUMBER(N661),N661,"")</f>
        <v/>
      </c>
      <c r="P661" s="5">
        <f>_xlfn.RANK.EQ(O661,$O$2:$O$1031)</f>
        <v/>
      </c>
      <c r="Q661" s="9" t="n">
        <v>277.75</v>
      </c>
      <c r="R661" s="9" t="n">
        <v>49</v>
      </c>
      <c r="S661" s="9" t="n">
        <v>24</v>
      </c>
      <c r="T661" s="9" t="n">
        <v>23</v>
      </c>
      <c r="U661" s="9">
        <f>Q661+R661+S661+T661</f>
        <v/>
      </c>
      <c r="V661" s="9">
        <f>IF(ISNUMBER(U661),U661,"")</f>
        <v/>
      </c>
      <c r="W661" s="9">
        <f>_xlfn.RANK.EQ(V661,$V$2:$V$1031)</f>
        <v/>
      </c>
      <c r="X661" s="13" t="n">
        <v>1526.1708333333</v>
      </c>
      <c r="Y661" s="13" t="n">
        <v>24</v>
      </c>
      <c r="Z661" s="13" t="n">
        <v>23</v>
      </c>
      <c r="AA661" s="13" t="n">
        <v>24</v>
      </c>
      <c r="AB661" s="13">
        <f>IF(ISNUMBER(X661),X661+N(Y661)+N(Z661)+N(AA661),X661)</f>
        <v/>
      </c>
      <c r="AC661" s="13">
        <f>IF(ISNUMBER(AB661),AB661,"")</f>
        <v/>
      </c>
      <c r="AD661" s="13">
        <f>IF(ISNUMBER(AC661),_xlfn.RANK.EQ(AC661,$AC$2:$AC$1031),"")</f>
        <v/>
      </c>
      <c r="AE661" s="15">
        <f>IF(ISNUMBER(AF661),AF661/3630,"")</f>
        <v/>
      </c>
      <c r="AF661" s="14">
        <f>IFERROR(C661+D661+E661+F661+J661+K661+L661+M661+Q661+R661+S661+T661+IF(ISNUMBER(X661),X661,0)+N(Y661)+N(Z661)+N(AA661),"")</f>
        <v/>
      </c>
      <c r="AG661" s="14">
        <f>IF(ISNUMBER(AF661),AF661,"")</f>
        <v/>
      </c>
      <c r="AH661" s="14">
        <f>IF(ISNUMBER(AG661),_xlfn.RANK.EQ(AG661,$AG$2:$AG$1031),"")</f>
        <v/>
      </c>
    </row>
    <row r="662">
      <c r="A662" s="18" t="n">
        <v>1602</v>
      </c>
      <c r="B662" s="18" t="inlineStr">
        <is>
          <t>محمد احمد حامد المسدي</t>
        </is>
      </c>
      <c r="C662" s="1" t="n">
        <v>514.8</v>
      </c>
      <c r="D662" s="1" t="n">
        <v>23</v>
      </c>
      <c r="E662" s="1" t="n">
        <v>23</v>
      </c>
      <c r="F662" s="1" t="n">
        <v>23</v>
      </c>
      <c r="G662" s="1">
        <f>C662+D662+E662+F662</f>
        <v/>
      </c>
      <c r="H662" s="1">
        <f>IF(ISNUMBER(G662),G662,"")</f>
        <v/>
      </c>
      <c r="I662" s="1">
        <f>_xlfn.RANK.EQ(H662,$H$2:$H$1031)</f>
        <v/>
      </c>
      <c r="J662" s="5" t="n">
        <v>513.5</v>
      </c>
      <c r="K662" s="5" t="n">
        <v>49</v>
      </c>
      <c r="L662" s="5" t="n">
        <v>23</v>
      </c>
      <c r="M662" s="5" t="n">
        <v>0</v>
      </c>
      <c r="N662" s="5">
        <f>J662+K662+L662+M662</f>
        <v/>
      </c>
      <c r="O662" s="5">
        <f>IF(ISNUMBER(N662),N662,"")</f>
        <v/>
      </c>
      <c r="P662" s="5">
        <f>_xlfn.RANK.EQ(O662,$O$2:$O$1031)</f>
        <v/>
      </c>
      <c r="Q662" s="9" t="n">
        <v>217</v>
      </c>
      <c r="R662" s="9" t="n">
        <v>45.5</v>
      </c>
      <c r="S662" s="9" t="n">
        <v>24</v>
      </c>
      <c r="T662" s="9" t="n">
        <v>24</v>
      </c>
      <c r="U662" s="9">
        <f>Q662+R662+S662+T662</f>
        <v/>
      </c>
      <c r="V662" s="9">
        <f>IF(ISNUMBER(U662),U662,"")</f>
        <v/>
      </c>
      <c r="W662" s="9">
        <f>_xlfn.RANK.EQ(V662,$V$2:$V$1031)</f>
        <v/>
      </c>
      <c r="X662" s="13" t="n">
        <v>1327.2833333333</v>
      </c>
      <c r="Y662" s="13" t="n">
        <v>24</v>
      </c>
      <c r="Z662" s="13" t="n">
        <v>22</v>
      </c>
      <c r="AA662" s="13" t="n">
        <v>20</v>
      </c>
      <c r="AB662" s="13">
        <f>IF(ISNUMBER(X662),X662+N(Y662)+N(Z662)+N(AA662),X662)</f>
        <v/>
      </c>
      <c r="AC662" s="13">
        <f>IF(ISNUMBER(AB662),AB662,"")</f>
        <v/>
      </c>
      <c r="AD662" s="13">
        <f>IF(ISNUMBER(AC662),_xlfn.RANK.EQ(AC662,$AC$2:$AC$1031),"")</f>
        <v/>
      </c>
      <c r="AE662" s="15">
        <f>IF(ISNUMBER(AF662),AF662/3630,"")</f>
        <v/>
      </c>
      <c r="AF662" s="14">
        <f>IFERROR(C662+D662+E662+F662+J662+K662+L662+M662+Q662+R662+S662+T662+IF(ISNUMBER(X662),X662,0)+N(Y662)+N(Z662)+N(AA662),"")</f>
        <v/>
      </c>
      <c r="AG662" s="14">
        <f>IF(ISNUMBER(AF662),AF662,"")</f>
        <v/>
      </c>
      <c r="AH662" s="14">
        <f>IF(ISNUMBER(AG662),_xlfn.RANK.EQ(AG662,$AG$2:$AG$1031),"")</f>
        <v/>
      </c>
    </row>
    <row r="663">
      <c r="A663" s="18" t="n">
        <v>1603</v>
      </c>
      <c r="B663" s="18" t="inlineStr">
        <is>
          <t>محمد احمد حسن ابراهيم ابوالفتوح</t>
        </is>
      </c>
      <c r="C663" s="1" t="e">
        <v>#N/A</v>
      </c>
      <c r="D663" s="1" t="n">
        <v>17</v>
      </c>
      <c r="E663" s="1" t="n">
        <v>17</v>
      </c>
      <c r="F663" s="1" t="n">
        <v>22</v>
      </c>
      <c r="G663" s="1">
        <f>C663+D663+E663+F663</f>
        <v/>
      </c>
      <c r="H663" s="1">
        <f>IF(ISNUMBER(G663),G663,"")</f>
        <v/>
      </c>
      <c r="I663" s="1">
        <f>_xlfn.RANK.EQ(H663,$H$2:$H$1031)</f>
        <v/>
      </c>
      <c r="J663" s="5" t="n">
        <v>441.67</v>
      </c>
      <c r="K663" s="5" t="n">
        <v>36</v>
      </c>
      <c r="L663" s="5" t="n">
        <v>23</v>
      </c>
      <c r="M663" s="5" t="n">
        <v>22</v>
      </c>
      <c r="N663" s="5">
        <f>J663+K663+L663+M663</f>
        <v/>
      </c>
      <c r="O663" s="5">
        <f>IF(ISNUMBER(N663),N663,"")</f>
        <v/>
      </c>
      <c r="P663" s="5">
        <f>_xlfn.RANK.EQ(O663,$O$2:$O$1031)</f>
        <v/>
      </c>
      <c r="Q663" s="9" t="n">
        <v>188</v>
      </c>
      <c r="R663" s="9" t="n">
        <v>32</v>
      </c>
      <c r="S663" s="9" t="n">
        <v>23</v>
      </c>
      <c r="T663" s="9" t="n">
        <v>24</v>
      </c>
      <c r="U663" s="9">
        <f>Q663+R663+S663+T663</f>
        <v/>
      </c>
      <c r="V663" s="9">
        <f>IF(ISNUMBER(U663),U663,"")</f>
        <v/>
      </c>
      <c r="W663" s="9">
        <f>_xlfn.RANK.EQ(V663,$V$2:$V$1031)</f>
        <v/>
      </c>
      <c r="X663" s="13" t="inlineStr">
        <is>
          <t>راسب</t>
        </is>
      </c>
      <c r="Y663" s="13" t="n">
        <v>23</v>
      </c>
      <c r="Z663" s="13" t="n">
        <v>19</v>
      </c>
      <c r="AA663" s="13" t="n">
        <v>20</v>
      </c>
      <c r="AB663" s="13">
        <f>IF(ISNUMBER(X663),X663+N(Y663)+N(Z663)+N(AA663),X663)</f>
        <v/>
      </c>
      <c r="AC663" s="13">
        <f>IF(ISNUMBER(AB663),AB663,"")</f>
        <v/>
      </c>
      <c r="AD663" s="13">
        <f>IF(ISNUMBER(AC663),_xlfn.RANK.EQ(AC663,$AC$2:$AC$1031),"")</f>
        <v/>
      </c>
      <c r="AE663" s="15">
        <f>IF(ISNUMBER(AF663),AF663/3630,"")</f>
        <v/>
      </c>
      <c r="AF663" s="14">
        <f>IFERROR(C663+D663+E663+F663+J663+K663+L663+M663+Q663+R663+S663+T663+IF(ISNUMBER(X663),X663,0)+N(Y663)+N(Z663)+N(AA663),"")</f>
        <v/>
      </c>
      <c r="AG663" s="14">
        <f>IF(ISNUMBER(AF663),AF663,"")</f>
        <v/>
      </c>
      <c r="AH663" s="14">
        <f>IF(ISNUMBER(AG663),_xlfn.RANK.EQ(AG663,$AG$2:$AG$1031),"")</f>
        <v/>
      </c>
    </row>
    <row r="664">
      <c r="A664" s="18" t="n">
        <v>1605</v>
      </c>
      <c r="B664" s="18" t="inlineStr">
        <is>
          <t>محمد احمد سليم الخواجه</t>
        </is>
      </c>
      <c r="C664" s="1" t="n">
        <v>593.1</v>
      </c>
      <c r="D664" s="1" t="n">
        <v>21</v>
      </c>
      <c r="E664" s="1" t="n">
        <v>22</v>
      </c>
      <c r="F664" s="1" t="n">
        <v>21</v>
      </c>
      <c r="G664" s="1">
        <f>C664+D664+E664+F664</f>
        <v/>
      </c>
      <c r="H664" s="1">
        <f>IF(ISNUMBER(G664),G664,"")</f>
        <v/>
      </c>
      <c r="I664" s="1">
        <f>_xlfn.RANK.EQ(H664,$H$2:$H$1031)</f>
        <v/>
      </c>
      <c r="J664" s="5" t="n">
        <v>606.5</v>
      </c>
      <c r="K664" s="5" t="n">
        <v>48</v>
      </c>
      <c r="L664" s="5" t="n">
        <v>22</v>
      </c>
      <c r="M664" s="5" t="n">
        <v>22</v>
      </c>
      <c r="N664" s="5">
        <f>J664+K664+L664+M664</f>
        <v/>
      </c>
      <c r="O664" s="5">
        <f>IF(ISNUMBER(N664),N664,"")</f>
        <v/>
      </c>
      <c r="P664" s="5">
        <f>_xlfn.RANK.EQ(O664,$O$2:$O$1031)</f>
        <v/>
      </c>
      <c r="Q664" s="9" t="n">
        <v>284</v>
      </c>
      <c r="R664" s="9" t="n">
        <v>46.5</v>
      </c>
      <c r="S664" s="9" t="n">
        <v>23</v>
      </c>
      <c r="T664" s="9" t="n">
        <v>25</v>
      </c>
      <c r="U664" s="9">
        <f>Q664+R664+S664+T664</f>
        <v/>
      </c>
      <c r="V664" s="9">
        <f>IF(ISNUMBER(U664),U664,"")</f>
        <v/>
      </c>
      <c r="W664" s="9">
        <f>_xlfn.RANK.EQ(V664,$V$2:$V$1031)</f>
        <v/>
      </c>
      <c r="X664" s="13" t="n">
        <v>1466.0541666667</v>
      </c>
      <c r="Y664" s="13" t="n">
        <v>25</v>
      </c>
      <c r="Z664" s="13" t="n">
        <v>25</v>
      </c>
      <c r="AA664" s="13" t="n">
        <v>23</v>
      </c>
      <c r="AB664" s="13">
        <f>IF(ISNUMBER(X664),X664+N(Y664)+N(Z664)+N(AA664),X664)</f>
        <v/>
      </c>
      <c r="AC664" s="13">
        <f>IF(ISNUMBER(AB664),AB664,"")</f>
        <v/>
      </c>
      <c r="AD664" s="13">
        <f>IF(ISNUMBER(AC664),_xlfn.RANK.EQ(AC664,$AC$2:$AC$1031),"")</f>
        <v/>
      </c>
      <c r="AE664" s="15">
        <f>IF(ISNUMBER(AF664),AF664/3630,"")</f>
        <v/>
      </c>
      <c r="AF664" s="14">
        <f>IFERROR(C664+D664+E664+F664+J664+K664+L664+M664+Q664+R664+S664+T664+IF(ISNUMBER(X664),X664,0)+N(Y664)+N(Z664)+N(AA664),"")</f>
        <v/>
      </c>
      <c r="AG664" s="14">
        <f>IF(ISNUMBER(AF664),AF664,"")</f>
        <v/>
      </c>
      <c r="AH664" s="14">
        <f>IF(ISNUMBER(AG664),_xlfn.RANK.EQ(AG664,$AG$2:$AG$1031),"")</f>
        <v/>
      </c>
    </row>
    <row r="665">
      <c r="A665" s="18" t="n">
        <v>1606</v>
      </c>
      <c r="B665" s="18" t="inlineStr">
        <is>
          <t>محمد احمد سمير مقلد</t>
        </is>
      </c>
      <c r="C665" s="1" t="n">
        <v>554.1</v>
      </c>
      <c r="D665" s="1" t="n">
        <v>21</v>
      </c>
      <c r="E665" s="1" t="n">
        <v>21</v>
      </c>
      <c r="F665" s="1" t="n">
        <v>25</v>
      </c>
      <c r="G665" s="1">
        <f>C665+D665+E665+F665</f>
        <v/>
      </c>
      <c r="H665" s="1">
        <f>IF(ISNUMBER(G665),G665,"")</f>
        <v/>
      </c>
      <c r="I665" s="1">
        <f>_xlfn.RANK.EQ(H665,$H$2:$H$1031)</f>
        <v/>
      </c>
      <c r="J665" s="5" t="n">
        <v>579.5</v>
      </c>
      <c r="K665" s="5" t="n">
        <v>46</v>
      </c>
      <c r="L665" s="5" t="n">
        <v>21</v>
      </c>
      <c r="M665" s="5" t="n">
        <v>22</v>
      </c>
      <c r="N665" s="5">
        <f>J665+K665+L665+M665</f>
        <v/>
      </c>
      <c r="O665" s="5">
        <f>IF(ISNUMBER(N665),N665,"")</f>
        <v/>
      </c>
      <c r="P665" s="5">
        <f>_xlfn.RANK.EQ(O665,$O$2:$O$1031)</f>
        <v/>
      </c>
      <c r="Q665" s="9" t="n">
        <v>254.5</v>
      </c>
      <c r="R665" s="9" t="n">
        <v>44.5</v>
      </c>
      <c r="S665" s="9" t="n">
        <v>24</v>
      </c>
      <c r="T665" s="9" t="n">
        <v>24</v>
      </c>
      <c r="U665" s="9">
        <f>Q665+R665+S665+T665</f>
        <v/>
      </c>
      <c r="V665" s="9">
        <f>IF(ISNUMBER(U665),U665,"")</f>
        <v/>
      </c>
      <c r="W665" s="9">
        <f>_xlfn.RANK.EQ(V665,$V$2:$V$1031)</f>
        <v/>
      </c>
      <c r="X665" s="13" t="n">
        <v>1444.4833333333</v>
      </c>
      <c r="Y665" s="13" t="n">
        <v>24</v>
      </c>
      <c r="Z665" s="13" t="n">
        <v>25</v>
      </c>
      <c r="AA665" s="13" t="n">
        <v>21</v>
      </c>
      <c r="AB665" s="13">
        <f>IF(ISNUMBER(X665),X665+N(Y665)+N(Z665)+N(AA665),X665)</f>
        <v/>
      </c>
      <c r="AC665" s="13">
        <f>IF(ISNUMBER(AB665),AB665,"")</f>
        <v/>
      </c>
      <c r="AD665" s="13">
        <f>IF(ISNUMBER(AC665),_xlfn.RANK.EQ(AC665,$AC$2:$AC$1031),"")</f>
        <v/>
      </c>
      <c r="AE665" s="15">
        <f>IF(ISNUMBER(AF665),AF665/3630,"")</f>
        <v/>
      </c>
      <c r="AF665" s="14">
        <f>IFERROR(C665+D665+E665+F665+J665+K665+L665+M665+Q665+R665+S665+T665+IF(ISNUMBER(X665),X665,0)+N(Y665)+N(Z665)+N(AA665),"")</f>
        <v/>
      </c>
      <c r="AG665" s="14">
        <f>IF(ISNUMBER(AF665),AF665,"")</f>
        <v/>
      </c>
      <c r="AH665" s="14">
        <f>IF(ISNUMBER(AG665),_xlfn.RANK.EQ(AG665,$AG$2:$AG$1031),"")</f>
        <v/>
      </c>
    </row>
    <row r="666">
      <c r="A666" s="18" t="n">
        <v>1607</v>
      </c>
      <c r="B666" s="18" t="inlineStr">
        <is>
          <t>محمد احمد عادل مجاهد</t>
        </is>
      </c>
      <c r="C666" s="1" t="n">
        <v>651.6</v>
      </c>
      <c r="D666" s="1" t="n">
        <v>25</v>
      </c>
      <c r="E666" s="1" t="n">
        <v>24</v>
      </c>
      <c r="F666" s="1" t="n">
        <v>23</v>
      </c>
      <c r="G666" s="1">
        <f>C666+D666+E666+F666</f>
        <v/>
      </c>
      <c r="H666" s="1">
        <f>IF(ISNUMBER(G666),G666,"")</f>
        <v/>
      </c>
      <c r="I666" s="1">
        <f>_xlfn.RANK.EQ(H666,$H$2:$H$1031)</f>
        <v/>
      </c>
      <c r="J666" s="5" t="n">
        <v>636</v>
      </c>
      <c r="K666" s="5" t="n">
        <v>49</v>
      </c>
      <c r="L666" s="5" t="n">
        <v>24</v>
      </c>
      <c r="M666" s="5" t="n">
        <v>25</v>
      </c>
      <c r="N666" s="5">
        <f>J666+K666+L666+M666</f>
        <v/>
      </c>
      <c r="O666" s="5">
        <f>IF(ISNUMBER(N666),N666,"")</f>
        <v/>
      </c>
      <c r="P666" s="5">
        <f>_xlfn.RANK.EQ(O666,$O$2:$O$1031)</f>
        <v/>
      </c>
      <c r="Q666" s="9" t="n">
        <v>290</v>
      </c>
      <c r="R666" s="9" t="n">
        <v>49.5</v>
      </c>
      <c r="S666" s="9" t="n">
        <v>23</v>
      </c>
      <c r="T666" s="9" t="n">
        <v>25</v>
      </c>
      <c r="U666" s="9">
        <f>Q666+R666+S666+T666</f>
        <v/>
      </c>
      <c r="V666" s="9">
        <f>IF(ISNUMBER(U666),U666,"")</f>
        <v/>
      </c>
      <c r="W666" s="9">
        <f>_xlfn.RANK.EQ(V666,$V$2:$V$1031)</f>
        <v/>
      </c>
      <c r="X666" s="13" t="n">
        <v>1519.0791666667</v>
      </c>
      <c r="Y666" s="13" t="n">
        <v>25</v>
      </c>
      <c r="Z666" s="13" t="n">
        <v>24</v>
      </c>
      <c r="AA666" s="13" t="n">
        <v>25</v>
      </c>
      <c r="AB666" s="13">
        <f>IF(ISNUMBER(X666),X666+N(Y666)+N(Z666)+N(AA666),X666)</f>
        <v/>
      </c>
      <c r="AC666" s="13">
        <f>IF(ISNUMBER(AB666),AB666,"")</f>
        <v/>
      </c>
      <c r="AD666" s="13">
        <f>IF(ISNUMBER(AC666),_xlfn.RANK.EQ(AC666,$AC$2:$AC$1031),"")</f>
        <v/>
      </c>
      <c r="AE666" s="15">
        <f>IF(ISNUMBER(AF666),AF666/3630,"")</f>
        <v/>
      </c>
      <c r="AF666" s="14">
        <f>IFERROR(C666+D666+E666+F666+J666+K666+L666+M666+Q666+R666+S666+T666+IF(ISNUMBER(X666),X666,0)+N(Y666)+N(Z666)+N(AA666),"")</f>
        <v/>
      </c>
      <c r="AG666" s="14">
        <f>IF(ISNUMBER(AF666),AF666,"")</f>
        <v/>
      </c>
      <c r="AH666" s="14">
        <f>IF(ISNUMBER(AG666),_xlfn.RANK.EQ(AG666,$AG$2:$AG$1031),"")</f>
        <v/>
      </c>
    </row>
    <row r="667">
      <c r="A667" s="18" t="n">
        <v>1609</v>
      </c>
      <c r="B667" s="18" t="inlineStr">
        <is>
          <t>محمد احمد عبدالونيس محمد ابوسعديه</t>
        </is>
      </c>
      <c r="C667" s="1" t="n">
        <v>627.7</v>
      </c>
      <c r="D667" s="1" t="n">
        <v>23</v>
      </c>
      <c r="E667" s="1" t="n">
        <v>24</v>
      </c>
      <c r="F667" s="1" t="n">
        <v>23</v>
      </c>
      <c r="G667" s="1">
        <f>C667+D667+E667+F667</f>
        <v/>
      </c>
      <c r="H667" s="1">
        <f>IF(ISNUMBER(G667),G667,"")</f>
        <v/>
      </c>
      <c r="I667" s="1">
        <f>_xlfn.RANK.EQ(H667,$H$2:$H$1031)</f>
        <v/>
      </c>
      <c r="J667" s="5" t="n">
        <v>581</v>
      </c>
      <c r="K667" s="5" t="n">
        <v>44</v>
      </c>
      <c r="L667" s="5" t="n">
        <v>17</v>
      </c>
      <c r="M667" s="5" t="n">
        <v>22</v>
      </c>
      <c r="N667" s="5">
        <f>J667+K667+L667+M667</f>
        <v/>
      </c>
      <c r="O667" s="5">
        <f>IF(ISNUMBER(N667),N667,"")</f>
        <v/>
      </c>
      <c r="P667" s="5">
        <f>_xlfn.RANK.EQ(O667,$O$2:$O$1031)</f>
        <v/>
      </c>
      <c r="Q667" s="9" t="n">
        <v>260.25</v>
      </c>
      <c r="R667" s="9" t="n">
        <v>45</v>
      </c>
      <c r="S667" s="9" t="n">
        <v>23</v>
      </c>
      <c r="T667" s="9" t="n">
        <v>23.5</v>
      </c>
      <c r="U667" s="9">
        <f>Q667+R667+S667+T667</f>
        <v/>
      </c>
      <c r="V667" s="9">
        <f>IF(ISNUMBER(U667),U667,"")</f>
        <v/>
      </c>
      <c r="W667" s="9">
        <f>_xlfn.RANK.EQ(V667,$V$2:$V$1031)</f>
        <v/>
      </c>
      <c r="X667" s="13" t="n">
        <v>1520.9541666667</v>
      </c>
      <c r="Y667" s="13" t="n">
        <v>24</v>
      </c>
      <c r="Z667" s="13" t="n">
        <v>24</v>
      </c>
      <c r="AA667" s="13" t="n">
        <v>25</v>
      </c>
      <c r="AB667" s="13">
        <f>IF(ISNUMBER(X667),X667+N(Y667)+N(Z667)+N(AA667),X667)</f>
        <v/>
      </c>
      <c r="AC667" s="13">
        <f>IF(ISNUMBER(AB667),AB667,"")</f>
        <v/>
      </c>
      <c r="AD667" s="13">
        <f>IF(ISNUMBER(AC667),_xlfn.RANK.EQ(AC667,$AC$2:$AC$1031),"")</f>
        <v/>
      </c>
      <c r="AE667" s="15">
        <f>IF(ISNUMBER(AF667),AF667/3630,"")</f>
        <v/>
      </c>
      <c r="AF667" s="14">
        <f>IFERROR(C667+D667+E667+F667+J667+K667+L667+M667+Q667+R667+S667+T667+IF(ISNUMBER(X667),X667,0)+N(Y667)+N(Z667)+N(AA667),"")</f>
        <v/>
      </c>
      <c r="AG667" s="14">
        <f>IF(ISNUMBER(AF667),AF667,"")</f>
        <v/>
      </c>
      <c r="AH667" s="14">
        <f>IF(ISNUMBER(AG667),_xlfn.RANK.EQ(AG667,$AG$2:$AG$1031),"")</f>
        <v/>
      </c>
    </row>
    <row r="668">
      <c r="A668" s="18" t="n">
        <v>1610</v>
      </c>
      <c r="B668" s="18" t="inlineStr">
        <is>
          <t>محمد احمد عطيتو حسن غزالى</t>
        </is>
      </c>
      <c r="C668" s="1" t="n">
        <v>639.6</v>
      </c>
      <c r="D668" s="1" t="n">
        <v>23</v>
      </c>
      <c r="E668" s="1" t="n">
        <v>25</v>
      </c>
      <c r="F668" s="1" t="n">
        <v>24</v>
      </c>
      <c r="G668" s="1">
        <f>C668+D668+E668+F668</f>
        <v/>
      </c>
      <c r="H668" s="1">
        <f>IF(ISNUMBER(G668),G668,"")</f>
        <v/>
      </c>
      <c r="I668" s="1">
        <f>_xlfn.RANK.EQ(H668,$H$2:$H$1031)</f>
        <v/>
      </c>
      <c r="J668" s="5" t="n">
        <v>638</v>
      </c>
      <c r="K668" s="5" t="n">
        <v>47</v>
      </c>
      <c r="L668" s="5" t="n">
        <v>22</v>
      </c>
      <c r="M668" s="5" t="n">
        <v>22</v>
      </c>
      <c r="N668" s="5">
        <f>J668+K668+L668+M668</f>
        <v/>
      </c>
      <c r="O668" s="5">
        <f>IF(ISNUMBER(N668),N668,"")</f>
        <v/>
      </c>
      <c r="P668" s="5">
        <f>_xlfn.RANK.EQ(O668,$O$2:$O$1031)</f>
        <v/>
      </c>
      <c r="Q668" s="9" t="n">
        <v>279.75</v>
      </c>
      <c r="R668" s="9" t="n">
        <v>47.5</v>
      </c>
      <c r="S668" s="9" t="n">
        <v>24</v>
      </c>
      <c r="T668" s="9" t="n">
        <v>24.5</v>
      </c>
      <c r="U668" s="9">
        <f>Q668+R668+S668+T668</f>
        <v/>
      </c>
      <c r="V668" s="9">
        <f>IF(ISNUMBER(U668),U668,"")</f>
        <v/>
      </c>
      <c r="W668" s="9">
        <f>_xlfn.RANK.EQ(V668,$V$2:$V$1031)</f>
        <v/>
      </c>
      <c r="X668" s="13" t="n">
        <v>1500.5041666667</v>
      </c>
      <c r="Y668" s="13" t="n">
        <v>25</v>
      </c>
      <c r="Z668" s="13" t="n">
        <v>23</v>
      </c>
      <c r="AA668" s="13" t="n">
        <v>23</v>
      </c>
      <c r="AB668" s="13">
        <f>IF(ISNUMBER(X668),X668+N(Y668)+N(Z668)+N(AA668),X668)</f>
        <v/>
      </c>
      <c r="AC668" s="13">
        <f>IF(ISNUMBER(AB668),AB668,"")</f>
        <v/>
      </c>
      <c r="AD668" s="13">
        <f>IF(ISNUMBER(AC668),_xlfn.RANK.EQ(AC668,$AC$2:$AC$1031),"")</f>
        <v/>
      </c>
      <c r="AE668" s="15">
        <f>IF(ISNUMBER(AF668),AF668/3630,"")</f>
        <v/>
      </c>
      <c r="AF668" s="14">
        <f>IFERROR(C668+D668+E668+F668+J668+K668+L668+M668+Q668+R668+S668+T668+IF(ISNUMBER(X668),X668,0)+N(Y668)+N(Z668)+N(AA668),"")</f>
        <v/>
      </c>
      <c r="AG668" s="14">
        <f>IF(ISNUMBER(AF668),AF668,"")</f>
        <v/>
      </c>
      <c r="AH668" s="14">
        <f>IF(ISNUMBER(AG668),_xlfn.RANK.EQ(AG668,$AG$2:$AG$1031),"")</f>
        <v/>
      </c>
    </row>
    <row r="669">
      <c r="A669" s="18" t="n">
        <v>1613</v>
      </c>
      <c r="B669" s="18" t="inlineStr">
        <is>
          <t>محمد احمد محمد السعيد خليل عقدة</t>
        </is>
      </c>
      <c r="C669" s="1" t="n">
        <v>620.3</v>
      </c>
      <c r="D669" s="1" t="n">
        <v>24</v>
      </c>
      <c r="E669" s="1" t="n">
        <v>24</v>
      </c>
      <c r="F669" s="1" t="n">
        <v>20</v>
      </c>
      <c r="G669" s="1">
        <f>C669+D669+E669+F669</f>
        <v/>
      </c>
      <c r="H669" s="1">
        <f>IF(ISNUMBER(G669),G669,"")</f>
        <v/>
      </c>
      <c r="I669" s="1">
        <f>_xlfn.RANK.EQ(H669,$H$2:$H$1031)</f>
        <v/>
      </c>
      <c r="J669" s="5" t="n">
        <v>610</v>
      </c>
      <c r="K669" s="5" t="n">
        <v>49</v>
      </c>
      <c r="L669" s="5" t="n">
        <v>22</v>
      </c>
      <c r="M669" s="5" t="n">
        <v>20</v>
      </c>
      <c r="N669" s="5">
        <f>J669+K669+L669+M669</f>
        <v/>
      </c>
      <c r="O669" s="5">
        <f>IF(ISNUMBER(N669),N669,"")</f>
        <v/>
      </c>
      <c r="P669" s="5">
        <f>_xlfn.RANK.EQ(O669,$O$2:$O$1031)</f>
        <v/>
      </c>
      <c r="Q669" s="9" t="n">
        <v>275.75</v>
      </c>
      <c r="R669" s="9" t="n">
        <v>47</v>
      </c>
      <c r="S669" s="9" t="n">
        <v>25</v>
      </c>
      <c r="T669" s="9" t="n">
        <v>24.5</v>
      </c>
      <c r="U669" s="9">
        <f>Q669+R669+S669+T669</f>
        <v/>
      </c>
      <c r="V669" s="9">
        <f>IF(ISNUMBER(U669),U669,"")</f>
        <v/>
      </c>
      <c r="W669" s="9">
        <f>_xlfn.RANK.EQ(V669,$V$2:$V$1031)</f>
        <v/>
      </c>
      <c r="X669" s="13" t="n">
        <v>1525.5916666667</v>
      </c>
      <c r="Y669" s="13" t="n">
        <v>25</v>
      </c>
      <c r="Z669" s="13" t="n">
        <v>25</v>
      </c>
      <c r="AA669" s="13" t="n">
        <v>23</v>
      </c>
      <c r="AB669" s="13">
        <f>IF(ISNUMBER(X669),X669+N(Y669)+N(Z669)+N(AA669),X669)</f>
        <v/>
      </c>
      <c r="AC669" s="13">
        <f>IF(ISNUMBER(AB669),AB669,"")</f>
        <v/>
      </c>
      <c r="AD669" s="13">
        <f>IF(ISNUMBER(AC669),_xlfn.RANK.EQ(AC669,$AC$2:$AC$1031),"")</f>
        <v/>
      </c>
      <c r="AE669" s="15">
        <f>IF(ISNUMBER(AF669),AF669/3630,"")</f>
        <v/>
      </c>
      <c r="AF669" s="14">
        <f>IFERROR(C669+D669+E669+F669+J669+K669+L669+M669+Q669+R669+S669+T669+IF(ISNUMBER(X669),X669,0)+N(Y669)+N(Z669)+N(AA669),"")</f>
        <v/>
      </c>
      <c r="AG669" s="14">
        <f>IF(ISNUMBER(AF669),AF669,"")</f>
        <v/>
      </c>
      <c r="AH669" s="14">
        <f>IF(ISNUMBER(AG669),_xlfn.RANK.EQ(AG669,$AG$2:$AG$1031),"")</f>
        <v/>
      </c>
    </row>
    <row r="670">
      <c r="A670" s="18" t="n">
        <v>1614</v>
      </c>
      <c r="B670" s="18" t="inlineStr">
        <is>
          <t>محمد احمد محمد عبدالمنعم</t>
        </is>
      </c>
      <c r="C670" s="1" t="n">
        <v>543.7</v>
      </c>
      <c r="D670" s="1" t="n">
        <v>24</v>
      </c>
      <c r="E670" s="1" t="n">
        <v>23</v>
      </c>
      <c r="F670" s="1" t="n">
        <v>21</v>
      </c>
      <c r="G670" s="1">
        <f>C670+D670+E670+F670</f>
        <v/>
      </c>
      <c r="H670" s="1">
        <f>IF(ISNUMBER(G670),G670,"")</f>
        <v/>
      </c>
      <c r="I670" s="1">
        <f>_xlfn.RANK.EQ(H670,$H$2:$H$1031)</f>
        <v/>
      </c>
      <c r="J670" s="5" t="n">
        <v>555.9</v>
      </c>
      <c r="K670" s="5" t="n">
        <v>47</v>
      </c>
      <c r="L670" s="5" t="n">
        <v>22</v>
      </c>
      <c r="M670" s="5" t="n">
        <v>20</v>
      </c>
      <c r="N670" s="5">
        <f>J670+K670+L670+M670</f>
        <v/>
      </c>
      <c r="O670" s="5">
        <f>IF(ISNUMBER(N670),N670,"")</f>
        <v/>
      </c>
      <c r="P670" s="5">
        <f>_xlfn.RANK.EQ(O670,$O$2:$O$1031)</f>
        <v/>
      </c>
      <c r="Q670" s="9" t="n">
        <v>238.75</v>
      </c>
      <c r="R670" s="9" t="n">
        <v>48.5</v>
      </c>
      <c r="S670" s="9" t="n">
        <v>23</v>
      </c>
      <c r="T670" s="9" t="n">
        <v>22.5</v>
      </c>
      <c r="U670" s="9">
        <f>Q670+R670+S670+T670</f>
        <v/>
      </c>
      <c r="V670" s="9">
        <f>IF(ISNUMBER(U670),U670,"")</f>
        <v/>
      </c>
      <c r="W670" s="9">
        <f>_xlfn.RANK.EQ(V670,$V$2:$V$1031)</f>
        <v/>
      </c>
      <c r="X670" s="13" t="n">
        <v>1286.5375</v>
      </c>
      <c r="Y670" s="13" t="n">
        <v>18</v>
      </c>
      <c r="Z670" s="13" t="n">
        <v>23</v>
      </c>
      <c r="AA670" s="13" t="n">
        <v>22</v>
      </c>
      <c r="AB670" s="13">
        <f>IF(ISNUMBER(X670),X670+N(Y670)+N(Z670)+N(AA670),X670)</f>
        <v/>
      </c>
      <c r="AC670" s="13">
        <f>IF(ISNUMBER(AB670),AB670,"")</f>
        <v/>
      </c>
      <c r="AD670" s="13">
        <f>IF(ISNUMBER(AC670),_xlfn.RANK.EQ(AC670,$AC$2:$AC$1031),"")</f>
        <v/>
      </c>
      <c r="AE670" s="15">
        <f>IF(ISNUMBER(AF670),AF670/3630,"")</f>
        <v/>
      </c>
      <c r="AF670" s="14">
        <f>IFERROR(C670+D670+E670+F670+J670+K670+L670+M670+Q670+R670+S670+T670+IF(ISNUMBER(X670),X670,0)+N(Y670)+N(Z670)+N(AA670),"")</f>
        <v/>
      </c>
      <c r="AG670" s="14">
        <f>IF(ISNUMBER(AF670),AF670,"")</f>
        <v/>
      </c>
      <c r="AH670" s="14">
        <f>IF(ISNUMBER(AG670),_xlfn.RANK.EQ(AG670,$AG$2:$AG$1031),"")</f>
        <v/>
      </c>
    </row>
    <row r="671">
      <c r="A671" s="18" t="n">
        <v>1615</v>
      </c>
      <c r="B671" s="18" t="inlineStr">
        <is>
          <t>محمد احمد محمد عبده مصطفى</t>
        </is>
      </c>
      <c r="C671" s="1" t="n">
        <v>568.3</v>
      </c>
      <c r="D671" s="1" t="n">
        <v>25</v>
      </c>
      <c r="E671" s="1" t="n">
        <v>23</v>
      </c>
      <c r="F671" s="1" t="n">
        <v>19</v>
      </c>
      <c r="G671" s="1">
        <f>C671+D671+E671+F671</f>
        <v/>
      </c>
      <c r="H671" s="1">
        <f>IF(ISNUMBER(G671),G671,"")</f>
        <v/>
      </c>
      <c r="I671" s="1">
        <f>_xlfn.RANK.EQ(H671,$H$2:$H$1031)</f>
        <v/>
      </c>
      <c r="J671" s="5" t="n">
        <v>537</v>
      </c>
      <c r="K671" s="5" t="n">
        <v>45</v>
      </c>
      <c r="L671" s="5" t="n">
        <v>22</v>
      </c>
      <c r="M671" s="5" t="n">
        <v>20</v>
      </c>
      <c r="N671" s="5">
        <f>J671+K671+L671+M671</f>
        <v/>
      </c>
      <c r="O671" s="5">
        <f>IF(ISNUMBER(N671),N671,"")</f>
        <v/>
      </c>
      <c r="P671" s="5">
        <f>_xlfn.RANK.EQ(O671,$O$2:$O$1031)</f>
        <v/>
      </c>
      <c r="Q671" s="9" t="n">
        <v>254.5</v>
      </c>
      <c r="R671" s="9" t="n">
        <v>40</v>
      </c>
      <c r="S671" s="9" t="n">
        <v>21</v>
      </c>
      <c r="T671" s="9" t="n">
        <v>23.5</v>
      </c>
      <c r="U671" s="9">
        <f>Q671+R671+S671+T671</f>
        <v/>
      </c>
      <c r="V671" s="9">
        <f>IF(ISNUMBER(U671),U671,"")</f>
        <v/>
      </c>
      <c r="W671" s="9">
        <f>_xlfn.RANK.EQ(V671,$V$2:$V$1031)</f>
        <v/>
      </c>
      <c r="X671" s="13" t="n">
        <v>1175.9875</v>
      </c>
      <c r="Y671" s="13" t="n">
        <v>21.5</v>
      </c>
      <c r="Z671" s="13" t="n">
        <v>22.5</v>
      </c>
      <c r="AA671" s="13" t="n">
        <v>20</v>
      </c>
      <c r="AB671" s="13">
        <f>IF(ISNUMBER(X671),X671+N(Y671)+N(Z671)+N(AA671),X671)</f>
        <v/>
      </c>
      <c r="AC671" s="13">
        <f>IF(ISNUMBER(AB671),AB671,"")</f>
        <v/>
      </c>
      <c r="AD671" s="13">
        <f>IF(ISNUMBER(AC671),_xlfn.RANK.EQ(AC671,$AC$2:$AC$1031),"")</f>
        <v/>
      </c>
      <c r="AE671" s="15">
        <f>IF(ISNUMBER(AF671),AF671/3630,"")</f>
        <v/>
      </c>
      <c r="AF671" s="14">
        <f>IFERROR(C671+D671+E671+F671+J671+K671+L671+M671+Q671+R671+S671+T671+IF(ISNUMBER(X671),X671,0)+N(Y671)+N(Z671)+N(AA671),"")</f>
        <v/>
      </c>
      <c r="AG671" s="14">
        <f>IF(ISNUMBER(AF671),AF671,"")</f>
        <v/>
      </c>
      <c r="AH671" s="14">
        <f>IF(ISNUMBER(AG671),_xlfn.RANK.EQ(AG671,$AG$2:$AG$1031),"")</f>
        <v/>
      </c>
    </row>
    <row r="672">
      <c r="A672" s="18" t="n">
        <v>1616</v>
      </c>
      <c r="B672" s="18" t="inlineStr">
        <is>
          <t>محمد احمد محمد محمود فرغلي</t>
        </is>
      </c>
      <c r="C672" s="1" t="n">
        <v>655.1</v>
      </c>
      <c r="D672" s="1" t="n">
        <v>24</v>
      </c>
      <c r="E672" s="1" t="n">
        <v>25</v>
      </c>
      <c r="F672" s="1" t="n">
        <v>23</v>
      </c>
      <c r="G672" s="1">
        <f>C672+D672+E672+F672</f>
        <v/>
      </c>
      <c r="H672" s="1">
        <f>IF(ISNUMBER(G672),G672,"")</f>
        <v/>
      </c>
      <c r="I672" s="1">
        <f>_xlfn.RANK.EQ(H672,$H$2:$H$1031)</f>
        <v/>
      </c>
      <c r="J672" s="5" t="n">
        <v>636.5</v>
      </c>
      <c r="K672" s="5" t="n">
        <v>47</v>
      </c>
      <c r="L672" s="5" t="n">
        <v>22</v>
      </c>
      <c r="M672" s="5" t="n">
        <v>25</v>
      </c>
      <c r="N672" s="5">
        <f>J672+K672+L672+M672</f>
        <v/>
      </c>
      <c r="O672" s="5">
        <f>IF(ISNUMBER(N672),N672,"")</f>
        <v/>
      </c>
      <c r="P672" s="5">
        <f>_xlfn.RANK.EQ(O672,$O$2:$O$1031)</f>
        <v/>
      </c>
      <c r="Q672" s="9" t="n">
        <v>284</v>
      </c>
      <c r="R672" s="9" t="n">
        <v>47.5</v>
      </c>
      <c r="S672" s="9" t="n">
        <v>25</v>
      </c>
      <c r="T672" s="9" t="n">
        <v>24.5</v>
      </c>
      <c r="U672" s="9">
        <f>Q672+R672+S672+T672</f>
        <v/>
      </c>
      <c r="V672" s="9">
        <f>IF(ISNUMBER(U672),U672,"")</f>
        <v/>
      </c>
      <c r="W672" s="9">
        <f>_xlfn.RANK.EQ(V672,$V$2:$V$1031)</f>
        <v/>
      </c>
      <c r="X672" s="13" t="n">
        <v>1592.3125</v>
      </c>
      <c r="Y672" s="13" t="n">
        <v>25</v>
      </c>
      <c r="Z672" s="13" t="n">
        <v>24</v>
      </c>
      <c r="AA672" s="13" t="n">
        <v>25</v>
      </c>
      <c r="AB672" s="13">
        <f>IF(ISNUMBER(X672),X672+N(Y672)+N(Z672)+N(AA672),X672)</f>
        <v/>
      </c>
      <c r="AC672" s="13">
        <f>IF(ISNUMBER(AB672),AB672,"")</f>
        <v/>
      </c>
      <c r="AD672" s="13">
        <f>IF(ISNUMBER(AC672),_xlfn.RANK.EQ(AC672,$AC$2:$AC$1031),"")</f>
        <v/>
      </c>
      <c r="AE672" s="15">
        <f>IF(ISNUMBER(AF672),AF672/3630,"")</f>
        <v/>
      </c>
      <c r="AF672" s="14">
        <f>IFERROR(C672+D672+E672+F672+J672+K672+L672+M672+Q672+R672+S672+T672+IF(ISNUMBER(X672),X672,0)+N(Y672)+N(Z672)+N(AA672),"")</f>
        <v/>
      </c>
      <c r="AG672" s="14">
        <f>IF(ISNUMBER(AF672),AF672,"")</f>
        <v/>
      </c>
      <c r="AH672" s="14">
        <f>IF(ISNUMBER(AG672),_xlfn.RANK.EQ(AG672,$AG$2:$AG$1031),"")</f>
        <v/>
      </c>
    </row>
    <row r="673">
      <c r="A673" s="18" t="n">
        <v>1618</v>
      </c>
      <c r="B673" s="18" t="inlineStr">
        <is>
          <t>محمد احمد نصر عبدالمقصود نصر</t>
        </is>
      </c>
      <c r="C673" s="1" t="n">
        <v>577.7</v>
      </c>
      <c r="D673" s="1" t="n">
        <v>20</v>
      </c>
      <c r="E673" s="1" t="n">
        <v>22</v>
      </c>
      <c r="F673" s="1" t="n">
        <v>20</v>
      </c>
      <c r="G673" s="1">
        <f>C673+D673+E673+F673</f>
        <v/>
      </c>
      <c r="H673" s="1">
        <f>IF(ISNUMBER(G673),G673,"")</f>
        <v/>
      </c>
      <c r="I673" s="1">
        <f>_xlfn.RANK.EQ(H673,$H$2:$H$1031)</f>
        <v/>
      </c>
      <c r="J673" s="5" t="n">
        <v>521.5</v>
      </c>
      <c r="K673" s="5" t="n">
        <v>45</v>
      </c>
      <c r="L673" s="5" t="n">
        <v>21</v>
      </c>
      <c r="M673" s="5" t="n">
        <v>18</v>
      </c>
      <c r="N673" s="5">
        <f>J673+K673+L673+M673</f>
        <v/>
      </c>
      <c r="O673" s="5">
        <f>IF(ISNUMBER(N673),N673,"")</f>
        <v/>
      </c>
      <c r="P673" s="5">
        <f>_xlfn.RANK.EQ(O673,$O$2:$O$1031)</f>
        <v/>
      </c>
      <c r="Q673" s="9" t="inlineStr">
        <is>
          <t>راسب</t>
        </is>
      </c>
      <c r="R673" s="9" t="n">
        <v>38.5</v>
      </c>
      <c r="S673" s="9" t="n">
        <v>23</v>
      </c>
      <c r="T673" s="9" t="n">
        <v>21.5</v>
      </c>
      <c r="U673" s="9">
        <f>Q673+R673+S673+T673</f>
        <v/>
      </c>
      <c r="V673" s="9">
        <f>IF(ISNUMBER(U673),U673,"")</f>
        <v/>
      </c>
      <c r="W673" s="9">
        <f>_xlfn.RANK.EQ(V673,$V$2:$V$1031)</f>
        <v/>
      </c>
      <c r="X673" s="13" t="n">
        <v>1316.4083333333</v>
      </c>
      <c r="Y673" s="13" t="n">
        <v>21</v>
      </c>
      <c r="Z673" s="13" t="n">
        <v>21</v>
      </c>
      <c r="AA673" s="13" t="n">
        <v>22</v>
      </c>
      <c r="AB673" s="13">
        <f>IF(ISNUMBER(X673),X673+N(Y673)+N(Z673)+N(AA673),X673)</f>
        <v/>
      </c>
      <c r="AC673" s="13">
        <f>IF(ISNUMBER(AB673),AB673,"")</f>
        <v/>
      </c>
      <c r="AD673" s="13">
        <f>IF(ISNUMBER(AC673),_xlfn.RANK.EQ(AC673,$AC$2:$AC$1031),"")</f>
        <v/>
      </c>
      <c r="AE673" s="15">
        <f>IF(ISNUMBER(AF673),AF673/3630,"")</f>
        <v/>
      </c>
      <c r="AF673" s="14">
        <f>IFERROR(C673+D673+E673+F673+J673+K673+L673+M673+Q673+R673+S673+T673+IF(ISNUMBER(X673),X673,0)+N(Y673)+N(Z673)+N(AA673),"")</f>
        <v/>
      </c>
      <c r="AG673" s="14">
        <f>IF(ISNUMBER(AF673),AF673,"")</f>
        <v/>
      </c>
      <c r="AH673" s="14">
        <f>IF(ISNUMBER(AG673),_xlfn.RANK.EQ(AG673,$AG$2:$AG$1031),"")</f>
        <v/>
      </c>
    </row>
    <row r="674">
      <c r="A674" s="18" t="n">
        <v>1622</v>
      </c>
      <c r="B674" s="18" t="inlineStr">
        <is>
          <t>محمد اسامه على حسنين على</t>
        </is>
      </c>
      <c r="C674" s="1" t="n">
        <v>573.1</v>
      </c>
      <c r="D674" s="1" t="n">
        <v>24</v>
      </c>
      <c r="E674" s="1" t="n">
        <v>25</v>
      </c>
      <c r="F674" s="1" t="n">
        <v>22</v>
      </c>
      <c r="G674" s="1">
        <f>C674+D674+E674+F674</f>
        <v/>
      </c>
      <c r="H674" s="1">
        <f>IF(ISNUMBER(G674),G674,"")</f>
        <v/>
      </c>
      <c r="I674" s="1">
        <f>_xlfn.RANK.EQ(H674,$H$2:$H$1031)</f>
        <v/>
      </c>
      <c r="J674" s="5" t="n">
        <v>596</v>
      </c>
      <c r="K674" s="5" t="n">
        <v>49</v>
      </c>
      <c r="L674" s="5" t="n">
        <v>24</v>
      </c>
      <c r="M674" s="5" t="n">
        <v>25</v>
      </c>
      <c r="N674" s="5">
        <f>J674+K674+L674+M674</f>
        <v/>
      </c>
      <c r="O674" s="5">
        <f>IF(ISNUMBER(N674),N674,"")</f>
        <v/>
      </c>
      <c r="P674" s="5">
        <f>_xlfn.RANK.EQ(O674,$O$2:$O$1031)</f>
        <v/>
      </c>
      <c r="Q674" s="9" t="n">
        <v>265.75</v>
      </c>
      <c r="R674" s="9" t="n">
        <v>47</v>
      </c>
      <c r="S674" s="9" t="n">
        <v>23</v>
      </c>
      <c r="T674" s="9" t="n">
        <v>24.5</v>
      </c>
      <c r="U674" s="9">
        <f>Q674+R674+S674+T674</f>
        <v/>
      </c>
      <c r="V674" s="9">
        <f>IF(ISNUMBER(U674),U674,"")</f>
        <v/>
      </c>
      <c r="W674" s="9">
        <f>_xlfn.RANK.EQ(V674,$V$2:$V$1031)</f>
        <v/>
      </c>
      <c r="X674" s="13" t="n">
        <v>1442.775</v>
      </c>
      <c r="Y674" s="13" t="n">
        <v>24.5</v>
      </c>
      <c r="Z674" s="13" t="n">
        <v>23</v>
      </c>
      <c r="AA674" s="13" t="n">
        <v>25</v>
      </c>
      <c r="AB674" s="13">
        <f>IF(ISNUMBER(X674),X674+N(Y674)+N(Z674)+N(AA674),X674)</f>
        <v/>
      </c>
      <c r="AC674" s="13">
        <f>IF(ISNUMBER(AB674),AB674,"")</f>
        <v/>
      </c>
      <c r="AD674" s="13">
        <f>IF(ISNUMBER(AC674),_xlfn.RANK.EQ(AC674,$AC$2:$AC$1031),"")</f>
        <v/>
      </c>
      <c r="AE674" s="15">
        <f>IF(ISNUMBER(AF674),AF674/3630,"")</f>
        <v/>
      </c>
      <c r="AF674" s="14">
        <f>IFERROR(C674+D674+E674+F674+J674+K674+L674+M674+Q674+R674+S674+T674+IF(ISNUMBER(X674),X674,0)+N(Y674)+N(Z674)+N(AA674),"")</f>
        <v/>
      </c>
      <c r="AG674" s="14">
        <f>IF(ISNUMBER(AF674),AF674,"")</f>
        <v/>
      </c>
      <c r="AH674" s="14">
        <f>IF(ISNUMBER(AG674),_xlfn.RANK.EQ(AG674,$AG$2:$AG$1031),"")</f>
        <v/>
      </c>
    </row>
    <row r="675">
      <c r="A675" s="18" t="n">
        <v>1628</v>
      </c>
      <c r="B675" s="18" t="inlineStr">
        <is>
          <t>محمد اشرف سعد محمد ابو سالم</t>
        </is>
      </c>
      <c r="C675" s="1" t="n">
        <v>552.8</v>
      </c>
      <c r="D675" s="1" t="n">
        <v>23</v>
      </c>
      <c r="E675" s="1" t="n">
        <v>25</v>
      </c>
      <c r="F675" s="1" t="n">
        <v>20</v>
      </c>
      <c r="G675" s="1">
        <f>C675+D675+E675+F675</f>
        <v/>
      </c>
      <c r="H675" s="1">
        <f>IF(ISNUMBER(G675),G675,"")</f>
        <v/>
      </c>
      <c r="I675" s="1">
        <f>_xlfn.RANK.EQ(H675,$H$2:$H$1031)</f>
        <v/>
      </c>
      <c r="J675" s="5" t="n">
        <v>520.5</v>
      </c>
      <c r="K675" s="5" t="n">
        <v>49</v>
      </c>
      <c r="L675" s="5" t="n">
        <v>23</v>
      </c>
      <c r="M675" s="5" t="n">
        <v>20</v>
      </c>
      <c r="N675" s="5">
        <f>J675+K675+L675+M675</f>
        <v/>
      </c>
      <c r="O675" s="5">
        <f>IF(ISNUMBER(N675),N675,"")</f>
        <v/>
      </c>
      <c r="P675" s="5">
        <f>_xlfn.RANK.EQ(O675,$O$2:$O$1031)</f>
        <v/>
      </c>
      <c r="Q675" s="9" t="n">
        <v>235</v>
      </c>
      <c r="R675" s="9" t="n">
        <v>44</v>
      </c>
      <c r="S675" s="9" t="n">
        <v>23</v>
      </c>
      <c r="T675" s="9" t="n">
        <v>23</v>
      </c>
      <c r="U675" s="9">
        <f>Q675+R675+S675+T675</f>
        <v/>
      </c>
      <c r="V675" s="9">
        <f>IF(ISNUMBER(U675),U675,"")</f>
        <v/>
      </c>
      <c r="W675" s="9">
        <f>_xlfn.RANK.EQ(V675,$V$2:$V$1031)</f>
        <v/>
      </c>
      <c r="X675" s="13" t="n">
        <v>1352.3</v>
      </c>
      <c r="Y675" s="13" t="n">
        <v>24</v>
      </c>
      <c r="Z675" s="13" t="n">
        <v>23</v>
      </c>
      <c r="AA675" s="13" t="n">
        <v>22</v>
      </c>
      <c r="AB675" s="13">
        <f>IF(ISNUMBER(X675),X675+N(Y675)+N(Z675)+N(AA675),X675)</f>
        <v/>
      </c>
      <c r="AC675" s="13">
        <f>IF(ISNUMBER(AB675),AB675,"")</f>
        <v/>
      </c>
      <c r="AD675" s="13">
        <f>IF(ISNUMBER(AC675),_xlfn.RANK.EQ(AC675,$AC$2:$AC$1031),"")</f>
        <v/>
      </c>
      <c r="AE675" s="15">
        <f>IF(ISNUMBER(AF675),AF675/3630,"")</f>
        <v/>
      </c>
      <c r="AF675" s="14">
        <f>IFERROR(C675+D675+E675+F675+J675+K675+L675+M675+Q675+R675+S675+T675+IF(ISNUMBER(X675),X675,0)+N(Y675)+N(Z675)+N(AA675),"")</f>
        <v/>
      </c>
      <c r="AG675" s="14">
        <f>IF(ISNUMBER(AF675),AF675,"")</f>
        <v/>
      </c>
      <c r="AH675" s="14">
        <f>IF(ISNUMBER(AG675),_xlfn.RANK.EQ(AG675,$AG$2:$AG$1031),"")</f>
        <v/>
      </c>
    </row>
    <row r="676">
      <c r="A676" s="18" t="n">
        <v>1630</v>
      </c>
      <c r="B676" s="18" t="inlineStr">
        <is>
          <t>محمد اشرف محمد عبدالمطلب</t>
        </is>
      </c>
      <c r="C676" s="1" t="n">
        <v>546.5</v>
      </c>
      <c r="D676" s="1" t="n">
        <v>23</v>
      </c>
      <c r="E676" s="1" t="n">
        <v>17</v>
      </c>
      <c r="F676" s="1" t="n">
        <v>16.5</v>
      </c>
      <c r="G676" s="1">
        <f>C676+D676+E676+F676</f>
        <v/>
      </c>
      <c r="H676" s="1">
        <f>IF(ISNUMBER(G676),G676,"")</f>
        <v/>
      </c>
      <c r="I676" s="1">
        <f>_xlfn.RANK.EQ(H676,$H$2:$H$1031)</f>
        <v/>
      </c>
      <c r="J676" s="5" t="n">
        <v>567</v>
      </c>
      <c r="K676" s="5" t="n">
        <v>33</v>
      </c>
      <c r="L676" s="5" t="n">
        <v>20</v>
      </c>
      <c r="M676" s="5" t="n">
        <v>19</v>
      </c>
      <c r="N676" s="5">
        <f>J676+K676+L676+M676</f>
        <v/>
      </c>
      <c r="O676" s="5">
        <f>IF(ISNUMBER(N676),N676,"")</f>
        <v/>
      </c>
      <c r="P676" s="5">
        <f>_xlfn.RANK.EQ(O676,$O$2:$O$1031)</f>
        <v/>
      </c>
      <c r="Q676" s="9" t="n">
        <v>243.5</v>
      </c>
      <c r="R676" s="9" t="n">
        <v>42</v>
      </c>
      <c r="S676" s="9" t="n">
        <v>20</v>
      </c>
      <c r="T676" s="9" t="n">
        <v>23</v>
      </c>
      <c r="U676" s="9">
        <f>Q676+R676+S676+T676</f>
        <v/>
      </c>
      <c r="V676" s="9">
        <f>IF(ISNUMBER(U676),U676,"")</f>
        <v/>
      </c>
      <c r="W676" s="9">
        <f>_xlfn.RANK.EQ(V676,$V$2:$V$1031)</f>
        <v/>
      </c>
      <c r="X676" s="13" t="n">
        <v>1247.1333333333</v>
      </c>
      <c r="Y676" s="13" t="n">
        <v>22</v>
      </c>
      <c r="Z676" s="13" t="n">
        <v>20</v>
      </c>
      <c r="AA676" s="13" t="n">
        <v>24</v>
      </c>
      <c r="AB676" s="13">
        <f>IF(ISNUMBER(X676),X676+N(Y676)+N(Z676)+N(AA676),X676)</f>
        <v/>
      </c>
      <c r="AC676" s="13">
        <f>IF(ISNUMBER(AB676),AB676,"")</f>
        <v/>
      </c>
      <c r="AD676" s="13">
        <f>IF(ISNUMBER(AC676),_xlfn.RANK.EQ(AC676,$AC$2:$AC$1031),"")</f>
        <v/>
      </c>
      <c r="AE676" s="15">
        <f>IF(ISNUMBER(AF676),AF676/3630,"")</f>
        <v/>
      </c>
      <c r="AF676" s="14">
        <f>IFERROR(C676+D676+E676+F676+J676+K676+L676+M676+Q676+R676+S676+T676+IF(ISNUMBER(X676),X676,0)+N(Y676)+N(Z676)+N(AA676),"")</f>
        <v/>
      </c>
      <c r="AG676" s="14">
        <f>IF(ISNUMBER(AF676),AF676,"")</f>
        <v/>
      </c>
      <c r="AH676" s="14">
        <f>IF(ISNUMBER(AG676),_xlfn.RANK.EQ(AG676,$AG$2:$AG$1031),"")</f>
        <v/>
      </c>
    </row>
    <row r="677">
      <c r="A677" s="18" t="n">
        <v>1631</v>
      </c>
      <c r="B677" s="18" t="inlineStr">
        <is>
          <t>محمد اشرف محمد محمود</t>
        </is>
      </c>
      <c r="C677" s="1" t="n">
        <v>511.7</v>
      </c>
      <c r="D677" s="1" t="n">
        <v>18</v>
      </c>
      <c r="E677" s="1" t="n">
        <v>20</v>
      </c>
      <c r="F677" s="1" t="n">
        <v>20</v>
      </c>
      <c r="G677" s="1">
        <f>C677+D677+E677+F677</f>
        <v/>
      </c>
      <c r="H677" s="1">
        <f>IF(ISNUMBER(G677),G677,"")</f>
        <v/>
      </c>
      <c r="I677" s="1">
        <f>_xlfn.RANK.EQ(H677,$H$2:$H$1031)</f>
        <v/>
      </c>
      <c r="J677" s="5" t="n">
        <v>518.75</v>
      </c>
      <c r="K677" s="5" t="n">
        <v>37</v>
      </c>
      <c r="L677" s="5" t="n">
        <v>20</v>
      </c>
      <c r="M677" s="5" t="n">
        <v>17</v>
      </c>
      <c r="N677" s="5">
        <f>J677+K677+L677+M677</f>
        <v/>
      </c>
      <c r="O677" s="5">
        <f>IF(ISNUMBER(N677),N677,"")</f>
        <v/>
      </c>
      <c r="P677" s="5">
        <f>_xlfn.RANK.EQ(O677,$O$2:$O$1031)</f>
        <v/>
      </c>
      <c r="Q677" s="9" t="n">
        <v>213</v>
      </c>
      <c r="R677" s="9" t="n">
        <v>46</v>
      </c>
      <c r="S677" s="9" t="n">
        <v>22</v>
      </c>
      <c r="T677" s="9" t="n">
        <v>23</v>
      </c>
      <c r="U677" s="9">
        <f>Q677+R677+S677+T677</f>
        <v/>
      </c>
      <c r="V677" s="9">
        <f>IF(ISNUMBER(U677),U677,"")</f>
        <v/>
      </c>
      <c r="W677" s="9">
        <f>_xlfn.RANK.EQ(V677,$V$2:$V$1031)</f>
        <v/>
      </c>
      <c r="X677" s="13" t="n">
        <v>1344.9916666667</v>
      </c>
      <c r="Y677" s="13" t="n">
        <v>24</v>
      </c>
      <c r="Z677" s="13" t="n">
        <v>23</v>
      </c>
      <c r="AA677" s="13" t="n">
        <v>21</v>
      </c>
      <c r="AB677" s="13">
        <f>IF(ISNUMBER(X677),X677+N(Y677)+N(Z677)+N(AA677),X677)</f>
        <v/>
      </c>
      <c r="AC677" s="13">
        <f>IF(ISNUMBER(AB677),AB677,"")</f>
        <v/>
      </c>
      <c r="AD677" s="13">
        <f>IF(ISNUMBER(AC677),_xlfn.RANK.EQ(AC677,$AC$2:$AC$1031),"")</f>
        <v/>
      </c>
      <c r="AE677" s="15">
        <f>IF(ISNUMBER(AF677),AF677/3630,"")</f>
        <v/>
      </c>
      <c r="AF677" s="14">
        <f>IFERROR(C677+D677+E677+F677+J677+K677+L677+M677+Q677+R677+S677+T677+IF(ISNUMBER(X677),X677,0)+N(Y677)+N(Z677)+N(AA677),"")</f>
        <v/>
      </c>
      <c r="AG677" s="14">
        <f>IF(ISNUMBER(AF677),AF677,"")</f>
        <v/>
      </c>
      <c r="AH677" s="14">
        <f>IF(ISNUMBER(AG677),_xlfn.RANK.EQ(AG677,$AG$2:$AG$1031),"")</f>
        <v/>
      </c>
    </row>
    <row r="678">
      <c r="A678" s="18" t="n">
        <v>1633</v>
      </c>
      <c r="B678" s="18" t="inlineStr">
        <is>
          <t>محمد السيد عبدالصمد ابراهيم</t>
        </is>
      </c>
      <c r="C678" s="1" t="n">
        <v>635.4</v>
      </c>
      <c r="D678" s="1" t="n">
        <v>24</v>
      </c>
      <c r="E678" s="1" t="n">
        <v>25</v>
      </c>
      <c r="F678" s="1" t="n">
        <v>24</v>
      </c>
      <c r="G678" s="1">
        <f>C678+D678+E678+F678</f>
        <v/>
      </c>
      <c r="H678" s="1">
        <f>IF(ISNUMBER(G678),G678,"")</f>
        <v/>
      </c>
      <c r="I678" s="1">
        <f>_xlfn.RANK.EQ(H678,$H$2:$H$1031)</f>
        <v/>
      </c>
      <c r="J678" s="5" t="n">
        <v>615.5</v>
      </c>
      <c r="K678" s="5" t="n">
        <v>47</v>
      </c>
      <c r="L678" s="5" t="n">
        <v>24</v>
      </c>
      <c r="M678" s="5" t="n">
        <v>24</v>
      </c>
      <c r="N678" s="5">
        <f>J678+K678+L678+M678</f>
        <v/>
      </c>
      <c r="O678" s="5">
        <f>IF(ISNUMBER(N678),N678,"")</f>
        <v/>
      </c>
      <c r="P678" s="5">
        <f>_xlfn.RANK.EQ(O678,$O$2:$O$1031)</f>
        <v/>
      </c>
      <c r="Q678" s="9" t="n">
        <v>253.75</v>
      </c>
      <c r="R678" s="9" t="n">
        <v>47</v>
      </c>
      <c r="S678" s="9" t="n">
        <v>23</v>
      </c>
      <c r="T678" s="9" t="n">
        <v>23.5</v>
      </c>
      <c r="U678" s="9">
        <f>Q678+R678+S678+T678</f>
        <v/>
      </c>
      <c r="V678" s="9">
        <f>IF(ISNUMBER(U678),U678,"")</f>
        <v/>
      </c>
      <c r="W678" s="9">
        <f>_xlfn.RANK.EQ(V678,$V$2:$V$1031)</f>
        <v/>
      </c>
      <c r="X678" s="13" t="n">
        <v>1457.3875</v>
      </c>
      <c r="Y678" s="13" t="n">
        <v>24</v>
      </c>
      <c r="Z678" s="13" t="n">
        <v>23</v>
      </c>
      <c r="AA678" s="13" t="n">
        <v>24</v>
      </c>
      <c r="AB678" s="13">
        <f>IF(ISNUMBER(X678),X678+N(Y678)+N(Z678)+N(AA678),X678)</f>
        <v/>
      </c>
      <c r="AC678" s="13">
        <f>IF(ISNUMBER(AB678),AB678,"")</f>
        <v/>
      </c>
      <c r="AD678" s="13">
        <f>IF(ISNUMBER(AC678),_xlfn.RANK.EQ(AC678,$AC$2:$AC$1031),"")</f>
        <v/>
      </c>
      <c r="AE678" s="15">
        <f>IF(ISNUMBER(AF678),AF678/3630,"")</f>
        <v/>
      </c>
      <c r="AF678" s="14">
        <f>IFERROR(C678+D678+E678+F678+J678+K678+L678+M678+Q678+R678+S678+T678+IF(ISNUMBER(X678),X678,0)+N(Y678)+N(Z678)+N(AA678),"")</f>
        <v/>
      </c>
      <c r="AG678" s="14">
        <f>IF(ISNUMBER(AF678),AF678,"")</f>
        <v/>
      </c>
      <c r="AH678" s="14">
        <f>IF(ISNUMBER(AG678),_xlfn.RANK.EQ(AG678,$AG$2:$AG$1031),"")</f>
        <v/>
      </c>
    </row>
    <row r="679">
      <c r="A679" s="18" t="n">
        <v>1634</v>
      </c>
      <c r="B679" s="18" t="inlineStr">
        <is>
          <t>محمد السيد محمد السيد عبدالحميد</t>
        </is>
      </c>
      <c r="C679" s="1" t="n">
        <v>627.5</v>
      </c>
      <c r="D679" s="1" t="n">
        <v>23</v>
      </c>
      <c r="E679" s="1" t="n">
        <v>24</v>
      </c>
      <c r="F679" s="1" t="n">
        <v>22</v>
      </c>
      <c r="G679" s="1">
        <f>C679+D679+E679+F679</f>
        <v/>
      </c>
      <c r="H679" s="1">
        <f>IF(ISNUMBER(G679),G679,"")</f>
        <v/>
      </c>
      <c r="I679" s="1">
        <f>_xlfn.RANK.EQ(H679,$H$2:$H$1031)</f>
        <v/>
      </c>
      <c r="J679" s="5" t="n">
        <v>627</v>
      </c>
      <c r="K679" s="5" t="n">
        <v>48</v>
      </c>
      <c r="L679" s="5" t="n">
        <v>21</v>
      </c>
      <c r="M679" s="5" t="n">
        <v>22</v>
      </c>
      <c r="N679" s="5">
        <f>J679+K679+L679+M679</f>
        <v/>
      </c>
      <c r="O679" s="5">
        <f>IF(ISNUMBER(N679),N679,"")</f>
        <v/>
      </c>
      <c r="P679" s="5">
        <f>_xlfn.RANK.EQ(O679,$O$2:$O$1031)</f>
        <v/>
      </c>
      <c r="Q679" s="9" t="n">
        <v>277.75</v>
      </c>
      <c r="R679" s="9" t="n">
        <v>48</v>
      </c>
      <c r="S679" s="9" t="n">
        <v>25</v>
      </c>
      <c r="T679" s="9" t="n">
        <v>24</v>
      </c>
      <c r="U679" s="9">
        <f>Q679+R679+S679+T679</f>
        <v/>
      </c>
      <c r="V679" s="9">
        <f>IF(ISNUMBER(U679),U679,"")</f>
        <v/>
      </c>
      <c r="W679" s="9">
        <f>_xlfn.RANK.EQ(V679,$V$2:$V$1031)</f>
        <v/>
      </c>
      <c r="X679" s="13" t="n">
        <v>1505.8416666667</v>
      </c>
      <c r="Y679" s="13" t="n">
        <v>25</v>
      </c>
      <c r="Z679" s="13" t="n">
        <v>25</v>
      </c>
      <c r="AA679" s="13" t="n">
        <v>25</v>
      </c>
      <c r="AB679" s="13">
        <f>IF(ISNUMBER(X679),X679+N(Y679)+N(Z679)+N(AA679),X679)</f>
        <v/>
      </c>
      <c r="AC679" s="13">
        <f>IF(ISNUMBER(AB679),AB679,"")</f>
        <v/>
      </c>
      <c r="AD679" s="13">
        <f>IF(ISNUMBER(AC679),_xlfn.RANK.EQ(AC679,$AC$2:$AC$1031),"")</f>
        <v/>
      </c>
      <c r="AE679" s="15">
        <f>IF(ISNUMBER(AF679),AF679/3630,"")</f>
        <v/>
      </c>
      <c r="AF679" s="14">
        <f>IFERROR(C679+D679+E679+F679+J679+K679+L679+M679+Q679+R679+S679+T679+IF(ISNUMBER(X679),X679,0)+N(Y679)+N(Z679)+N(AA679),"")</f>
        <v/>
      </c>
      <c r="AG679" s="14">
        <f>IF(ISNUMBER(AF679),AF679,"")</f>
        <v/>
      </c>
      <c r="AH679" s="14">
        <f>IF(ISNUMBER(AG679),_xlfn.RANK.EQ(AG679,$AG$2:$AG$1031),"")</f>
        <v/>
      </c>
    </row>
    <row r="680">
      <c r="A680" s="18" t="n">
        <v>1641</v>
      </c>
      <c r="B680" s="18" t="inlineStr">
        <is>
          <t>محمد انصارى محمد على الفار</t>
        </is>
      </c>
      <c r="C680" s="1" t="e">
        <v>#N/A</v>
      </c>
      <c r="D680" s="1" t="n">
        <v>25</v>
      </c>
      <c r="E680" s="1" t="n">
        <v>22</v>
      </c>
      <c r="F680" s="1" t="n"/>
      <c r="G680" s="1">
        <f>C680+D680+E680+F680</f>
        <v/>
      </c>
      <c r="H680" s="1">
        <f>IF(ISNUMBER(G680),G680,"")</f>
        <v/>
      </c>
      <c r="I680" s="1">
        <f>_xlfn.RANK.EQ(H680,$H$2:$H$1031)</f>
        <v/>
      </c>
      <c r="J680" s="5" t="n">
        <v>488.33</v>
      </c>
      <c r="K680" s="5" t="n">
        <v>44</v>
      </c>
      <c r="L680" s="5" t="n">
        <v>24</v>
      </c>
      <c r="M680" s="5" t="n">
        <v>21</v>
      </c>
      <c r="N680" s="5">
        <f>J680+K680+L680+M680</f>
        <v/>
      </c>
      <c r="O680" s="5">
        <f>IF(ISNUMBER(N680),N680,"")</f>
        <v/>
      </c>
      <c r="P680" s="5">
        <f>_xlfn.RANK.EQ(O680,$O$2:$O$1031)</f>
        <v/>
      </c>
      <c r="Q680" s="9" t="n">
        <v>252.75</v>
      </c>
      <c r="R680" s="9" t="n">
        <v>45</v>
      </c>
      <c r="S680" s="9" t="n">
        <v>24</v>
      </c>
      <c r="T680" s="9" t="n">
        <v>24.5</v>
      </c>
      <c r="U680" s="9">
        <f>Q680+R680+S680+T680</f>
        <v/>
      </c>
      <c r="V680" s="9">
        <f>IF(ISNUMBER(U680),U680,"")</f>
        <v/>
      </c>
      <c r="W680" s="9">
        <f>_xlfn.RANK.EQ(V680,$V$2:$V$1031)</f>
        <v/>
      </c>
      <c r="X680" s="13" t="inlineStr">
        <is>
          <t>راسب</t>
        </is>
      </c>
      <c r="Y680" s="13" t="n">
        <v>25</v>
      </c>
      <c r="Z680" s="13" t="n">
        <v>23</v>
      </c>
      <c r="AA680" s="13" t="n">
        <v>19</v>
      </c>
      <c r="AB680" s="13">
        <f>IF(ISNUMBER(X680),X680+N(Y680)+N(Z680)+N(AA680),X680)</f>
        <v/>
      </c>
      <c r="AC680" s="13">
        <f>IF(ISNUMBER(AB680),AB680,"")</f>
        <v/>
      </c>
      <c r="AD680" s="13">
        <f>IF(ISNUMBER(AC680),_xlfn.RANK.EQ(AC680,$AC$2:$AC$1031),"")</f>
        <v/>
      </c>
      <c r="AE680" s="15">
        <f>IF(ISNUMBER(AF680),AF680/3630,"")</f>
        <v/>
      </c>
      <c r="AF680" s="14">
        <f>IFERROR(C680+D680+E680+F680+J680+K680+L680+M680+Q680+R680+S680+T680+IF(ISNUMBER(X680),X680,0)+N(Y680)+N(Z680)+N(AA680),"")</f>
        <v/>
      </c>
      <c r="AG680" s="14">
        <f>IF(ISNUMBER(AF680),AF680,"")</f>
        <v/>
      </c>
      <c r="AH680" s="14">
        <f>IF(ISNUMBER(AG680),_xlfn.RANK.EQ(AG680,$AG$2:$AG$1031),"")</f>
        <v/>
      </c>
    </row>
    <row r="681">
      <c r="A681" s="18" t="n">
        <v>1643</v>
      </c>
      <c r="B681" s="18" t="inlineStr">
        <is>
          <t>محمد ايمن عبد الجيد الصاوى الجمل</t>
        </is>
      </c>
      <c r="C681" s="1" t="n">
        <v>609.8</v>
      </c>
      <c r="D681" s="1" t="n">
        <v>24</v>
      </c>
      <c r="E681" s="1" t="n">
        <v>25</v>
      </c>
      <c r="F681" s="1" t="n">
        <v>23</v>
      </c>
      <c r="G681" s="1">
        <f>C681+D681+E681+F681</f>
        <v/>
      </c>
      <c r="H681" s="1">
        <f>IF(ISNUMBER(G681),G681,"")</f>
        <v/>
      </c>
      <c r="I681" s="1">
        <f>_xlfn.RANK.EQ(H681,$H$2:$H$1031)</f>
        <v/>
      </c>
      <c r="J681" s="5" t="n">
        <v>614</v>
      </c>
      <c r="K681" s="5" t="n">
        <v>48</v>
      </c>
      <c r="L681" s="5" t="n">
        <v>20</v>
      </c>
      <c r="M681" s="5" t="n">
        <v>21</v>
      </c>
      <c r="N681" s="5">
        <f>J681+K681+L681+M681</f>
        <v/>
      </c>
      <c r="O681" s="5">
        <f>IF(ISNUMBER(N681),N681,"")</f>
        <v/>
      </c>
      <c r="P681" s="5">
        <f>_xlfn.RANK.EQ(O681,$O$2:$O$1031)</f>
        <v/>
      </c>
      <c r="Q681" s="9" t="n">
        <v>267.75</v>
      </c>
      <c r="R681" s="9" t="n">
        <v>46</v>
      </c>
      <c r="S681" s="9" t="n">
        <v>24</v>
      </c>
      <c r="T681" s="9" t="n">
        <v>23</v>
      </c>
      <c r="U681" s="9">
        <f>Q681+R681+S681+T681</f>
        <v/>
      </c>
      <c r="V681" s="9">
        <f>IF(ISNUMBER(U681),U681,"")</f>
        <v/>
      </c>
      <c r="W681" s="9">
        <f>_xlfn.RANK.EQ(V681,$V$2:$V$1031)</f>
        <v/>
      </c>
      <c r="X681" s="13" t="n">
        <v>1445.1041666667</v>
      </c>
      <c r="Y681" s="13" t="n">
        <v>25</v>
      </c>
      <c r="Z681" s="13" t="n">
        <v>22</v>
      </c>
      <c r="AA681" s="13" t="n">
        <v>22</v>
      </c>
      <c r="AB681" s="13">
        <f>IF(ISNUMBER(X681),X681+N(Y681)+N(Z681)+N(AA681),X681)</f>
        <v/>
      </c>
      <c r="AC681" s="13">
        <f>IF(ISNUMBER(AB681),AB681,"")</f>
        <v/>
      </c>
      <c r="AD681" s="13">
        <f>IF(ISNUMBER(AC681),_xlfn.RANK.EQ(AC681,$AC$2:$AC$1031),"")</f>
        <v/>
      </c>
      <c r="AE681" s="15">
        <f>IF(ISNUMBER(AF681),AF681/3630,"")</f>
        <v/>
      </c>
      <c r="AF681" s="14">
        <f>IFERROR(C681+D681+E681+F681+J681+K681+L681+M681+Q681+R681+S681+T681+IF(ISNUMBER(X681),X681,0)+N(Y681)+N(Z681)+N(AA681),"")</f>
        <v/>
      </c>
      <c r="AG681" s="14">
        <f>IF(ISNUMBER(AF681),AF681,"")</f>
        <v/>
      </c>
      <c r="AH681" s="14">
        <f>IF(ISNUMBER(AG681),_xlfn.RANK.EQ(AG681,$AG$2:$AG$1031),"")</f>
        <v/>
      </c>
    </row>
    <row r="682">
      <c r="A682" s="18" t="n">
        <v>1644</v>
      </c>
      <c r="B682" s="18" t="inlineStr">
        <is>
          <t>محمد ايمن احمد الرفاعي عبدالمجيد عثمان</t>
        </is>
      </c>
      <c r="C682" s="1" t="n">
        <v>570.2</v>
      </c>
      <c r="D682" s="1" t="n">
        <v>23</v>
      </c>
      <c r="E682" s="1" t="n">
        <v>20</v>
      </c>
      <c r="F682" s="1" t="n">
        <v>22</v>
      </c>
      <c r="G682" s="1">
        <f>C682+D682+E682+F682</f>
        <v/>
      </c>
      <c r="H682" s="1">
        <f>IF(ISNUMBER(G682),G682,"")</f>
        <v/>
      </c>
      <c r="I682" s="1">
        <f>_xlfn.RANK.EQ(H682,$H$2:$H$1031)</f>
        <v/>
      </c>
      <c r="J682" s="5" t="n">
        <v>549</v>
      </c>
      <c r="K682" s="5" t="n">
        <v>39</v>
      </c>
      <c r="L682" s="5" t="n">
        <v>20</v>
      </c>
      <c r="M682" s="5" t="n">
        <v>23</v>
      </c>
      <c r="N682" s="5">
        <f>J682+K682+L682+M682</f>
        <v/>
      </c>
      <c r="O682" s="5">
        <f>IF(ISNUMBER(N682),N682,"")</f>
        <v/>
      </c>
      <c r="P682" s="5">
        <f>_xlfn.RANK.EQ(O682,$O$2:$O$1031)</f>
        <v/>
      </c>
      <c r="Q682" s="9" t="n">
        <v>211.5</v>
      </c>
      <c r="R682" s="9" t="n">
        <v>41.5</v>
      </c>
      <c r="S682" s="9" t="n">
        <v>23</v>
      </c>
      <c r="T682" s="9" t="n">
        <v>22.5</v>
      </c>
      <c r="U682" s="9">
        <f>Q682+R682+S682+T682</f>
        <v/>
      </c>
      <c r="V682" s="9">
        <f>IF(ISNUMBER(U682),U682,"")</f>
        <v/>
      </c>
      <c r="W682" s="9">
        <f>_xlfn.RANK.EQ(V682,$V$2:$V$1031)</f>
        <v/>
      </c>
      <c r="X682" s="13" t="inlineStr">
        <is>
          <t>راسب</t>
        </is>
      </c>
      <c r="Y682" s="13" t="n">
        <v>21</v>
      </c>
      <c r="Z682" s="13" t="n">
        <v>24</v>
      </c>
      <c r="AA682" s="13" t="n">
        <v>22</v>
      </c>
      <c r="AB682" s="13">
        <f>IF(ISNUMBER(X682),X682+N(Y682)+N(Z682)+N(AA682),X682)</f>
        <v/>
      </c>
      <c r="AC682" s="13">
        <f>IF(ISNUMBER(AB682),AB682,"")</f>
        <v/>
      </c>
      <c r="AD682" s="13">
        <f>IF(ISNUMBER(AC682),_xlfn.RANK.EQ(AC682,$AC$2:$AC$1031),"")</f>
        <v/>
      </c>
      <c r="AE682" s="15">
        <f>IF(ISNUMBER(AF682),AF682/3630,"")</f>
        <v/>
      </c>
      <c r="AF682" s="14">
        <f>IFERROR(C682+D682+E682+F682+J682+K682+L682+M682+Q682+R682+S682+T682+IF(ISNUMBER(X682),X682,0)+N(Y682)+N(Z682)+N(AA682),"")</f>
        <v/>
      </c>
      <c r="AG682" s="14">
        <f>IF(ISNUMBER(AF682),AF682,"")</f>
        <v/>
      </c>
      <c r="AH682" s="14">
        <f>IF(ISNUMBER(AG682),_xlfn.RANK.EQ(AG682,$AG$2:$AG$1031),"")</f>
        <v/>
      </c>
    </row>
    <row r="683">
      <c r="A683" s="18" t="n">
        <v>1647</v>
      </c>
      <c r="B683" s="18" t="inlineStr">
        <is>
          <t>محمد ايمن محمد معوض ذكرى</t>
        </is>
      </c>
      <c r="C683" s="1" t="n">
        <v>586.8</v>
      </c>
      <c r="D683" s="1" t="n">
        <v>24</v>
      </c>
      <c r="E683" s="1" t="n">
        <v>21</v>
      </c>
      <c r="F683" s="1" t="n">
        <v>19</v>
      </c>
      <c r="G683" s="1">
        <f>C683+D683+E683+F683</f>
        <v/>
      </c>
      <c r="H683" s="1">
        <f>IF(ISNUMBER(G683),G683,"")</f>
        <v/>
      </c>
      <c r="I683" s="1">
        <f>_xlfn.RANK.EQ(H683,$H$2:$H$1031)</f>
        <v/>
      </c>
      <c r="J683" s="5" t="n">
        <v>573</v>
      </c>
      <c r="K683" s="5" t="n">
        <v>41</v>
      </c>
      <c r="L683" s="5" t="n">
        <v>21</v>
      </c>
      <c r="M683" s="5" t="n">
        <v>22</v>
      </c>
      <c r="N683" s="5">
        <f>J683+K683+L683+M683</f>
        <v/>
      </c>
      <c r="O683" s="5">
        <f>IF(ISNUMBER(N683),N683,"")</f>
        <v/>
      </c>
      <c r="P683" s="5">
        <f>_xlfn.RANK.EQ(O683,$O$2:$O$1031)</f>
        <v/>
      </c>
      <c r="Q683" s="9" t="n">
        <v>200.25</v>
      </c>
      <c r="R683" s="9" t="n">
        <v>43.5</v>
      </c>
      <c r="S683" s="9" t="n">
        <v>22</v>
      </c>
      <c r="T683" s="9" t="n">
        <v>24</v>
      </c>
      <c r="U683" s="9">
        <f>Q683+R683+S683+T683</f>
        <v/>
      </c>
      <c r="V683" s="9">
        <f>IF(ISNUMBER(U683),U683,"")</f>
        <v/>
      </c>
      <c r="W683" s="9">
        <f>_xlfn.RANK.EQ(V683,$V$2:$V$1031)</f>
        <v/>
      </c>
      <c r="X683" s="13" t="n">
        <v>1320.9541666667</v>
      </c>
      <c r="Y683" s="13" t="n">
        <v>23.5</v>
      </c>
      <c r="Z683" s="13" t="n">
        <v>22</v>
      </c>
      <c r="AA683" s="13" t="n">
        <v>18</v>
      </c>
      <c r="AB683" s="13">
        <f>IF(ISNUMBER(X683),X683+N(Y683)+N(Z683)+N(AA683),X683)</f>
        <v/>
      </c>
      <c r="AC683" s="13">
        <f>IF(ISNUMBER(AB683),AB683,"")</f>
        <v/>
      </c>
      <c r="AD683" s="13">
        <f>IF(ISNUMBER(AC683),_xlfn.RANK.EQ(AC683,$AC$2:$AC$1031),"")</f>
        <v/>
      </c>
      <c r="AE683" s="15">
        <f>IF(ISNUMBER(AF683),AF683/3630,"")</f>
        <v/>
      </c>
      <c r="AF683" s="14">
        <f>IFERROR(C683+D683+E683+F683+J683+K683+L683+M683+Q683+R683+S683+T683+IF(ISNUMBER(X683),X683,0)+N(Y683)+N(Z683)+N(AA683),"")</f>
        <v/>
      </c>
      <c r="AG683" s="14">
        <f>IF(ISNUMBER(AF683),AF683,"")</f>
        <v/>
      </c>
      <c r="AH683" s="14">
        <f>IF(ISNUMBER(AG683),_xlfn.RANK.EQ(AG683,$AG$2:$AG$1031),"")</f>
        <v/>
      </c>
    </row>
    <row r="684">
      <c r="A684" s="18" t="n">
        <v>1651</v>
      </c>
      <c r="B684" s="18" t="inlineStr">
        <is>
          <t>محمد ابراهيم محمد نجا</t>
        </is>
      </c>
      <c r="C684" s="1" t="n">
        <v>545.9</v>
      </c>
      <c r="D684" s="1" t="n">
        <v>25</v>
      </c>
      <c r="E684" s="1" t="n">
        <v>24</v>
      </c>
      <c r="F684" s="1" t="n">
        <v>23</v>
      </c>
      <c r="G684" s="1">
        <f>C684+D684+E684+F684</f>
        <v/>
      </c>
      <c r="H684" s="1">
        <f>IF(ISNUMBER(G684),G684,"")</f>
        <v/>
      </c>
      <c r="I684" s="1">
        <f>_xlfn.RANK.EQ(H684,$H$2:$H$1031)</f>
        <v/>
      </c>
      <c r="J684" s="5" t="n">
        <v>623</v>
      </c>
      <c r="K684" s="5" t="n">
        <v>49</v>
      </c>
      <c r="L684" s="5" t="n">
        <v>21</v>
      </c>
      <c r="M684" s="5" t="n">
        <v>21</v>
      </c>
      <c r="N684" s="5">
        <f>J684+K684+L684+M684</f>
        <v/>
      </c>
      <c r="O684" s="5">
        <f>IF(ISNUMBER(N684),N684,"")</f>
        <v/>
      </c>
      <c r="P684" s="5">
        <f>_xlfn.RANK.EQ(O684,$O$2:$O$1031)</f>
        <v/>
      </c>
      <c r="Q684" s="9" t="n">
        <v>273.5</v>
      </c>
      <c r="R684" s="9" t="n">
        <v>47</v>
      </c>
      <c r="S684" s="9" t="n">
        <v>24</v>
      </c>
      <c r="T684" s="9" t="n">
        <v>23.5</v>
      </c>
      <c r="U684" s="9">
        <f>Q684+R684+S684+T684</f>
        <v/>
      </c>
      <c r="V684" s="9">
        <f>IF(ISNUMBER(U684),U684,"")</f>
        <v/>
      </c>
      <c r="W684" s="9">
        <f>_xlfn.RANK.EQ(V684,$V$2:$V$1031)</f>
        <v/>
      </c>
      <c r="X684" s="13" t="n">
        <v>1334.0208333333</v>
      </c>
      <c r="Y684" s="13" t="n">
        <v>25</v>
      </c>
      <c r="Z684" s="13" t="n">
        <v>21</v>
      </c>
      <c r="AA684" s="13" t="n">
        <v>22</v>
      </c>
      <c r="AB684" s="13">
        <f>IF(ISNUMBER(X684),X684+N(Y684)+N(Z684)+N(AA684),X684)</f>
        <v/>
      </c>
      <c r="AC684" s="13">
        <f>IF(ISNUMBER(AB684),AB684,"")</f>
        <v/>
      </c>
      <c r="AD684" s="13">
        <f>IF(ISNUMBER(AC684),_xlfn.RANK.EQ(AC684,$AC$2:$AC$1031),"")</f>
        <v/>
      </c>
      <c r="AE684" s="15">
        <f>IF(ISNUMBER(AF684),AF684/3630,"")</f>
        <v/>
      </c>
      <c r="AF684" s="14">
        <f>IFERROR(C684+D684+E684+F684+J684+K684+L684+M684+Q684+R684+S684+T684+IF(ISNUMBER(X684),X684,0)+N(Y684)+N(Z684)+N(AA684),"")</f>
        <v/>
      </c>
      <c r="AG684" s="14">
        <f>IF(ISNUMBER(AF684),AF684,"")</f>
        <v/>
      </c>
      <c r="AH684" s="14">
        <f>IF(ISNUMBER(AG684),_xlfn.RANK.EQ(AG684,$AG$2:$AG$1031),"")</f>
        <v/>
      </c>
    </row>
    <row r="685">
      <c r="A685" s="18" t="n">
        <v>1652</v>
      </c>
      <c r="B685" s="18" t="inlineStr">
        <is>
          <t>محمد بسيونى سعيد ابراهيم البواب</t>
        </is>
      </c>
      <c r="C685" s="1" t="n">
        <v>602.7</v>
      </c>
      <c r="D685" s="1" t="n">
        <v>25</v>
      </c>
      <c r="E685" s="1" t="n">
        <v>23</v>
      </c>
      <c r="F685" s="1" t="n">
        <v>23</v>
      </c>
      <c r="G685" s="1">
        <f>C685+D685+E685+F685</f>
        <v/>
      </c>
      <c r="H685" s="1">
        <f>IF(ISNUMBER(G685),G685,"")</f>
        <v/>
      </c>
      <c r="I685" s="1">
        <f>_xlfn.RANK.EQ(H685,$H$2:$H$1031)</f>
        <v/>
      </c>
      <c r="J685" s="5" t="n">
        <v>583.5</v>
      </c>
      <c r="K685" s="5" t="n">
        <v>47</v>
      </c>
      <c r="L685" s="5" t="n">
        <v>22</v>
      </c>
      <c r="M685" s="5" t="n">
        <v>24</v>
      </c>
      <c r="N685" s="5">
        <f>J685+K685+L685+M685</f>
        <v/>
      </c>
      <c r="O685" s="5">
        <f>IF(ISNUMBER(N685),N685,"")</f>
        <v/>
      </c>
      <c r="P685" s="5">
        <f>_xlfn.RANK.EQ(O685,$O$2:$O$1031)</f>
        <v/>
      </c>
      <c r="Q685" s="9" t="n">
        <v>258.75</v>
      </c>
      <c r="R685" s="9" t="n">
        <v>46</v>
      </c>
      <c r="S685" s="9" t="n">
        <v>23</v>
      </c>
      <c r="T685" s="9" t="n">
        <v>24</v>
      </c>
      <c r="U685" s="9">
        <f>Q685+R685+S685+T685</f>
        <v/>
      </c>
      <c r="V685" s="9">
        <f>IF(ISNUMBER(U685),U685,"")</f>
        <v/>
      </c>
      <c r="W685" s="9">
        <f>_xlfn.RANK.EQ(V685,$V$2:$V$1031)</f>
        <v/>
      </c>
      <c r="X685" s="13" t="n">
        <v>1415.8958333333</v>
      </c>
      <c r="Y685" s="13" t="n">
        <v>24</v>
      </c>
      <c r="Z685" s="13" t="n">
        <v>24</v>
      </c>
      <c r="AA685" s="13" t="n">
        <v>25</v>
      </c>
      <c r="AB685" s="13">
        <f>IF(ISNUMBER(X685),X685+N(Y685)+N(Z685)+N(AA685),X685)</f>
        <v/>
      </c>
      <c r="AC685" s="13">
        <f>IF(ISNUMBER(AB685),AB685,"")</f>
        <v/>
      </c>
      <c r="AD685" s="13">
        <f>IF(ISNUMBER(AC685),_xlfn.RANK.EQ(AC685,$AC$2:$AC$1031),"")</f>
        <v/>
      </c>
      <c r="AE685" s="15">
        <f>IF(ISNUMBER(AF685),AF685/3630,"")</f>
        <v/>
      </c>
      <c r="AF685" s="14">
        <f>IFERROR(C685+D685+E685+F685+J685+K685+L685+M685+Q685+R685+S685+T685+IF(ISNUMBER(X685),X685,0)+N(Y685)+N(Z685)+N(AA685),"")</f>
        <v/>
      </c>
      <c r="AG685" s="14">
        <f>IF(ISNUMBER(AF685),AF685,"")</f>
        <v/>
      </c>
      <c r="AH685" s="14">
        <f>IF(ISNUMBER(AG685),_xlfn.RANK.EQ(AG685,$AG$2:$AG$1031),"")</f>
        <v/>
      </c>
    </row>
    <row r="686">
      <c r="A686" s="18" t="n">
        <v>1664</v>
      </c>
      <c r="B686" s="18" t="inlineStr">
        <is>
          <t>محمد حامد حسين احمد حسين</t>
        </is>
      </c>
      <c r="C686" s="1" t="n">
        <v>492.1</v>
      </c>
      <c r="D686" s="1" t="n">
        <v>20</v>
      </c>
      <c r="E686" s="1" t="n">
        <v>21</v>
      </c>
      <c r="F686" s="1" t="n">
        <v>19</v>
      </c>
      <c r="G686" s="1">
        <f>C686+D686+E686+F686</f>
        <v/>
      </c>
      <c r="H686" s="1">
        <f>IF(ISNUMBER(G686),G686,"")</f>
        <v/>
      </c>
      <c r="I686" s="1">
        <f>_xlfn.RANK.EQ(H686,$H$2:$H$1031)</f>
        <v/>
      </c>
      <c r="J686" s="5" t="n">
        <v>545.5</v>
      </c>
      <c r="K686" s="5" t="n">
        <v>45</v>
      </c>
      <c r="L686" s="5" t="n">
        <v>21</v>
      </c>
      <c r="M686" s="5" t="n">
        <v>23</v>
      </c>
      <c r="N686" s="5">
        <f>J686+K686+L686+M686</f>
        <v/>
      </c>
      <c r="O686" s="5">
        <f>IF(ISNUMBER(N686),N686,"")</f>
        <v/>
      </c>
      <c r="P686" s="5">
        <f>_xlfn.RANK.EQ(O686,$O$2:$O$1031)</f>
        <v/>
      </c>
      <c r="Q686" s="9" t="n">
        <v>244.75</v>
      </c>
      <c r="R686" s="9" t="n">
        <v>44.5</v>
      </c>
      <c r="S686" s="9" t="n">
        <v>23</v>
      </c>
      <c r="T686" s="9" t="n">
        <v>24</v>
      </c>
      <c r="U686" s="9">
        <f>Q686+R686+S686+T686</f>
        <v/>
      </c>
      <c r="V686" s="9">
        <f>IF(ISNUMBER(U686),U686,"")</f>
        <v/>
      </c>
      <c r="W686" s="9">
        <f>_xlfn.RANK.EQ(V686,$V$2:$V$1031)</f>
        <v/>
      </c>
      <c r="X686" s="13" t="n">
        <v>1198.6916666667</v>
      </c>
      <c r="Y686" s="13" t="n">
        <v>24</v>
      </c>
      <c r="Z686" s="13" t="n">
        <v>24</v>
      </c>
      <c r="AA686" s="13" t="n">
        <v>24</v>
      </c>
      <c r="AB686" s="13">
        <f>IF(ISNUMBER(X686),X686+N(Y686)+N(Z686)+N(AA686),X686)</f>
        <v/>
      </c>
      <c r="AC686" s="13">
        <f>IF(ISNUMBER(AB686),AB686,"")</f>
        <v/>
      </c>
      <c r="AD686" s="13">
        <f>IF(ISNUMBER(AC686),_xlfn.RANK.EQ(AC686,$AC$2:$AC$1031),"")</f>
        <v/>
      </c>
      <c r="AE686" s="15">
        <f>IF(ISNUMBER(AF686),AF686/3630,"")</f>
        <v/>
      </c>
      <c r="AF686" s="14">
        <f>IFERROR(C686+D686+E686+F686+J686+K686+L686+M686+Q686+R686+S686+T686+IF(ISNUMBER(X686),X686,0)+N(Y686)+N(Z686)+N(AA686),"")</f>
        <v/>
      </c>
      <c r="AG686" s="14">
        <f>IF(ISNUMBER(AF686),AF686,"")</f>
        <v/>
      </c>
      <c r="AH686" s="14">
        <f>IF(ISNUMBER(AG686),_xlfn.RANK.EQ(AG686,$AG$2:$AG$1031),"")</f>
        <v/>
      </c>
    </row>
    <row r="687">
      <c r="A687" s="18" t="n">
        <v>1668</v>
      </c>
      <c r="B687" s="18" t="inlineStr">
        <is>
          <t>محمد حسن محمد حسان محمد</t>
        </is>
      </c>
      <c r="C687" s="1" t="n">
        <v>481.7</v>
      </c>
      <c r="D687" s="1" t="n">
        <v>22</v>
      </c>
      <c r="E687" s="1" t="n">
        <v>20</v>
      </c>
      <c r="F687" s="1" t="n">
        <v>22</v>
      </c>
      <c r="G687" s="1">
        <f>C687+D687+E687+F687</f>
        <v/>
      </c>
      <c r="H687" s="1">
        <f>IF(ISNUMBER(G687),G687,"")</f>
        <v/>
      </c>
      <c r="I687" s="1">
        <f>_xlfn.RANK.EQ(H687,$H$2:$H$1031)</f>
        <v/>
      </c>
      <c r="J687" s="5" t="n">
        <v>510.35</v>
      </c>
      <c r="K687" s="5" t="n">
        <v>49</v>
      </c>
      <c r="L687" s="5" t="n">
        <v>19</v>
      </c>
      <c r="M687" s="5" t="n">
        <v>23</v>
      </c>
      <c r="N687" s="5">
        <f>J687+K687+L687+M687</f>
        <v/>
      </c>
      <c r="O687" s="5">
        <f>IF(ISNUMBER(N687),N687,"")</f>
        <v/>
      </c>
      <c r="P687" s="5">
        <f>_xlfn.RANK.EQ(O687,$O$2:$O$1031)</f>
        <v/>
      </c>
      <c r="Q687" s="9" t="n">
        <v>244.5</v>
      </c>
      <c r="R687" s="9" t="n">
        <v>45.5</v>
      </c>
      <c r="S687" s="9" t="n">
        <v>24</v>
      </c>
      <c r="T687" s="9" t="n">
        <v>25</v>
      </c>
      <c r="U687" s="9">
        <f>Q687+R687+S687+T687</f>
        <v/>
      </c>
      <c r="V687" s="9">
        <f>IF(ISNUMBER(U687),U687,"")</f>
        <v/>
      </c>
      <c r="W687" s="9">
        <f>_xlfn.RANK.EQ(V687,$V$2:$V$1031)</f>
        <v/>
      </c>
      <c r="X687" s="13" t="n">
        <v>1379.4958333333</v>
      </c>
      <c r="Y687" s="13" t="n">
        <v>23.5</v>
      </c>
      <c r="Z687" s="13" t="n">
        <v>24</v>
      </c>
      <c r="AA687" s="13" t="n">
        <v>24</v>
      </c>
      <c r="AB687" s="13">
        <f>IF(ISNUMBER(X687),X687+N(Y687)+N(Z687)+N(AA687),X687)</f>
        <v/>
      </c>
      <c r="AC687" s="13">
        <f>IF(ISNUMBER(AB687),AB687,"")</f>
        <v/>
      </c>
      <c r="AD687" s="13">
        <f>IF(ISNUMBER(AC687),_xlfn.RANK.EQ(AC687,$AC$2:$AC$1031),"")</f>
        <v/>
      </c>
      <c r="AE687" s="15">
        <f>IF(ISNUMBER(AF687),AF687/3630,"")</f>
        <v/>
      </c>
      <c r="AF687" s="14">
        <f>IFERROR(C687+D687+E687+F687+J687+K687+L687+M687+Q687+R687+S687+T687+IF(ISNUMBER(X687),X687,0)+N(Y687)+N(Z687)+N(AA687),"")</f>
        <v/>
      </c>
      <c r="AG687" s="14">
        <f>IF(ISNUMBER(AF687),AF687,"")</f>
        <v/>
      </c>
      <c r="AH687" s="14">
        <f>IF(ISNUMBER(AG687),_xlfn.RANK.EQ(AG687,$AG$2:$AG$1031),"")</f>
        <v/>
      </c>
    </row>
    <row r="688">
      <c r="A688" s="18" t="n">
        <v>1671</v>
      </c>
      <c r="B688" s="18" t="inlineStr">
        <is>
          <t>محمد حمدى محمد محمد عجوة</t>
        </is>
      </c>
      <c r="C688" s="1" t="n">
        <v>616.6</v>
      </c>
      <c r="D688" s="1" t="n">
        <v>24</v>
      </c>
      <c r="E688" s="1" t="n">
        <v>22</v>
      </c>
      <c r="F688" s="1" t="n">
        <v>21</v>
      </c>
      <c r="G688" s="1">
        <f>C688+D688+E688+F688</f>
        <v/>
      </c>
      <c r="H688" s="1">
        <f>IF(ISNUMBER(G688),G688,"")</f>
        <v/>
      </c>
      <c r="I688" s="1">
        <f>_xlfn.RANK.EQ(H688,$H$2:$H$1031)</f>
        <v/>
      </c>
      <c r="J688" s="5" t="n">
        <v>602.5</v>
      </c>
      <c r="K688" s="5" t="n">
        <v>44</v>
      </c>
      <c r="L688" s="5" t="n">
        <v>21</v>
      </c>
      <c r="M688" s="5" t="n">
        <v>22</v>
      </c>
      <c r="N688" s="5">
        <f>J688+K688+L688+M688</f>
        <v/>
      </c>
      <c r="O688" s="5">
        <f>IF(ISNUMBER(N688),N688,"")</f>
        <v/>
      </c>
      <c r="P688" s="5">
        <f>_xlfn.RANK.EQ(O688,$O$2:$O$1031)</f>
        <v/>
      </c>
      <c r="Q688" s="9" t="n">
        <v>235</v>
      </c>
      <c r="R688" s="9" t="n">
        <v>45.5</v>
      </c>
      <c r="S688" s="9" t="n">
        <v>23</v>
      </c>
      <c r="T688" s="9" t="n">
        <v>17</v>
      </c>
      <c r="U688" s="9">
        <f>Q688+R688+S688+T688</f>
        <v/>
      </c>
      <c r="V688" s="9">
        <f>IF(ISNUMBER(U688),U688,"")</f>
        <v/>
      </c>
      <c r="W688" s="9">
        <f>_xlfn.RANK.EQ(V688,$V$2:$V$1031)</f>
        <v/>
      </c>
      <c r="X688" s="13" t="inlineStr">
        <is>
          <t>راسب</t>
        </is>
      </c>
      <c r="Y688" s="13" t="n">
        <v>23.5</v>
      </c>
      <c r="Z688" s="13" t="n">
        <v>15</v>
      </c>
      <c r="AA688" s="13" t="n">
        <v>24</v>
      </c>
      <c r="AB688" s="13">
        <f>IF(ISNUMBER(X688),X688+N(Y688)+N(Z688)+N(AA688),X688)</f>
        <v/>
      </c>
      <c r="AC688" s="13">
        <f>IF(ISNUMBER(AB688),AB688,"")</f>
        <v/>
      </c>
      <c r="AD688" s="13">
        <f>IF(ISNUMBER(AC688),_xlfn.RANK.EQ(AC688,$AC$2:$AC$1031),"")</f>
        <v/>
      </c>
      <c r="AE688" s="15">
        <f>IF(ISNUMBER(AF688),AF688/3630,"")</f>
        <v/>
      </c>
      <c r="AF688" s="14">
        <f>IFERROR(C688+D688+E688+F688+J688+K688+L688+M688+Q688+R688+S688+T688+IF(ISNUMBER(X688),X688,0)+N(Y688)+N(Z688)+N(AA688),"")</f>
        <v/>
      </c>
      <c r="AG688" s="14">
        <f>IF(ISNUMBER(AF688),AF688,"")</f>
        <v/>
      </c>
      <c r="AH688" s="14">
        <f>IF(ISNUMBER(AG688),_xlfn.RANK.EQ(AG688,$AG$2:$AG$1031),"")</f>
        <v/>
      </c>
    </row>
    <row r="689">
      <c r="A689" s="18" t="n">
        <v>1676</v>
      </c>
      <c r="B689" s="18" t="inlineStr">
        <is>
          <t>محمد رجب محمد شحاته عبدالخالق</t>
        </is>
      </c>
      <c r="C689" s="1" t="n">
        <v>576.4</v>
      </c>
      <c r="D689" s="1" t="n">
        <v>24</v>
      </c>
      <c r="E689" s="1" t="n">
        <v>24</v>
      </c>
      <c r="F689" s="1" t="n">
        <v>22</v>
      </c>
      <c r="G689" s="1">
        <f>C689+D689+E689+F689</f>
        <v/>
      </c>
      <c r="H689" s="1">
        <f>IF(ISNUMBER(G689),G689,"")</f>
        <v/>
      </c>
      <c r="I689" s="1">
        <f>_xlfn.RANK.EQ(H689,$H$2:$H$1031)</f>
        <v/>
      </c>
      <c r="J689" s="5" t="n">
        <v>556.85</v>
      </c>
      <c r="K689" s="5" t="n">
        <v>46</v>
      </c>
      <c r="L689" s="5" t="n">
        <v>22</v>
      </c>
      <c r="M689" s="5" t="n">
        <v>21</v>
      </c>
      <c r="N689" s="5">
        <f>J689+K689+L689+M689</f>
        <v/>
      </c>
      <c r="O689" s="5">
        <f>IF(ISNUMBER(N689),N689,"")</f>
        <v/>
      </c>
      <c r="P689" s="5">
        <f>_xlfn.RANK.EQ(O689,$O$2:$O$1031)</f>
        <v/>
      </c>
      <c r="Q689" s="9" t="n">
        <v>245.75</v>
      </c>
      <c r="R689" s="9" t="n">
        <v>43</v>
      </c>
      <c r="S689" s="9" t="n">
        <v>25</v>
      </c>
      <c r="T689" s="9" t="n">
        <v>23</v>
      </c>
      <c r="U689" s="9">
        <f>Q689+R689+S689+T689</f>
        <v/>
      </c>
      <c r="V689" s="9">
        <f>IF(ISNUMBER(U689),U689,"")</f>
        <v/>
      </c>
      <c r="W689" s="9">
        <f>_xlfn.RANK.EQ(V689,$V$2:$V$1031)</f>
        <v/>
      </c>
      <c r="X689" s="13" t="n">
        <v>1375.3166666667</v>
      </c>
      <c r="Y689" s="13" t="n">
        <v>24.5</v>
      </c>
      <c r="Z689" s="13" t="n">
        <v>22</v>
      </c>
      <c r="AA689" s="13" t="n">
        <v>24</v>
      </c>
      <c r="AB689" s="13">
        <f>IF(ISNUMBER(X689),X689+N(Y689)+N(Z689)+N(AA689),X689)</f>
        <v/>
      </c>
      <c r="AC689" s="13">
        <f>IF(ISNUMBER(AB689),AB689,"")</f>
        <v/>
      </c>
      <c r="AD689" s="13">
        <f>IF(ISNUMBER(AC689),_xlfn.RANK.EQ(AC689,$AC$2:$AC$1031),"")</f>
        <v/>
      </c>
      <c r="AE689" s="15">
        <f>IF(ISNUMBER(AF689),AF689/3630,"")</f>
        <v/>
      </c>
      <c r="AF689" s="14">
        <f>IFERROR(C689+D689+E689+F689+J689+K689+L689+M689+Q689+R689+S689+T689+IF(ISNUMBER(X689),X689,0)+N(Y689)+N(Z689)+N(AA689),"")</f>
        <v/>
      </c>
      <c r="AG689" s="14">
        <f>IF(ISNUMBER(AF689),AF689,"")</f>
        <v/>
      </c>
      <c r="AH689" s="14">
        <f>IF(ISNUMBER(AG689),_xlfn.RANK.EQ(AG689,$AG$2:$AG$1031),"")</f>
        <v/>
      </c>
    </row>
    <row r="690">
      <c r="A690" s="18" t="n">
        <v>1677</v>
      </c>
      <c r="B690" s="18" t="inlineStr">
        <is>
          <t>محمد رفعت على لبيب عبد الرحمن</t>
        </is>
      </c>
      <c r="C690" s="1" t="n">
        <v>633.3</v>
      </c>
      <c r="D690" s="1" t="n">
        <v>25</v>
      </c>
      <c r="E690" s="1" t="n">
        <v>24</v>
      </c>
      <c r="F690" s="1" t="n">
        <v>24</v>
      </c>
      <c r="G690" s="1">
        <f>C690+D690+E690+F690</f>
        <v/>
      </c>
      <c r="H690" s="1">
        <f>IF(ISNUMBER(G690),G690,"")</f>
        <v/>
      </c>
      <c r="I690" s="1">
        <f>_xlfn.RANK.EQ(H690,$H$2:$H$1031)</f>
        <v/>
      </c>
      <c r="J690" s="5" t="n">
        <v>635</v>
      </c>
      <c r="K690" s="5" t="n">
        <v>47</v>
      </c>
      <c r="L690" s="5" t="n">
        <v>23</v>
      </c>
      <c r="M690" s="5" t="n">
        <v>25</v>
      </c>
      <c r="N690" s="5">
        <f>J690+K690+L690+M690</f>
        <v/>
      </c>
      <c r="O690" s="5">
        <f>IF(ISNUMBER(N690),N690,"")</f>
        <v/>
      </c>
      <c r="P690" s="5">
        <f>_xlfn.RANK.EQ(O690,$O$2:$O$1031)</f>
        <v/>
      </c>
      <c r="Q690" s="9" t="n">
        <v>273.5</v>
      </c>
      <c r="R690" s="9" t="n">
        <v>49</v>
      </c>
      <c r="S690" s="9" t="n">
        <v>25</v>
      </c>
      <c r="T690" s="9" t="n">
        <v>24</v>
      </c>
      <c r="U690" s="9">
        <f>Q690+R690+S690+T690</f>
        <v/>
      </c>
      <c r="V690" s="9">
        <f>IF(ISNUMBER(U690),U690,"")</f>
        <v/>
      </c>
      <c r="W690" s="9">
        <f>_xlfn.RANK.EQ(V690,$V$2:$V$1031)</f>
        <v/>
      </c>
      <c r="X690" s="13" t="n">
        <v>1527.7083333333</v>
      </c>
      <c r="Y690" s="13" t="n">
        <v>25</v>
      </c>
      <c r="Z690" s="13" t="n">
        <v>25</v>
      </c>
      <c r="AA690" s="13" t="n">
        <v>24</v>
      </c>
      <c r="AB690" s="13">
        <f>IF(ISNUMBER(X690),X690+N(Y690)+N(Z690)+N(AA690),X690)</f>
        <v/>
      </c>
      <c r="AC690" s="13">
        <f>IF(ISNUMBER(AB690),AB690,"")</f>
        <v/>
      </c>
      <c r="AD690" s="13">
        <f>IF(ISNUMBER(AC690),_xlfn.RANK.EQ(AC690,$AC$2:$AC$1031),"")</f>
        <v/>
      </c>
      <c r="AE690" s="15">
        <f>IF(ISNUMBER(AF690),AF690/3630,"")</f>
        <v/>
      </c>
      <c r="AF690" s="14">
        <f>IFERROR(C690+D690+E690+F690+J690+K690+L690+M690+Q690+R690+S690+T690+IF(ISNUMBER(X690),X690,0)+N(Y690)+N(Z690)+N(AA690),"")</f>
        <v/>
      </c>
      <c r="AG690" s="14">
        <f>IF(ISNUMBER(AF690),AF690,"")</f>
        <v/>
      </c>
      <c r="AH690" s="14">
        <f>IF(ISNUMBER(AG690),_xlfn.RANK.EQ(AG690,$AG$2:$AG$1031),"")</f>
        <v/>
      </c>
    </row>
    <row r="691">
      <c r="A691" s="18" t="n">
        <v>1684</v>
      </c>
      <c r="B691" s="18" t="inlineStr">
        <is>
          <t>محمد سعد ابراهيم الشناوى</t>
        </is>
      </c>
      <c r="C691" s="1" t="n">
        <v>602.7</v>
      </c>
      <c r="D691" s="1" t="n">
        <v>23</v>
      </c>
      <c r="E691" s="1" t="n">
        <v>13</v>
      </c>
      <c r="F691" s="1" t="n">
        <v>18</v>
      </c>
      <c r="G691" s="1">
        <f>C691+D691+E691+F691</f>
        <v/>
      </c>
      <c r="H691" s="1">
        <f>IF(ISNUMBER(G691),G691,"")</f>
        <v/>
      </c>
      <c r="I691" s="1">
        <f>_xlfn.RANK.EQ(H691,$H$2:$H$1031)</f>
        <v/>
      </c>
      <c r="J691" s="5" t="n">
        <v>574</v>
      </c>
      <c r="K691" s="5" t="n">
        <v>35</v>
      </c>
      <c r="L691" s="5" t="n">
        <v>21</v>
      </c>
      <c r="M691" s="5" t="n">
        <v>15</v>
      </c>
      <c r="N691" s="5">
        <f>J691+K691+L691+M691</f>
        <v/>
      </c>
      <c r="O691" s="5">
        <f>IF(ISNUMBER(N691),N691,"")</f>
        <v/>
      </c>
      <c r="P691" s="5">
        <f>_xlfn.RANK.EQ(O691,$O$2:$O$1031)</f>
        <v/>
      </c>
      <c r="Q691" s="9" t="n">
        <v>266</v>
      </c>
      <c r="R691" s="9" t="n">
        <v>38.5</v>
      </c>
      <c r="S691" s="9" t="n">
        <v>21</v>
      </c>
      <c r="T691" s="9" t="n">
        <v>24.5</v>
      </c>
      <c r="U691" s="9">
        <f>Q691+R691+S691+T691</f>
        <v/>
      </c>
      <c r="V691" s="9">
        <f>IF(ISNUMBER(U691),U691,"")</f>
        <v/>
      </c>
      <c r="W691" s="9">
        <f>_xlfn.RANK.EQ(V691,$V$2:$V$1031)</f>
        <v/>
      </c>
      <c r="X691" s="13" t="n">
        <v>1242.6083333333</v>
      </c>
      <c r="Y691" s="13" t="n">
        <v>23</v>
      </c>
      <c r="Z691" s="13" t="n">
        <v>16</v>
      </c>
      <c r="AA691" s="13" t="n">
        <v>15</v>
      </c>
      <c r="AB691" s="13">
        <f>IF(ISNUMBER(X691),X691+N(Y691)+N(Z691)+N(AA691),X691)</f>
        <v/>
      </c>
      <c r="AC691" s="13">
        <f>IF(ISNUMBER(AB691),AB691,"")</f>
        <v/>
      </c>
      <c r="AD691" s="13">
        <f>IF(ISNUMBER(AC691),_xlfn.RANK.EQ(AC691,$AC$2:$AC$1031),"")</f>
        <v/>
      </c>
      <c r="AE691" s="15">
        <f>IF(ISNUMBER(AF691),AF691/3630,"")</f>
        <v/>
      </c>
      <c r="AF691" s="14">
        <f>IFERROR(C691+D691+E691+F691+J691+K691+L691+M691+Q691+R691+S691+T691+IF(ISNUMBER(X691),X691,0)+N(Y691)+N(Z691)+N(AA691),"")</f>
        <v/>
      </c>
      <c r="AG691" s="14">
        <f>IF(ISNUMBER(AF691),AF691,"")</f>
        <v/>
      </c>
      <c r="AH691" s="14">
        <f>IF(ISNUMBER(AG691),_xlfn.RANK.EQ(AG691,$AG$2:$AG$1031),"")</f>
        <v/>
      </c>
    </row>
    <row r="692">
      <c r="A692" s="18" t="n">
        <v>1686</v>
      </c>
      <c r="B692" s="18" t="inlineStr">
        <is>
          <t>محمد سعد محمد خيرالله</t>
        </is>
      </c>
      <c r="C692" s="1" t="n">
        <v>499</v>
      </c>
      <c r="D692" s="1" t="n">
        <v>22</v>
      </c>
      <c r="E692" s="1" t="n">
        <v>16</v>
      </c>
      <c r="F692" s="1" t="n">
        <v>19</v>
      </c>
      <c r="G692" s="1">
        <f>C692+D692+E692+F692</f>
        <v/>
      </c>
      <c r="H692" s="1">
        <f>IF(ISNUMBER(G692),G692,"")</f>
        <v/>
      </c>
      <c r="I692" s="1">
        <f>_xlfn.RANK.EQ(H692,$H$2:$H$1031)</f>
        <v/>
      </c>
      <c r="J692" s="5" t="n">
        <v>451.35</v>
      </c>
      <c r="K692" s="5" t="n">
        <v>19</v>
      </c>
      <c r="L692" s="5" t="n">
        <v>8</v>
      </c>
      <c r="M692" s="5" t="n">
        <v>5</v>
      </c>
      <c r="N692" s="5">
        <f>J692+K692+L692+M692</f>
        <v/>
      </c>
      <c r="O692" s="5">
        <f>IF(ISNUMBER(N692),N692,"")</f>
        <v/>
      </c>
      <c r="P692" s="5">
        <f>_xlfn.RANK.EQ(O692,$O$2:$O$1031)</f>
        <v/>
      </c>
      <c r="Q692" s="9" t="n">
        <v>164</v>
      </c>
      <c r="R692" s="9" t="n">
        <v>31</v>
      </c>
      <c r="S692" s="9" t="n">
        <v>6</v>
      </c>
      <c r="T692" s="9" t="n">
        <v>15</v>
      </c>
      <c r="U692" s="9">
        <f>Q692+R692+S692+T692</f>
        <v/>
      </c>
      <c r="V692" s="9">
        <f>IF(ISNUMBER(U692),U692,"")</f>
        <v/>
      </c>
      <c r="W692" s="9">
        <f>_xlfn.RANK.EQ(V692,$V$2:$V$1031)</f>
        <v/>
      </c>
      <c r="X692" s="13" t="inlineStr">
        <is>
          <t>راسب</t>
        </is>
      </c>
      <c r="Y692" s="13" t="n">
        <v>22</v>
      </c>
      <c r="Z692" s="13" t="n">
        <v>12</v>
      </c>
      <c r="AA692" s="13" t="n">
        <v>12</v>
      </c>
      <c r="AB692" s="13">
        <f>IF(ISNUMBER(X692),X692+N(Y692)+N(Z692)+N(AA692),X692)</f>
        <v/>
      </c>
      <c r="AC692" s="13">
        <f>IF(ISNUMBER(AB692),AB692,"")</f>
        <v/>
      </c>
      <c r="AD692" s="13">
        <f>IF(ISNUMBER(AC692),_xlfn.RANK.EQ(AC692,$AC$2:$AC$1031),"")</f>
        <v/>
      </c>
      <c r="AE692" s="15">
        <f>IF(ISNUMBER(AF692),AF692/3630,"")</f>
        <v/>
      </c>
      <c r="AF692" s="14">
        <f>IFERROR(C692+D692+E692+F692+J692+K692+L692+M692+Q692+R692+S692+T692+IF(ISNUMBER(X692),X692,0)+N(Y692)+N(Z692)+N(AA692),"")</f>
        <v/>
      </c>
      <c r="AG692" s="14">
        <f>IF(ISNUMBER(AF692),AF692,"")</f>
        <v/>
      </c>
      <c r="AH692" s="14">
        <f>IF(ISNUMBER(AG692),_xlfn.RANK.EQ(AG692,$AG$2:$AG$1031),"")</f>
        <v/>
      </c>
    </row>
    <row r="693">
      <c r="A693" s="18" t="n">
        <v>1687</v>
      </c>
      <c r="B693" s="18" t="inlineStr">
        <is>
          <t>محمد سعيد عبد الحميد دخان</t>
        </is>
      </c>
      <c r="C693" s="1" t="n">
        <v>646</v>
      </c>
      <c r="D693" s="1" t="n">
        <v>25</v>
      </c>
      <c r="E693" s="1" t="n">
        <v>25</v>
      </c>
      <c r="F693" s="1" t="n">
        <v>24</v>
      </c>
      <c r="G693" s="1">
        <f>C693+D693+E693+F693</f>
        <v/>
      </c>
      <c r="H693" s="1">
        <f>IF(ISNUMBER(G693),G693,"")</f>
        <v/>
      </c>
      <c r="I693" s="1">
        <f>_xlfn.RANK.EQ(H693,$H$2:$H$1031)</f>
        <v/>
      </c>
      <c r="J693" s="5" t="n">
        <v>628</v>
      </c>
      <c r="K693" s="5" t="n">
        <v>48</v>
      </c>
      <c r="L693" s="5" t="n">
        <v>22</v>
      </c>
      <c r="M693" s="5" t="n">
        <v>25</v>
      </c>
      <c r="N693" s="5">
        <f>J693+K693+L693+M693</f>
        <v/>
      </c>
      <c r="O693" s="5">
        <f>IF(ISNUMBER(N693),N693,"")</f>
        <v/>
      </c>
      <c r="P693" s="5">
        <f>_xlfn.RANK.EQ(O693,$O$2:$O$1031)</f>
        <v/>
      </c>
      <c r="Q693" s="9" t="n">
        <v>276</v>
      </c>
      <c r="R693" s="9" t="n">
        <v>48.5</v>
      </c>
      <c r="S693" s="9" t="n">
        <v>24</v>
      </c>
      <c r="T693" s="9" t="n">
        <v>25</v>
      </c>
      <c r="U693" s="9">
        <f>Q693+R693+S693+T693</f>
        <v/>
      </c>
      <c r="V693" s="9">
        <f>IF(ISNUMBER(U693),U693,"")</f>
        <v/>
      </c>
      <c r="W693" s="9">
        <f>_xlfn.RANK.EQ(V693,$V$2:$V$1031)</f>
        <v/>
      </c>
      <c r="X693" s="13" t="n">
        <v>1541.6166666667</v>
      </c>
      <c r="Y693" s="13" t="n">
        <v>25</v>
      </c>
      <c r="Z693" s="13" t="n">
        <v>23</v>
      </c>
      <c r="AA693" s="13" t="n">
        <v>25</v>
      </c>
      <c r="AB693" s="13">
        <f>IF(ISNUMBER(X693),X693+N(Y693)+N(Z693)+N(AA693),X693)</f>
        <v/>
      </c>
      <c r="AC693" s="13">
        <f>IF(ISNUMBER(AB693),AB693,"")</f>
        <v/>
      </c>
      <c r="AD693" s="13">
        <f>IF(ISNUMBER(AC693),_xlfn.RANK.EQ(AC693,$AC$2:$AC$1031),"")</f>
        <v/>
      </c>
      <c r="AE693" s="15">
        <f>IF(ISNUMBER(AF693),AF693/3630,"")</f>
        <v/>
      </c>
      <c r="AF693" s="14">
        <f>IFERROR(C693+D693+E693+F693+J693+K693+L693+M693+Q693+R693+S693+T693+IF(ISNUMBER(X693),X693,0)+N(Y693)+N(Z693)+N(AA693),"")</f>
        <v/>
      </c>
      <c r="AG693" s="14">
        <f>IF(ISNUMBER(AF693),AF693,"")</f>
        <v/>
      </c>
      <c r="AH693" s="14">
        <f>IF(ISNUMBER(AG693),_xlfn.RANK.EQ(AG693,$AG$2:$AG$1031),"")</f>
        <v/>
      </c>
    </row>
    <row r="694">
      <c r="A694" s="18" t="n">
        <v>1689</v>
      </c>
      <c r="B694" s="18" t="inlineStr">
        <is>
          <t>محمد سلامة رمضان ابو حطب</t>
        </is>
      </c>
      <c r="C694" s="1" t="n">
        <v>477.9</v>
      </c>
      <c r="D694" s="1" t="n">
        <v>21</v>
      </c>
      <c r="E694" s="1" t="n">
        <v>24</v>
      </c>
      <c r="F694" s="1" t="n">
        <v>24</v>
      </c>
      <c r="G694" s="1">
        <f>C694+D694+E694+F694</f>
        <v/>
      </c>
      <c r="H694" s="1">
        <f>IF(ISNUMBER(G694),G694,"")</f>
        <v/>
      </c>
      <c r="I694" s="1">
        <f>_xlfn.RANK.EQ(H694,$H$2:$H$1031)</f>
        <v/>
      </c>
      <c r="J694" s="5" t="n">
        <v>576.5</v>
      </c>
      <c r="K694" s="5" t="n">
        <v>44</v>
      </c>
      <c r="L694" s="5" t="n">
        <v>22</v>
      </c>
      <c r="M694" s="5" t="n">
        <v>0</v>
      </c>
      <c r="N694" s="5">
        <f>J694+K694+L694+M694</f>
        <v/>
      </c>
      <c r="O694" s="5">
        <f>IF(ISNUMBER(N694),N694,"")</f>
        <v/>
      </c>
      <c r="P694" s="5">
        <f>_xlfn.RANK.EQ(O694,$O$2:$O$1031)</f>
        <v/>
      </c>
      <c r="Q694" s="9" t="n">
        <v>201.25</v>
      </c>
      <c r="R694" s="9" t="n">
        <v>44</v>
      </c>
      <c r="S694" s="9" t="n">
        <v>19</v>
      </c>
      <c r="T694" s="9" t="n">
        <v>24</v>
      </c>
      <c r="U694" s="9">
        <f>Q694+R694+S694+T694</f>
        <v/>
      </c>
      <c r="V694" s="9">
        <f>IF(ISNUMBER(U694),U694,"")</f>
        <v/>
      </c>
      <c r="W694" s="9">
        <f>_xlfn.RANK.EQ(V694,$V$2:$V$1031)</f>
        <v/>
      </c>
      <c r="X694" s="13" t="inlineStr">
        <is>
          <t>راسب</t>
        </is>
      </c>
      <c r="Y694" s="13" t="n">
        <v>13.5</v>
      </c>
      <c r="Z694" s="13" t="n">
        <v>10</v>
      </c>
      <c r="AA694" s="13" t="n">
        <v>23</v>
      </c>
      <c r="AB694" s="13">
        <f>IF(ISNUMBER(X694),X694+N(Y694)+N(Z694)+N(AA694),X694)</f>
        <v/>
      </c>
      <c r="AC694" s="13">
        <f>IF(ISNUMBER(AB694),AB694,"")</f>
        <v/>
      </c>
      <c r="AD694" s="13">
        <f>IF(ISNUMBER(AC694),_xlfn.RANK.EQ(AC694,$AC$2:$AC$1031),"")</f>
        <v/>
      </c>
      <c r="AE694" s="15">
        <f>IF(ISNUMBER(AF694),AF694/3630,"")</f>
        <v/>
      </c>
      <c r="AF694" s="14">
        <f>IFERROR(C694+D694+E694+F694+J694+K694+L694+M694+Q694+R694+S694+T694+IF(ISNUMBER(X694),X694,0)+N(Y694)+N(Z694)+N(AA694),"")</f>
        <v/>
      </c>
      <c r="AG694" s="14">
        <f>IF(ISNUMBER(AF694),AF694,"")</f>
        <v/>
      </c>
      <c r="AH694" s="14">
        <f>IF(ISNUMBER(AG694),_xlfn.RANK.EQ(AG694,$AG$2:$AG$1031),"")</f>
        <v/>
      </c>
    </row>
    <row r="695">
      <c r="A695" s="18" t="n">
        <v>1692</v>
      </c>
      <c r="B695" s="18" t="inlineStr">
        <is>
          <t>محمد اشرف إبراهيم عبد المنعم</t>
        </is>
      </c>
      <c r="C695" s="1" t="n">
        <v>442.7</v>
      </c>
      <c r="D695" s="1" t="n">
        <v>21</v>
      </c>
      <c r="E695" s="1" t="n">
        <v>16</v>
      </c>
      <c r="F695" s="1" t="n">
        <v>18</v>
      </c>
      <c r="G695" s="1">
        <f>C695+D695+E695+F695</f>
        <v/>
      </c>
      <c r="H695" s="1">
        <f>IF(ISNUMBER(G695),G695,"")</f>
        <v/>
      </c>
      <c r="I695" s="1">
        <f>_xlfn.RANK.EQ(H695,$H$2:$H$1031)</f>
        <v/>
      </c>
      <c r="J695" s="5" t="n">
        <v>493</v>
      </c>
      <c r="K695" s="5" t="n">
        <v>39</v>
      </c>
      <c r="L695" s="5" t="n">
        <v>21</v>
      </c>
      <c r="M695" s="5" t="n">
        <v>14</v>
      </c>
      <c r="N695" s="5">
        <f>J695+K695+L695+M695</f>
        <v/>
      </c>
      <c r="O695" s="5">
        <f>IF(ISNUMBER(N695),N695,"")</f>
        <v/>
      </c>
      <c r="P695" s="5">
        <f>_xlfn.RANK.EQ(O695,$O$2:$O$1031)</f>
        <v/>
      </c>
      <c r="Q695" s="9" t="n">
        <v>199</v>
      </c>
      <c r="R695" s="9" t="n">
        <v>39.5</v>
      </c>
      <c r="S695" s="9" t="n">
        <v>21</v>
      </c>
      <c r="T695" s="9" t="n">
        <v>24</v>
      </c>
      <c r="U695" s="9">
        <f>Q695+R695+S695+T695</f>
        <v/>
      </c>
      <c r="V695" s="9">
        <f>IF(ISNUMBER(U695),U695,"")</f>
        <v/>
      </c>
      <c r="W695" s="9">
        <f>_xlfn.RANK.EQ(V695,$V$2:$V$1031)</f>
        <v/>
      </c>
      <c r="X695" s="13" t="inlineStr">
        <is>
          <t>راسب</t>
        </is>
      </c>
      <c r="Y695" s="13" t="n">
        <v>21</v>
      </c>
      <c r="Z695" s="13" t="n">
        <v>24</v>
      </c>
      <c r="AA695" s="13" t="n">
        <v>23</v>
      </c>
      <c r="AB695" s="13">
        <f>IF(ISNUMBER(X695),X695+N(Y695)+N(Z695)+N(AA695),X695)</f>
        <v/>
      </c>
      <c r="AC695" s="13">
        <f>IF(ISNUMBER(AB695),AB695,"")</f>
        <v/>
      </c>
      <c r="AD695" s="13">
        <f>IF(ISNUMBER(AC695),_xlfn.RANK.EQ(AC695,$AC$2:$AC$1031),"")</f>
        <v/>
      </c>
      <c r="AE695" s="15">
        <f>IF(ISNUMBER(AF695),AF695/3630,"")</f>
        <v/>
      </c>
      <c r="AF695" s="14">
        <f>IFERROR(C695+D695+E695+F695+J695+K695+L695+M695+Q695+R695+S695+T695+IF(ISNUMBER(X695),X695,0)+N(Y695)+N(Z695)+N(AA695),"")</f>
        <v/>
      </c>
      <c r="AG695" s="14">
        <f>IF(ISNUMBER(AF695),AF695,"")</f>
        <v/>
      </c>
      <c r="AH695" s="14">
        <f>IF(ISNUMBER(AG695),_xlfn.RANK.EQ(AG695,$AG$2:$AG$1031),"")</f>
        <v/>
      </c>
    </row>
    <row r="696">
      <c r="A696" s="18" t="n">
        <v>1695</v>
      </c>
      <c r="B696" s="18" t="inlineStr">
        <is>
          <t>محمد صبرى عبدالمقصود ابراهيم حمودة</t>
        </is>
      </c>
      <c r="C696" s="1" t="n">
        <v>604.2</v>
      </c>
      <c r="D696" s="1" t="n">
        <v>25</v>
      </c>
      <c r="E696" s="1" t="n">
        <v>21</v>
      </c>
      <c r="F696" s="1" t="n">
        <v>21</v>
      </c>
      <c r="G696" s="1">
        <f>C696+D696+E696+F696</f>
        <v/>
      </c>
      <c r="H696" s="1">
        <f>IF(ISNUMBER(G696),G696,"")</f>
        <v/>
      </c>
      <c r="I696" s="1">
        <f>_xlfn.RANK.EQ(H696,$H$2:$H$1031)</f>
        <v/>
      </c>
      <c r="J696" s="5" t="n">
        <v>616.75</v>
      </c>
      <c r="K696" s="5" t="n">
        <v>44</v>
      </c>
      <c r="L696" s="5" t="n">
        <v>21</v>
      </c>
      <c r="M696" s="5" t="n">
        <v>21</v>
      </c>
      <c r="N696" s="5">
        <f>J696+K696+L696+M696</f>
        <v/>
      </c>
      <c r="O696" s="5">
        <f>IF(ISNUMBER(N696),N696,"")</f>
        <v/>
      </c>
      <c r="P696" s="5">
        <f>_xlfn.RANK.EQ(O696,$O$2:$O$1031)</f>
        <v/>
      </c>
      <c r="Q696" s="9" t="n">
        <v>275</v>
      </c>
      <c r="R696" s="9" t="n">
        <v>47</v>
      </c>
      <c r="S696" s="9" t="n">
        <v>24</v>
      </c>
      <c r="T696" s="9" t="n">
        <v>24</v>
      </c>
      <c r="U696" s="9">
        <f>Q696+R696+S696+T696</f>
        <v/>
      </c>
      <c r="V696" s="9">
        <f>IF(ISNUMBER(U696),U696,"")</f>
        <v/>
      </c>
      <c r="W696" s="9">
        <f>_xlfn.RANK.EQ(V696,$V$2:$V$1031)</f>
        <v/>
      </c>
      <c r="X696" s="13" t="n">
        <v>1518.2541666667</v>
      </c>
      <c r="Y696" s="13" t="n">
        <v>24.5</v>
      </c>
      <c r="Z696" s="13" t="n">
        <v>24</v>
      </c>
      <c r="AA696" s="13" t="n">
        <v>25</v>
      </c>
      <c r="AB696" s="13">
        <f>IF(ISNUMBER(X696),X696+N(Y696)+N(Z696)+N(AA696),X696)</f>
        <v/>
      </c>
      <c r="AC696" s="13">
        <f>IF(ISNUMBER(AB696),AB696,"")</f>
        <v/>
      </c>
      <c r="AD696" s="13">
        <f>IF(ISNUMBER(AC696),_xlfn.RANK.EQ(AC696,$AC$2:$AC$1031),"")</f>
        <v/>
      </c>
      <c r="AE696" s="15">
        <f>IF(ISNUMBER(AF696),AF696/3630,"")</f>
        <v/>
      </c>
      <c r="AF696" s="14">
        <f>IFERROR(C696+D696+E696+F696+J696+K696+L696+M696+Q696+R696+S696+T696+IF(ISNUMBER(X696),X696,0)+N(Y696)+N(Z696)+N(AA696),"")</f>
        <v/>
      </c>
      <c r="AG696" s="14">
        <f>IF(ISNUMBER(AF696),AF696,"")</f>
        <v/>
      </c>
      <c r="AH696" s="14">
        <f>IF(ISNUMBER(AG696),_xlfn.RANK.EQ(AG696,$AG$2:$AG$1031),"")</f>
        <v/>
      </c>
    </row>
    <row r="697">
      <c r="A697" s="18" t="n">
        <v>1699</v>
      </c>
      <c r="B697" s="18" t="inlineStr">
        <is>
          <t>محمد صلاح الدين سعد عبد العزيز</t>
        </is>
      </c>
      <c r="C697" s="1" t="n">
        <v>418.25</v>
      </c>
      <c r="D697" s="1" t="n">
        <v>17</v>
      </c>
      <c r="E697" s="1" t="n">
        <v>17</v>
      </c>
      <c r="F697" s="1" t="n">
        <v>15</v>
      </c>
      <c r="G697" s="1">
        <f>C697+D697+E697+F697</f>
        <v/>
      </c>
      <c r="H697" s="1">
        <f>IF(ISNUMBER(G697),G697,"")</f>
        <v/>
      </c>
      <c r="I697" s="1">
        <f>_xlfn.RANK.EQ(H697,$H$2:$H$1031)</f>
        <v/>
      </c>
      <c r="J697" s="5" t="n">
        <v>428</v>
      </c>
      <c r="K697" s="5" t="n">
        <v>38</v>
      </c>
      <c r="L697" s="5" t="n">
        <v>21</v>
      </c>
      <c r="M697" s="5" t="n">
        <v>14</v>
      </c>
      <c r="N697" s="5">
        <f>J697+K697+L697+M697</f>
        <v/>
      </c>
      <c r="O697" s="5">
        <f>IF(ISNUMBER(N697),N697,"")</f>
        <v/>
      </c>
      <c r="P697" s="5">
        <f>_xlfn.RANK.EQ(O697,$O$2:$O$1031)</f>
        <v/>
      </c>
      <c r="Q697" s="9" t="n">
        <v>199.5</v>
      </c>
      <c r="R697" s="9" t="n">
        <v>43</v>
      </c>
      <c r="S697" s="9" t="n">
        <v>20</v>
      </c>
      <c r="T697" s="9" t="n">
        <v>21</v>
      </c>
      <c r="U697" s="9">
        <f>Q697+R697+S697+T697</f>
        <v/>
      </c>
      <c r="V697" s="9">
        <f>IF(ISNUMBER(U697),U697,"")</f>
        <v/>
      </c>
      <c r="W697" s="9">
        <f>_xlfn.RANK.EQ(V697,$V$2:$V$1031)</f>
        <v/>
      </c>
      <c r="X697" s="13" t="inlineStr">
        <is>
          <t>راسب</t>
        </is>
      </c>
      <c r="Y697" s="13" t="n">
        <v>22</v>
      </c>
      <c r="Z697" s="13" t="n">
        <v>18</v>
      </c>
      <c r="AA697" s="13" t="n">
        <v>22</v>
      </c>
      <c r="AB697" s="13">
        <f>IF(ISNUMBER(X697),X697+N(Y697)+N(Z697)+N(AA697),X697)</f>
        <v/>
      </c>
      <c r="AC697" s="13">
        <f>IF(ISNUMBER(AB697),AB697,"")</f>
        <v/>
      </c>
      <c r="AD697" s="13">
        <f>IF(ISNUMBER(AC697),_xlfn.RANK.EQ(AC697,$AC$2:$AC$1031),"")</f>
        <v/>
      </c>
      <c r="AE697" s="15">
        <f>IF(ISNUMBER(AF697),AF697/3630,"")</f>
        <v/>
      </c>
      <c r="AF697" s="14">
        <f>IFERROR(C697+D697+E697+F697+J697+K697+L697+M697+Q697+R697+S697+T697+IF(ISNUMBER(X697),X697,0)+N(Y697)+N(Z697)+N(AA697),"")</f>
        <v/>
      </c>
      <c r="AG697" s="14">
        <f>IF(ISNUMBER(AF697),AF697,"")</f>
        <v/>
      </c>
      <c r="AH697" s="14">
        <f>IF(ISNUMBER(AG697),_xlfn.RANK.EQ(AG697,$AG$2:$AG$1031),"")</f>
        <v/>
      </c>
    </row>
    <row r="698">
      <c r="A698" s="18" t="n">
        <v>1702</v>
      </c>
      <c r="B698" s="18" t="inlineStr">
        <is>
          <t>محمد طارق ذكى عبدربه</t>
        </is>
      </c>
      <c r="C698" s="1" t="n">
        <v>410</v>
      </c>
      <c r="D698" s="1" t="n">
        <v>16</v>
      </c>
      <c r="E698" s="1" t="n">
        <v>19</v>
      </c>
      <c r="F698" s="1" t="n">
        <v>18</v>
      </c>
      <c r="G698" s="1">
        <f>C698+D698+E698+F698</f>
        <v/>
      </c>
      <c r="H698" s="1">
        <f>IF(ISNUMBER(G698),G698,"")</f>
        <v/>
      </c>
      <c r="I698" s="1">
        <f>_xlfn.RANK.EQ(H698,$H$2:$H$1031)</f>
        <v/>
      </c>
      <c r="J698" s="5" t="n">
        <v>427.5</v>
      </c>
      <c r="K698" s="5" t="n">
        <v>39</v>
      </c>
      <c r="L698" s="5" t="n">
        <v>20</v>
      </c>
      <c r="M698" s="5" t="n">
        <v>19</v>
      </c>
      <c r="N698" s="5">
        <f>J698+K698+L698+M698</f>
        <v/>
      </c>
      <c r="O698" s="5">
        <f>IF(ISNUMBER(N698),N698,"")</f>
        <v/>
      </c>
      <c r="P698" s="5">
        <f>_xlfn.RANK.EQ(O698,$O$2:$O$1031)</f>
        <v/>
      </c>
      <c r="Q698" s="9" t="n">
        <v>136.25</v>
      </c>
      <c r="R698" s="9" t="n">
        <v>44</v>
      </c>
      <c r="S698" s="9" t="n">
        <v>22</v>
      </c>
      <c r="T698" s="9" t="n">
        <v>24</v>
      </c>
      <c r="U698" s="9">
        <f>Q698+R698+S698+T698</f>
        <v/>
      </c>
      <c r="V698" s="9">
        <f>IF(ISNUMBER(U698),U698,"")</f>
        <v/>
      </c>
      <c r="W698" s="9">
        <f>_xlfn.RANK.EQ(V698,$V$2:$V$1031)</f>
        <v/>
      </c>
      <c r="X698" s="13" t="inlineStr">
        <is>
          <t>راسب</t>
        </is>
      </c>
      <c r="Y698" s="13" t="n">
        <v>19</v>
      </c>
      <c r="Z698" s="13" t="n">
        <v>21</v>
      </c>
      <c r="AA698" s="13" t="n">
        <v>8</v>
      </c>
      <c r="AB698" s="13">
        <f>IF(ISNUMBER(X698),X698+N(Y698)+N(Z698)+N(AA698),X698)</f>
        <v/>
      </c>
      <c r="AC698" s="13">
        <f>IF(ISNUMBER(AB698),AB698,"")</f>
        <v/>
      </c>
      <c r="AD698" s="13">
        <f>IF(ISNUMBER(AC698),_xlfn.RANK.EQ(AC698,$AC$2:$AC$1031),"")</f>
        <v/>
      </c>
      <c r="AE698" s="15">
        <f>IF(ISNUMBER(AF698),AF698/3630,"")</f>
        <v/>
      </c>
      <c r="AF698" s="14">
        <f>IFERROR(C698+D698+E698+F698+J698+K698+L698+M698+Q698+R698+S698+T698+IF(ISNUMBER(X698),X698,0)+N(Y698)+N(Z698)+N(AA698),"")</f>
        <v/>
      </c>
      <c r="AG698" s="14">
        <f>IF(ISNUMBER(AF698),AF698,"")</f>
        <v/>
      </c>
      <c r="AH698" s="14">
        <f>IF(ISNUMBER(AG698),_xlfn.RANK.EQ(AG698,$AG$2:$AG$1031),"")</f>
        <v/>
      </c>
    </row>
    <row r="699">
      <c r="A699" s="18" t="n">
        <v>1703</v>
      </c>
      <c r="B699" s="18" t="inlineStr">
        <is>
          <t>محمد طارق محمد حمدى الطايفى</t>
        </is>
      </c>
      <c r="C699" s="1" t="n">
        <v>652.4</v>
      </c>
      <c r="D699" s="1" t="n">
        <v>25</v>
      </c>
      <c r="E699" s="1" t="n">
        <v>25</v>
      </c>
      <c r="F699" s="1" t="n">
        <v>24</v>
      </c>
      <c r="G699" s="1">
        <f>C699+D699+E699+F699</f>
        <v/>
      </c>
      <c r="H699" s="1">
        <f>IF(ISNUMBER(G699),G699,"")</f>
        <v/>
      </c>
      <c r="I699" s="1">
        <f>_xlfn.RANK.EQ(H699,$H$2:$H$1031)</f>
        <v/>
      </c>
      <c r="J699" s="5" t="n">
        <v>642.5</v>
      </c>
      <c r="K699" s="5" t="n">
        <v>48</v>
      </c>
      <c r="L699" s="5" t="n">
        <v>23</v>
      </c>
      <c r="M699" s="5" t="n">
        <v>25</v>
      </c>
      <c r="N699" s="5">
        <f>J699+K699+L699+M699</f>
        <v/>
      </c>
      <c r="O699" s="5">
        <f>IF(ISNUMBER(N699),N699,"")</f>
        <v/>
      </c>
      <c r="P699" s="5">
        <f>_xlfn.RANK.EQ(O699,$O$2:$O$1031)</f>
        <v/>
      </c>
      <c r="Q699" s="9" t="n">
        <v>281</v>
      </c>
      <c r="R699" s="9" t="n">
        <v>48</v>
      </c>
      <c r="S699" s="9" t="n">
        <v>24</v>
      </c>
      <c r="T699" s="9" t="n">
        <v>23</v>
      </c>
      <c r="U699" s="9">
        <f>Q699+R699+S699+T699</f>
        <v/>
      </c>
      <c r="V699" s="9">
        <f>IF(ISNUMBER(U699),U699,"")</f>
        <v/>
      </c>
      <c r="W699" s="9">
        <f>_xlfn.RANK.EQ(V699,$V$2:$V$1031)</f>
        <v/>
      </c>
      <c r="X699" s="13" t="n">
        <v>1591.4125</v>
      </c>
      <c r="Y699" s="13" t="n">
        <v>25</v>
      </c>
      <c r="Z699" s="13" t="n">
        <v>25</v>
      </c>
      <c r="AA699" s="13" t="n">
        <v>25</v>
      </c>
      <c r="AB699" s="13">
        <f>IF(ISNUMBER(X699),X699+N(Y699)+N(Z699)+N(AA699),X699)</f>
        <v/>
      </c>
      <c r="AC699" s="13">
        <f>IF(ISNUMBER(AB699),AB699,"")</f>
        <v/>
      </c>
      <c r="AD699" s="13">
        <f>IF(ISNUMBER(AC699),_xlfn.RANK.EQ(AC699,$AC$2:$AC$1031),"")</f>
        <v/>
      </c>
      <c r="AE699" s="15">
        <f>IF(ISNUMBER(AF699),AF699/3630,"")</f>
        <v/>
      </c>
      <c r="AF699" s="14">
        <f>IFERROR(C699+D699+E699+F699+J699+K699+L699+M699+Q699+R699+S699+T699+IF(ISNUMBER(X699),X699,0)+N(Y699)+N(Z699)+N(AA699),"")</f>
        <v/>
      </c>
      <c r="AG699" s="14">
        <f>IF(ISNUMBER(AF699),AF699,"")</f>
        <v/>
      </c>
      <c r="AH699" s="14">
        <f>IF(ISNUMBER(AG699),_xlfn.RANK.EQ(AG699,$AG$2:$AG$1031),"")</f>
        <v/>
      </c>
    </row>
    <row r="700">
      <c r="A700" s="18" t="n">
        <v>1705</v>
      </c>
      <c r="B700" s="18" t="inlineStr">
        <is>
          <t>محمد عادل عبد الحميد الحصاوي</t>
        </is>
      </c>
      <c r="C700" s="1" t="n">
        <v>551.8</v>
      </c>
      <c r="D700" s="1" t="n">
        <v>22</v>
      </c>
      <c r="E700" s="1" t="n">
        <v>25</v>
      </c>
      <c r="F700" s="1" t="n">
        <v>23</v>
      </c>
      <c r="G700" s="1">
        <f>C700+D700+E700+F700</f>
        <v/>
      </c>
      <c r="H700" s="1">
        <f>IF(ISNUMBER(G700),G700,"")</f>
        <v/>
      </c>
      <c r="I700" s="1">
        <f>_xlfn.RANK.EQ(H700,$H$2:$H$1031)</f>
        <v/>
      </c>
      <c r="J700" s="5" t="n">
        <v>566.5</v>
      </c>
      <c r="K700" s="5" t="n">
        <v>47</v>
      </c>
      <c r="L700" s="5" t="n">
        <v>20</v>
      </c>
      <c r="M700" s="5" t="n">
        <v>21</v>
      </c>
      <c r="N700" s="5">
        <f>J700+K700+L700+M700</f>
        <v/>
      </c>
      <c r="O700" s="5">
        <f>IF(ISNUMBER(N700),N700,"")</f>
        <v/>
      </c>
      <c r="P700" s="5">
        <f>_xlfn.RANK.EQ(O700,$O$2:$O$1031)</f>
        <v/>
      </c>
      <c r="Q700" s="9" t="n">
        <v>219.75</v>
      </c>
      <c r="R700" s="9" t="n">
        <v>43.5</v>
      </c>
      <c r="S700" s="9" t="n">
        <v>24</v>
      </c>
      <c r="T700" s="9" t="n">
        <v>25</v>
      </c>
      <c r="U700" s="9">
        <f>Q700+R700+S700+T700</f>
        <v/>
      </c>
      <c r="V700" s="9">
        <f>IF(ISNUMBER(U700),U700,"")</f>
        <v/>
      </c>
      <c r="W700" s="9">
        <f>_xlfn.RANK.EQ(V700,$V$2:$V$1031)</f>
        <v/>
      </c>
      <c r="X700" s="13" t="n">
        <v>1434.7375</v>
      </c>
      <c r="Y700" s="13" t="n">
        <v>25</v>
      </c>
      <c r="Z700" s="13" t="n">
        <v>25</v>
      </c>
      <c r="AA700" s="13" t="n">
        <v>24</v>
      </c>
      <c r="AB700" s="13">
        <f>IF(ISNUMBER(X700),X700+N(Y700)+N(Z700)+N(AA700),X700)</f>
        <v/>
      </c>
      <c r="AC700" s="13">
        <f>IF(ISNUMBER(AB700),AB700,"")</f>
        <v/>
      </c>
      <c r="AD700" s="13">
        <f>IF(ISNUMBER(AC700),_xlfn.RANK.EQ(AC700,$AC$2:$AC$1031),"")</f>
        <v/>
      </c>
      <c r="AE700" s="15">
        <f>IF(ISNUMBER(AF700),AF700/3630,"")</f>
        <v/>
      </c>
      <c r="AF700" s="14">
        <f>IFERROR(C700+D700+E700+F700+J700+K700+L700+M700+Q700+R700+S700+T700+IF(ISNUMBER(X700),X700,0)+N(Y700)+N(Z700)+N(AA700),"")</f>
        <v/>
      </c>
      <c r="AG700" s="14">
        <f>IF(ISNUMBER(AF700),AF700,"")</f>
        <v/>
      </c>
      <c r="AH700" s="14">
        <f>IF(ISNUMBER(AG700),_xlfn.RANK.EQ(AG700,$AG$2:$AG$1031),"")</f>
        <v/>
      </c>
    </row>
    <row r="701">
      <c r="A701" s="18" t="n">
        <v>1706</v>
      </c>
      <c r="B701" s="18" t="inlineStr">
        <is>
          <t>محمد عادل محمد محمد خليفة</t>
        </is>
      </c>
      <c r="C701" s="1" t="n">
        <v>427.85</v>
      </c>
      <c r="D701" s="1" t="n">
        <v>21</v>
      </c>
      <c r="E701" s="1" t="n">
        <v>19</v>
      </c>
      <c r="F701" s="1" t="n">
        <v>21</v>
      </c>
      <c r="G701" s="1">
        <f>C701+D701+E701+F701</f>
        <v/>
      </c>
      <c r="H701" s="1">
        <f>IF(ISNUMBER(G701),G701,"")</f>
        <v/>
      </c>
      <c r="I701" s="1">
        <f>_xlfn.RANK.EQ(H701,$H$2:$H$1031)</f>
        <v/>
      </c>
      <c r="J701" s="5" t="n">
        <v>439</v>
      </c>
      <c r="K701" s="5" t="n">
        <v>40</v>
      </c>
      <c r="L701" s="5" t="n">
        <v>21</v>
      </c>
      <c r="M701" s="5" t="n">
        <v>17</v>
      </c>
      <c r="N701" s="5">
        <f>J701+K701+L701+M701</f>
        <v/>
      </c>
      <c r="O701" s="5">
        <f>IF(ISNUMBER(N701),N701,"")</f>
        <v/>
      </c>
      <c r="P701" s="5">
        <f>_xlfn.RANK.EQ(O701,$O$2:$O$1031)</f>
        <v/>
      </c>
      <c r="Q701" s="9" t="n">
        <v>168.25</v>
      </c>
      <c r="R701" s="9" t="n">
        <v>36.5</v>
      </c>
      <c r="S701" s="9" t="n">
        <v>19</v>
      </c>
      <c r="T701" s="9" t="n">
        <v>23.5</v>
      </c>
      <c r="U701" s="9">
        <f>Q701+R701+S701+T701</f>
        <v/>
      </c>
      <c r="V701" s="9">
        <f>IF(ISNUMBER(U701),U701,"")</f>
        <v/>
      </c>
      <c r="W701" s="9">
        <f>_xlfn.RANK.EQ(V701,$V$2:$V$1031)</f>
        <v/>
      </c>
      <c r="X701" s="13" t="n">
        <v>1225.2458333333</v>
      </c>
      <c r="Y701" s="13" t="n">
        <v>25</v>
      </c>
      <c r="Z701" s="13" t="n">
        <v>25</v>
      </c>
      <c r="AA701" s="13" t="n">
        <v>19</v>
      </c>
      <c r="AB701" s="13">
        <f>IF(ISNUMBER(X701),X701+N(Y701)+N(Z701)+N(AA701),X701)</f>
        <v/>
      </c>
      <c r="AC701" s="13">
        <f>IF(ISNUMBER(AB701),AB701,"")</f>
        <v/>
      </c>
      <c r="AD701" s="13">
        <f>IF(ISNUMBER(AC701),_xlfn.RANK.EQ(AC701,$AC$2:$AC$1031),"")</f>
        <v/>
      </c>
      <c r="AE701" s="15">
        <f>IF(ISNUMBER(AF701),AF701/3630,"")</f>
        <v/>
      </c>
      <c r="AF701" s="14">
        <f>IFERROR(C701+D701+E701+F701+J701+K701+L701+M701+Q701+R701+S701+T701+IF(ISNUMBER(X701),X701,0)+N(Y701)+N(Z701)+N(AA701),"")</f>
        <v/>
      </c>
      <c r="AG701" s="14">
        <f>IF(ISNUMBER(AF701),AF701,"")</f>
        <v/>
      </c>
      <c r="AH701" s="14">
        <f>IF(ISNUMBER(AG701),_xlfn.RANK.EQ(AG701,$AG$2:$AG$1031),"")</f>
        <v/>
      </c>
    </row>
    <row r="702">
      <c r="A702" s="18" t="n">
        <v>1708</v>
      </c>
      <c r="B702" s="18" t="inlineStr">
        <is>
          <t>محمد عاطف مليجي عبد الله مليجي الكرماني</t>
        </is>
      </c>
      <c r="C702" s="1" t="n">
        <v>591</v>
      </c>
      <c r="D702" s="1" t="n">
        <v>24</v>
      </c>
      <c r="E702" s="1" t="n">
        <v>24</v>
      </c>
      <c r="F702" s="1" t="n">
        <v>23</v>
      </c>
      <c r="G702" s="1">
        <f>C702+D702+E702+F702</f>
        <v/>
      </c>
      <c r="H702" s="1">
        <f>IF(ISNUMBER(G702),G702,"")</f>
        <v/>
      </c>
      <c r="I702" s="1">
        <f>_xlfn.RANK.EQ(H702,$H$2:$H$1031)</f>
        <v/>
      </c>
      <c r="J702" s="5" t="n">
        <v>626.5</v>
      </c>
      <c r="K702" s="5" t="n">
        <v>46</v>
      </c>
      <c r="L702" s="5" t="n">
        <v>21</v>
      </c>
      <c r="M702" s="5" t="n">
        <v>23</v>
      </c>
      <c r="N702" s="5">
        <f>J702+K702+L702+M702</f>
        <v/>
      </c>
      <c r="O702" s="5">
        <f>IF(ISNUMBER(N702),N702,"")</f>
        <v/>
      </c>
      <c r="P702" s="5">
        <f>_xlfn.RANK.EQ(O702,$O$2:$O$1031)</f>
        <v/>
      </c>
      <c r="Q702" s="9" t="n">
        <v>274.75</v>
      </c>
      <c r="R702" s="9" t="n">
        <v>48.5</v>
      </c>
      <c r="S702" s="9" t="n">
        <v>22</v>
      </c>
      <c r="T702" s="9" t="n">
        <v>23</v>
      </c>
      <c r="U702" s="9">
        <f>Q702+R702+S702+T702</f>
        <v/>
      </c>
      <c r="V702" s="9">
        <f>IF(ISNUMBER(U702),U702,"")</f>
        <v/>
      </c>
      <c r="W702" s="9">
        <f>_xlfn.RANK.EQ(V702,$V$2:$V$1031)</f>
        <v/>
      </c>
      <c r="X702" s="13" t="n">
        <v>1452.375</v>
      </c>
      <c r="Y702" s="13" t="n">
        <v>18</v>
      </c>
      <c r="Z702" s="13" t="n">
        <v>24</v>
      </c>
      <c r="AA702" s="13" t="n">
        <v>23</v>
      </c>
      <c r="AB702" s="13">
        <f>IF(ISNUMBER(X702),X702+N(Y702)+N(Z702)+N(AA702),X702)</f>
        <v/>
      </c>
      <c r="AC702" s="13">
        <f>IF(ISNUMBER(AB702),AB702,"")</f>
        <v/>
      </c>
      <c r="AD702" s="13">
        <f>IF(ISNUMBER(AC702),_xlfn.RANK.EQ(AC702,$AC$2:$AC$1031),"")</f>
        <v/>
      </c>
      <c r="AE702" s="15">
        <f>IF(ISNUMBER(AF702),AF702/3630,"")</f>
        <v/>
      </c>
      <c r="AF702" s="14">
        <f>IFERROR(C702+D702+E702+F702+J702+K702+L702+M702+Q702+R702+S702+T702+IF(ISNUMBER(X702),X702,0)+N(Y702)+N(Z702)+N(AA702),"")</f>
        <v/>
      </c>
      <c r="AG702" s="14">
        <f>IF(ISNUMBER(AF702),AF702,"")</f>
        <v/>
      </c>
      <c r="AH702" s="14">
        <f>IF(ISNUMBER(AG702),_xlfn.RANK.EQ(AG702,$AG$2:$AG$1031),"")</f>
        <v/>
      </c>
    </row>
    <row r="703">
      <c r="A703" s="18" t="n">
        <v>1710</v>
      </c>
      <c r="B703" s="18" t="inlineStr">
        <is>
          <t>محمد عبد الجيد على احمد الوراقى</t>
        </is>
      </c>
      <c r="C703" s="1" t="n">
        <v>574</v>
      </c>
      <c r="D703" s="1" t="n">
        <v>24</v>
      </c>
      <c r="E703" s="1" t="n">
        <v>20</v>
      </c>
      <c r="F703" s="1" t="n">
        <v>23</v>
      </c>
      <c r="G703" s="1">
        <f>C703+D703+E703+F703</f>
        <v/>
      </c>
      <c r="H703" s="1">
        <f>IF(ISNUMBER(G703),G703,"")</f>
        <v/>
      </c>
      <c r="I703" s="1">
        <f>_xlfn.RANK.EQ(H703,$H$2:$H$1031)</f>
        <v/>
      </c>
      <c r="J703" s="5" t="n">
        <v>584</v>
      </c>
      <c r="K703" s="5" t="n">
        <v>46</v>
      </c>
      <c r="L703" s="5" t="n">
        <v>18</v>
      </c>
      <c r="M703" s="5" t="n">
        <v>17</v>
      </c>
      <c r="N703" s="5">
        <f>J703+K703+L703+M703</f>
        <v/>
      </c>
      <c r="O703" s="5">
        <f>IF(ISNUMBER(N703),N703,"")</f>
        <v/>
      </c>
      <c r="P703" s="5">
        <f>_xlfn.RANK.EQ(O703,$O$2:$O$1031)</f>
        <v/>
      </c>
      <c r="Q703" s="9" t="n">
        <v>250.5</v>
      </c>
      <c r="R703" s="9" t="n">
        <v>42.5</v>
      </c>
      <c r="S703" s="9" t="n">
        <v>23</v>
      </c>
      <c r="T703" s="9" t="n">
        <v>22</v>
      </c>
      <c r="U703" s="9">
        <f>Q703+R703+S703+T703</f>
        <v/>
      </c>
      <c r="V703" s="9">
        <f>IF(ISNUMBER(U703),U703,"")</f>
        <v/>
      </c>
      <c r="W703" s="9">
        <f>_xlfn.RANK.EQ(V703,$V$2:$V$1031)</f>
        <v/>
      </c>
      <c r="X703" s="13" t="n">
        <v>1348.2833333333</v>
      </c>
      <c r="Y703" s="13" t="n">
        <v>25</v>
      </c>
      <c r="Z703" s="13" t="n">
        <v>25</v>
      </c>
      <c r="AA703" s="13" t="n">
        <v>24</v>
      </c>
      <c r="AB703" s="13">
        <f>IF(ISNUMBER(X703),X703+N(Y703)+N(Z703)+N(AA703),X703)</f>
        <v/>
      </c>
      <c r="AC703" s="13">
        <f>IF(ISNUMBER(AB703),AB703,"")</f>
        <v/>
      </c>
      <c r="AD703" s="13">
        <f>IF(ISNUMBER(AC703),_xlfn.RANK.EQ(AC703,$AC$2:$AC$1031),"")</f>
        <v/>
      </c>
      <c r="AE703" s="15">
        <f>IF(ISNUMBER(AF703),AF703/3630,"")</f>
        <v/>
      </c>
      <c r="AF703" s="14">
        <f>IFERROR(C703+D703+E703+F703+J703+K703+L703+M703+Q703+R703+S703+T703+IF(ISNUMBER(X703),X703,0)+N(Y703)+N(Z703)+N(AA703),"")</f>
        <v/>
      </c>
      <c r="AG703" s="14">
        <f>IF(ISNUMBER(AF703),AF703,"")</f>
        <v/>
      </c>
      <c r="AH703" s="14">
        <f>IF(ISNUMBER(AG703),_xlfn.RANK.EQ(AG703,$AG$2:$AG$1031),"")</f>
        <v/>
      </c>
    </row>
    <row r="704">
      <c r="A704" s="18" t="n">
        <v>1714</v>
      </c>
      <c r="B704" s="18" t="inlineStr">
        <is>
          <t>محمد عبد السلام محمد شعبان بيومى</t>
        </is>
      </c>
      <c r="C704" s="1" t="n">
        <v>610.7</v>
      </c>
      <c r="D704" s="1" t="n">
        <v>25</v>
      </c>
      <c r="E704" s="1" t="n">
        <v>24</v>
      </c>
      <c r="F704" s="1" t="n">
        <v>23</v>
      </c>
      <c r="G704" s="1">
        <f>C704+D704+E704+F704</f>
        <v/>
      </c>
      <c r="H704" s="1">
        <f>IF(ISNUMBER(G704),G704,"")</f>
        <v/>
      </c>
      <c r="I704" s="1">
        <f>_xlfn.RANK.EQ(H704,$H$2:$H$1031)</f>
        <v/>
      </c>
      <c r="J704" s="5" t="n">
        <v>587.5</v>
      </c>
      <c r="K704" s="5" t="n">
        <v>46</v>
      </c>
      <c r="L704" s="5" t="n">
        <v>21</v>
      </c>
      <c r="M704" s="5" t="n">
        <v>23</v>
      </c>
      <c r="N704" s="5">
        <f>J704+K704+L704+M704</f>
        <v/>
      </c>
      <c r="O704" s="5">
        <f>IF(ISNUMBER(N704),N704,"")</f>
        <v/>
      </c>
      <c r="P704" s="5">
        <f>_xlfn.RANK.EQ(O704,$O$2:$O$1031)</f>
        <v/>
      </c>
      <c r="Q704" s="9" t="n">
        <v>253.75</v>
      </c>
      <c r="R704" s="9" t="n">
        <v>44.5</v>
      </c>
      <c r="S704" s="9" t="n">
        <v>23</v>
      </c>
      <c r="T704" s="9" t="n">
        <v>24.5</v>
      </c>
      <c r="U704" s="9">
        <f>Q704+R704+S704+T704</f>
        <v/>
      </c>
      <c r="V704" s="9">
        <f>IF(ISNUMBER(U704),U704,"")</f>
        <v/>
      </c>
      <c r="W704" s="9">
        <f>_xlfn.RANK.EQ(V704,$V$2:$V$1031)</f>
        <v/>
      </c>
      <c r="X704" s="13" t="n">
        <v>1377.2083333333</v>
      </c>
      <c r="Y704" s="13" t="n">
        <v>25</v>
      </c>
      <c r="Z704" s="13" t="n">
        <v>25</v>
      </c>
      <c r="AA704" s="13" t="n">
        <v>24</v>
      </c>
      <c r="AB704" s="13">
        <f>IF(ISNUMBER(X704),X704+N(Y704)+N(Z704)+N(AA704),X704)</f>
        <v/>
      </c>
      <c r="AC704" s="13">
        <f>IF(ISNUMBER(AB704),AB704,"")</f>
        <v/>
      </c>
      <c r="AD704" s="13">
        <f>IF(ISNUMBER(AC704),_xlfn.RANK.EQ(AC704,$AC$2:$AC$1031),"")</f>
        <v/>
      </c>
      <c r="AE704" s="15">
        <f>IF(ISNUMBER(AF704),AF704/3630,"")</f>
        <v/>
      </c>
      <c r="AF704" s="14">
        <f>IFERROR(C704+D704+E704+F704+J704+K704+L704+M704+Q704+R704+S704+T704+IF(ISNUMBER(X704),X704,0)+N(Y704)+N(Z704)+N(AA704),"")</f>
        <v/>
      </c>
      <c r="AG704" s="14">
        <f>IF(ISNUMBER(AF704),AF704,"")</f>
        <v/>
      </c>
      <c r="AH704" s="14">
        <f>IF(ISNUMBER(AG704),_xlfn.RANK.EQ(AG704,$AG$2:$AG$1031),"")</f>
        <v/>
      </c>
    </row>
    <row r="705">
      <c r="A705" s="18" t="n">
        <v>1715</v>
      </c>
      <c r="B705" s="18" t="inlineStr">
        <is>
          <t>محمد عبد الصمد احمد محمود الشافعي</t>
        </is>
      </c>
      <c r="C705" s="1" t="n">
        <v>629.2</v>
      </c>
      <c r="D705" s="1" t="n">
        <v>25</v>
      </c>
      <c r="E705" s="1" t="n">
        <v>23</v>
      </c>
      <c r="F705" s="1" t="n">
        <v>25</v>
      </c>
      <c r="G705" s="1">
        <f>C705+D705+E705+F705</f>
        <v/>
      </c>
      <c r="H705" s="1">
        <f>IF(ISNUMBER(G705),G705,"")</f>
        <v/>
      </c>
      <c r="I705" s="1">
        <f>_xlfn.RANK.EQ(H705,$H$2:$H$1031)</f>
        <v/>
      </c>
      <c r="J705" s="5" t="n">
        <v>601.5</v>
      </c>
      <c r="K705" s="5" t="n">
        <v>48</v>
      </c>
      <c r="L705" s="5" t="n">
        <v>22</v>
      </c>
      <c r="M705" s="5" t="n">
        <v>23</v>
      </c>
      <c r="N705" s="5">
        <f>J705+K705+L705+M705</f>
        <v/>
      </c>
      <c r="O705" s="5">
        <f>IF(ISNUMBER(N705),N705,"")</f>
        <v/>
      </c>
      <c r="P705" s="5">
        <f>_xlfn.RANK.EQ(O705,$O$2:$O$1031)</f>
        <v/>
      </c>
      <c r="Q705" s="9" t="n">
        <v>254</v>
      </c>
      <c r="R705" s="9" t="n">
        <v>45.5</v>
      </c>
      <c r="S705" s="9" t="n">
        <v>24</v>
      </c>
      <c r="T705" s="9" t="n">
        <v>22</v>
      </c>
      <c r="U705" s="9">
        <f>Q705+R705+S705+T705</f>
        <v/>
      </c>
      <c r="V705" s="9">
        <f>IF(ISNUMBER(U705),U705,"")</f>
        <v/>
      </c>
      <c r="W705" s="9">
        <f>_xlfn.RANK.EQ(V705,$V$2:$V$1031)</f>
        <v/>
      </c>
      <c r="X705" s="13" t="n">
        <v>1448.375</v>
      </c>
      <c r="Y705" s="13" t="n">
        <v>25</v>
      </c>
      <c r="Z705" s="13" t="n">
        <v>25</v>
      </c>
      <c r="AA705" s="13" t="n">
        <v>25</v>
      </c>
      <c r="AB705" s="13">
        <f>IF(ISNUMBER(X705),X705+N(Y705)+N(Z705)+N(AA705),X705)</f>
        <v/>
      </c>
      <c r="AC705" s="13">
        <f>IF(ISNUMBER(AB705),AB705,"")</f>
        <v/>
      </c>
      <c r="AD705" s="13">
        <f>IF(ISNUMBER(AC705),_xlfn.RANK.EQ(AC705,$AC$2:$AC$1031),"")</f>
        <v/>
      </c>
      <c r="AE705" s="15">
        <f>IF(ISNUMBER(AF705),AF705/3630,"")</f>
        <v/>
      </c>
      <c r="AF705" s="14">
        <f>IFERROR(C705+D705+E705+F705+J705+K705+L705+M705+Q705+R705+S705+T705+IF(ISNUMBER(X705),X705,0)+N(Y705)+N(Z705)+N(AA705),"")</f>
        <v/>
      </c>
      <c r="AG705" s="14">
        <f>IF(ISNUMBER(AF705),AF705,"")</f>
        <v/>
      </c>
      <c r="AH705" s="14">
        <f>IF(ISNUMBER(AG705),_xlfn.RANK.EQ(AG705,$AG$2:$AG$1031),"")</f>
        <v/>
      </c>
    </row>
    <row r="706">
      <c r="A706" s="18" t="n">
        <v>1718</v>
      </c>
      <c r="B706" s="18" t="inlineStr">
        <is>
          <t>محمد عبد العزيز مبروك ابراهيم</t>
        </is>
      </c>
      <c r="C706" s="1" t="inlineStr">
        <is>
          <t>مماصه</t>
        </is>
      </c>
      <c r="D706" s="1" t="n">
        <v>25</v>
      </c>
      <c r="E706" s="1" t="n">
        <v>23</v>
      </c>
      <c r="F706" s="1" t="n">
        <v>22</v>
      </c>
      <c r="G706" s="1">
        <f>C706+D706+E706+F706</f>
        <v/>
      </c>
      <c r="H706" s="1">
        <f>IF(ISNUMBER(G706),G706,"")</f>
        <v/>
      </c>
      <c r="I706" s="1">
        <f>_xlfn.RANK.EQ(H706,$H$2:$H$1031)</f>
        <v/>
      </c>
      <c r="J706" s="5" t="n">
        <v>505</v>
      </c>
      <c r="K706" s="5" t="n">
        <v>40</v>
      </c>
      <c r="L706" s="5" t="n">
        <v>18</v>
      </c>
      <c r="M706" s="5" t="n">
        <v>15</v>
      </c>
      <c r="N706" s="5">
        <f>J706+K706+L706+M706</f>
        <v/>
      </c>
      <c r="O706" s="5">
        <f>IF(ISNUMBER(N706),N706,"")</f>
        <v/>
      </c>
      <c r="P706" s="5">
        <f>_xlfn.RANK.EQ(O706,$O$2:$O$1031)</f>
        <v/>
      </c>
      <c r="Q706" s="9" t="n">
        <v>246</v>
      </c>
      <c r="R706" s="9" t="n">
        <v>33.5</v>
      </c>
      <c r="S706" s="9" t="n">
        <v>22</v>
      </c>
      <c r="T706" s="9" t="n">
        <v>22</v>
      </c>
      <c r="U706" s="9">
        <f>Q706+R706+S706+T706</f>
        <v/>
      </c>
      <c r="V706" s="9">
        <f>IF(ISNUMBER(U706),U706,"")</f>
        <v/>
      </c>
      <c r="W706" s="9">
        <f>_xlfn.RANK.EQ(V706,$V$2:$V$1031)</f>
        <v/>
      </c>
      <c r="X706" s="13" t="inlineStr">
        <is>
          <t>غ ب</t>
        </is>
      </c>
      <c r="Y706" s="13" t="n">
        <v>19</v>
      </c>
      <c r="Z706" s="13" t="n">
        <v>25</v>
      </c>
      <c r="AA706" s="13" t="n">
        <v>21</v>
      </c>
      <c r="AB706" s="13">
        <f>IF(ISNUMBER(X706),X706+N(Y706)+N(Z706)+N(AA706),X706)</f>
        <v/>
      </c>
      <c r="AC706" s="13">
        <f>IF(ISNUMBER(AB706),AB706,"")</f>
        <v/>
      </c>
      <c r="AD706" s="13">
        <f>IF(ISNUMBER(AC706),_xlfn.RANK.EQ(AC706,$AC$2:$AC$1031),"")</f>
        <v/>
      </c>
      <c r="AE706" s="15">
        <f>IF(ISNUMBER(AF706),AF706/3630,"")</f>
        <v/>
      </c>
      <c r="AF706" s="14">
        <f>IFERROR(C706+D706+E706+F706+J706+K706+L706+M706+Q706+R706+S706+T706+IF(ISNUMBER(X706),X706,0)+N(Y706)+N(Z706)+N(AA706),"")</f>
        <v/>
      </c>
      <c r="AG706" s="14">
        <f>IF(ISNUMBER(AF706),AF706,"")</f>
        <v/>
      </c>
      <c r="AH706" s="14">
        <f>IF(ISNUMBER(AG706),_xlfn.RANK.EQ(AG706,$AG$2:$AG$1031),"")</f>
        <v/>
      </c>
    </row>
    <row r="707">
      <c r="A707" s="18" t="n">
        <v>1720</v>
      </c>
      <c r="B707" s="18" t="inlineStr">
        <is>
          <t>محمد عبد الفضيل عبدربه جادالمولى</t>
        </is>
      </c>
      <c r="C707" s="1" t="n">
        <v>600.6</v>
      </c>
      <c r="D707" s="1" t="n">
        <v>24</v>
      </c>
      <c r="E707" s="1" t="n">
        <v>21</v>
      </c>
      <c r="F707" s="1" t="n">
        <v>22</v>
      </c>
      <c r="G707" s="1">
        <f>C707+D707+E707+F707</f>
        <v/>
      </c>
      <c r="H707" s="1">
        <f>IF(ISNUMBER(G707),G707,"")</f>
        <v/>
      </c>
      <c r="I707" s="1">
        <f>_xlfn.RANK.EQ(H707,$H$2:$H$1031)</f>
        <v/>
      </c>
      <c r="J707" s="5" t="n">
        <v>604.5</v>
      </c>
      <c r="K707" s="5" t="n">
        <v>45</v>
      </c>
      <c r="L707" s="5" t="n">
        <v>20</v>
      </c>
      <c r="M707" s="5" t="n">
        <v>17</v>
      </c>
      <c r="N707" s="5">
        <f>J707+K707+L707+M707</f>
        <v/>
      </c>
      <c r="O707" s="5">
        <f>IF(ISNUMBER(N707),N707,"")</f>
        <v/>
      </c>
      <c r="P707" s="5">
        <f>_xlfn.RANK.EQ(O707,$O$2:$O$1031)</f>
        <v/>
      </c>
      <c r="Q707" s="9" t="n">
        <v>241.5</v>
      </c>
      <c r="R707" s="9" t="n">
        <v>45</v>
      </c>
      <c r="S707" s="9" t="n">
        <v>19</v>
      </c>
      <c r="T707" s="9" t="n">
        <v>22.5</v>
      </c>
      <c r="U707" s="9">
        <f>Q707+R707+S707+T707</f>
        <v/>
      </c>
      <c r="V707" s="9">
        <f>IF(ISNUMBER(U707),U707,"")</f>
        <v/>
      </c>
      <c r="W707" s="9">
        <f>_xlfn.RANK.EQ(V707,$V$2:$V$1031)</f>
        <v/>
      </c>
      <c r="X707" s="13" t="n">
        <v>1279.9708333333</v>
      </c>
      <c r="Y707" s="13" t="n">
        <v>20</v>
      </c>
      <c r="Z707" s="13" t="n">
        <v>25</v>
      </c>
      <c r="AA707" s="13" t="n">
        <v>25</v>
      </c>
      <c r="AB707" s="13">
        <f>IF(ISNUMBER(X707),X707+N(Y707)+N(Z707)+N(AA707),X707)</f>
        <v/>
      </c>
      <c r="AC707" s="13">
        <f>IF(ISNUMBER(AB707),AB707,"")</f>
        <v/>
      </c>
      <c r="AD707" s="13">
        <f>IF(ISNUMBER(AC707),_xlfn.RANK.EQ(AC707,$AC$2:$AC$1031),"")</f>
        <v/>
      </c>
      <c r="AE707" s="15">
        <f>IF(ISNUMBER(AF707),AF707/3630,"")</f>
        <v/>
      </c>
      <c r="AF707" s="14">
        <f>IFERROR(C707+D707+E707+F707+J707+K707+L707+M707+Q707+R707+S707+T707+IF(ISNUMBER(X707),X707,0)+N(Y707)+N(Z707)+N(AA707),"")</f>
        <v/>
      </c>
      <c r="AG707" s="14">
        <f>IF(ISNUMBER(AF707),AF707,"")</f>
        <v/>
      </c>
      <c r="AH707" s="14">
        <f>IF(ISNUMBER(AG707),_xlfn.RANK.EQ(AG707,$AG$2:$AG$1031),"")</f>
        <v/>
      </c>
    </row>
    <row r="708">
      <c r="A708" s="18" t="n">
        <v>1727</v>
      </c>
      <c r="B708" s="18" t="inlineStr">
        <is>
          <t>محمد عبد الناصر محمد عبد المجيد</t>
        </is>
      </c>
      <c r="C708" s="1" t="n">
        <v>586.9</v>
      </c>
      <c r="D708" s="1" t="n">
        <v>24</v>
      </c>
      <c r="E708" s="1" t="n">
        <v>21</v>
      </c>
      <c r="F708" s="1" t="n">
        <v>21</v>
      </c>
      <c r="G708" s="1">
        <f>C708+D708+E708+F708</f>
        <v/>
      </c>
      <c r="H708" s="1">
        <f>IF(ISNUMBER(G708),G708,"")</f>
        <v/>
      </c>
      <c r="I708" s="1">
        <f>_xlfn.RANK.EQ(H708,$H$2:$H$1031)</f>
        <v/>
      </c>
      <c r="J708" s="5" t="n">
        <v>448</v>
      </c>
      <c r="K708" s="5" t="n">
        <v>39</v>
      </c>
      <c r="L708" s="5" t="n">
        <v>21</v>
      </c>
      <c r="M708" s="5" t="n">
        <v>17</v>
      </c>
      <c r="N708" s="5">
        <f>J708+K708+L708+M708</f>
        <v/>
      </c>
      <c r="O708" s="5">
        <f>IF(ISNUMBER(N708),N708,"")</f>
        <v/>
      </c>
      <c r="P708" s="5">
        <f>_xlfn.RANK.EQ(O708,$O$2:$O$1031)</f>
        <v/>
      </c>
      <c r="Q708" s="9" t="n">
        <v>200</v>
      </c>
      <c r="R708" s="9" t="n">
        <v>37.5</v>
      </c>
      <c r="S708" s="9" t="n">
        <v>18</v>
      </c>
      <c r="T708" s="9" t="n">
        <v>20.5</v>
      </c>
      <c r="U708" s="9">
        <f>Q708+R708+S708+T708</f>
        <v/>
      </c>
      <c r="V708" s="9">
        <f>IF(ISNUMBER(U708),U708,"")</f>
        <v/>
      </c>
      <c r="W708" s="9">
        <f>_xlfn.RANK.EQ(V708,$V$2:$V$1031)</f>
        <v/>
      </c>
      <c r="X708" s="13" t="n">
        <v>1277.725</v>
      </c>
      <c r="Y708" s="13" t="n">
        <v>22</v>
      </c>
      <c r="Z708" s="13" t="n">
        <v>21</v>
      </c>
      <c r="AA708" s="13" t="n">
        <v>22</v>
      </c>
      <c r="AB708" s="13">
        <f>IF(ISNUMBER(X708),X708+N(Y708)+N(Z708)+N(AA708),X708)</f>
        <v/>
      </c>
      <c r="AC708" s="13">
        <f>IF(ISNUMBER(AB708),AB708,"")</f>
        <v/>
      </c>
      <c r="AD708" s="13">
        <f>IF(ISNUMBER(AC708),_xlfn.RANK.EQ(AC708,$AC$2:$AC$1031),"")</f>
        <v/>
      </c>
      <c r="AE708" s="15">
        <f>IF(ISNUMBER(AF708),AF708/3630,"")</f>
        <v/>
      </c>
      <c r="AF708" s="14">
        <f>IFERROR(C708+D708+E708+F708+J708+K708+L708+M708+Q708+R708+S708+T708+IF(ISNUMBER(X708),X708,0)+N(Y708)+N(Z708)+N(AA708),"")</f>
        <v/>
      </c>
      <c r="AG708" s="14">
        <f>IF(ISNUMBER(AF708),AF708,"")</f>
        <v/>
      </c>
      <c r="AH708" s="14">
        <f>IF(ISNUMBER(AG708),_xlfn.RANK.EQ(AG708,$AG$2:$AG$1031),"")</f>
        <v/>
      </c>
    </row>
    <row r="709">
      <c r="A709" s="18" t="n">
        <v>1729</v>
      </c>
      <c r="B709" s="18" t="inlineStr">
        <is>
          <t>محمد عبد الواحد محمد عبدالواحد ابو حطب</t>
        </is>
      </c>
      <c r="C709" s="1" t="n">
        <v>637.2</v>
      </c>
      <c r="D709" s="1" t="n">
        <v>24</v>
      </c>
      <c r="E709" s="1" t="n">
        <v>25</v>
      </c>
      <c r="F709" s="1" t="n">
        <v>22</v>
      </c>
      <c r="G709" s="1">
        <f>C709+D709+E709+F709</f>
        <v/>
      </c>
      <c r="H709" s="1">
        <f>IF(ISNUMBER(G709),G709,"")</f>
        <v/>
      </c>
      <c r="I709" s="1">
        <f>_xlfn.RANK.EQ(H709,$H$2:$H$1031)</f>
        <v/>
      </c>
      <c r="J709" s="5" t="n">
        <v>623</v>
      </c>
      <c r="K709" s="5" t="n">
        <v>47</v>
      </c>
      <c r="L709" s="5" t="n">
        <v>20</v>
      </c>
      <c r="M709" s="5" t="n">
        <v>22</v>
      </c>
      <c r="N709" s="5">
        <f>J709+K709+L709+M709</f>
        <v/>
      </c>
      <c r="O709" s="5">
        <f>IF(ISNUMBER(N709),N709,"")</f>
        <v/>
      </c>
      <c r="P709" s="5">
        <f>_xlfn.RANK.EQ(O709,$O$2:$O$1031)</f>
        <v/>
      </c>
      <c r="Q709" s="9" t="n">
        <v>279</v>
      </c>
      <c r="R709" s="9" t="n">
        <v>47</v>
      </c>
      <c r="S709" s="9" t="n">
        <v>25</v>
      </c>
      <c r="T709" s="9" t="n">
        <v>24</v>
      </c>
      <c r="U709" s="9">
        <f>Q709+R709+S709+T709</f>
        <v/>
      </c>
      <c r="V709" s="9">
        <f>IF(ISNUMBER(U709),U709,"")</f>
        <v/>
      </c>
      <c r="W709" s="9">
        <f>_xlfn.RANK.EQ(V709,$V$2:$V$1031)</f>
        <v/>
      </c>
      <c r="X709" s="13" t="n">
        <v>1534.4166666667</v>
      </c>
      <c r="Y709" s="13" t="n">
        <v>25</v>
      </c>
      <c r="Z709" s="13" t="n">
        <v>23</v>
      </c>
      <c r="AA709" s="13" t="n">
        <v>24</v>
      </c>
      <c r="AB709" s="13">
        <f>IF(ISNUMBER(X709),X709+N(Y709)+N(Z709)+N(AA709),X709)</f>
        <v/>
      </c>
      <c r="AC709" s="13">
        <f>IF(ISNUMBER(AB709),AB709,"")</f>
        <v/>
      </c>
      <c r="AD709" s="13">
        <f>IF(ISNUMBER(AC709),_xlfn.RANK.EQ(AC709,$AC$2:$AC$1031),"")</f>
        <v/>
      </c>
      <c r="AE709" s="15">
        <f>IF(ISNUMBER(AF709),AF709/3630,"")</f>
        <v/>
      </c>
      <c r="AF709" s="14">
        <f>IFERROR(C709+D709+E709+F709+J709+K709+L709+M709+Q709+R709+S709+T709+IF(ISNUMBER(X709),X709,0)+N(Y709)+N(Z709)+N(AA709),"")</f>
        <v/>
      </c>
      <c r="AG709" s="14">
        <f>IF(ISNUMBER(AF709),AF709,"")</f>
        <v/>
      </c>
      <c r="AH709" s="14">
        <f>IF(ISNUMBER(AG709),_xlfn.RANK.EQ(AG709,$AG$2:$AG$1031),"")</f>
        <v/>
      </c>
    </row>
    <row r="710">
      <c r="A710" s="18" t="n">
        <v>1730</v>
      </c>
      <c r="B710" s="18" t="inlineStr">
        <is>
          <t>محمد عبد الوهاب عبد المحسن عبد الوهاب</t>
        </is>
      </c>
      <c r="C710" s="1" t="n">
        <v>415.2</v>
      </c>
      <c r="D710" s="1" t="n">
        <v>11</v>
      </c>
      <c r="E710" s="1" t="n">
        <v>20</v>
      </c>
      <c r="F710" s="1" t="n">
        <v>18</v>
      </c>
      <c r="G710" s="1">
        <f>C710+D710+E710+F710</f>
        <v/>
      </c>
      <c r="H710" s="1">
        <f>IF(ISNUMBER(G710),G710,"")</f>
        <v/>
      </c>
      <c r="I710" s="1">
        <f>_xlfn.RANK.EQ(H710,$H$2:$H$1031)</f>
        <v/>
      </c>
      <c r="J710" s="5" t="n">
        <v>424.5</v>
      </c>
      <c r="K710" s="5" t="n">
        <v>32</v>
      </c>
      <c r="L710" s="5" t="n">
        <v>14</v>
      </c>
      <c r="M710" s="5" t="n">
        <v>18</v>
      </c>
      <c r="N710" s="5">
        <f>J710+K710+L710+M710</f>
        <v/>
      </c>
      <c r="O710" s="5">
        <f>IF(ISNUMBER(N710),N710,"")</f>
        <v/>
      </c>
      <c r="P710" s="5">
        <f>_xlfn.RANK.EQ(O710,$O$2:$O$1031)</f>
        <v/>
      </c>
      <c r="Q710" s="9" t="n">
        <v>150.25</v>
      </c>
      <c r="R710" s="9" t="n">
        <v>37.5</v>
      </c>
      <c r="S710" s="9" t="n">
        <v>18</v>
      </c>
      <c r="T710" s="9" t="n">
        <v>21.5</v>
      </c>
      <c r="U710" s="9">
        <f>Q710+R710+S710+T710</f>
        <v/>
      </c>
      <c r="V710" s="9">
        <f>IF(ISNUMBER(U710),U710,"")</f>
        <v/>
      </c>
      <c r="W710" s="9">
        <f>_xlfn.RANK.EQ(V710,$V$2:$V$1031)</f>
        <v/>
      </c>
      <c r="X710" s="13" t="inlineStr">
        <is>
          <t>راسب</t>
        </is>
      </c>
      <c r="Y710" s="13" t="n">
        <v>17</v>
      </c>
      <c r="Z710" s="13" t="n">
        <v>19</v>
      </c>
      <c r="AA710" s="13" t="n">
        <v>14</v>
      </c>
      <c r="AB710" s="13">
        <f>IF(ISNUMBER(X710),X710+N(Y710)+N(Z710)+N(AA710),X710)</f>
        <v/>
      </c>
      <c r="AC710" s="13">
        <f>IF(ISNUMBER(AB710),AB710,"")</f>
        <v/>
      </c>
      <c r="AD710" s="13">
        <f>IF(ISNUMBER(AC710),_xlfn.RANK.EQ(AC710,$AC$2:$AC$1031),"")</f>
        <v/>
      </c>
      <c r="AE710" s="15">
        <f>IF(ISNUMBER(AF710),AF710/3630,"")</f>
        <v/>
      </c>
      <c r="AF710" s="14">
        <f>IFERROR(C710+D710+E710+F710+J710+K710+L710+M710+Q710+R710+S710+T710+IF(ISNUMBER(X710),X710,0)+N(Y710)+N(Z710)+N(AA710),"")</f>
        <v/>
      </c>
      <c r="AG710" s="14">
        <f>IF(ISNUMBER(AF710),AF710,"")</f>
        <v/>
      </c>
      <c r="AH710" s="14">
        <f>IF(ISNUMBER(AG710),_xlfn.RANK.EQ(AG710,$AG$2:$AG$1031),"")</f>
        <v/>
      </c>
    </row>
    <row r="711">
      <c r="A711" s="18" t="n">
        <v>1733</v>
      </c>
      <c r="B711" s="18" t="inlineStr">
        <is>
          <t>محمد عرفان عبد الجواد محمد احمد</t>
        </is>
      </c>
      <c r="C711" s="1" t="n">
        <v>609.5</v>
      </c>
      <c r="D711" s="1" t="n">
        <v>25</v>
      </c>
      <c r="E711" s="1" t="n">
        <v>23</v>
      </c>
      <c r="F711" s="1" t="n">
        <v>24</v>
      </c>
      <c r="G711" s="1">
        <f>C711+D711+E711+F711</f>
        <v/>
      </c>
      <c r="H711" s="1">
        <f>IF(ISNUMBER(G711),G711,"")</f>
        <v/>
      </c>
      <c r="I711" s="1">
        <f>_xlfn.RANK.EQ(H711,$H$2:$H$1031)</f>
        <v/>
      </c>
      <c r="J711" s="5" t="n">
        <v>594.5</v>
      </c>
      <c r="K711" s="5" t="n">
        <v>46</v>
      </c>
      <c r="L711" s="5" t="n">
        <v>21</v>
      </c>
      <c r="M711" s="5" t="n">
        <v>23</v>
      </c>
      <c r="N711" s="5">
        <f>J711+K711+L711+M711</f>
        <v/>
      </c>
      <c r="O711" s="5">
        <f>IF(ISNUMBER(N711),N711,"")</f>
        <v/>
      </c>
      <c r="P711" s="5">
        <f>_xlfn.RANK.EQ(O711,$O$2:$O$1031)</f>
        <v/>
      </c>
      <c r="Q711" s="9" t="n">
        <v>251.5</v>
      </c>
      <c r="R711" s="9" t="n">
        <v>48</v>
      </c>
      <c r="S711" s="9" t="n">
        <v>25</v>
      </c>
      <c r="T711" s="9" t="n">
        <v>23</v>
      </c>
      <c r="U711" s="9">
        <f>Q711+R711+S711+T711</f>
        <v/>
      </c>
      <c r="V711" s="9">
        <f>IF(ISNUMBER(U711),U711,"")</f>
        <v/>
      </c>
      <c r="W711" s="9">
        <f>_xlfn.RANK.EQ(V711,$V$2:$V$1031)</f>
        <v/>
      </c>
      <c r="X711" s="13" t="n">
        <v>1410.7875</v>
      </c>
      <c r="Y711" s="13" t="n">
        <v>22</v>
      </c>
      <c r="Z711" s="13" t="n">
        <v>22</v>
      </c>
      <c r="AA711" s="13" t="n">
        <v>24</v>
      </c>
      <c r="AB711" s="13">
        <f>IF(ISNUMBER(X711),X711+N(Y711)+N(Z711)+N(AA711),X711)</f>
        <v/>
      </c>
      <c r="AC711" s="13">
        <f>IF(ISNUMBER(AB711),AB711,"")</f>
        <v/>
      </c>
      <c r="AD711" s="13">
        <f>IF(ISNUMBER(AC711),_xlfn.RANK.EQ(AC711,$AC$2:$AC$1031),"")</f>
        <v/>
      </c>
      <c r="AE711" s="15">
        <f>IF(ISNUMBER(AF711),AF711/3630,"")</f>
        <v/>
      </c>
      <c r="AF711" s="14">
        <f>IFERROR(C711+D711+E711+F711+J711+K711+L711+M711+Q711+R711+S711+T711+IF(ISNUMBER(X711),X711,0)+N(Y711)+N(Z711)+N(AA711),"")</f>
        <v/>
      </c>
      <c r="AG711" s="14">
        <f>IF(ISNUMBER(AF711),AF711,"")</f>
        <v/>
      </c>
      <c r="AH711" s="14">
        <f>IF(ISNUMBER(AG711),_xlfn.RANK.EQ(AG711,$AG$2:$AG$1031),"")</f>
        <v/>
      </c>
    </row>
    <row r="712">
      <c r="A712" s="18" t="n">
        <v>1737</v>
      </c>
      <c r="B712" s="18" t="inlineStr">
        <is>
          <t>محمد عفيفي عبدا لمقصود محمد العجمى</t>
        </is>
      </c>
      <c r="C712" s="1" t="n">
        <v>636.6</v>
      </c>
      <c r="D712" s="1" t="n">
        <v>21</v>
      </c>
      <c r="E712" s="1" t="n">
        <v>24</v>
      </c>
      <c r="F712" s="1" t="n">
        <v>22</v>
      </c>
      <c r="G712" s="1">
        <f>C712+D712+E712+F712</f>
        <v/>
      </c>
      <c r="H712" s="1">
        <f>IF(ISNUMBER(G712),G712,"")</f>
        <v/>
      </c>
      <c r="I712" s="1">
        <f>_xlfn.RANK.EQ(H712,$H$2:$H$1031)</f>
        <v/>
      </c>
      <c r="J712" s="5" t="n">
        <v>620.5</v>
      </c>
      <c r="K712" s="5" t="n">
        <v>48</v>
      </c>
      <c r="L712" s="5" t="n">
        <v>22</v>
      </c>
      <c r="M712" s="5" t="n">
        <v>17</v>
      </c>
      <c r="N712" s="5">
        <f>J712+K712+L712+M712</f>
        <v/>
      </c>
      <c r="O712" s="5">
        <f>IF(ISNUMBER(N712),N712,"")</f>
        <v/>
      </c>
      <c r="P712" s="5">
        <f>_xlfn.RANK.EQ(O712,$O$2:$O$1031)</f>
        <v/>
      </c>
      <c r="Q712" s="9" t="n">
        <v>260</v>
      </c>
      <c r="R712" s="9" t="n">
        <v>45.5</v>
      </c>
      <c r="S712" s="9" t="n">
        <v>23</v>
      </c>
      <c r="T712" s="9" t="n">
        <v>23</v>
      </c>
      <c r="U712" s="9">
        <f>Q712+R712+S712+T712</f>
        <v/>
      </c>
      <c r="V712" s="9">
        <f>IF(ISNUMBER(U712),U712,"")</f>
        <v/>
      </c>
      <c r="W712" s="9">
        <f>_xlfn.RANK.EQ(V712,$V$2:$V$1031)</f>
        <v/>
      </c>
      <c r="X712" s="13" t="n">
        <v>1464.5291666667</v>
      </c>
      <c r="Y712" s="13" t="n">
        <v>24</v>
      </c>
      <c r="Z712" s="13" t="n">
        <v>25</v>
      </c>
      <c r="AA712" s="13" t="n">
        <v>25</v>
      </c>
      <c r="AB712" s="13">
        <f>IF(ISNUMBER(X712),X712+N(Y712)+N(Z712)+N(AA712),X712)</f>
        <v/>
      </c>
      <c r="AC712" s="13">
        <f>IF(ISNUMBER(AB712),AB712,"")</f>
        <v/>
      </c>
      <c r="AD712" s="13">
        <f>IF(ISNUMBER(AC712),_xlfn.RANK.EQ(AC712,$AC$2:$AC$1031),"")</f>
        <v/>
      </c>
      <c r="AE712" s="15">
        <f>IF(ISNUMBER(AF712),AF712/3630,"")</f>
        <v/>
      </c>
      <c r="AF712" s="14">
        <f>IFERROR(C712+D712+E712+F712+J712+K712+L712+M712+Q712+R712+S712+T712+IF(ISNUMBER(X712),X712,0)+N(Y712)+N(Z712)+N(AA712),"")</f>
        <v/>
      </c>
      <c r="AG712" s="14">
        <f>IF(ISNUMBER(AF712),AF712,"")</f>
        <v/>
      </c>
      <c r="AH712" s="14">
        <f>IF(ISNUMBER(AG712),_xlfn.RANK.EQ(AG712,$AG$2:$AG$1031),"")</f>
        <v/>
      </c>
    </row>
    <row r="713">
      <c r="A713" s="18" t="n">
        <v>1738</v>
      </c>
      <c r="B713" s="18" t="inlineStr">
        <is>
          <t>محمد علاء يحيى احمد جابر</t>
        </is>
      </c>
      <c r="C713" s="1" t="n">
        <v>600.3</v>
      </c>
      <c r="D713" s="1" t="n">
        <v>24</v>
      </c>
      <c r="E713" s="1" t="n">
        <v>25</v>
      </c>
      <c r="F713" s="1" t="n">
        <v>22</v>
      </c>
      <c r="G713" s="1">
        <f>C713+D713+E713+F713</f>
        <v/>
      </c>
      <c r="H713" s="1">
        <f>IF(ISNUMBER(G713),G713,"")</f>
        <v/>
      </c>
      <c r="I713" s="1">
        <f>_xlfn.RANK.EQ(H713,$H$2:$H$1031)</f>
        <v/>
      </c>
      <c r="J713" s="5" t="n">
        <v>580.5</v>
      </c>
      <c r="K713" s="5" t="n">
        <v>47</v>
      </c>
      <c r="L713" s="5" t="n">
        <v>21</v>
      </c>
      <c r="M713" s="5" t="n">
        <v>17</v>
      </c>
      <c r="N713" s="5">
        <f>J713+K713+L713+M713</f>
        <v/>
      </c>
      <c r="O713" s="5">
        <f>IF(ISNUMBER(N713),N713,"")</f>
        <v/>
      </c>
      <c r="P713" s="5">
        <f>_xlfn.RANK.EQ(O713,$O$2:$O$1031)</f>
        <v/>
      </c>
      <c r="Q713" s="9" t="n">
        <v>242</v>
      </c>
      <c r="R713" s="9" t="n">
        <v>42.5</v>
      </c>
      <c r="S713" s="9" t="n">
        <v>24</v>
      </c>
      <c r="T713" s="9" t="n">
        <v>23</v>
      </c>
      <c r="U713" s="9">
        <f>Q713+R713+S713+T713</f>
        <v/>
      </c>
      <c r="V713" s="9">
        <f>IF(ISNUMBER(U713),U713,"")</f>
        <v/>
      </c>
      <c r="W713" s="9">
        <f>_xlfn.RANK.EQ(V713,$V$2:$V$1031)</f>
        <v/>
      </c>
      <c r="X713" s="13" t="n">
        <v>1292.7166666667</v>
      </c>
      <c r="Y713" s="13" t="n">
        <v>22.5</v>
      </c>
      <c r="Z713" s="13" t="n">
        <v>24</v>
      </c>
      <c r="AA713" s="13" t="n">
        <v>22</v>
      </c>
      <c r="AB713" s="13">
        <f>IF(ISNUMBER(X713),X713+N(Y713)+N(Z713)+N(AA713),X713)</f>
        <v/>
      </c>
      <c r="AC713" s="13">
        <f>IF(ISNUMBER(AB713),AB713,"")</f>
        <v/>
      </c>
      <c r="AD713" s="13">
        <f>IF(ISNUMBER(AC713),_xlfn.RANK.EQ(AC713,$AC$2:$AC$1031),"")</f>
        <v/>
      </c>
      <c r="AE713" s="15">
        <f>IF(ISNUMBER(AF713),AF713/3630,"")</f>
        <v/>
      </c>
      <c r="AF713" s="14">
        <f>IFERROR(C713+D713+E713+F713+J713+K713+L713+M713+Q713+R713+S713+T713+IF(ISNUMBER(X713),X713,0)+N(Y713)+N(Z713)+N(AA713),"")</f>
        <v/>
      </c>
      <c r="AG713" s="14">
        <f>IF(ISNUMBER(AF713),AF713,"")</f>
        <v/>
      </c>
      <c r="AH713" s="14">
        <f>IF(ISNUMBER(AG713),_xlfn.RANK.EQ(AG713,$AG$2:$AG$1031),"")</f>
        <v/>
      </c>
    </row>
    <row r="714">
      <c r="A714" s="18" t="n">
        <v>1739</v>
      </c>
      <c r="B714" s="18" t="inlineStr">
        <is>
          <t>محمد علام عبد الستار عبد المنعم الصاوى</t>
        </is>
      </c>
      <c r="C714" s="1" t="n">
        <v>634.8</v>
      </c>
      <c r="D714" s="1" t="n">
        <v>24</v>
      </c>
      <c r="E714" s="1" t="n">
        <v>24</v>
      </c>
      <c r="F714" s="1" t="n">
        <v>24</v>
      </c>
      <c r="G714" s="1">
        <f>C714+D714+E714+F714</f>
        <v/>
      </c>
      <c r="H714" s="1">
        <f>IF(ISNUMBER(G714),G714,"")</f>
        <v/>
      </c>
      <c r="I714" s="1">
        <f>_xlfn.RANK.EQ(H714,$H$2:$H$1031)</f>
        <v/>
      </c>
      <c r="J714" s="5" t="n">
        <v>624.5</v>
      </c>
      <c r="K714" s="5" t="n">
        <v>48</v>
      </c>
      <c r="L714" s="5" t="n">
        <v>21</v>
      </c>
      <c r="M714" s="5" t="n">
        <v>23</v>
      </c>
      <c r="N714" s="5">
        <f>J714+K714+L714+M714</f>
        <v/>
      </c>
      <c r="O714" s="5">
        <f>IF(ISNUMBER(N714),N714,"")</f>
        <v/>
      </c>
      <c r="P714" s="5">
        <f>_xlfn.RANK.EQ(O714,$O$2:$O$1031)</f>
        <v/>
      </c>
      <c r="Q714" s="9" t="n">
        <v>264.5</v>
      </c>
      <c r="R714" s="9" t="n">
        <v>46</v>
      </c>
      <c r="S714" s="9" t="n">
        <v>25</v>
      </c>
      <c r="T714" s="9" t="n">
        <v>23.5</v>
      </c>
      <c r="U714" s="9">
        <f>Q714+R714+S714+T714</f>
        <v/>
      </c>
      <c r="V714" s="9">
        <f>IF(ISNUMBER(U714),U714,"")</f>
        <v/>
      </c>
      <c r="W714" s="9">
        <f>_xlfn.RANK.EQ(V714,$V$2:$V$1031)</f>
        <v/>
      </c>
      <c r="X714" s="13" t="n">
        <v>1455.1</v>
      </c>
      <c r="Y714" s="13" t="n">
        <v>25</v>
      </c>
      <c r="Z714" s="13" t="n">
        <v>25</v>
      </c>
      <c r="AA714" s="13" t="n">
        <v>25</v>
      </c>
      <c r="AB714" s="13">
        <f>IF(ISNUMBER(X714),X714+N(Y714)+N(Z714)+N(AA714),X714)</f>
        <v/>
      </c>
      <c r="AC714" s="13">
        <f>IF(ISNUMBER(AB714),AB714,"")</f>
        <v/>
      </c>
      <c r="AD714" s="13">
        <f>IF(ISNUMBER(AC714),_xlfn.RANK.EQ(AC714,$AC$2:$AC$1031),"")</f>
        <v/>
      </c>
      <c r="AE714" s="15">
        <f>IF(ISNUMBER(AF714),AF714/3630,"")</f>
        <v/>
      </c>
      <c r="AF714" s="14">
        <f>IFERROR(C714+D714+E714+F714+J714+K714+L714+M714+Q714+R714+S714+T714+IF(ISNUMBER(X714),X714,0)+N(Y714)+N(Z714)+N(AA714),"")</f>
        <v/>
      </c>
      <c r="AG714" s="14">
        <f>IF(ISNUMBER(AF714),AF714,"")</f>
        <v/>
      </c>
      <c r="AH714" s="14">
        <f>IF(ISNUMBER(AG714),_xlfn.RANK.EQ(AG714,$AG$2:$AG$1031),"")</f>
        <v/>
      </c>
    </row>
    <row r="715">
      <c r="A715" s="18" t="n">
        <v>1740</v>
      </c>
      <c r="B715" s="18" t="inlineStr">
        <is>
          <t>محمد علي المعداوى على غازى</t>
        </is>
      </c>
      <c r="C715" s="1" t="n">
        <v>597.1</v>
      </c>
      <c r="D715" s="1" t="n">
        <v>21</v>
      </c>
      <c r="E715" s="1" t="n">
        <v>24</v>
      </c>
      <c r="F715" s="1" t="n">
        <v>23</v>
      </c>
      <c r="G715" s="1">
        <f>C715+D715+E715+F715</f>
        <v/>
      </c>
      <c r="H715" s="1">
        <f>IF(ISNUMBER(G715),G715,"")</f>
        <v/>
      </c>
      <c r="I715" s="1">
        <f>_xlfn.RANK.EQ(H715,$H$2:$H$1031)</f>
        <v/>
      </c>
      <c r="J715" s="5" t="n">
        <v>575.5</v>
      </c>
      <c r="K715" s="5" t="n">
        <v>44</v>
      </c>
      <c r="L715" s="5" t="n">
        <v>22</v>
      </c>
      <c r="M715" s="5" t="n">
        <v>22</v>
      </c>
      <c r="N715" s="5">
        <f>J715+K715+L715+M715</f>
        <v/>
      </c>
      <c r="O715" s="5">
        <f>IF(ISNUMBER(N715),N715,"")</f>
        <v/>
      </c>
      <c r="P715" s="5">
        <f>_xlfn.RANK.EQ(O715,$O$2:$O$1031)</f>
        <v/>
      </c>
      <c r="Q715" s="9" t="n">
        <v>234.5</v>
      </c>
      <c r="R715" s="9" t="n">
        <v>45.5</v>
      </c>
      <c r="S715" s="9" t="n">
        <v>24</v>
      </c>
      <c r="T715" s="9" t="n">
        <v>22.5</v>
      </c>
      <c r="U715" s="9">
        <f>Q715+R715+S715+T715</f>
        <v/>
      </c>
      <c r="V715" s="9">
        <f>IF(ISNUMBER(U715),U715,"")</f>
        <v/>
      </c>
      <c r="W715" s="9">
        <f>_xlfn.RANK.EQ(V715,$V$2:$V$1031)</f>
        <v/>
      </c>
      <c r="X715" s="13" t="n">
        <v>1417.775</v>
      </c>
      <c r="Y715" s="13" t="n">
        <v>25</v>
      </c>
      <c r="Z715" s="13" t="n">
        <v>25</v>
      </c>
      <c r="AA715" s="13" t="n">
        <v>23</v>
      </c>
      <c r="AB715" s="13">
        <f>IF(ISNUMBER(X715),X715+N(Y715)+N(Z715)+N(AA715),X715)</f>
        <v/>
      </c>
      <c r="AC715" s="13">
        <f>IF(ISNUMBER(AB715),AB715,"")</f>
        <v/>
      </c>
      <c r="AD715" s="13">
        <f>IF(ISNUMBER(AC715),_xlfn.RANK.EQ(AC715,$AC$2:$AC$1031),"")</f>
        <v/>
      </c>
      <c r="AE715" s="15">
        <f>IF(ISNUMBER(AF715),AF715/3630,"")</f>
        <v/>
      </c>
      <c r="AF715" s="14">
        <f>IFERROR(C715+D715+E715+F715+J715+K715+L715+M715+Q715+R715+S715+T715+IF(ISNUMBER(X715),X715,0)+N(Y715)+N(Z715)+N(AA715),"")</f>
        <v/>
      </c>
      <c r="AG715" s="14">
        <f>IF(ISNUMBER(AF715),AF715,"")</f>
        <v/>
      </c>
      <c r="AH715" s="14">
        <f>IF(ISNUMBER(AG715),_xlfn.RANK.EQ(AG715,$AG$2:$AG$1031),"")</f>
        <v/>
      </c>
    </row>
    <row r="716">
      <c r="A716" s="18" t="n">
        <v>1743</v>
      </c>
      <c r="B716" s="18" t="inlineStr">
        <is>
          <t>محمد عماد حامد محمد الرجال</t>
        </is>
      </c>
      <c r="C716" s="1" t="n">
        <v>614.3</v>
      </c>
      <c r="D716" s="1" t="n">
        <v>25</v>
      </c>
      <c r="E716" s="1" t="n">
        <v>24</v>
      </c>
      <c r="F716" s="1" t="n">
        <v>20</v>
      </c>
      <c r="G716" s="1">
        <f>C716+D716+E716+F716</f>
        <v/>
      </c>
      <c r="H716" s="1">
        <f>IF(ISNUMBER(G716),G716,"")</f>
        <v/>
      </c>
      <c r="I716" s="1">
        <f>_xlfn.RANK.EQ(H716,$H$2:$H$1031)</f>
        <v/>
      </c>
      <c r="J716" s="5" t="n">
        <v>601.5</v>
      </c>
      <c r="K716" s="5" t="n">
        <v>46</v>
      </c>
      <c r="L716" s="5" t="n">
        <v>21</v>
      </c>
      <c r="M716" s="5" t="n">
        <v>22</v>
      </c>
      <c r="N716" s="5">
        <f>J716+K716+L716+M716</f>
        <v/>
      </c>
      <c r="O716" s="5">
        <f>IF(ISNUMBER(N716),N716,"")</f>
        <v/>
      </c>
      <c r="P716" s="5">
        <f>_xlfn.RANK.EQ(O716,$O$2:$O$1031)</f>
        <v/>
      </c>
      <c r="Q716" s="9" t="n">
        <v>267.5</v>
      </c>
      <c r="R716" s="9" t="n">
        <v>43</v>
      </c>
      <c r="S716" s="9" t="n">
        <v>24</v>
      </c>
      <c r="T716" s="9" t="n">
        <v>22</v>
      </c>
      <c r="U716" s="9">
        <f>Q716+R716+S716+T716</f>
        <v/>
      </c>
      <c r="V716" s="9">
        <f>IF(ISNUMBER(U716),U716,"")</f>
        <v/>
      </c>
      <c r="W716" s="9">
        <f>_xlfn.RANK.EQ(V716,$V$2:$V$1031)</f>
        <v/>
      </c>
      <c r="X716" s="13" t="n">
        <v>1427.5333333333</v>
      </c>
      <c r="Y716" s="13" t="n">
        <v>22</v>
      </c>
      <c r="Z716" s="13" t="n">
        <v>21</v>
      </c>
      <c r="AA716" s="13" t="n">
        <v>20</v>
      </c>
      <c r="AB716" s="13">
        <f>IF(ISNUMBER(X716),X716+N(Y716)+N(Z716)+N(AA716),X716)</f>
        <v/>
      </c>
      <c r="AC716" s="13">
        <f>IF(ISNUMBER(AB716),AB716,"")</f>
        <v/>
      </c>
      <c r="AD716" s="13">
        <f>IF(ISNUMBER(AC716),_xlfn.RANK.EQ(AC716,$AC$2:$AC$1031),"")</f>
        <v/>
      </c>
      <c r="AE716" s="15">
        <f>IF(ISNUMBER(AF716),AF716/3630,"")</f>
        <v/>
      </c>
      <c r="AF716" s="14">
        <f>IFERROR(C716+D716+E716+F716+J716+K716+L716+M716+Q716+R716+S716+T716+IF(ISNUMBER(X716),X716,0)+N(Y716)+N(Z716)+N(AA716),"")</f>
        <v/>
      </c>
      <c r="AG716" s="14">
        <f>IF(ISNUMBER(AF716),AF716,"")</f>
        <v/>
      </c>
      <c r="AH716" s="14">
        <f>IF(ISNUMBER(AG716),_xlfn.RANK.EQ(AG716,$AG$2:$AG$1031),"")</f>
        <v/>
      </c>
    </row>
    <row r="717">
      <c r="A717" s="18" t="n">
        <v>1751</v>
      </c>
      <c r="B717" s="18" t="inlineStr">
        <is>
          <t>محمد فخري فتحي الحوشي</t>
        </is>
      </c>
      <c r="C717" s="1" t="n">
        <v>642.6</v>
      </c>
      <c r="D717" s="1" t="n">
        <v>24</v>
      </c>
      <c r="E717" s="1" t="n">
        <v>24</v>
      </c>
      <c r="F717" s="1" t="n">
        <v>22</v>
      </c>
      <c r="G717" s="1">
        <f>C717+D717+E717+F717</f>
        <v/>
      </c>
      <c r="H717" s="1">
        <f>IF(ISNUMBER(G717),G717,"")</f>
        <v/>
      </c>
      <c r="I717" s="1">
        <f>_xlfn.RANK.EQ(H717,$H$2:$H$1031)</f>
        <v/>
      </c>
      <c r="J717" s="5" t="n">
        <v>630.5</v>
      </c>
      <c r="K717" s="5" t="n">
        <v>48</v>
      </c>
      <c r="L717" s="5" t="n">
        <v>25</v>
      </c>
      <c r="M717" s="5" t="n">
        <v>24</v>
      </c>
      <c r="N717" s="5">
        <f>J717+K717+L717+M717</f>
        <v/>
      </c>
      <c r="O717" s="5">
        <f>IF(ISNUMBER(N717),N717,"")</f>
        <v/>
      </c>
      <c r="P717" s="5">
        <f>_xlfn.RANK.EQ(O717,$O$2:$O$1031)</f>
        <v/>
      </c>
      <c r="Q717" s="9" t="n">
        <v>285</v>
      </c>
      <c r="R717" s="9" t="n">
        <v>48.5</v>
      </c>
      <c r="S717" s="9" t="n">
        <v>24</v>
      </c>
      <c r="T717" s="9" t="n">
        <v>24</v>
      </c>
      <c r="U717" s="9">
        <f>Q717+R717+S717+T717</f>
        <v/>
      </c>
      <c r="V717" s="9">
        <f>IF(ISNUMBER(U717),U717,"")</f>
        <v/>
      </c>
      <c r="W717" s="9">
        <f>_xlfn.RANK.EQ(V717,$V$2:$V$1031)</f>
        <v/>
      </c>
      <c r="X717" s="13" t="n">
        <v>1569.8</v>
      </c>
      <c r="Y717" s="13" t="n">
        <v>25</v>
      </c>
      <c r="Z717" s="13" t="n">
        <v>25</v>
      </c>
      <c r="AA717" s="13" t="n">
        <v>25</v>
      </c>
      <c r="AB717" s="13">
        <f>IF(ISNUMBER(X717),X717+N(Y717)+N(Z717)+N(AA717),X717)</f>
        <v/>
      </c>
      <c r="AC717" s="13">
        <f>IF(ISNUMBER(AB717),AB717,"")</f>
        <v/>
      </c>
      <c r="AD717" s="13">
        <f>IF(ISNUMBER(AC717),_xlfn.RANK.EQ(AC717,$AC$2:$AC$1031),"")</f>
        <v/>
      </c>
      <c r="AE717" s="15">
        <f>IF(ISNUMBER(AF717),AF717/3630,"")</f>
        <v/>
      </c>
      <c r="AF717" s="14">
        <f>IFERROR(C717+D717+E717+F717+J717+K717+L717+M717+Q717+R717+S717+T717+IF(ISNUMBER(X717),X717,0)+N(Y717)+N(Z717)+N(AA717),"")</f>
        <v/>
      </c>
      <c r="AG717" s="14">
        <f>IF(ISNUMBER(AF717),AF717,"")</f>
        <v/>
      </c>
      <c r="AH717" s="14">
        <f>IF(ISNUMBER(AG717),_xlfn.RANK.EQ(AG717,$AG$2:$AG$1031),"")</f>
        <v/>
      </c>
    </row>
    <row r="718">
      <c r="A718" s="18" t="n">
        <v>1754</v>
      </c>
      <c r="B718" s="18" t="inlineStr">
        <is>
          <t>محمد فيالة محمد محروس احمد</t>
        </is>
      </c>
      <c r="C718" s="1" t="n">
        <v>491.5</v>
      </c>
      <c r="D718" s="1" t="n">
        <v>25</v>
      </c>
      <c r="E718" s="1" t="n">
        <v>22</v>
      </c>
      <c r="F718" s="1" t="n">
        <v>23</v>
      </c>
      <c r="G718" s="1">
        <f>C718+D718+E718+F718</f>
        <v/>
      </c>
      <c r="H718" s="1">
        <f>IF(ISNUMBER(G718),G718,"")</f>
        <v/>
      </c>
      <c r="I718" s="1">
        <f>_xlfn.RANK.EQ(H718,$H$2:$H$1031)</f>
        <v/>
      </c>
      <c r="J718" s="5" t="n">
        <v>531</v>
      </c>
      <c r="K718" s="5" t="n">
        <v>47</v>
      </c>
      <c r="L718" s="5" t="n">
        <v>22</v>
      </c>
      <c r="M718" s="5" t="n">
        <v>23</v>
      </c>
      <c r="N718" s="5">
        <f>J718+K718+L718+M718</f>
        <v/>
      </c>
      <c r="O718" s="5">
        <f>IF(ISNUMBER(N718),N718,"")</f>
        <v/>
      </c>
      <c r="P718" s="5">
        <f>_xlfn.RANK.EQ(O718,$O$2:$O$1031)</f>
        <v/>
      </c>
      <c r="Q718" s="9" t="n">
        <v>200.5</v>
      </c>
      <c r="R718" s="9" t="n">
        <v>45</v>
      </c>
      <c r="S718" s="9" t="n">
        <v>23</v>
      </c>
      <c r="T718" s="9" t="n">
        <v>23</v>
      </c>
      <c r="U718" s="9">
        <f>Q718+R718+S718+T718</f>
        <v/>
      </c>
      <c r="V718" s="9">
        <f>IF(ISNUMBER(U718),U718,"")</f>
        <v/>
      </c>
      <c r="W718" s="9">
        <f>_xlfn.RANK.EQ(V718,$V$2:$V$1031)</f>
        <v/>
      </c>
      <c r="X718" s="13" t="n">
        <v>1147.4</v>
      </c>
      <c r="Y718" s="13" t="n">
        <v>24</v>
      </c>
      <c r="Z718" s="13" t="n">
        <v>24</v>
      </c>
      <c r="AA718" s="13" t="n">
        <v>25</v>
      </c>
      <c r="AB718" s="13">
        <f>IF(ISNUMBER(X718),X718+N(Y718)+N(Z718)+N(AA718),X718)</f>
        <v/>
      </c>
      <c r="AC718" s="13">
        <f>IF(ISNUMBER(AB718),AB718,"")</f>
        <v/>
      </c>
      <c r="AD718" s="13">
        <f>IF(ISNUMBER(AC718),_xlfn.RANK.EQ(AC718,$AC$2:$AC$1031),"")</f>
        <v/>
      </c>
      <c r="AE718" s="15">
        <f>IF(ISNUMBER(AF718),AF718/3630,"")</f>
        <v/>
      </c>
      <c r="AF718" s="14">
        <f>IFERROR(C718+D718+E718+F718+J718+K718+L718+M718+Q718+R718+S718+T718+IF(ISNUMBER(X718),X718,0)+N(Y718)+N(Z718)+N(AA718),"")</f>
        <v/>
      </c>
      <c r="AG718" s="14">
        <f>IF(ISNUMBER(AF718),AF718,"")</f>
        <v/>
      </c>
      <c r="AH718" s="14">
        <f>IF(ISNUMBER(AG718),_xlfn.RANK.EQ(AG718,$AG$2:$AG$1031),"")</f>
        <v/>
      </c>
    </row>
    <row r="719">
      <c r="A719" s="18" t="n">
        <v>1763</v>
      </c>
      <c r="B719" s="18" t="inlineStr">
        <is>
          <t>محمد مجدي خميس ابوعامود</t>
        </is>
      </c>
      <c r="C719" s="1" t="n">
        <v>424</v>
      </c>
      <c r="D719" s="1" t="n">
        <v>23</v>
      </c>
      <c r="E719" s="1" t="n">
        <v>19</v>
      </c>
      <c r="F719" s="1" t="n">
        <v>19</v>
      </c>
      <c r="G719" s="1">
        <f>C719+D719+E719+F719</f>
        <v/>
      </c>
      <c r="H719" s="1">
        <f>IF(ISNUMBER(G719),G719,"")</f>
        <v/>
      </c>
      <c r="I719" s="1">
        <f>_xlfn.RANK.EQ(H719,$H$2:$H$1031)</f>
        <v/>
      </c>
      <c r="J719" s="5" t="n">
        <v>439.25</v>
      </c>
      <c r="K719" s="5" t="n">
        <v>36</v>
      </c>
      <c r="L719" s="5" t="n">
        <v>20</v>
      </c>
      <c r="M719" s="5" t="n">
        <v>16</v>
      </c>
      <c r="N719" s="5">
        <f>J719+K719+L719+M719</f>
        <v/>
      </c>
      <c r="O719" s="5">
        <f>IF(ISNUMBER(N719),N719,"")</f>
        <v/>
      </c>
      <c r="P719" s="5">
        <f>_xlfn.RANK.EQ(O719,$O$2:$O$1031)</f>
        <v/>
      </c>
      <c r="Q719" s="9" t="n">
        <v>204</v>
      </c>
      <c r="R719" s="9" t="n">
        <v>42</v>
      </c>
      <c r="S719" s="9" t="n">
        <v>24</v>
      </c>
      <c r="T719" s="9" t="n">
        <v>23</v>
      </c>
      <c r="U719" s="9">
        <f>Q719+R719+S719+T719</f>
        <v/>
      </c>
      <c r="V719" s="9">
        <f>IF(ISNUMBER(U719),U719,"")</f>
        <v/>
      </c>
      <c r="W719" s="9">
        <f>_xlfn.RANK.EQ(V719,$V$2:$V$1031)</f>
        <v/>
      </c>
      <c r="X719" s="13" t="n">
        <v>1176.925</v>
      </c>
      <c r="Y719" s="13" t="n">
        <v>21.5</v>
      </c>
      <c r="Z719" s="13" t="n">
        <v>18</v>
      </c>
      <c r="AA719" s="13" t="n">
        <v>20</v>
      </c>
      <c r="AB719" s="13">
        <f>IF(ISNUMBER(X719),X719+N(Y719)+N(Z719)+N(AA719),X719)</f>
        <v/>
      </c>
      <c r="AC719" s="13">
        <f>IF(ISNUMBER(AB719),AB719,"")</f>
        <v/>
      </c>
      <c r="AD719" s="13">
        <f>IF(ISNUMBER(AC719),_xlfn.RANK.EQ(AC719,$AC$2:$AC$1031),"")</f>
        <v/>
      </c>
      <c r="AE719" s="15">
        <f>IF(ISNUMBER(AF719),AF719/3630,"")</f>
        <v/>
      </c>
      <c r="AF719" s="14">
        <f>IFERROR(C719+D719+E719+F719+J719+K719+L719+M719+Q719+R719+S719+T719+IF(ISNUMBER(X719),X719,0)+N(Y719)+N(Z719)+N(AA719),"")</f>
        <v/>
      </c>
      <c r="AG719" s="14">
        <f>IF(ISNUMBER(AF719),AF719,"")</f>
        <v/>
      </c>
      <c r="AH719" s="14">
        <f>IF(ISNUMBER(AG719),_xlfn.RANK.EQ(AG719,$AG$2:$AG$1031),"")</f>
        <v/>
      </c>
    </row>
    <row r="720">
      <c r="A720" s="18" t="n">
        <v>1764</v>
      </c>
      <c r="B720" s="18" t="inlineStr">
        <is>
          <t>محمد محمد حسين على قناوى</t>
        </is>
      </c>
      <c r="C720" s="1" t="n">
        <v>605.8</v>
      </c>
      <c r="D720" s="1" t="n">
        <v>25</v>
      </c>
      <c r="E720" s="1" t="n">
        <v>25</v>
      </c>
      <c r="F720" s="1" t="n">
        <v>18</v>
      </c>
      <c r="G720" s="1">
        <f>C720+D720+E720+F720</f>
        <v/>
      </c>
      <c r="H720" s="1">
        <f>IF(ISNUMBER(G720),G720,"")</f>
        <v/>
      </c>
      <c r="I720" s="1">
        <f>_xlfn.RANK.EQ(H720,$H$2:$H$1031)</f>
        <v/>
      </c>
      <c r="J720" s="5" t="n">
        <v>542.5</v>
      </c>
      <c r="K720" s="5" t="n">
        <v>43</v>
      </c>
      <c r="L720" s="5" t="n">
        <v>21</v>
      </c>
      <c r="M720" s="5" t="n">
        <v>22</v>
      </c>
      <c r="N720" s="5">
        <f>J720+K720+L720+M720</f>
        <v/>
      </c>
      <c r="O720" s="5">
        <f>IF(ISNUMBER(N720),N720,"")</f>
        <v/>
      </c>
      <c r="P720" s="5">
        <f>_xlfn.RANK.EQ(O720,$O$2:$O$1031)</f>
        <v/>
      </c>
      <c r="Q720" s="9" t="n">
        <v>216.75</v>
      </c>
      <c r="R720" s="9" t="n">
        <v>41.5</v>
      </c>
      <c r="S720" s="9" t="n">
        <v>25</v>
      </c>
      <c r="T720" s="9" t="n">
        <v>22.5</v>
      </c>
      <c r="U720" s="9">
        <f>Q720+R720+S720+T720</f>
        <v/>
      </c>
      <c r="V720" s="9">
        <f>IF(ISNUMBER(U720),U720,"")</f>
        <v/>
      </c>
      <c r="W720" s="9">
        <f>_xlfn.RANK.EQ(V720,$V$2:$V$1031)</f>
        <v/>
      </c>
      <c r="X720" s="13" t="n">
        <v>1148.1708333333</v>
      </c>
      <c r="Y720" s="13" t="n">
        <v>14</v>
      </c>
      <c r="Z720" s="13" t="n">
        <v>22</v>
      </c>
      <c r="AA720" s="13" t="n">
        <v>20</v>
      </c>
      <c r="AB720" s="13">
        <f>IF(ISNUMBER(X720),X720+N(Y720)+N(Z720)+N(AA720),X720)</f>
        <v/>
      </c>
      <c r="AC720" s="13">
        <f>IF(ISNUMBER(AB720),AB720,"")</f>
        <v/>
      </c>
      <c r="AD720" s="13">
        <f>IF(ISNUMBER(AC720),_xlfn.RANK.EQ(AC720,$AC$2:$AC$1031),"")</f>
        <v/>
      </c>
      <c r="AE720" s="15">
        <f>IF(ISNUMBER(AF720),AF720/3630,"")</f>
        <v/>
      </c>
      <c r="AF720" s="14">
        <f>IFERROR(C720+D720+E720+F720+J720+K720+L720+M720+Q720+R720+S720+T720+IF(ISNUMBER(X720),X720,0)+N(Y720)+N(Z720)+N(AA720),"")</f>
        <v/>
      </c>
      <c r="AG720" s="14">
        <f>IF(ISNUMBER(AF720),AF720,"")</f>
        <v/>
      </c>
      <c r="AH720" s="14">
        <f>IF(ISNUMBER(AG720),_xlfn.RANK.EQ(AG720,$AG$2:$AG$1031),"")</f>
        <v/>
      </c>
    </row>
    <row r="721">
      <c r="A721" s="18" t="n">
        <v>1766</v>
      </c>
      <c r="B721" s="18" t="inlineStr">
        <is>
          <t>محمد محمود احمد سيد محى الدين</t>
        </is>
      </c>
      <c r="C721" s="1" t="n">
        <v>578.2</v>
      </c>
      <c r="D721" s="1" t="n">
        <v>24</v>
      </c>
      <c r="E721" s="1" t="n">
        <v>23</v>
      </c>
      <c r="F721" s="1" t="n">
        <v>24</v>
      </c>
      <c r="G721" s="1">
        <f>C721+D721+E721+F721</f>
        <v/>
      </c>
      <c r="H721" s="1">
        <f>IF(ISNUMBER(G721),G721,"")</f>
        <v/>
      </c>
      <c r="I721" s="1">
        <f>_xlfn.RANK.EQ(H721,$H$2:$H$1031)</f>
        <v/>
      </c>
      <c r="J721" s="5" t="n">
        <v>589</v>
      </c>
      <c r="K721" s="5" t="n">
        <v>46</v>
      </c>
      <c r="L721" s="5" t="n">
        <v>20</v>
      </c>
      <c r="M721" s="5" t="n">
        <v>21</v>
      </c>
      <c r="N721" s="5">
        <f>J721+K721+L721+M721</f>
        <v/>
      </c>
      <c r="O721" s="5">
        <f>IF(ISNUMBER(N721),N721,"")</f>
        <v/>
      </c>
      <c r="P721" s="5">
        <f>_xlfn.RANK.EQ(O721,$O$2:$O$1031)</f>
        <v/>
      </c>
      <c r="Q721" s="9" t="n">
        <v>250</v>
      </c>
      <c r="R721" s="9" t="n">
        <v>45</v>
      </c>
      <c r="S721" s="9" t="n">
        <v>25</v>
      </c>
      <c r="T721" s="9" t="n">
        <v>24.5</v>
      </c>
      <c r="U721" s="9">
        <f>Q721+R721+S721+T721</f>
        <v/>
      </c>
      <c r="V721" s="9">
        <f>IF(ISNUMBER(U721),U721,"")</f>
        <v/>
      </c>
      <c r="W721" s="9">
        <f>_xlfn.RANK.EQ(V721,$V$2:$V$1031)</f>
        <v/>
      </c>
      <c r="X721" s="13" t="n">
        <v>1411.2416666667</v>
      </c>
      <c r="Y721" s="13" t="n">
        <v>24</v>
      </c>
      <c r="Z721" s="13" t="n">
        <v>24</v>
      </c>
      <c r="AA721" s="13" t="n">
        <v>25</v>
      </c>
      <c r="AB721" s="13">
        <f>IF(ISNUMBER(X721),X721+N(Y721)+N(Z721)+N(AA721),X721)</f>
        <v/>
      </c>
      <c r="AC721" s="13">
        <f>IF(ISNUMBER(AB721),AB721,"")</f>
        <v/>
      </c>
      <c r="AD721" s="13">
        <f>IF(ISNUMBER(AC721),_xlfn.RANK.EQ(AC721,$AC$2:$AC$1031),"")</f>
        <v/>
      </c>
      <c r="AE721" s="15">
        <f>IF(ISNUMBER(AF721),AF721/3630,"")</f>
        <v/>
      </c>
      <c r="AF721" s="14">
        <f>IFERROR(C721+D721+E721+F721+J721+K721+L721+M721+Q721+R721+S721+T721+IF(ISNUMBER(X721),X721,0)+N(Y721)+N(Z721)+N(AA721),"")</f>
        <v/>
      </c>
      <c r="AG721" s="14">
        <f>IF(ISNUMBER(AF721),AF721,"")</f>
        <v/>
      </c>
      <c r="AH721" s="14">
        <f>IF(ISNUMBER(AG721),_xlfn.RANK.EQ(AG721,$AG$2:$AG$1031),"")</f>
        <v/>
      </c>
    </row>
    <row r="722">
      <c r="A722" s="18" t="n">
        <v>1768</v>
      </c>
      <c r="B722" s="18" t="inlineStr">
        <is>
          <t>محمد محمود امام محمد البابلى</t>
        </is>
      </c>
      <c r="C722" s="1" t="n">
        <v>621.5</v>
      </c>
      <c r="D722" s="1" t="n">
        <v>25</v>
      </c>
      <c r="E722" s="1" t="n">
        <v>25</v>
      </c>
      <c r="F722" s="1" t="n">
        <v>23</v>
      </c>
      <c r="G722" s="1">
        <f>C722+D722+E722+F722</f>
        <v/>
      </c>
      <c r="H722" s="1">
        <f>IF(ISNUMBER(G722),G722,"")</f>
        <v/>
      </c>
      <c r="I722" s="1">
        <f>_xlfn.RANK.EQ(H722,$H$2:$H$1031)</f>
        <v/>
      </c>
      <c r="J722" s="5" t="n">
        <v>597</v>
      </c>
      <c r="K722" s="5" t="n">
        <v>48</v>
      </c>
      <c r="L722" s="5" t="n">
        <v>22</v>
      </c>
      <c r="M722" s="5" t="n">
        <v>24</v>
      </c>
      <c r="N722" s="5">
        <f>J722+K722+L722+M722</f>
        <v/>
      </c>
      <c r="O722" s="5">
        <f>IF(ISNUMBER(N722),N722,"")</f>
        <v/>
      </c>
      <c r="P722" s="5">
        <f>_xlfn.RANK.EQ(O722,$O$2:$O$1031)</f>
        <v/>
      </c>
      <c r="Q722" s="9" t="n">
        <v>247</v>
      </c>
      <c r="R722" s="9" t="n">
        <v>43</v>
      </c>
      <c r="S722" s="9" t="n">
        <v>24</v>
      </c>
      <c r="T722" s="9" t="n">
        <v>23</v>
      </c>
      <c r="U722" s="9">
        <f>Q722+R722+S722+T722</f>
        <v/>
      </c>
      <c r="V722" s="9">
        <f>IF(ISNUMBER(U722),U722,"")</f>
        <v/>
      </c>
      <c r="W722" s="9">
        <f>_xlfn.RANK.EQ(V722,$V$2:$V$1031)</f>
        <v/>
      </c>
      <c r="X722" s="13" t="n">
        <v>1324.075</v>
      </c>
      <c r="Y722" s="13" t="n">
        <v>22</v>
      </c>
      <c r="Z722" s="13" t="n">
        <v>21</v>
      </c>
      <c r="AA722" s="13" t="n">
        <v>23</v>
      </c>
      <c r="AB722" s="13">
        <f>IF(ISNUMBER(X722),X722+N(Y722)+N(Z722)+N(AA722),X722)</f>
        <v/>
      </c>
      <c r="AC722" s="13">
        <f>IF(ISNUMBER(AB722),AB722,"")</f>
        <v/>
      </c>
      <c r="AD722" s="13">
        <f>IF(ISNUMBER(AC722),_xlfn.RANK.EQ(AC722,$AC$2:$AC$1031),"")</f>
        <v/>
      </c>
      <c r="AE722" s="15">
        <f>IF(ISNUMBER(AF722),AF722/3630,"")</f>
        <v/>
      </c>
      <c r="AF722" s="14">
        <f>IFERROR(C722+D722+E722+F722+J722+K722+L722+M722+Q722+R722+S722+T722+IF(ISNUMBER(X722),X722,0)+N(Y722)+N(Z722)+N(AA722),"")</f>
        <v/>
      </c>
      <c r="AG722" s="14">
        <f>IF(ISNUMBER(AF722),AF722,"")</f>
        <v/>
      </c>
      <c r="AH722" s="14">
        <f>IF(ISNUMBER(AG722),_xlfn.RANK.EQ(AG722,$AG$2:$AG$1031),"")</f>
        <v/>
      </c>
    </row>
    <row r="723">
      <c r="A723" s="18" t="n">
        <v>1773</v>
      </c>
      <c r="B723" s="18" t="inlineStr">
        <is>
          <t>محمد محمود محفوظ شلبي</t>
        </is>
      </c>
      <c r="C723" s="1" t="n">
        <v>590</v>
      </c>
      <c r="D723" s="1" t="n">
        <v>25</v>
      </c>
      <c r="E723" s="1" t="n">
        <v>23</v>
      </c>
      <c r="F723" s="1" t="n">
        <v>21</v>
      </c>
      <c r="G723" s="1">
        <f>C723+D723+E723+F723</f>
        <v/>
      </c>
      <c r="H723" s="1">
        <f>IF(ISNUMBER(G723),G723,"")</f>
        <v/>
      </c>
      <c r="I723" s="1">
        <f>_xlfn.RANK.EQ(H723,$H$2:$H$1031)</f>
        <v/>
      </c>
      <c r="J723" s="5" t="n">
        <v>586.05</v>
      </c>
      <c r="K723" s="5" t="n">
        <v>44</v>
      </c>
      <c r="L723" s="5" t="n">
        <v>21</v>
      </c>
      <c r="M723" s="5" t="n">
        <v>20</v>
      </c>
      <c r="N723" s="5">
        <f>J723+K723+L723+M723</f>
        <v/>
      </c>
      <c r="O723" s="5">
        <f>IF(ISNUMBER(N723),N723,"")</f>
        <v/>
      </c>
      <c r="P723" s="5">
        <f>_xlfn.RANK.EQ(O723,$O$2:$O$1031)</f>
        <v/>
      </c>
      <c r="Q723" s="9" t="n">
        <v>223.25</v>
      </c>
      <c r="R723" s="9" t="n">
        <v>38</v>
      </c>
      <c r="S723" s="9" t="n">
        <v>22</v>
      </c>
      <c r="T723" s="9" t="n">
        <v>23.5</v>
      </c>
      <c r="U723" s="9">
        <f>Q723+R723+S723+T723</f>
        <v/>
      </c>
      <c r="V723" s="9">
        <f>IF(ISNUMBER(U723),U723,"")</f>
        <v/>
      </c>
      <c r="W723" s="9">
        <f>_xlfn.RANK.EQ(V723,$V$2:$V$1031)</f>
        <v/>
      </c>
      <c r="X723" s="13" t="n">
        <v>1408.65</v>
      </c>
      <c r="Y723" s="13" t="n">
        <v>25</v>
      </c>
      <c r="Z723" s="13" t="n">
        <v>24</v>
      </c>
      <c r="AA723" s="13" t="n">
        <v>24</v>
      </c>
      <c r="AB723" s="13">
        <f>IF(ISNUMBER(X723),X723+N(Y723)+N(Z723)+N(AA723),X723)</f>
        <v/>
      </c>
      <c r="AC723" s="13">
        <f>IF(ISNUMBER(AB723),AB723,"")</f>
        <v/>
      </c>
      <c r="AD723" s="13">
        <f>IF(ISNUMBER(AC723),_xlfn.RANK.EQ(AC723,$AC$2:$AC$1031),"")</f>
        <v/>
      </c>
      <c r="AE723" s="15">
        <f>IF(ISNUMBER(AF723),AF723/3630,"")</f>
        <v/>
      </c>
      <c r="AF723" s="14">
        <f>IFERROR(C723+D723+E723+F723+J723+K723+L723+M723+Q723+R723+S723+T723+IF(ISNUMBER(X723),X723,0)+N(Y723)+N(Z723)+N(AA723),"")</f>
        <v/>
      </c>
      <c r="AG723" s="14">
        <f>IF(ISNUMBER(AF723),AF723,"")</f>
        <v/>
      </c>
      <c r="AH723" s="14">
        <f>IF(ISNUMBER(AG723),_xlfn.RANK.EQ(AG723,$AG$2:$AG$1031),"")</f>
        <v/>
      </c>
    </row>
    <row r="724">
      <c r="A724" s="18" t="n">
        <v>1774</v>
      </c>
      <c r="B724" s="18" t="inlineStr">
        <is>
          <t>محمد محمود محمد ابراهيم</t>
        </is>
      </c>
      <c r="C724" s="1" t="n">
        <v>409</v>
      </c>
      <c r="D724" s="1" t="n">
        <v>8</v>
      </c>
      <c r="E724" s="1" t="n">
        <v>17</v>
      </c>
      <c r="F724" s="1" t="n">
        <v>23</v>
      </c>
      <c r="G724" s="1">
        <f>C724+D724+E724+F724</f>
        <v/>
      </c>
      <c r="H724" s="1">
        <f>IF(ISNUMBER(G724),G724,"")</f>
        <v/>
      </c>
      <c r="I724" s="1">
        <f>_xlfn.RANK.EQ(H724,$H$2:$H$1031)</f>
        <v/>
      </c>
      <c r="J724" s="5" t="n">
        <v>465.7</v>
      </c>
      <c r="K724" s="5" t="n">
        <v>47</v>
      </c>
      <c r="L724" s="5" t="n">
        <v>17</v>
      </c>
      <c r="M724" s="5" t="n">
        <v>23</v>
      </c>
      <c r="N724" s="5">
        <f>J724+K724+L724+M724</f>
        <v/>
      </c>
      <c r="O724" s="5">
        <f>IF(ISNUMBER(N724),N724,"")</f>
        <v/>
      </c>
      <c r="P724" s="5">
        <f>_xlfn.RANK.EQ(O724,$O$2:$O$1031)</f>
        <v/>
      </c>
      <c r="Q724" s="9" t="n">
        <v>202</v>
      </c>
      <c r="R724" s="9" t="n">
        <v>33.5</v>
      </c>
      <c r="S724" s="9" t="n">
        <v>13</v>
      </c>
      <c r="T724" s="9" t="n">
        <v>24</v>
      </c>
      <c r="U724" s="9">
        <f>Q724+R724+S724+T724</f>
        <v/>
      </c>
      <c r="V724" s="9">
        <f>IF(ISNUMBER(U724),U724,"")</f>
        <v/>
      </c>
      <c r="W724" s="9">
        <f>_xlfn.RANK.EQ(V724,$V$2:$V$1031)</f>
        <v/>
      </c>
      <c r="X724" s="13" t="inlineStr">
        <is>
          <t>راسب</t>
        </is>
      </c>
      <c r="Y724" s="13" t="n">
        <v>20</v>
      </c>
      <c r="Z724" s="13" t="n">
        <v>25</v>
      </c>
      <c r="AA724" s="13" t="n">
        <v>8</v>
      </c>
      <c r="AB724" s="13">
        <f>IF(ISNUMBER(X724),X724+N(Y724)+N(Z724)+N(AA724),X724)</f>
        <v/>
      </c>
      <c r="AC724" s="13">
        <f>IF(ISNUMBER(AB724),AB724,"")</f>
        <v/>
      </c>
      <c r="AD724" s="13">
        <f>IF(ISNUMBER(AC724),_xlfn.RANK.EQ(AC724,$AC$2:$AC$1031),"")</f>
        <v/>
      </c>
      <c r="AE724" s="15">
        <f>IF(ISNUMBER(AF724),AF724/3630,"")</f>
        <v/>
      </c>
      <c r="AF724" s="14">
        <f>IFERROR(C724+D724+E724+F724+J724+K724+L724+M724+Q724+R724+S724+T724+IF(ISNUMBER(X724),X724,0)+N(Y724)+N(Z724)+N(AA724),"")</f>
        <v/>
      </c>
      <c r="AG724" s="14">
        <f>IF(ISNUMBER(AF724),AF724,"")</f>
        <v/>
      </c>
      <c r="AH724" s="14">
        <f>IF(ISNUMBER(AG724),_xlfn.RANK.EQ(AG724,$AG$2:$AG$1031),"")</f>
        <v/>
      </c>
    </row>
    <row r="725">
      <c r="A725" s="18" t="n">
        <v>1775</v>
      </c>
      <c r="B725" s="18" t="inlineStr">
        <is>
          <t>محمد محمود محمد عباس</t>
        </is>
      </c>
      <c r="C725" s="1" t="e">
        <v>#N/A</v>
      </c>
      <c r="D725" s="1" t="n">
        <v>25</v>
      </c>
      <c r="E725" s="1" t="n">
        <v>23</v>
      </c>
      <c r="F725" s="1" t="n">
        <v>21</v>
      </c>
      <c r="G725" s="1">
        <f>C725+D725+E725+F725</f>
        <v/>
      </c>
      <c r="H725" s="1">
        <f>IF(ISNUMBER(G725),G725,"")</f>
        <v/>
      </c>
      <c r="I725" s="1">
        <f>_xlfn.RANK.EQ(H725,$H$2:$H$1031)</f>
        <v/>
      </c>
      <c r="J725" s="5" t="n">
        <v>567.5</v>
      </c>
      <c r="K725" s="5" t="n">
        <v>47</v>
      </c>
      <c r="L725" s="5" t="n">
        <v>21</v>
      </c>
      <c r="M725" s="5" t="n">
        <v>21</v>
      </c>
      <c r="N725" s="5">
        <f>J725+K725+L725+M725</f>
        <v/>
      </c>
      <c r="O725" s="5">
        <f>IF(ISNUMBER(N725),N725,"")</f>
        <v/>
      </c>
      <c r="P725" s="5">
        <f>_xlfn.RANK.EQ(O725,$O$2:$O$1031)</f>
        <v/>
      </c>
      <c r="Q725" s="9" t="n">
        <v>208.25</v>
      </c>
      <c r="R725" s="9" t="n">
        <v>42</v>
      </c>
      <c r="S725" s="9" t="n">
        <v>23</v>
      </c>
      <c r="T725" s="9" t="n">
        <v>24</v>
      </c>
      <c r="U725" s="9">
        <f>Q725+R725+S725+T725</f>
        <v/>
      </c>
      <c r="V725" s="9">
        <f>IF(ISNUMBER(U725),U725,"")</f>
        <v/>
      </c>
      <c r="W725" s="9">
        <f>_xlfn.RANK.EQ(V725,$V$2:$V$1031)</f>
        <v/>
      </c>
      <c r="X725" s="13" t="n">
        <v>1213.125</v>
      </c>
      <c r="Y725" s="13" t="n">
        <v>24</v>
      </c>
      <c r="Z725" s="13" t="n">
        <v>23</v>
      </c>
      <c r="AA725" s="13" t="n">
        <v>22</v>
      </c>
      <c r="AB725" s="13">
        <f>IF(ISNUMBER(X725),X725+N(Y725)+N(Z725)+N(AA725),X725)</f>
        <v/>
      </c>
      <c r="AC725" s="13">
        <f>IF(ISNUMBER(AB725),AB725,"")</f>
        <v/>
      </c>
      <c r="AD725" s="13">
        <f>IF(ISNUMBER(AC725),_xlfn.RANK.EQ(AC725,$AC$2:$AC$1031),"")</f>
        <v/>
      </c>
      <c r="AE725" s="15">
        <f>IF(ISNUMBER(AF725),AF725/3630,"")</f>
        <v/>
      </c>
      <c r="AF725" s="14">
        <f>IFERROR(C725+D725+E725+F725+J725+K725+L725+M725+Q725+R725+S725+T725+IF(ISNUMBER(X725),X725,0)+N(Y725)+N(Z725)+N(AA725),"")</f>
        <v/>
      </c>
      <c r="AG725" s="14">
        <f>IF(ISNUMBER(AF725),AF725,"")</f>
        <v/>
      </c>
      <c r="AH725" s="14">
        <f>IF(ISNUMBER(AG725),_xlfn.RANK.EQ(AG725,$AG$2:$AG$1031),"")</f>
        <v/>
      </c>
    </row>
    <row r="726">
      <c r="A726" s="18" t="n">
        <v>1776</v>
      </c>
      <c r="B726" s="18" t="inlineStr">
        <is>
          <t>محمد محمود نصر محمود الديب</t>
        </is>
      </c>
      <c r="C726" s="1" t="n">
        <v>547.3</v>
      </c>
      <c r="D726" s="1" t="n">
        <v>23</v>
      </c>
      <c r="E726" s="1" t="n">
        <v>24</v>
      </c>
      <c r="F726" s="1" t="n">
        <v>22</v>
      </c>
      <c r="G726" s="1">
        <f>C726+D726+E726+F726</f>
        <v/>
      </c>
      <c r="H726" s="1">
        <f>IF(ISNUMBER(G726),G726,"")</f>
        <v/>
      </c>
      <c r="I726" s="1">
        <f>_xlfn.RANK.EQ(H726,$H$2:$H$1031)</f>
        <v/>
      </c>
      <c r="J726" s="5" t="n">
        <v>576</v>
      </c>
      <c r="K726" s="5" t="n">
        <v>46</v>
      </c>
      <c r="L726" s="5" t="n">
        <v>21</v>
      </c>
      <c r="M726" s="5" t="n">
        <v>23</v>
      </c>
      <c r="N726" s="5">
        <f>J726+K726+L726+M726</f>
        <v/>
      </c>
      <c r="O726" s="5">
        <f>IF(ISNUMBER(N726),N726,"")</f>
        <v/>
      </c>
      <c r="P726" s="5">
        <f>_xlfn.RANK.EQ(O726,$O$2:$O$1031)</f>
        <v/>
      </c>
      <c r="Q726" s="9" t="n">
        <v>246</v>
      </c>
      <c r="R726" s="9" t="n">
        <v>45</v>
      </c>
      <c r="S726" s="9" t="n">
        <v>20</v>
      </c>
      <c r="T726" s="9" t="n">
        <v>22</v>
      </c>
      <c r="U726" s="9">
        <f>Q726+R726+S726+T726</f>
        <v/>
      </c>
      <c r="V726" s="9">
        <f>IF(ISNUMBER(U726),U726,"")</f>
        <v/>
      </c>
      <c r="W726" s="9">
        <f>_xlfn.RANK.EQ(V726,$V$2:$V$1031)</f>
        <v/>
      </c>
      <c r="X726" s="13" t="n">
        <v>1386.9</v>
      </c>
      <c r="Y726" s="13" t="n">
        <v>21.5</v>
      </c>
      <c r="Z726" s="13" t="n">
        <v>24</v>
      </c>
      <c r="AA726" s="13" t="n">
        <v>24</v>
      </c>
      <c r="AB726" s="13">
        <f>IF(ISNUMBER(X726),X726+N(Y726)+N(Z726)+N(AA726),X726)</f>
        <v/>
      </c>
      <c r="AC726" s="13">
        <f>IF(ISNUMBER(AB726),AB726,"")</f>
        <v/>
      </c>
      <c r="AD726" s="13">
        <f>IF(ISNUMBER(AC726),_xlfn.RANK.EQ(AC726,$AC$2:$AC$1031),"")</f>
        <v/>
      </c>
      <c r="AE726" s="15">
        <f>IF(ISNUMBER(AF726),AF726/3630,"")</f>
        <v/>
      </c>
      <c r="AF726" s="14">
        <f>IFERROR(C726+D726+E726+F726+J726+K726+L726+M726+Q726+R726+S726+T726+IF(ISNUMBER(X726),X726,0)+N(Y726)+N(Z726)+N(AA726),"")</f>
        <v/>
      </c>
      <c r="AG726" s="14">
        <f>IF(ISNUMBER(AF726),AF726,"")</f>
        <v/>
      </c>
      <c r="AH726" s="14">
        <f>IF(ISNUMBER(AG726),_xlfn.RANK.EQ(AG726,$AG$2:$AG$1031),"")</f>
        <v/>
      </c>
    </row>
    <row r="727">
      <c r="A727" s="18" t="n">
        <v>1778</v>
      </c>
      <c r="B727" s="18" t="inlineStr">
        <is>
          <t>محمد مخلص زين العابدين عبد الرحمن المصرى</t>
        </is>
      </c>
      <c r="C727" s="1" t="n">
        <v>495.2</v>
      </c>
      <c r="D727" s="1" t="n">
        <v>25</v>
      </c>
      <c r="E727" s="1" t="n">
        <v>21</v>
      </c>
      <c r="F727" s="1" t="n">
        <v>16</v>
      </c>
      <c r="G727" s="1">
        <f>C727+D727+E727+F727</f>
        <v/>
      </c>
      <c r="H727" s="1">
        <f>IF(ISNUMBER(G727),G727,"")</f>
        <v/>
      </c>
      <c r="I727" s="1">
        <f>_xlfn.RANK.EQ(H727,$H$2:$H$1031)</f>
        <v/>
      </c>
      <c r="J727" s="5" t="n">
        <v>521.5</v>
      </c>
      <c r="K727" s="5" t="n">
        <v>44</v>
      </c>
      <c r="L727" s="5" t="n">
        <v>21</v>
      </c>
      <c r="M727" s="5" t="n">
        <v>21</v>
      </c>
      <c r="N727" s="5">
        <f>J727+K727+L727+M727</f>
        <v/>
      </c>
      <c r="O727" s="5">
        <f>IF(ISNUMBER(N727),N727,"")</f>
        <v/>
      </c>
      <c r="P727" s="5">
        <f>_xlfn.RANK.EQ(O727,$O$2:$O$1031)</f>
        <v/>
      </c>
      <c r="Q727" s="9" t="n">
        <v>214</v>
      </c>
      <c r="R727" s="9" t="n">
        <v>43</v>
      </c>
      <c r="S727" s="9" t="n">
        <v>22</v>
      </c>
      <c r="T727" s="9" t="n">
        <v>22.5</v>
      </c>
      <c r="U727" s="9">
        <f>Q727+R727+S727+T727</f>
        <v/>
      </c>
      <c r="V727" s="9">
        <f>IF(ISNUMBER(U727),U727,"")</f>
        <v/>
      </c>
      <c r="W727" s="9">
        <f>_xlfn.RANK.EQ(V727,$V$2:$V$1031)</f>
        <v/>
      </c>
      <c r="X727" s="13" t="n">
        <v>1224.95</v>
      </c>
      <c r="Y727" s="13" t="n">
        <v>24</v>
      </c>
      <c r="Z727" s="13" t="n">
        <v>22</v>
      </c>
      <c r="AA727" s="13" t="n">
        <v>20</v>
      </c>
      <c r="AB727" s="13">
        <f>IF(ISNUMBER(X727),X727+N(Y727)+N(Z727)+N(AA727),X727)</f>
        <v/>
      </c>
      <c r="AC727" s="13">
        <f>IF(ISNUMBER(AB727),AB727,"")</f>
        <v/>
      </c>
      <c r="AD727" s="13">
        <f>IF(ISNUMBER(AC727),_xlfn.RANK.EQ(AC727,$AC$2:$AC$1031),"")</f>
        <v/>
      </c>
      <c r="AE727" s="15">
        <f>IF(ISNUMBER(AF727),AF727/3630,"")</f>
        <v/>
      </c>
      <c r="AF727" s="14">
        <f>IFERROR(C727+D727+E727+F727+J727+K727+L727+M727+Q727+R727+S727+T727+IF(ISNUMBER(X727),X727,0)+N(Y727)+N(Z727)+N(AA727),"")</f>
        <v/>
      </c>
      <c r="AG727" s="14">
        <f>IF(ISNUMBER(AF727),AF727,"")</f>
        <v/>
      </c>
      <c r="AH727" s="14">
        <f>IF(ISNUMBER(AG727),_xlfn.RANK.EQ(AG727,$AG$2:$AG$1031),"")</f>
        <v/>
      </c>
    </row>
    <row r="728">
      <c r="A728" s="18" t="n">
        <v>1781</v>
      </c>
      <c r="B728" s="18" t="inlineStr">
        <is>
          <t>محمد مرسي ابراهيم نور الدين</t>
        </is>
      </c>
      <c r="C728" s="1" t="n">
        <v>585.6</v>
      </c>
      <c r="D728" s="1" t="n">
        <v>18</v>
      </c>
      <c r="E728" s="1" t="n">
        <v>23</v>
      </c>
      <c r="F728" s="1" t="n">
        <v>22</v>
      </c>
      <c r="G728" s="1">
        <f>C728+D728+E728+F728</f>
        <v/>
      </c>
      <c r="H728" s="1">
        <f>IF(ISNUMBER(G728),G728,"")</f>
        <v/>
      </c>
      <c r="I728" s="1">
        <f>_xlfn.RANK.EQ(H728,$H$2:$H$1031)</f>
        <v/>
      </c>
      <c r="J728" s="5" t="n">
        <v>591.5</v>
      </c>
      <c r="K728" s="5" t="n">
        <v>48</v>
      </c>
      <c r="L728" s="5" t="n">
        <v>22</v>
      </c>
      <c r="M728" s="5" t="n">
        <v>23</v>
      </c>
      <c r="N728" s="5">
        <f>J728+K728+L728+M728</f>
        <v/>
      </c>
      <c r="O728" s="5">
        <f>IF(ISNUMBER(N728),N728,"")</f>
        <v/>
      </c>
      <c r="P728" s="5">
        <f>_xlfn.RANK.EQ(O728,$O$2:$O$1031)</f>
        <v/>
      </c>
      <c r="Q728" s="9" t="n">
        <v>257</v>
      </c>
      <c r="R728" s="9" t="n">
        <v>43</v>
      </c>
      <c r="S728" s="9" t="n">
        <v>23</v>
      </c>
      <c r="T728" s="9" t="n">
        <v>23.5</v>
      </c>
      <c r="U728" s="9">
        <f>Q728+R728+S728+T728</f>
        <v/>
      </c>
      <c r="V728" s="9">
        <f>IF(ISNUMBER(U728),U728,"")</f>
        <v/>
      </c>
      <c r="W728" s="9">
        <f>_xlfn.RANK.EQ(V728,$V$2:$V$1031)</f>
        <v/>
      </c>
      <c r="X728" s="13" t="n">
        <v>1369.5083333333</v>
      </c>
      <c r="Y728" s="13" t="n">
        <v>24</v>
      </c>
      <c r="Z728" s="13" t="n">
        <v>22</v>
      </c>
      <c r="AA728" s="13" t="n">
        <v>23</v>
      </c>
      <c r="AB728" s="13">
        <f>IF(ISNUMBER(X728),X728+N(Y728)+N(Z728)+N(AA728),X728)</f>
        <v/>
      </c>
      <c r="AC728" s="13">
        <f>IF(ISNUMBER(AB728),AB728,"")</f>
        <v/>
      </c>
      <c r="AD728" s="13">
        <f>IF(ISNUMBER(AC728),_xlfn.RANK.EQ(AC728,$AC$2:$AC$1031),"")</f>
        <v/>
      </c>
      <c r="AE728" s="15">
        <f>IF(ISNUMBER(AF728),AF728/3630,"")</f>
        <v/>
      </c>
      <c r="AF728" s="14">
        <f>IFERROR(C728+D728+E728+F728+J728+K728+L728+M728+Q728+R728+S728+T728+IF(ISNUMBER(X728),X728,0)+N(Y728)+N(Z728)+N(AA728),"")</f>
        <v/>
      </c>
      <c r="AG728" s="14">
        <f>IF(ISNUMBER(AF728),AF728,"")</f>
        <v/>
      </c>
      <c r="AH728" s="14">
        <f>IF(ISNUMBER(AG728),_xlfn.RANK.EQ(AG728,$AG$2:$AG$1031),"")</f>
        <v/>
      </c>
    </row>
    <row r="729">
      <c r="A729" s="18" t="n">
        <v>1782</v>
      </c>
      <c r="B729" s="18" t="inlineStr">
        <is>
          <t>محمد مسعد شعيب محمد شعيب</t>
        </is>
      </c>
      <c r="C729" s="1" t="n">
        <v>621.3</v>
      </c>
      <c r="D729" s="1" t="n">
        <v>25</v>
      </c>
      <c r="E729" s="1" t="n">
        <v>24</v>
      </c>
      <c r="F729" s="1" t="n">
        <v>23</v>
      </c>
      <c r="G729" s="1">
        <f>C729+D729+E729+F729</f>
        <v/>
      </c>
      <c r="H729" s="1">
        <f>IF(ISNUMBER(G729),G729,"")</f>
        <v/>
      </c>
      <c r="I729" s="1">
        <f>_xlfn.RANK.EQ(H729,$H$2:$H$1031)</f>
        <v/>
      </c>
      <c r="J729" s="5" t="n">
        <v>619.5</v>
      </c>
      <c r="K729" s="5" t="n">
        <v>47</v>
      </c>
      <c r="L729" s="5" t="n">
        <v>23</v>
      </c>
      <c r="M729" s="5" t="n">
        <v>23</v>
      </c>
      <c r="N729" s="5">
        <f>J729+K729+L729+M729</f>
        <v/>
      </c>
      <c r="O729" s="5">
        <f>IF(ISNUMBER(N729),N729,"")</f>
        <v/>
      </c>
      <c r="P729" s="5">
        <f>_xlfn.RANK.EQ(O729,$O$2:$O$1031)</f>
        <v/>
      </c>
      <c r="Q729" s="9" t="n">
        <v>258</v>
      </c>
      <c r="R729" s="9" t="n">
        <v>49.5</v>
      </c>
      <c r="S729" s="9" t="n">
        <v>21</v>
      </c>
      <c r="T729" s="9" t="n">
        <v>25</v>
      </c>
      <c r="U729" s="9">
        <f>Q729+R729+S729+T729</f>
        <v/>
      </c>
      <c r="V729" s="9">
        <f>IF(ISNUMBER(U729),U729,"")</f>
        <v/>
      </c>
      <c r="W729" s="9">
        <f>_xlfn.RANK.EQ(V729,$V$2:$V$1031)</f>
        <v/>
      </c>
      <c r="X729" s="13" t="n">
        <v>1465.725</v>
      </c>
      <c r="Y729" s="13" t="n">
        <v>24</v>
      </c>
      <c r="Z729" s="13" t="n">
        <v>24</v>
      </c>
      <c r="AA729" s="13" t="n">
        <v>23</v>
      </c>
      <c r="AB729" s="13">
        <f>IF(ISNUMBER(X729),X729+N(Y729)+N(Z729)+N(AA729),X729)</f>
        <v/>
      </c>
      <c r="AC729" s="13">
        <f>IF(ISNUMBER(AB729),AB729,"")</f>
        <v/>
      </c>
      <c r="AD729" s="13">
        <f>IF(ISNUMBER(AC729),_xlfn.RANK.EQ(AC729,$AC$2:$AC$1031),"")</f>
        <v/>
      </c>
      <c r="AE729" s="15">
        <f>IF(ISNUMBER(AF729),AF729/3630,"")</f>
        <v/>
      </c>
      <c r="AF729" s="14">
        <f>IFERROR(C729+D729+E729+F729+J729+K729+L729+M729+Q729+R729+S729+T729+IF(ISNUMBER(X729),X729,0)+N(Y729)+N(Z729)+N(AA729),"")</f>
        <v/>
      </c>
      <c r="AG729" s="14">
        <f>IF(ISNUMBER(AF729),AF729,"")</f>
        <v/>
      </c>
      <c r="AH729" s="14">
        <f>IF(ISNUMBER(AG729),_xlfn.RANK.EQ(AG729,$AG$2:$AG$1031),"")</f>
        <v/>
      </c>
    </row>
    <row r="730">
      <c r="A730" s="18" t="n">
        <v>1784</v>
      </c>
      <c r="B730" s="18" t="inlineStr">
        <is>
          <t>محمد مصطفى حسن عبد القوي العلقامي</t>
        </is>
      </c>
      <c r="C730" s="1" t="n">
        <v>655</v>
      </c>
      <c r="D730" s="1" t="n">
        <v>25</v>
      </c>
      <c r="E730" s="1" t="n">
        <v>25</v>
      </c>
      <c r="F730" s="1" t="n">
        <v>22</v>
      </c>
      <c r="G730" s="1">
        <f>C730+D730+E730+F730</f>
        <v/>
      </c>
      <c r="H730" s="1">
        <f>IF(ISNUMBER(G730),G730,"")</f>
        <v/>
      </c>
      <c r="I730" s="1">
        <f>_xlfn.RANK.EQ(H730,$H$2:$H$1031)</f>
        <v/>
      </c>
      <c r="J730" s="5" t="n">
        <v>641</v>
      </c>
      <c r="K730" s="5" t="n">
        <v>48</v>
      </c>
      <c r="L730" s="5" t="n">
        <v>22</v>
      </c>
      <c r="M730" s="5" t="n">
        <v>25</v>
      </c>
      <c r="N730" s="5">
        <f>J730+K730+L730+M730</f>
        <v/>
      </c>
      <c r="O730" s="5">
        <f>IF(ISNUMBER(N730),N730,"")</f>
        <v/>
      </c>
      <c r="P730" s="5">
        <f>_xlfn.RANK.EQ(O730,$O$2:$O$1031)</f>
        <v/>
      </c>
      <c r="Q730" s="9" t="n">
        <v>289</v>
      </c>
      <c r="R730" s="9" t="n">
        <v>47.5</v>
      </c>
      <c r="S730" s="9" t="n">
        <v>24</v>
      </c>
      <c r="T730" s="9" t="n">
        <v>24.5</v>
      </c>
      <c r="U730" s="9">
        <f>Q730+R730+S730+T730</f>
        <v/>
      </c>
      <c r="V730" s="9">
        <f>IF(ISNUMBER(U730),U730,"")</f>
        <v/>
      </c>
      <c r="W730" s="9">
        <f>_xlfn.RANK.EQ(V730,$V$2:$V$1031)</f>
        <v/>
      </c>
      <c r="X730" s="13" t="n">
        <v>1573.2375</v>
      </c>
      <c r="Y730" s="13" t="n">
        <v>24.5</v>
      </c>
      <c r="Z730" s="13" t="n">
        <v>25</v>
      </c>
      <c r="AA730" s="13" t="n">
        <v>24</v>
      </c>
      <c r="AB730" s="13">
        <f>IF(ISNUMBER(X730),X730+N(Y730)+N(Z730)+N(AA730),X730)</f>
        <v/>
      </c>
      <c r="AC730" s="13">
        <f>IF(ISNUMBER(AB730),AB730,"")</f>
        <v/>
      </c>
      <c r="AD730" s="13">
        <f>IF(ISNUMBER(AC730),_xlfn.RANK.EQ(AC730,$AC$2:$AC$1031),"")</f>
        <v/>
      </c>
      <c r="AE730" s="15">
        <f>IF(ISNUMBER(AF730),AF730/3630,"")</f>
        <v/>
      </c>
      <c r="AF730" s="14">
        <f>IFERROR(C730+D730+E730+F730+J730+K730+L730+M730+Q730+R730+S730+T730+IF(ISNUMBER(X730),X730,0)+N(Y730)+N(Z730)+N(AA730),"")</f>
        <v/>
      </c>
      <c r="AG730" s="14">
        <f>IF(ISNUMBER(AF730),AF730,"")</f>
        <v/>
      </c>
      <c r="AH730" s="14">
        <f>IF(ISNUMBER(AG730),_xlfn.RANK.EQ(AG730,$AG$2:$AG$1031),"")</f>
        <v/>
      </c>
    </row>
    <row r="731">
      <c r="A731" s="18" t="n">
        <v>1785</v>
      </c>
      <c r="B731" s="18" t="inlineStr">
        <is>
          <t>محمد مصطفى محمد عبدالفتاح</t>
        </is>
      </c>
      <c r="C731" s="1" t="n">
        <v>588.6</v>
      </c>
      <c r="D731" s="1" t="n">
        <v>24</v>
      </c>
      <c r="E731" s="1" t="n">
        <v>23</v>
      </c>
      <c r="F731" s="1" t="n">
        <v>25</v>
      </c>
      <c r="G731" s="1">
        <f>C731+D731+E731+F731</f>
        <v/>
      </c>
      <c r="H731" s="1">
        <f>IF(ISNUMBER(G731),G731,"")</f>
        <v/>
      </c>
      <c r="I731" s="1">
        <f>_xlfn.RANK.EQ(H731,$H$2:$H$1031)</f>
        <v/>
      </c>
      <c r="J731" s="5" t="n">
        <v>557</v>
      </c>
      <c r="K731" s="5" t="n">
        <v>48</v>
      </c>
      <c r="L731" s="5" t="n">
        <v>22</v>
      </c>
      <c r="M731" s="5" t="n">
        <v>23</v>
      </c>
      <c r="N731" s="5">
        <f>J731+K731+L731+M731</f>
        <v/>
      </c>
      <c r="O731" s="5">
        <f>IF(ISNUMBER(N731),N731,"")</f>
        <v/>
      </c>
      <c r="P731" s="5">
        <f>_xlfn.RANK.EQ(O731,$O$2:$O$1031)</f>
        <v/>
      </c>
      <c r="Q731" s="9" t="n">
        <v>242.75</v>
      </c>
      <c r="R731" s="9" t="n">
        <v>40.5</v>
      </c>
      <c r="S731" s="9" t="n">
        <v>22</v>
      </c>
      <c r="T731" s="9" t="n">
        <v>23</v>
      </c>
      <c r="U731" s="9">
        <f>Q731+R731+S731+T731</f>
        <v/>
      </c>
      <c r="V731" s="9">
        <f>IF(ISNUMBER(U731),U731,"")</f>
        <v/>
      </c>
      <c r="W731" s="9">
        <f>_xlfn.RANK.EQ(V731,$V$2:$V$1031)</f>
        <v/>
      </c>
      <c r="X731" s="13" t="n">
        <v>1351.9791666667</v>
      </c>
      <c r="Y731" s="13" t="n">
        <v>24</v>
      </c>
      <c r="Z731" s="13" t="n">
        <v>24</v>
      </c>
      <c r="AA731" s="13" t="n">
        <v>23</v>
      </c>
      <c r="AB731" s="13">
        <f>IF(ISNUMBER(X731),X731+N(Y731)+N(Z731)+N(AA731),X731)</f>
        <v/>
      </c>
      <c r="AC731" s="13">
        <f>IF(ISNUMBER(AB731),AB731,"")</f>
        <v/>
      </c>
      <c r="AD731" s="13">
        <f>IF(ISNUMBER(AC731),_xlfn.RANK.EQ(AC731,$AC$2:$AC$1031),"")</f>
        <v/>
      </c>
      <c r="AE731" s="15">
        <f>IF(ISNUMBER(AF731),AF731/3630,"")</f>
        <v/>
      </c>
      <c r="AF731" s="14">
        <f>IFERROR(C731+D731+E731+F731+J731+K731+L731+M731+Q731+R731+S731+T731+IF(ISNUMBER(X731),X731,0)+N(Y731)+N(Z731)+N(AA731),"")</f>
        <v/>
      </c>
      <c r="AG731" s="14">
        <f>IF(ISNUMBER(AF731),AF731,"")</f>
        <v/>
      </c>
      <c r="AH731" s="14">
        <f>IF(ISNUMBER(AG731),_xlfn.RANK.EQ(AG731,$AG$2:$AG$1031),"")</f>
        <v/>
      </c>
    </row>
    <row r="732">
      <c r="A732" s="18" t="n">
        <v>1794</v>
      </c>
      <c r="B732" s="18" t="inlineStr">
        <is>
          <t>محمد مهنا عياد عبد الله طلب</t>
        </is>
      </c>
      <c r="C732" s="1" t="n">
        <v>563.4</v>
      </c>
      <c r="D732" s="1" t="n">
        <v>25</v>
      </c>
      <c r="E732" s="1" t="n">
        <v>24</v>
      </c>
      <c r="F732" s="1" t="n">
        <v>22</v>
      </c>
      <c r="G732" s="1">
        <f>C732+D732+E732+F732</f>
        <v/>
      </c>
      <c r="H732" s="1">
        <f>IF(ISNUMBER(G732),G732,"")</f>
        <v/>
      </c>
      <c r="I732" s="1">
        <f>_xlfn.RANK.EQ(H732,$H$2:$H$1031)</f>
        <v/>
      </c>
      <c r="J732" s="5" t="n">
        <v>529.5</v>
      </c>
      <c r="K732" s="5" t="n">
        <v>43</v>
      </c>
      <c r="L732" s="5" t="n">
        <v>20</v>
      </c>
      <c r="M732" s="5" t="n">
        <v>17</v>
      </c>
      <c r="N732" s="5">
        <f>J732+K732+L732+M732</f>
        <v/>
      </c>
      <c r="O732" s="5">
        <f>IF(ISNUMBER(N732),N732,"")</f>
        <v/>
      </c>
      <c r="P732" s="5">
        <f>_xlfn.RANK.EQ(O732,$O$2:$O$1031)</f>
        <v/>
      </c>
      <c r="Q732" s="9" t="n">
        <v>218.75</v>
      </c>
      <c r="R732" s="9" t="n">
        <v>41.5</v>
      </c>
      <c r="S732" s="9" t="n">
        <v>23</v>
      </c>
      <c r="T732" s="9" t="n">
        <v>22</v>
      </c>
      <c r="U732" s="9">
        <f>Q732+R732+S732+T732</f>
        <v/>
      </c>
      <c r="V732" s="9">
        <f>IF(ISNUMBER(U732),U732,"")</f>
        <v/>
      </c>
      <c r="W732" s="9">
        <f>_xlfn.RANK.EQ(V732,$V$2:$V$1031)</f>
        <v/>
      </c>
      <c r="X732" s="13" t="n">
        <v>1331.35</v>
      </c>
      <c r="Y732" s="13" t="n">
        <v>23</v>
      </c>
      <c r="Z732" s="13" t="n">
        <v>24</v>
      </c>
      <c r="AA732" s="13" t="n">
        <v>25</v>
      </c>
      <c r="AB732" s="13">
        <f>IF(ISNUMBER(X732),X732+N(Y732)+N(Z732)+N(AA732),X732)</f>
        <v/>
      </c>
      <c r="AC732" s="13">
        <f>IF(ISNUMBER(AB732),AB732,"")</f>
        <v/>
      </c>
      <c r="AD732" s="13">
        <f>IF(ISNUMBER(AC732),_xlfn.RANK.EQ(AC732,$AC$2:$AC$1031),"")</f>
        <v/>
      </c>
      <c r="AE732" s="15">
        <f>IF(ISNUMBER(AF732),AF732/3630,"")</f>
        <v/>
      </c>
      <c r="AF732" s="14">
        <f>IFERROR(C732+D732+E732+F732+J732+K732+L732+M732+Q732+R732+S732+T732+IF(ISNUMBER(X732),X732,0)+N(Y732)+N(Z732)+N(AA732),"")</f>
        <v/>
      </c>
      <c r="AG732" s="14">
        <f>IF(ISNUMBER(AF732),AF732,"")</f>
        <v/>
      </c>
      <c r="AH732" s="14">
        <f>IF(ISNUMBER(AG732),_xlfn.RANK.EQ(AG732,$AG$2:$AG$1031),"")</f>
        <v/>
      </c>
    </row>
    <row r="733">
      <c r="A733" s="18" t="n">
        <v>1804</v>
      </c>
      <c r="B733" s="18" t="inlineStr">
        <is>
          <t>محمد نبيل محمد حسين</t>
        </is>
      </c>
      <c r="C733" s="1" t="n">
        <v>521</v>
      </c>
      <c r="D733" s="1" t="n">
        <v>24</v>
      </c>
      <c r="E733" s="1" t="n">
        <v>19</v>
      </c>
      <c r="F733" s="1" t="n">
        <v>24</v>
      </c>
      <c r="G733" s="1">
        <f>C733+D733+E733+F733</f>
        <v/>
      </c>
      <c r="H733" s="1">
        <f>IF(ISNUMBER(G733),G733,"")</f>
        <v/>
      </c>
      <c r="I733" s="1">
        <f>_xlfn.RANK.EQ(H733,$H$2:$H$1031)</f>
        <v/>
      </c>
      <c r="J733" s="5" t="n">
        <v>542.5</v>
      </c>
      <c r="K733" s="5" t="n">
        <v>44</v>
      </c>
      <c r="L733" s="5" t="n">
        <v>24</v>
      </c>
      <c r="M733" s="5" t="n">
        <v>25</v>
      </c>
      <c r="N733" s="5">
        <f>J733+K733+L733+M733</f>
        <v/>
      </c>
      <c r="O733" s="5">
        <f>IF(ISNUMBER(N733),N733,"")</f>
        <v/>
      </c>
      <c r="P733" s="5">
        <f>_xlfn.RANK.EQ(O733,$O$2:$O$1031)</f>
        <v/>
      </c>
      <c r="Q733" s="9" t="n">
        <v>242.75</v>
      </c>
      <c r="R733" s="9" t="n">
        <v>47</v>
      </c>
      <c r="S733" s="9" t="n">
        <v>24</v>
      </c>
      <c r="T733" s="9" t="n">
        <v>24.5</v>
      </c>
      <c r="U733" s="9">
        <f>Q733+R733+S733+T733</f>
        <v/>
      </c>
      <c r="V733" s="9">
        <f>IF(ISNUMBER(U733),U733,"")</f>
        <v/>
      </c>
      <c r="W733" s="9">
        <f>_xlfn.RANK.EQ(V733,$V$2:$V$1031)</f>
        <v/>
      </c>
      <c r="X733" s="13" t="n">
        <v>1468.8791666667</v>
      </c>
      <c r="Y733" s="13" t="n">
        <v>25</v>
      </c>
      <c r="Z733" s="13" t="n">
        <v>25</v>
      </c>
      <c r="AA733" s="13" t="n">
        <v>23</v>
      </c>
      <c r="AB733" s="13">
        <f>IF(ISNUMBER(X733),X733+N(Y733)+N(Z733)+N(AA733),X733)</f>
        <v/>
      </c>
      <c r="AC733" s="13">
        <f>IF(ISNUMBER(AB733),AB733,"")</f>
        <v/>
      </c>
      <c r="AD733" s="13">
        <f>IF(ISNUMBER(AC733),_xlfn.RANK.EQ(AC733,$AC$2:$AC$1031),"")</f>
        <v/>
      </c>
      <c r="AE733" s="15">
        <f>IF(ISNUMBER(AF733),AF733/3630,"")</f>
        <v/>
      </c>
      <c r="AF733" s="14">
        <f>IFERROR(C733+D733+E733+F733+J733+K733+L733+M733+Q733+R733+S733+T733+IF(ISNUMBER(X733),X733,0)+N(Y733)+N(Z733)+N(AA733),"")</f>
        <v/>
      </c>
      <c r="AG733" s="14">
        <f>IF(ISNUMBER(AF733),AF733,"")</f>
        <v/>
      </c>
      <c r="AH733" s="14">
        <f>IF(ISNUMBER(AG733),_xlfn.RANK.EQ(AG733,$AG$2:$AG$1031),"")</f>
        <v/>
      </c>
    </row>
    <row r="734">
      <c r="A734" s="18" t="n">
        <v>1805</v>
      </c>
      <c r="B734" s="18" t="inlineStr">
        <is>
          <t>محمد نبيل محمد عبد الوهاب حجاج</t>
        </is>
      </c>
      <c r="C734" s="1" t="n">
        <v>643.3</v>
      </c>
      <c r="D734" s="1" t="n">
        <v>25</v>
      </c>
      <c r="E734" s="1" t="n">
        <v>25</v>
      </c>
      <c r="F734" s="1" t="n">
        <v>24</v>
      </c>
      <c r="G734" s="1">
        <f>C734+D734+E734+F734</f>
        <v/>
      </c>
      <c r="H734" s="1">
        <f>IF(ISNUMBER(G734),G734,"")</f>
        <v/>
      </c>
      <c r="I734" s="1">
        <f>_xlfn.RANK.EQ(H734,$H$2:$H$1031)</f>
        <v/>
      </c>
      <c r="J734" s="5" t="n">
        <v>635.5</v>
      </c>
      <c r="K734" s="5" t="n">
        <v>48</v>
      </c>
      <c r="L734" s="5" t="n">
        <v>24</v>
      </c>
      <c r="M734" s="5" t="n">
        <v>24</v>
      </c>
      <c r="N734" s="5">
        <f>J734+K734+L734+M734</f>
        <v/>
      </c>
      <c r="O734" s="5">
        <f>IF(ISNUMBER(N734),N734,"")</f>
        <v/>
      </c>
      <c r="P734" s="5">
        <f>_xlfn.RANK.EQ(O734,$O$2:$O$1031)</f>
        <v/>
      </c>
      <c r="Q734" s="9" t="n">
        <v>292</v>
      </c>
      <c r="R734" s="9" t="n">
        <v>48.5</v>
      </c>
      <c r="S734" s="9" t="n">
        <v>25</v>
      </c>
      <c r="T734" s="9" t="n">
        <v>24.5</v>
      </c>
      <c r="U734" s="9">
        <f>Q734+R734+S734+T734</f>
        <v/>
      </c>
      <c r="V734" s="9">
        <f>IF(ISNUMBER(U734),U734,"")</f>
        <v/>
      </c>
      <c r="W734" s="9">
        <f>_xlfn.RANK.EQ(V734,$V$2:$V$1031)</f>
        <v/>
      </c>
      <c r="X734" s="13" t="n">
        <v>1585.6041666667</v>
      </c>
      <c r="Y734" s="13" t="n">
        <v>25</v>
      </c>
      <c r="Z734" s="13" t="n">
        <v>25</v>
      </c>
      <c r="AA734" s="13" t="n">
        <v>25</v>
      </c>
      <c r="AB734" s="13">
        <f>IF(ISNUMBER(X734),X734+N(Y734)+N(Z734)+N(AA734),X734)</f>
        <v/>
      </c>
      <c r="AC734" s="13">
        <f>IF(ISNUMBER(AB734),AB734,"")</f>
        <v/>
      </c>
      <c r="AD734" s="13">
        <f>IF(ISNUMBER(AC734),_xlfn.RANK.EQ(AC734,$AC$2:$AC$1031),"")</f>
        <v/>
      </c>
      <c r="AE734" s="15">
        <f>IF(ISNUMBER(AF734),AF734/3630,"")</f>
        <v/>
      </c>
      <c r="AF734" s="14">
        <f>IFERROR(C734+D734+E734+F734+J734+K734+L734+M734+Q734+R734+S734+T734+IF(ISNUMBER(X734),X734,0)+N(Y734)+N(Z734)+N(AA734),"")</f>
        <v/>
      </c>
      <c r="AG734" s="14">
        <f>IF(ISNUMBER(AF734),AF734,"")</f>
        <v/>
      </c>
      <c r="AH734" s="14">
        <f>IF(ISNUMBER(AG734),_xlfn.RANK.EQ(AG734,$AG$2:$AG$1031),"")</f>
        <v/>
      </c>
    </row>
    <row r="735">
      <c r="A735" s="18" t="n">
        <v>1813</v>
      </c>
      <c r="B735" s="18" t="inlineStr">
        <is>
          <t>محمد هانى على عبدالوهاب بدر</t>
        </is>
      </c>
      <c r="C735" s="1" t="n">
        <v>553.9</v>
      </c>
      <c r="D735" s="1" t="n">
        <v>24</v>
      </c>
      <c r="E735" s="1" t="n">
        <v>23</v>
      </c>
      <c r="F735" s="1" t="n">
        <v>21</v>
      </c>
      <c r="G735" s="1">
        <f>C735+D735+E735+F735</f>
        <v/>
      </c>
      <c r="H735" s="1">
        <f>IF(ISNUMBER(G735),G735,"")</f>
        <v/>
      </c>
      <c r="I735" s="1">
        <f>_xlfn.RANK.EQ(H735,$H$2:$H$1031)</f>
        <v/>
      </c>
      <c r="J735" s="5" t="n">
        <v>571</v>
      </c>
      <c r="K735" s="5" t="n">
        <v>46</v>
      </c>
      <c r="L735" s="5" t="n">
        <v>21</v>
      </c>
      <c r="M735" s="5" t="n">
        <v>23</v>
      </c>
      <c r="N735" s="5">
        <f>J735+K735+L735+M735</f>
        <v/>
      </c>
      <c r="O735" s="5">
        <f>IF(ISNUMBER(N735),N735,"")</f>
        <v/>
      </c>
      <c r="P735" s="5">
        <f>_xlfn.RANK.EQ(O735,$O$2:$O$1031)</f>
        <v/>
      </c>
      <c r="Q735" s="9" t="n">
        <v>224</v>
      </c>
      <c r="R735" s="9" t="n">
        <v>43.5</v>
      </c>
      <c r="S735" s="9" t="n">
        <v>23</v>
      </c>
      <c r="T735" s="9" t="n">
        <v>22</v>
      </c>
      <c r="U735" s="9">
        <f>Q735+R735+S735+T735</f>
        <v/>
      </c>
      <c r="V735" s="9">
        <f>IF(ISNUMBER(U735),U735,"")</f>
        <v/>
      </c>
      <c r="W735" s="9">
        <f>_xlfn.RANK.EQ(V735,$V$2:$V$1031)</f>
        <v/>
      </c>
      <c r="X735" s="13" t="n">
        <v>1290.1333333333</v>
      </c>
      <c r="Y735" s="13" t="n">
        <v>24.5</v>
      </c>
      <c r="Z735" s="13" t="n">
        <v>24</v>
      </c>
      <c r="AA735" s="13" t="n">
        <v>24</v>
      </c>
      <c r="AB735" s="13">
        <f>IF(ISNUMBER(X735),X735+N(Y735)+N(Z735)+N(AA735),X735)</f>
        <v/>
      </c>
      <c r="AC735" s="13">
        <f>IF(ISNUMBER(AB735),AB735,"")</f>
        <v/>
      </c>
      <c r="AD735" s="13">
        <f>IF(ISNUMBER(AC735),_xlfn.RANK.EQ(AC735,$AC$2:$AC$1031),"")</f>
        <v/>
      </c>
      <c r="AE735" s="15">
        <f>IF(ISNUMBER(AF735),AF735/3630,"")</f>
        <v/>
      </c>
      <c r="AF735" s="14">
        <f>IFERROR(C735+D735+E735+F735+J735+K735+L735+M735+Q735+R735+S735+T735+IF(ISNUMBER(X735),X735,0)+N(Y735)+N(Z735)+N(AA735),"")</f>
        <v/>
      </c>
      <c r="AG735" s="14">
        <f>IF(ISNUMBER(AF735),AF735,"")</f>
        <v/>
      </c>
      <c r="AH735" s="14">
        <f>IF(ISNUMBER(AG735),_xlfn.RANK.EQ(AG735,$AG$2:$AG$1031),"")</f>
        <v/>
      </c>
    </row>
    <row r="736">
      <c r="A736" s="18" t="n">
        <v>1816</v>
      </c>
      <c r="B736" s="18" t="inlineStr">
        <is>
          <t>محمد هشام محمد السيد حلوج</t>
        </is>
      </c>
      <c r="C736" s="1" t="e">
        <v>#N/A</v>
      </c>
      <c r="D736" s="1" t="n">
        <v>17</v>
      </c>
      <c r="E736" s="1" t="n">
        <v>23</v>
      </c>
      <c r="F736" s="1" t="n">
        <v>22</v>
      </c>
      <c r="G736" s="1">
        <f>C736+D736+E736+F736</f>
        <v/>
      </c>
      <c r="H736" s="1">
        <f>IF(ISNUMBER(G736),G736,"")</f>
        <v/>
      </c>
      <c r="I736" s="1">
        <f>_xlfn.RANK.EQ(H736,$H$2:$H$1031)</f>
        <v/>
      </c>
      <c r="J736" s="5" t="n">
        <v>564</v>
      </c>
      <c r="K736" s="5" t="n">
        <v>46</v>
      </c>
      <c r="L736" s="5" t="n">
        <v>20</v>
      </c>
      <c r="M736" s="5" t="n">
        <v>22</v>
      </c>
      <c r="N736" s="5">
        <f>J736+K736+L736+M736</f>
        <v/>
      </c>
      <c r="O736" s="5">
        <f>IF(ISNUMBER(N736),N736,"")</f>
        <v/>
      </c>
      <c r="P736" s="5">
        <f>_xlfn.RANK.EQ(O736,$O$2:$O$1031)</f>
        <v/>
      </c>
      <c r="Q736" s="9" t="n">
        <v>221.75</v>
      </c>
      <c r="R736" s="9" t="n">
        <v>40.5</v>
      </c>
      <c r="S736" s="9" t="n">
        <v>23</v>
      </c>
      <c r="T736" s="9" t="n">
        <v>25</v>
      </c>
      <c r="U736" s="9">
        <f>Q736+R736+S736+T736</f>
        <v/>
      </c>
      <c r="V736" s="9">
        <f>IF(ISNUMBER(U736),U736,"")</f>
        <v/>
      </c>
      <c r="W736" s="9">
        <f>_xlfn.RANK.EQ(V736,$V$2:$V$1031)</f>
        <v/>
      </c>
      <c r="X736" s="13" t="n">
        <v>1275.2833333333</v>
      </c>
      <c r="Y736" s="13" t="n">
        <v>24</v>
      </c>
      <c r="Z736" s="13" t="n">
        <v>25</v>
      </c>
      <c r="AA736" s="13" t="n">
        <v>22</v>
      </c>
      <c r="AB736" s="13">
        <f>IF(ISNUMBER(X736),X736+N(Y736)+N(Z736)+N(AA736),X736)</f>
        <v/>
      </c>
      <c r="AC736" s="13">
        <f>IF(ISNUMBER(AB736),AB736,"")</f>
        <v/>
      </c>
      <c r="AD736" s="13">
        <f>IF(ISNUMBER(AC736),_xlfn.RANK.EQ(AC736,$AC$2:$AC$1031),"")</f>
        <v/>
      </c>
      <c r="AE736" s="15">
        <f>IF(ISNUMBER(AF736),AF736/3630,"")</f>
        <v/>
      </c>
      <c r="AF736" s="14">
        <f>IFERROR(C736+D736+E736+F736+J736+K736+L736+M736+Q736+R736+S736+T736+IF(ISNUMBER(X736),X736,0)+N(Y736)+N(Z736)+N(AA736),"")</f>
        <v/>
      </c>
      <c r="AG736" s="14">
        <f>IF(ISNUMBER(AF736),AF736,"")</f>
        <v/>
      </c>
      <c r="AH736" s="14">
        <f>IF(ISNUMBER(AG736),_xlfn.RANK.EQ(AG736,$AG$2:$AG$1031),"")</f>
        <v/>
      </c>
    </row>
    <row r="737">
      <c r="A737" s="18" t="n">
        <v>1817</v>
      </c>
      <c r="B737" s="18" t="inlineStr">
        <is>
          <t>محمد هشام محمد رشدى نافع</t>
        </is>
      </c>
      <c r="C737" s="1" t="n">
        <v>619.4</v>
      </c>
      <c r="D737" s="1" t="n">
        <v>24</v>
      </c>
      <c r="E737" s="1" t="n">
        <v>20</v>
      </c>
      <c r="F737" s="1" t="n">
        <v>22</v>
      </c>
      <c r="G737" s="1">
        <f>C737+D737+E737+F737</f>
        <v/>
      </c>
      <c r="H737" s="1">
        <f>IF(ISNUMBER(G737),G737,"")</f>
        <v/>
      </c>
      <c r="I737" s="1">
        <f>_xlfn.RANK.EQ(H737,$H$2:$H$1031)</f>
        <v/>
      </c>
      <c r="J737" s="5" t="n">
        <v>615.75</v>
      </c>
      <c r="K737" s="5" t="n">
        <v>47</v>
      </c>
      <c r="L737" s="5" t="n">
        <v>21</v>
      </c>
      <c r="M737" s="5" t="n">
        <v>24</v>
      </c>
      <c r="N737" s="5">
        <f>J737+K737+L737+M737</f>
        <v/>
      </c>
      <c r="O737" s="5">
        <f>IF(ISNUMBER(N737),N737,"")</f>
        <v/>
      </c>
      <c r="P737" s="5">
        <f>_xlfn.RANK.EQ(O737,$O$2:$O$1031)</f>
        <v/>
      </c>
      <c r="Q737" s="9" t="n">
        <v>265.75</v>
      </c>
      <c r="R737" s="9" t="n">
        <v>46</v>
      </c>
      <c r="S737" s="9" t="n">
        <v>24</v>
      </c>
      <c r="T737" s="9" t="n">
        <v>25</v>
      </c>
      <c r="U737" s="9">
        <f>Q737+R737+S737+T737</f>
        <v/>
      </c>
      <c r="V737" s="9">
        <f>IF(ISNUMBER(U737),U737,"")</f>
        <v/>
      </c>
      <c r="W737" s="9">
        <f>_xlfn.RANK.EQ(V737,$V$2:$V$1031)</f>
        <v/>
      </c>
      <c r="X737" s="13" t="n">
        <v>1429.9958333333</v>
      </c>
      <c r="Y737" s="13" t="n">
        <v>24</v>
      </c>
      <c r="Z737" s="13" t="n">
        <v>25</v>
      </c>
      <c r="AA737" s="13" t="n">
        <v>25</v>
      </c>
      <c r="AB737" s="13">
        <f>IF(ISNUMBER(X737),X737+N(Y737)+N(Z737)+N(AA737),X737)</f>
        <v/>
      </c>
      <c r="AC737" s="13">
        <f>IF(ISNUMBER(AB737),AB737,"")</f>
        <v/>
      </c>
      <c r="AD737" s="13">
        <f>IF(ISNUMBER(AC737),_xlfn.RANK.EQ(AC737,$AC$2:$AC$1031),"")</f>
        <v/>
      </c>
      <c r="AE737" s="15">
        <f>IF(ISNUMBER(AF737),AF737/3630,"")</f>
        <v/>
      </c>
      <c r="AF737" s="14">
        <f>IFERROR(C737+D737+E737+F737+J737+K737+L737+M737+Q737+R737+S737+T737+IF(ISNUMBER(X737),X737,0)+N(Y737)+N(Z737)+N(AA737),"")</f>
        <v/>
      </c>
      <c r="AG737" s="14">
        <f>IF(ISNUMBER(AF737),AF737,"")</f>
        <v/>
      </c>
      <c r="AH737" s="14">
        <f>IF(ISNUMBER(AG737),_xlfn.RANK.EQ(AG737,$AG$2:$AG$1031),"")</f>
        <v/>
      </c>
    </row>
    <row r="738">
      <c r="A738" s="18" t="n">
        <v>1821</v>
      </c>
      <c r="B738" s="18" t="inlineStr">
        <is>
          <t>محمد ياسر السيد محمد مشالي</t>
        </is>
      </c>
      <c r="C738" s="1" t="n">
        <v>460.6</v>
      </c>
      <c r="D738" s="1" t="n">
        <v>23</v>
      </c>
      <c r="E738" s="1" t="n">
        <v>22</v>
      </c>
      <c r="F738" s="1" t="n">
        <v>17</v>
      </c>
      <c r="G738" s="1">
        <f>C738+D738+E738+F738</f>
        <v/>
      </c>
      <c r="H738" s="1">
        <f>IF(ISNUMBER(G738),G738,"")</f>
        <v/>
      </c>
      <c r="I738" s="1">
        <f>_xlfn.RANK.EQ(H738,$H$2:$H$1031)</f>
        <v/>
      </c>
      <c r="J738" s="5" t="n">
        <v>444.75</v>
      </c>
      <c r="K738" s="5" t="n">
        <v>36</v>
      </c>
      <c r="L738" s="5" t="n">
        <v>19</v>
      </c>
      <c r="M738" s="5" t="n">
        <v>20</v>
      </c>
      <c r="N738" s="5">
        <f>J738+K738+L738+M738</f>
        <v/>
      </c>
      <c r="O738" s="5">
        <f>IF(ISNUMBER(N738),N738,"")</f>
        <v/>
      </c>
      <c r="P738" s="5">
        <f>_xlfn.RANK.EQ(O738,$O$2:$O$1031)</f>
        <v/>
      </c>
      <c r="Q738" s="9" t="n">
        <v>246.75</v>
      </c>
      <c r="R738" s="9" t="n">
        <v>44.5</v>
      </c>
      <c r="S738" s="9" t="n">
        <v>24</v>
      </c>
      <c r="T738" s="9" t="n">
        <v>24</v>
      </c>
      <c r="U738" s="9">
        <f>Q738+R738+S738+T738</f>
        <v/>
      </c>
      <c r="V738" s="9">
        <f>IF(ISNUMBER(U738),U738,"")</f>
        <v/>
      </c>
      <c r="W738" s="9">
        <f>_xlfn.RANK.EQ(V738,$V$2:$V$1031)</f>
        <v/>
      </c>
      <c r="X738" s="13" t="n">
        <v>1149.2166666667</v>
      </c>
      <c r="Y738" s="13" t="n">
        <v>25</v>
      </c>
      <c r="Z738" s="13" t="n">
        <v>25</v>
      </c>
      <c r="AA738" s="13" t="n">
        <v>15</v>
      </c>
      <c r="AB738" s="13">
        <f>IF(ISNUMBER(X738),X738+N(Y738)+N(Z738)+N(AA738),X738)</f>
        <v/>
      </c>
      <c r="AC738" s="13">
        <f>IF(ISNUMBER(AB738),AB738,"")</f>
        <v/>
      </c>
      <c r="AD738" s="13">
        <f>IF(ISNUMBER(AC738),_xlfn.RANK.EQ(AC738,$AC$2:$AC$1031),"")</f>
        <v/>
      </c>
      <c r="AE738" s="15">
        <f>IF(ISNUMBER(AF738),AF738/3630,"")</f>
        <v/>
      </c>
      <c r="AF738" s="14">
        <f>IFERROR(C738+D738+E738+F738+J738+K738+L738+M738+Q738+R738+S738+T738+IF(ISNUMBER(X738),X738,0)+N(Y738)+N(Z738)+N(AA738),"")</f>
        <v/>
      </c>
      <c r="AG738" s="14">
        <f>IF(ISNUMBER(AF738),AF738,"")</f>
        <v/>
      </c>
      <c r="AH738" s="14">
        <f>IF(ISNUMBER(AG738),_xlfn.RANK.EQ(AG738,$AG$2:$AG$1031),"")</f>
        <v/>
      </c>
    </row>
    <row r="739">
      <c r="A739" s="18" t="n">
        <v>1822</v>
      </c>
      <c r="B739" s="18" t="inlineStr">
        <is>
          <t>محمد ياسر محمد عبد العزيز سيد</t>
        </is>
      </c>
      <c r="C739" s="1" t="n">
        <v>546.9</v>
      </c>
      <c r="D739" s="1" t="n">
        <v>25</v>
      </c>
      <c r="E739" s="1" t="n">
        <v>25</v>
      </c>
      <c r="F739" s="1" t="n">
        <v>21</v>
      </c>
      <c r="G739" s="1">
        <f>C739+D739+E739+F739</f>
        <v/>
      </c>
      <c r="H739" s="1">
        <f>IF(ISNUMBER(G739),G739,"")</f>
        <v/>
      </c>
      <c r="I739" s="1">
        <f>_xlfn.RANK.EQ(H739,$H$2:$H$1031)</f>
        <v/>
      </c>
      <c r="J739" s="5" t="n">
        <v>475</v>
      </c>
      <c r="K739" s="5" t="n">
        <v>40</v>
      </c>
      <c r="L739" s="5" t="n">
        <v>20</v>
      </c>
      <c r="M739" s="5" t="n">
        <v>19</v>
      </c>
      <c r="N739" s="5">
        <f>J739+K739+L739+M739</f>
        <v/>
      </c>
      <c r="O739" s="5">
        <f>IF(ISNUMBER(N739),N739,"")</f>
        <v/>
      </c>
      <c r="P739" s="5">
        <f>_xlfn.RANK.EQ(O739,$O$2:$O$1031)</f>
        <v/>
      </c>
      <c r="Q739" s="9" t="n">
        <v>219.75</v>
      </c>
      <c r="R739" s="9" t="n">
        <v>44</v>
      </c>
      <c r="S739" s="9" t="n">
        <v>23</v>
      </c>
      <c r="T739" s="9" t="n">
        <v>24.5</v>
      </c>
      <c r="U739" s="9">
        <f>Q739+R739+S739+T739</f>
        <v/>
      </c>
      <c r="V739" s="9">
        <f>IF(ISNUMBER(U739),U739,"")</f>
        <v/>
      </c>
      <c r="W739" s="9">
        <f>_xlfn.RANK.EQ(V739,$V$2:$V$1031)</f>
        <v/>
      </c>
      <c r="X739" s="13" t="n">
        <v>1341.1041666667</v>
      </c>
      <c r="Y739" s="13" t="n">
        <v>23.5</v>
      </c>
      <c r="Z739" s="13" t="n">
        <v>24</v>
      </c>
      <c r="AA739" s="13" t="n">
        <v>23</v>
      </c>
      <c r="AB739" s="13">
        <f>IF(ISNUMBER(X739),X739+N(Y739)+N(Z739)+N(AA739),X739)</f>
        <v/>
      </c>
      <c r="AC739" s="13">
        <f>IF(ISNUMBER(AB739),AB739,"")</f>
        <v/>
      </c>
      <c r="AD739" s="13">
        <f>IF(ISNUMBER(AC739),_xlfn.RANK.EQ(AC739,$AC$2:$AC$1031),"")</f>
        <v/>
      </c>
      <c r="AE739" s="15">
        <f>IF(ISNUMBER(AF739),AF739/3630,"")</f>
        <v/>
      </c>
      <c r="AF739" s="14">
        <f>IFERROR(C739+D739+E739+F739+J739+K739+L739+M739+Q739+R739+S739+T739+IF(ISNUMBER(X739),X739,0)+N(Y739)+N(Z739)+N(AA739),"")</f>
        <v/>
      </c>
      <c r="AG739" s="14">
        <f>IF(ISNUMBER(AF739),AF739,"")</f>
        <v/>
      </c>
      <c r="AH739" s="14">
        <f>IF(ISNUMBER(AG739),_xlfn.RANK.EQ(AG739,$AG$2:$AG$1031),"")</f>
        <v/>
      </c>
    </row>
    <row r="740">
      <c r="A740" s="18" t="n">
        <v>1829</v>
      </c>
      <c r="B740" s="18" t="inlineStr">
        <is>
          <t>محمود احمد محمد محمود عفش</t>
        </is>
      </c>
      <c r="C740" s="1" t="n">
        <v>551.4</v>
      </c>
      <c r="D740" s="1" t="n">
        <v>24</v>
      </c>
      <c r="E740" s="1" t="n">
        <v>13</v>
      </c>
      <c r="F740" s="1" t="n">
        <v>20</v>
      </c>
      <c r="G740" s="1">
        <f>C740+D740+E740+F740</f>
        <v/>
      </c>
      <c r="H740" s="1">
        <f>IF(ISNUMBER(G740),G740,"")</f>
        <v/>
      </c>
      <c r="I740" s="1">
        <f>_xlfn.RANK.EQ(H740,$H$2:$H$1031)</f>
        <v/>
      </c>
      <c r="J740" s="5" t="n">
        <v>538.25</v>
      </c>
      <c r="K740" s="5" t="n">
        <v>37</v>
      </c>
      <c r="L740" s="5" t="n">
        <v>20</v>
      </c>
      <c r="M740" s="5" t="n">
        <v>0</v>
      </c>
      <c r="N740" s="5">
        <f>J740+K740+L740+M740</f>
        <v/>
      </c>
      <c r="O740" s="5">
        <f>IF(ISNUMBER(N740),N740,"")</f>
        <v/>
      </c>
      <c r="P740" s="5">
        <f>_xlfn.RANK.EQ(O740,$O$2:$O$1031)</f>
        <v/>
      </c>
      <c r="Q740" s="9" t="n">
        <v>214.75</v>
      </c>
      <c r="R740" s="9" t="n">
        <v>35</v>
      </c>
      <c r="S740" s="9" t="n">
        <v>21</v>
      </c>
      <c r="T740" s="9" t="n">
        <v>22.5</v>
      </c>
      <c r="U740" s="9">
        <f>Q740+R740+S740+T740</f>
        <v/>
      </c>
      <c r="V740" s="9">
        <f>IF(ISNUMBER(U740),U740,"")</f>
        <v/>
      </c>
      <c r="W740" s="9">
        <f>_xlfn.RANK.EQ(V740,$V$2:$V$1031)</f>
        <v/>
      </c>
      <c r="X740" s="13" t="n">
        <v>1290.55</v>
      </c>
      <c r="Y740" s="13" t="n">
        <v>24</v>
      </c>
      <c r="Z740" s="13" t="n">
        <v>25</v>
      </c>
      <c r="AA740" s="13" t="n">
        <v>21</v>
      </c>
      <c r="AB740" s="13">
        <f>IF(ISNUMBER(X740),X740+N(Y740)+N(Z740)+N(AA740),X740)</f>
        <v/>
      </c>
      <c r="AC740" s="13">
        <f>IF(ISNUMBER(AB740),AB740,"")</f>
        <v/>
      </c>
      <c r="AD740" s="13">
        <f>IF(ISNUMBER(AC740),_xlfn.RANK.EQ(AC740,$AC$2:$AC$1031),"")</f>
        <v/>
      </c>
      <c r="AE740" s="15">
        <f>IF(ISNUMBER(AF740),AF740/3630,"")</f>
        <v/>
      </c>
      <c r="AF740" s="14">
        <f>IFERROR(C740+D740+E740+F740+J740+K740+L740+M740+Q740+R740+S740+T740+IF(ISNUMBER(X740),X740,0)+N(Y740)+N(Z740)+N(AA740),"")</f>
        <v/>
      </c>
      <c r="AG740" s="14">
        <f>IF(ISNUMBER(AF740),AF740,"")</f>
        <v/>
      </c>
      <c r="AH740" s="14">
        <f>IF(ISNUMBER(AG740),_xlfn.RANK.EQ(AG740,$AG$2:$AG$1031),"")</f>
        <v/>
      </c>
    </row>
    <row r="741">
      <c r="A741" s="18" t="n">
        <v>1830</v>
      </c>
      <c r="B741" s="18" t="inlineStr">
        <is>
          <t>محمود احمد محمود شحاته</t>
        </is>
      </c>
      <c r="C741" s="1" t="n">
        <v>528.4</v>
      </c>
      <c r="D741" s="1" t="n">
        <v>21</v>
      </c>
      <c r="E741" s="1" t="n">
        <v>24</v>
      </c>
      <c r="F741" s="1" t="n">
        <v>19</v>
      </c>
      <c r="G741" s="1">
        <f>C741+D741+E741+F741</f>
        <v/>
      </c>
      <c r="H741" s="1">
        <f>IF(ISNUMBER(G741),G741,"")</f>
        <v/>
      </c>
      <c r="I741" s="1">
        <f>_xlfn.RANK.EQ(H741,$H$2:$H$1031)</f>
        <v/>
      </c>
      <c r="J741" s="5" t="n">
        <v>549</v>
      </c>
      <c r="K741" s="5" t="n">
        <v>44</v>
      </c>
      <c r="L741" s="5" t="n">
        <v>23</v>
      </c>
      <c r="M741" s="5" t="n">
        <v>24</v>
      </c>
      <c r="N741" s="5">
        <f>J741+K741+L741+M741</f>
        <v/>
      </c>
      <c r="O741" s="5">
        <f>IF(ISNUMBER(N741),N741,"")</f>
        <v/>
      </c>
      <c r="P741" s="5">
        <f>_xlfn.RANK.EQ(O741,$O$2:$O$1031)</f>
        <v/>
      </c>
      <c r="Q741" s="9" t="n">
        <v>201.75</v>
      </c>
      <c r="R741" s="9" t="inlineStr">
        <is>
          <t xml:space="preserve">ṿ </t>
        </is>
      </c>
      <c r="S741" s="9" t="n">
        <v>23</v>
      </c>
      <c r="T741" s="9" t="n">
        <v>23</v>
      </c>
      <c r="U741" s="9">
        <f>Q741+R741+S741+T741</f>
        <v/>
      </c>
      <c r="V741" s="9">
        <f>IF(ISNUMBER(U741),U741,"")</f>
        <v/>
      </c>
      <c r="W741" s="9">
        <f>_xlfn.RANK.EQ(V741,$V$2:$V$1031)</f>
        <v/>
      </c>
      <c r="X741" s="13" t="n">
        <v>1193.8166666667</v>
      </c>
      <c r="Y741" s="13" t="n">
        <v>21</v>
      </c>
      <c r="Z741" s="13" t="n">
        <v>25</v>
      </c>
      <c r="AA741" s="13" t="n">
        <v>19</v>
      </c>
      <c r="AB741" s="13">
        <f>IF(ISNUMBER(X741),X741+N(Y741)+N(Z741)+N(AA741),X741)</f>
        <v/>
      </c>
      <c r="AC741" s="13">
        <f>IF(ISNUMBER(AB741),AB741,"")</f>
        <v/>
      </c>
      <c r="AD741" s="13">
        <f>IF(ISNUMBER(AC741),_xlfn.RANK.EQ(AC741,$AC$2:$AC$1031),"")</f>
        <v/>
      </c>
      <c r="AE741" s="15">
        <f>IF(ISNUMBER(AF741),AF741/3630,"")</f>
        <v/>
      </c>
      <c r="AF741" s="14">
        <f>IFERROR(C741+D741+E741+F741+J741+K741+L741+M741+Q741+R741+S741+T741+IF(ISNUMBER(X741),X741,0)+N(Y741)+N(Z741)+N(AA741),"")</f>
        <v/>
      </c>
      <c r="AG741" s="14">
        <f>IF(ISNUMBER(AF741),AF741,"")</f>
        <v/>
      </c>
      <c r="AH741" s="14">
        <f>IF(ISNUMBER(AG741),_xlfn.RANK.EQ(AG741,$AG$2:$AG$1031),"")</f>
        <v/>
      </c>
    </row>
    <row r="742">
      <c r="A742" s="18" t="n">
        <v>1832</v>
      </c>
      <c r="B742" s="18" t="inlineStr">
        <is>
          <t>محمود ايمن عبد الجليل عبد الجيد فايد</t>
        </is>
      </c>
      <c r="C742" s="1" t="n">
        <v>498.7</v>
      </c>
      <c r="D742" s="1" t="n">
        <v>22</v>
      </c>
      <c r="E742" s="1" t="n">
        <v>19</v>
      </c>
      <c r="F742" s="1" t="n">
        <v>24</v>
      </c>
      <c r="G742" s="1">
        <f>C742+D742+E742+F742</f>
        <v/>
      </c>
      <c r="H742" s="1">
        <f>IF(ISNUMBER(G742),G742,"")</f>
        <v/>
      </c>
      <c r="I742" s="1">
        <f>_xlfn.RANK.EQ(H742,$H$2:$H$1031)</f>
        <v/>
      </c>
      <c r="J742" s="5" t="n">
        <v>517.75</v>
      </c>
      <c r="K742" s="5" t="n">
        <v>39</v>
      </c>
      <c r="L742" s="5" t="n">
        <v>20</v>
      </c>
      <c r="M742" s="5" t="n">
        <v>21</v>
      </c>
      <c r="N742" s="5">
        <f>J742+K742+L742+M742</f>
        <v/>
      </c>
      <c r="O742" s="5">
        <f>IF(ISNUMBER(N742),N742,"")</f>
        <v/>
      </c>
      <c r="P742" s="5">
        <f>_xlfn.RANK.EQ(O742,$O$2:$O$1031)</f>
        <v/>
      </c>
      <c r="Q742" s="9" t="n">
        <v>215</v>
      </c>
      <c r="R742" s="9" t="n">
        <v>41.5</v>
      </c>
      <c r="S742" s="9" t="n">
        <v>20</v>
      </c>
      <c r="T742" s="9" t="n">
        <v>25</v>
      </c>
      <c r="U742" s="9">
        <f>Q742+R742+S742+T742</f>
        <v/>
      </c>
      <c r="V742" s="9">
        <f>IF(ISNUMBER(U742),U742,"")</f>
        <v/>
      </c>
      <c r="W742" s="9">
        <f>_xlfn.RANK.EQ(V742,$V$2:$V$1031)</f>
        <v/>
      </c>
      <c r="X742" s="13" t="n">
        <v>1333.8</v>
      </c>
      <c r="Y742" s="13" t="n">
        <v>25</v>
      </c>
      <c r="Z742" s="13" t="n">
        <v>21</v>
      </c>
      <c r="AA742" s="13" t="n">
        <v>22</v>
      </c>
      <c r="AB742" s="13">
        <f>IF(ISNUMBER(X742),X742+N(Y742)+N(Z742)+N(AA742),X742)</f>
        <v/>
      </c>
      <c r="AC742" s="13">
        <f>IF(ISNUMBER(AB742),AB742,"")</f>
        <v/>
      </c>
      <c r="AD742" s="13">
        <f>IF(ISNUMBER(AC742),_xlfn.RANK.EQ(AC742,$AC$2:$AC$1031),"")</f>
        <v/>
      </c>
      <c r="AE742" s="15">
        <f>IF(ISNUMBER(AF742),AF742/3630,"")</f>
        <v/>
      </c>
      <c r="AF742" s="14">
        <f>IFERROR(C742+D742+E742+F742+J742+K742+L742+M742+Q742+R742+S742+T742+IF(ISNUMBER(X742),X742,0)+N(Y742)+N(Z742)+N(AA742),"")</f>
        <v/>
      </c>
      <c r="AG742" s="14">
        <f>IF(ISNUMBER(AF742),AF742,"")</f>
        <v/>
      </c>
      <c r="AH742" s="14">
        <f>IF(ISNUMBER(AG742),_xlfn.RANK.EQ(AG742,$AG$2:$AG$1031),"")</f>
        <v/>
      </c>
    </row>
    <row r="743">
      <c r="A743" s="18" t="n">
        <v>1833</v>
      </c>
      <c r="B743" s="18" t="inlineStr">
        <is>
          <t>محمود تامر محمود محمد</t>
        </is>
      </c>
      <c r="C743" s="1" t="n">
        <v>595.8</v>
      </c>
      <c r="D743" s="1" t="n">
        <v>24</v>
      </c>
      <c r="E743" s="1" t="n">
        <v>21</v>
      </c>
      <c r="F743" s="1" t="n">
        <v>21</v>
      </c>
      <c r="G743" s="1">
        <f>C743+D743+E743+F743</f>
        <v/>
      </c>
      <c r="H743" s="1">
        <f>IF(ISNUMBER(G743),G743,"")</f>
        <v/>
      </c>
      <c r="I743" s="1">
        <f>_xlfn.RANK.EQ(H743,$H$2:$H$1031)</f>
        <v/>
      </c>
      <c r="J743" s="5" t="n">
        <v>598.5</v>
      </c>
      <c r="K743" s="5" t="n">
        <v>45</v>
      </c>
      <c r="L743" s="5" t="n">
        <v>22</v>
      </c>
      <c r="M743" s="5" t="n">
        <v>22</v>
      </c>
      <c r="N743" s="5">
        <f>J743+K743+L743+M743</f>
        <v/>
      </c>
      <c r="O743" s="5">
        <f>IF(ISNUMBER(N743),N743,"")</f>
        <v/>
      </c>
      <c r="P743" s="5">
        <f>_xlfn.RANK.EQ(O743,$O$2:$O$1031)</f>
        <v/>
      </c>
      <c r="Q743" s="9" t="n">
        <v>238</v>
      </c>
      <c r="R743" s="9" t="n">
        <v>46.5</v>
      </c>
      <c r="S743" s="9" t="n">
        <v>25</v>
      </c>
      <c r="T743" s="9" t="n">
        <v>24</v>
      </c>
      <c r="U743" s="9">
        <f>Q743+R743+S743+T743</f>
        <v/>
      </c>
      <c r="V743" s="9">
        <f>IF(ISNUMBER(U743),U743,"")</f>
        <v/>
      </c>
      <c r="W743" s="9">
        <f>_xlfn.RANK.EQ(V743,$V$2:$V$1031)</f>
        <v/>
      </c>
      <c r="X743" s="13" t="n">
        <v>1339.6708333333</v>
      </c>
      <c r="Y743" s="13" t="n">
        <v>25</v>
      </c>
      <c r="Z743" s="13" t="n">
        <v>22</v>
      </c>
      <c r="AA743" s="13" t="n">
        <v>23</v>
      </c>
      <c r="AB743" s="13">
        <f>IF(ISNUMBER(X743),X743+N(Y743)+N(Z743)+N(AA743),X743)</f>
        <v/>
      </c>
      <c r="AC743" s="13">
        <f>IF(ISNUMBER(AB743),AB743,"")</f>
        <v/>
      </c>
      <c r="AD743" s="13">
        <f>IF(ISNUMBER(AC743),_xlfn.RANK.EQ(AC743,$AC$2:$AC$1031),"")</f>
        <v/>
      </c>
      <c r="AE743" s="15">
        <f>IF(ISNUMBER(AF743),AF743/3630,"")</f>
        <v/>
      </c>
      <c r="AF743" s="14">
        <f>IFERROR(C743+D743+E743+F743+J743+K743+L743+M743+Q743+R743+S743+T743+IF(ISNUMBER(X743),X743,0)+N(Y743)+N(Z743)+N(AA743),"")</f>
        <v/>
      </c>
      <c r="AG743" s="14">
        <f>IF(ISNUMBER(AF743),AF743,"")</f>
        <v/>
      </c>
      <c r="AH743" s="14">
        <f>IF(ISNUMBER(AG743),_xlfn.RANK.EQ(AG743,$AG$2:$AG$1031),"")</f>
        <v/>
      </c>
    </row>
    <row r="744">
      <c r="A744" s="18" t="n">
        <v>1834</v>
      </c>
      <c r="B744" s="18" t="inlineStr">
        <is>
          <t>محمود خميس محمد بدر</t>
        </is>
      </c>
      <c r="C744" s="1" t="n">
        <v>434.5</v>
      </c>
      <c r="D744" s="1" t="n">
        <v>25</v>
      </c>
      <c r="E744" s="1" t="n">
        <v>22</v>
      </c>
      <c r="F744" s="1" t="n">
        <v>21</v>
      </c>
      <c r="G744" s="1">
        <f>C744+D744+E744+F744</f>
        <v/>
      </c>
      <c r="H744" s="1">
        <f>IF(ISNUMBER(G744),G744,"")</f>
        <v/>
      </c>
      <c r="I744" s="1">
        <f>_xlfn.RANK.EQ(H744,$H$2:$H$1031)</f>
        <v/>
      </c>
      <c r="J744" s="5" t="n">
        <v>521</v>
      </c>
      <c r="K744" s="5" t="n">
        <v>41</v>
      </c>
      <c r="L744" s="5" t="n">
        <v>19</v>
      </c>
      <c r="M744" s="5" t="n">
        <v>21</v>
      </c>
      <c r="N744" s="5">
        <f>J744+K744+L744+M744</f>
        <v/>
      </c>
      <c r="O744" s="5">
        <f>IF(ISNUMBER(N744),N744,"")</f>
        <v/>
      </c>
      <c r="P744" s="5">
        <f>_xlfn.RANK.EQ(O744,$O$2:$O$1031)</f>
        <v/>
      </c>
      <c r="Q744" s="9" t="n">
        <v>218</v>
      </c>
      <c r="R744" s="9" t="n">
        <v>40</v>
      </c>
      <c r="S744" s="9" t="n">
        <v>22</v>
      </c>
      <c r="T744" s="9" t="n">
        <v>23</v>
      </c>
      <c r="U744" s="9">
        <f>Q744+R744+S744+T744</f>
        <v/>
      </c>
      <c r="V744" s="9">
        <f>IF(ISNUMBER(U744),U744,"")</f>
        <v/>
      </c>
      <c r="W744" s="9">
        <f>_xlfn.RANK.EQ(V744,$V$2:$V$1031)</f>
        <v/>
      </c>
      <c r="X744" s="13" t="inlineStr">
        <is>
          <t>راسب</t>
        </is>
      </c>
      <c r="Y744" s="13" t="n">
        <v>23</v>
      </c>
      <c r="Z744" s="13" t="n">
        <v>18</v>
      </c>
      <c r="AA744" s="13" t="n">
        <v>21</v>
      </c>
      <c r="AB744" s="13">
        <f>IF(ISNUMBER(X744),X744+N(Y744)+N(Z744)+N(AA744),X744)</f>
        <v/>
      </c>
      <c r="AC744" s="13">
        <f>IF(ISNUMBER(AB744),AB744,"")</f>
        <v/>
      </c>
      <c r="AD744" s="13">
        <f>IF(ISNUMBER(AC744),_xlfn.RANK.EQ(AC744,$AC$2:$AC$1031),"")</f>
        <v/>
      </c>
      <c r="AE744" s="15">
        <f>IF(ISNUMBER(AF744),AF744/3630,"")</f>
        <v/>
      </c>
      <c r="AF744" s="14">
        <f>IFERROR(C744+D744+E744+F744+J744+K744+L744+M744+Q744+R744+S744+T744+IF(ISNUMBER(X744),X744,0)+N(Y744)+N(Z744)+N(AA744),"")</f>
        <v/>
      </c>
      <c r="AG744" s="14">
        <f>IF(ISNUMBER(AF744),AF744,"")</f>
        <v/>
      </c>
      <c r="AH744" s="14">
        <f>IF(ISNUMBER(AG744),_xlfn.RANK.EQ(AG744,$AG$2:$AG$1031),"")</f>
        <v/>
      </c>
    </row>
    <row r="745">
      <c r="A745" s="18" t="n">
        <v>1836</v>
      </c>
      <c r="B745" s="18" t="inlineStr">
        <is>
          <t>محمود رمضان ترحى سيف النصر</t>
        </is>
      </c>
      <c r="C745" s="1" t="n">
        <v>581.8</v>
      </c>
      <c r="D745" s="1" t="n">
        <v>24</v>
      </c>
      <c r="E745" s="1" t="n">
        <v>20</v>
      </c>
      <c r="F745" s="1" t="n">
        <v>17</v>
      </c>
      <c r="G745" s="1">
        <f>C745+D745+E745+F745</f>
        <v/>
      </c>
      <c r="H745" s="1">
        <f>IF(ISNUMBER(G745),G745,"")</f>
        <v/>
      </c>
      <c r="I745" s="1">
        <f>_xlfn.RANK.EQ(H745,$H$2:$H$1031)</f>
        <v/>
      </c>
      <c r="J745" s="5" t="n">
        <v>589.5</v>
      </c>
      <c r="K745" s="5" t="n">
        <v>47</v>
      </c>
      <c r="L745" s="5" t="n">
        <v>22</v>
      </c>
      <c r="M745" s="5" t="n">
        <v>22</v>
      </c>
      <c r="N745" s="5">
        <f>J745+K745+L745+M745</f>
        <v/>
      </c>
      <c r="O745" s="5">
        <f>IF(ISNUMBER(N745),N745,"")</f>
        <v/>
      </c>
      <c r="P745" s="5">
        <f>_xlfn.RANK.EQ(O745,$O$2:$O$1031)</f>
        <v/>
      </c>
      <c r="Q745" s="9" t="n">
        <v>213</v>
      </c>
      <c r="R745" s="9" t="n">
        <v>43.5</v>
      </c>
      <c r="S745" s="9" t="n">
        <v>23</v>
      </c>
      <c r="T745" s="9" t="n">
        <v>22</v>
      </c>
      <c r="U745" s="9">
        <f>Q745+R745+S745+T745</f>
        <v/>
      </c>
      <c r="V745" s="9">
        <f>IF(ISNUMBER(U745),U745,"")</f>
        <v/>
      </c>
      <c r="W745" s="9">
        <f>_xlfn.RANK.EQ(V745,$V$2:$V$1031)</f>
        <v/>
      </c>
      <c r="X745" s="13" t="n">
        <v>1219.6</v>
      </c>
      <c r="Y745" s="13" t="n">
        <v>25</v>
      </c>
      <c r="Z745" s="13" t="n">
        <v>24</v>
      </c>
      <c r="AA745" s="13" t="n">
        <v>21</v>
      </c>
      <c r="AB745" s="13">
        <f>IF(ISNUMBER(X745),X745+N(Y745)+N(Z745)+N(AA745),X745)</f>
        <v/>
      </c>
      <c r="AC745" s="13">
        <f>IF(ISNUMBER(AB745),AB745,"")</f>
        <v/>
      </c>
      <c r="AD745" s="13">
        <f>IF(ISNUMBER(AC745),_xlfn.RANK.EQ(AC745,$AC$2:$AC$1031),"")</f>
        <v/>
      </c>
      <c r="AE745" s="15">
        <f>IF(ISNUMBER(AF745),AF745/3630,"")</f>
        <v/>
      </c>
      <c r="AF745" s="14">
        <f>IFERROR(C745+D745+E745+F745+J745+K745+L745+M745+Q745+R745+S745+T745+IF(ISNUMBER(X745),X745,0)+N(Y745)+N(Z745)+N(AA745),"")</f>
        <v/>
      </c>
      <c r="AG745" s="14">
        <f>IF(ISNUMBER(AF745),AF745,"")</f>
        <v/>
      </c>
      <c r="AH745" s="14">
        <f>IF(ISNUMBER(AG745),_xlfn.RANK.EQ(AG745,$AG$2:$AG$1031),"")</f>
        <v/>
      </c>
    </row>
    <row r="746">
      <c r="A746" s="18" t="n">
        <v>1837</v>
      </c>
      <c r="B746" s="18" t="inlineStr">
        <is>
          <t>محمود صلاح الدين محمود  عبدالحميد</t>
        </is>
      </c>
      <c r="C746" s="1" t="n">
        <v>442</v>
      </c>
      <c r="D746" s="1" t="n">
        <v>16</v>
      </c>
      <c r="E746" s="1" t="n">
        <v>18</v>
      </c>
      <c r="F746" s="1" t="n">
        <v>16</v>
      </c>
      <c r="G746" s="1">
        <f>C746+D746+E746+F746</f>
        <v/>
      </c>
      <c r="H746" s="1">
        <f>IF(ISNUMBER(G746),G746,"")</f>
        <v/>
      </c>
      <c r="I746" s="1">
        <f>_xlfn.RANK.EQ(H746,$H$2:$H$1031)</f>
        <v/>
      </c>
      <c r="J746" s="5" t="n">
        <v>440</v>
      </c>
      <c r="K746" s="5" t="n">
        <v>38</v>
      </c>
      <c r="L746" s="5" t="n">
        <v>23</v>
      </c>
      <c r="M746" s="5" t="n">
        <v>21</v>
      </c>
      <c r="N746" s="5">
        <f>J746+K746+L746+M746</f>
        <v/>
      </c>
      <c r="O746" s="5">
        <f>IF(ISNUMBER(N746),N746,"")</f>
        <v/>
      </c>
      <c r="P746" s="5">
        <f>_xlfn.RANK.EQ(O746,$O$2:$O$1031)</f>
        <v/>
      </c>
      <c r="Q746" s="9" t="inlineStr">
        <is>
          <t>راسب</t>
        </is>
      </c>
      <c r="R746" s="9" t="n">
        <v>45.5</v>
      </c>
      <c r="S746" s="9" t="n">
        <v>21</v>
      </c>
      <c r="T746" s="9" t="n">
        <v>22.5</v>
      </c>
      <c r="U746" s="9">
        <f>Q746+R746+S746+T746</f>
        <v/>
      </c>
      <c r="V746" s="9">
        <f>IF(ISNUMBER(U746),U746,"")</f>
        <v/>
      </c>
      <c r="W746" s="9">
        <f>_xlfn.RANK.EQ(V746,$V$2:$V$1031)</f>
        <v/>
      </c>
      <c r="X746" s="13" t="n">
        <v>1154.8583333333</v>
      </c>
      <c r="Y746" s="13" t="n">
        <v>25</v>
      </c>
      <c r="Z746" s="13" t="n">
        <v>18</v>
      </c>
      <c r="AA746" s="13" t="n">
        <v>15</v>
      </c>
      <c r="AB746" s="13">
        <f>IF(ISNUMBER(X746),X746+N(Y746)+N(Z746)+N(AA746),X746)</f>
        <v/>
      </c>
      <c r="AC746" s="13">
        <f>IF(ISNUMBER(AB746),AB746,"")</f>
        <v/>
      </c>
      <c r="AD746" s="13">
        <f>IF(ISNUMBER(AC746),_xlfn.RANK.EQ(AC746,$AC$2:$AC$1031),"")</f>
        <v/>
      </c>
      <c r="AE746" s="15">
        <f>IF(ISNUMBER(AF746),AF746/3630,"")</f>
        <v/>
      </c>
      <c r="AF746" s="14">
        <f>IFERROR(C746+D746+E746+F746+J746+K746+L746+M746+Q746+R746+S746+T746+IF(ISNUMBER(X746),X746,0)+N(Y746)+N(Z746)+N(AA746),"")</f>
        <v/>
      </c>
      <c r="AG746" s="14">
        <f>IF(ISNUMBER(AF746),AF746,"")</f>
        <v/>
      </c>
      <c r="AH746" s="14">
        <f>IF(ISNUMBER(AG746),_xlfn.RANK.EQ(AG746,$AG$2:$AG$1031),"")</f>
        <v/>
      </c>
    </row>
    <row r="747">
      <c r="A747" s="18" t="n">
        <v>1839</v>
      </c>
      <c r="B747" s="18" t="inlineStr">
        <is>
          <t>محمود عبد الحميد محمد عبد الحميد قنديل</t>
        </is>
      </c>
      <c r="C747" s="1" t="n">
        <v>535.4</v>
      </c>
      <c r="D747" s="1" t="n">
        <v>22</v>
      </c>
      <c r="E747" s="1" t="n">
        <v>24</v>
      </c>
      <c r="F747" s="1" t="n">
        <v>19</v>
      </c>
      <c r="G747" s="1">
        <f>C747+D747+E747+F747</f>
        <v/>
      </c>
      <c r="H747" s="1">
        <f>IF(ISNUMBER(G747),G747,"")</f>
        <v/>
      </c>
      <c r="I747" s="1">
        <f>_xlfn.RANK.EQ(H747,$H$2:$H$1031)</f>
        <v/>
      </c>
      <c r="J747" s="5" t="n">
        <v>555.5</v>
      </c>
      <c r="K747" s="5" t="n">
        <v>40</v>
      </c>
      <c r="L747" s="5" t="n">
        <v>19</v>
      </c>
      <c r="M747" s="5" t="n">
        <v>20</v>
      </c>
      <c r="N747" s="5">
        <f>J747+K747+L747+M747</f>
        <v/>
      </c>
      <c r="O747" s="5">
        <f>IF(ISNUMBER(N747),N747,"")</f>
        <v/>
      </c>
      <c r="P747" s="5">
        <f>_xlfn.RANK.EQ(O747,$O$2:$O$1031)</f>
        <v/>
      </c>
      <c r="Q747" s="9" t="n">
        <v>271.75</v>
      </c>
      <c r="R747" s="9" t="n">
        <v>45</v>
      </c>
      <c r="S747" s="9" t="n">
        <v>25</v>
      </c>
      <c r="T747" s="9" t="n">
        <v>24.5</v>
      </c>
      <c r="U747" s="9">
        <f>Q747+R747+S747+T747</f>
        <v/>
      </c>
      <c r="V747" s="9">
        <f>IF(ISNUMBER(U747),U747,"")</f>
        <v/>
      </c>
      <c r="W747" s="9">
        <f>_xlfn.RANK.EQ(V747,$V$2:$V$1031)</f>
        <v/>
      </c>
      <c r="X747" s="13" t="n">
        <v>1463.075</v>
      </c>
      <c r="Y747" s="13" t="n">
        <v>25</v>
      </c>
      <c r="Z747" s="13" t="n">
        <v>25</v>
      </c>
      <c r="AA747" s="13" t="n">
        <v>25</v>
      </c>
      <c r="AB747" s="13">
        <f>IF(ISNUMBER(X747),X747+N(Y747)+N(Z747)+N(AA747),X747)</f>
        <v/>
      </c>
      <c r="AC747" s="13">
        <f>IF(ISNUMBER(AB747),AB747,"")</f>
        <v/>
      </c>
      <c r="AD747" s="13">
        <f>IF(ISNUMBER(AC747),_xlfn.RANK.EQ(AC747,$AC$2:$AC$1031),"")</f>
        <v/>
      </c>
      <c r="AE747" s="15">
        <f>IF(ISNUMBER(AF747),AF747/3630,"")</f>
        <v/>
      </c>
      <c r="AF747" s="14">
        <f>IFERROR(C747+D747+E747+F747+J747+K747+L747+M747+Q747+R747+S747+T747+IF(ISNUMBER(X747),X747,0)+N(Y747)+N(Z747)+N(AA747),"")</f>
        <v/>
      </c>
      <c r="AG747" s="14">
        <f>IF(ISNUMBER(AF747),AF747,"")</f>
        <v/>
      </c>
      <c r="AH747" s="14">
        <f>IF(ISNUMBER(AG747),_xlfn.RANK.EQ(AG747,$AG$2:$AG$1031),"")</f>
        <v/>
      </c>
    </row>
    <row r="748">
      <c r="A748" s="18" t="n">
        <v>1840</v>
      </c>
      <c r="B748" s="18" t="inlineStr">
        <is>
          <t>محمود عبدالمعطى محمود عبد المعطى مشالى</t>
        </is>
      </c>
      <c r="C748" s="1" t="n">
        <v>466.5</v>
      </c>
      <c r="D748" s="1" t="n">
        <v>23</v>
      </c>
      <c r="E748" s="1" t="n">
        <v>20</v>
      </c>
      <c r="F748" s="1" t="n">
        <v>21</v>
      </c>
      <c r="G748" s="1">
        <f>C748+D748+E748+F748</f>
        <v/>
      </c>
      <c r="H748" s="1">
        <f>IF(ISNUMBER(G748),G748,"")</f>
        <v/>
      </c>
      <c r="I748" s="1">
        <f>_xlfn.RANK.EQ(H748,$H$2:$H$1031)</f>
        <v/>
      </c>
      <c r="J748" s="5" t="n">
        <v>524.5</v>
      </c>
      <c r="K748" s="5" t="n">
        <v>48</v>
      </c>
      <c r="L748" s="5" t="n">
        <v>23</v>
      </c>
      <c r="M748" s="5" t="n">
        <v>22</v>
      </c>
      <c r="N748" s="5">
        <f>J748+K748+L748+M748</f>
        <v/>
      </c>
      <c r="O748" s="5">
        <f>IF(ISNUMBER(N748),N748,"")</f>
        <v/>
      </c>
      <c r="P748" s="5">
        <f>_xlfn.RANK.EQ(O748,$O$2:$O$1031)</f>
        <v/>
      </c>
      <c r="Q748" s="9" t="n">
        <v>198</v>
      </c>
      <c r="R748" s="9" t="n">
        <v>42</v>
      </c>
      <c r="S748" s="9" t="n">
        <v>21</v>
      </c>
      <c r="T748" s="9" t="n">
        <v>25</v>
      </c>
      <c r="U748" s="9">
        <f>Q748+R748+S748+T748</f>
        <v/>
      </c>
      <c r="V748" s="9">
        <f>IF(ISNUMBER(U748),U748,"")</f>
        <v/>
      </c>
      <c r="W748" s="9">
        <f>_xlfn.RANK.EQ(V748,$V$2:$V$1031)</f>
        <v/>
      </c>
      <c r="X748" s="13" t="n">
        <v>1177.1458333333</v>
      </c>
      <c r="Y748" s="13" t="n">
        <v>22</v>
      </c>
      <c r="Z748" s="13" t="n">
        <v>25</v>
      </c>
      <c r="AA748" s="13" t="n">
        <v>19</v>
      </c>
      <c r="AB748" s="13">
        <f>IF(ISNUMBER(X748),X748+N(Y748)+N(Z748)+N(AA748),X748)</f>
        <v/>
      </c>
      <c r="AC748" s="13">
        <f>IF(ISNUMBER(AB748),AB748,"")</f>
        <v/>
      </c>
      <c r="AD748" s="13">
        <f>IF(ISNUMBER(AC748),_xlfn.RANK.EQ(AC748,$AC$2:$AC$1031),"")</f>
        <v/>
      </c>
      <c r="AE748" s="15">
        <f>IF(ISNUMBER(AF748),AF748/3630,"")</f>
        <v/>
      </c>
      <c r="AF748" s="14">
        <f>IFERROR(C748+D748+E748+F748+J748+K748+L748+M748+Q748+R748+S748+T748+IF(ISNUMBER(X748),X748,0)+N(Y748)+N(Z748)+N(AA748),"")</f>
        <v/>
      </c>
      <c r="AG748" s="14">
        <f>IF(ISNUMBER(AF748),AF748,"")</f>
        <v/>
      </c>
      <c r="AH748" s="14">
        <f>IF(ISNUMBER(AG748),_xlfn.RANK.EQ(AG748,$AG$2:$AG$1031),"")</f>
        <v/>
      </c>
    </row>
    <row r="749">
      <c r="A749" s="18" t="n">
        <v>1842</v>
      </c>
      <c r="B749" s="18" t="inlineStr">
        <is>
          <t>محمود عصام محمود رمضان الغرباوى</t>
        </is>
      </c>
      <c r="C749" s="1" t="n">
        <v>649.9</v>
      </c>
      <c r="D749" s="1" t="n">
        <v>24</v>
      </c>
      <c r="E749" s="1" t="n">
        <v>24</v>
      </c>
      <c r="F749" s="1" t="n">
        <v>22</v>
      </c>
      <c r="G749" s="1">
        <f>C749+D749+E749+F749</f>
        <v/>
      </c>
      <c r="H749" s="1">
        <f>IF(ISNUMBER(G749),G749,"")</f>
        <v/>
      </c>
      <c r="I749" s="1">
        <f>_xlfn.RANK.EQ(H749,$H$2:$H$1031)</f>
        <v/>
      </c>
      <c r="J749" s="5" t="n">
        <v>638</v>
      </c>
      <c r="K749" s="5" t="n">
        <v>43</v>
      </c>
      <c r="L749" s="5" t="n">
        <v>21</v>
      </c>
      <c r="M749" s="5" t="n">
        <v>24</v>
      </c>
      <c r="N749" s="5">
        <f>J749+K749+L749+M749</f>
        <v/>
      </c>
      <c r="O749" s="5">
        <f>IF(ISNUMBER(N749),N749,"")</f>
        <v/>
      </c>
      <c r="P749" s="5">
        <f>_xlfn.RANK.EQ(O749,$O$2:$O$1031)</f>
        <v/>
      </c>
      <c r="Q749" s="9" t="n">
        <v>277</v>
      </c>
      <c r="R749" s="9" t="n">
        <v>45.5</v>
      </c>
      <c r="S749" s="9" t="n">
        <v>25</v>
      </c>
      <c r="T749" s="9" t="n">
        <v>25</v>
      </c>
      <c r="U749" s="9">
        <f>Q749+R749+S749+T749</f>
        <v/>
      </c>
      <c r="V749" s="9">
        <f>IF(ISNUMBER(U749),U749,"")</f>
        <v/>
      </c>
      <c r="W749" s="9">
        <f>_xlfn.RANK.EQ(V749,$V$2:$V$1031)</f>
        <v/>
      </c>
      <c r="X749" s="13" t="n">
        <v>1536.6416666667</v>
      </c>
      <c r="Y749" s="13" t="n">
        <v>25</v>
      </c>
      <c r="Z749" s="13" t="n">
        <v>25</v>
      </c>
      <c r="AA749" s="13" t="n">
        <v>24</v>
      </c>
      <c r="AB749" s="13">
        <f>IF(ISNUMBER(X749),X749+N(Y749)+N(Z749)+N(AA749),X749)</f>
        <v/>
      </c>
      <c r="AC749" s="13">
        <f>IF(ISNUMBER(AB749),AB749,"")</f>
        <v/>
      </c>
      <c r="AD749" s="13">
        <f>IF(ISNUMBER(AC749),_xlfn.RANK.EQ(AC749,$AC$2:$AC$1031),"")</f>
        <v/>
      </c>
      <c r="AE749" s="15">
        <f>IF(ISNUMBER(AF749),AF749/3630,"")</f>
        <v/>
      </c>
      <c r="AF749" s="14">
        <f>IFERROR(C749+D749+E749+F749+J749+K749+L749+M749+Q749+R749+S749+T749+IF(ISNUMBER(X749),X749,0)+N(Y749)+N(Z749)+N(AA749),"")</f>
        <v/>
      </c>
      <c r="AG749" s="14">
        <f>IF(ISNUMBER(AF749),AF749,"")</f>
        <v/>
      </c>
      <c r="AH749" s="14">
        <f>IF(ISNUMBER(AG749),_xlfn.RANK.EQ(AG749,$AG$2:$AG$1031),"")</f>
        <v/>
      </c>
    </row>
    <row r="750">
      <c r="A750" s="18" t="n">
        <v>1843</v>
      </c>
      <c r="B750" s="18" t="inlineStr">
        <is>
          <t>محمود علاءالدين محمد سعد قنديل</t>
        </is>
      </c>
      <c r="C750" s="1" t="n">
        <v>513.2</v>
      </c>
      <c r="D750" s="1" t="n">
        <v>24</v>
      </c>
      <c r="E750" s="1" t="n">
        <v>22</v>
      </c>
      <c r="F750" s="1" t="n">
        <v>22</v>
      </c>
      <c r="G750" s="1">
        <f>C750+D750+E750+F750</f>
        <v/>
      </c>
      <c r="H750" s="1">
        <f>IF(ISNUMBER(G750),G750,"")</f>
        <v/>
      </c>
      <c r="I750" s="1">
        <f>_xlfn.RANK.EQ(H750,$H$2:$H$1031)</f>
        <v/>
      </c>
      <c r="J750" s="5" t="n">
        <v>552</v>
      </c>
      <c r="K750" s="5" t="n">
        <v>45</v>
      </c>
      <c r="L750" s="5" t="n">
        <v>19</v>
      </c>
      <c r="M750" s="5" t="n">
        <v>20</v>
      </c>
      <c r="N750" s="5">
        <f>J750+K750+L750+M750</f>
        <v/>
      </c>
      <c r="O750" s="5">
        <f>IF(ISNUMBER(N750),N750,"")</f>
        <v/>
      </c>
      <c r="P750" s="5">
        <f>_xlfn.RANK.EQ(O750,$O$2:$O$1031)</f>
        <v/>
      </c>
      <c r="Q750" s="9" t="n">
        <v>207.75</v>
      </c>
      <c r="R750" s="9" t="n">
        <v>40</v>
      </c>
      <c r="S750" s="9" t="n">
        <v>22</v>
      </c>
      <c r="T750" s="9" t="n">
        <v>24</v>
      </c>
      <c r="U750" s="9">
        <f>Q750+R750+S750+T750</f>
        <v/>
      </c>
      <c r="V750" s="9">
        <f>IF(ISNUMBER(U750),U750,"")</f>
        <v/>
      </c>
      <c r="W750" s="9">
        <f>_xlfn.RANK.EQ(V750,$V$2:$V$1031)</f>
        <v/>
      </c>
      <c r="X750" s="13" t="n">
        <v>1313.775</v>
      </c>
      <c r="Y750" s="13" t="n">
        <v>25</v>
      </c>
      <c r="Z750" s="13" t="n">
        <v>25</v>
      </c>
      <c r="AA750" s="13" t="n">
        <v>23</v>
      </c>
      <c r="AB750" s="13">
        <f>IF(ISNUMBER(X750),X750+N(Y750)+N(Z750)+N(AA750),X750)</f>
        <v/>
      </c>
      <c r="AC750" s="13">
        <f>IF(ISNUMBER(AB750),AB750,"")</f>
        <v/>
      </c>
      <c r="AD750" s="13">
        <f>IF(ISNUMBER(AC750),_xlfn.RANK.EQ(AC750,$AC$2:$AC$1031),"")</f>
        <v/>
      </c>
      <c r="AE750" s="15">
        <f>IF(ISNUMBER(AF750),AF750/3630,"")</f>
        <v/>
      </c>
      <c r="AF750" s="14">
        <f>IFERROR(C750+D750+E750+F750+J750+K750+L750+M750+Q750+R750+S750+T750+IF(ISNUMBER(X750),X750,0)+N(Y750)+N(Z750)+N(AA750),"")</f>
        <v/>
      </c>
      <c r="AG750" s="14">
        <f>IF(ISNUMBER(AF750),AF750,"")</f>
        <v/>
      </c>
      <c r="AH750" s="14">
        <f>IF(ISNUMBER(AG750),_xlfn.RANK.EQ(AG750,$AG$2:$AG$1031),"")</f>
        <v/>
      </c>
    </row>
    <row r="751">
      <c r="A751" s="18" t="n">
        <v>1844</v>
      </c>
      <c r="B751" s="18" t="inlineStr">
        <is>
          <t>محمود علام محمود عبد الحليم علام</t>
        </is>
      </c>
      <c r="C751" s="1" t="n">
        <v>549.3</v>
      </c>
      <c r="D751" s="1" t="n">
        <v>23</v>
      </c>
      <c r="E751" s="1" t="n">
        <v>18</v>
      </c>
      <c r="F751" s="1" t="n">
        <v>19</v>
      </c>
      <c r="G751" s="1">
        <f>C751+D751+E751+F751</f>
        <v/>
      </c>
      <c r="H751" s="1">
        <f>IF(ISNUMBER(G751),G751,"")</f>
        <v/>
      </c>
      <c r="I751" s="1">
        <f>_xlfn.RANK.EQ(H751,$H$2:$H$1031)</f>
        <v/>
      </c>
      <c r="J751" s="5" t="n">
        <v>513.5</v>
      </c>
      <c r="K751" s="5" t="n">
        <v>44</v>
      </c>
      <c r="L751" s="5" t="n">
        <v>20</v>
      </c>
      <c r="M751" s="5" t="n">
        <v>20</v>
      </c>
      <c r="N751" s="5">
        <f>J751+K751+L751+M751</f>
        <v/>
      </c>
      <c r="O751" s="5">
        <f>IF(ISNUMBER(N751),N751,"")</f>
        <v/>
      </c>
      <c r="P751" s="5">
        <f>_xlfn.RANK.EQ(O751,$O$2:$O$1031)</f>
        <v/>
      </c>
      <c r="Q751" s="9" t="n">
        <v>178</v>
      </c>
      <c r="R751" s="9" t="n">
        <v>39.5</v>
      </c>
      <c r="S751" s="9" t="n">
        <v>22</v>
      </c>
      <c r="T751" s="9" t="n">
        <v>23</v>
      </c>
      <c r="U751" s="9">
        <f>Q751+R751+S751+T751</f>
        <v/>
      </c>
      <c r="V751" s="9">
        <f>IF(ISNUMBER(U751),U751,"")</f>
        <v/>
      </c>
      <c r="W751" s="9">
        <f>_xlfn.RANK.EQ(V751,$V$2:$V$1031)</f>
        <v/>
      </c>
      <c r="X751" s="13" t="inlineStr">
        <is>
          <t>راسب</t>
        </is>
      </c>
      <c r="Y751" s="13" t="n">
        <v>23</v>
      </c>
      <c r="Z751" s="13" t="n">
        <v>21</v>
      </c>
      <c r="AA751" s="13" t="n">
        <v>21</v>
      </c>
      <c r="AB751" s="13">
        <f>IF(ISNUMBER(X751),X751+N(Y751)+N(Z751)+N(AA751),X751)</f>
        <v/>
      </c>
      <c r="AC751" s="13">
        <f>IF(ISNUMBER(AB751),AB751,"")</f>
        <v/>
      </c>
      <c r="AD751" s="13">
        <f>IF(ISNUMBER(AC751),_xlfn.RANK.EQ(AC751,$AC$2:$AC$1031),"")</f>
        <v/>
      </c>
      <c r="AE751" s="15">
        <f>IF(ISNUMBER(AF751),AF751/3630,"")</f>
        <v/>
      </c>
      <c r="AF751" s="14">
        <f>IFERROR(C751+D751+E751+F751+J751+K751+L751+M751+Q751+R751+S751+T751+IF(ISNUMBER(X751),X751,0)+N(Y751)+N(Z751)+N(AA751),"")</f>
        <v/>
      </c>
      <c r="AG751" s="14">
        <f>IF(ISNUMBER(AF751),AF751,"")</f>
        <v/>
      </c>
      <c r="AH751" s="14">
        <f>IF(ISNUMBER(AG751),_xlfn.RANK.EQ(AG751,$AG$2:$AG$1031),"")</f>
        <v/>
      </c>
    </row>
    <row r="752">
      <c r="A752" s="18" t="n">
        <v>1847</v>
      </c>
      <c r="B752" s="18" t="inlineStr">
        <is>
          <t>محمود محمد حنفي محمود خضر</t>
        </is>
      </c>
      <c r="C752" s="1" t="n">
        <v>458.85</v>
      </c>
      <c r="D752" s="1" t="n">
        <v>20</v>
      </c>
      <c r="E752" s="1" t="n">
        <v>21</v>
      </c>
      <c r="F752" s="1" t="n">
        <v>19</v>
      </c>
      <c r="G752" s="1">
        <f>C752+D752+E752+F752</f>
        <v/>
      </c>
      <c r="H752" s="1">
        <f>IF(ISNUMBER(G752),G752,"")</f>
        <v/>
      </c>
      <c r="I752" s="1">
        <f>_xlfn.RANK.EQ(H752,$H$2:$H$1031)</f>
        <v/>
      </c>
      <c r="J752" s="5" t="n">
        <v>482.5</v>
      </c>
      <c r="K752" s="5" t="n">
        <v>37</v>
      </c>
      <c r="L752" s="5" t="n">
        <v>22</v>
      </c>
      <c r="M752" s="5" t="n">
        <v>20</v>
      </c>
      <c r="N752" s="5">
        <f>J752+K752+L752+M752</f>
        <v/>
      </c>
      <c r="O752" s="5">
        <f>IF(ISNUMBER(N752),N752,"")</f>
        <v/>
      </c>
      <c r="P752" s="5">
        <f>_xlfn.RANK.EQ(O752,$O$2:$O$1031)</f>
        <v/>
      </c>
      <c r="Q752" s="9" t="n">
        <v>233.75</v>
      </c>
      <c r="R752" s="9" t="n">
        <v>40.5</v>
      </c>
      <c r="S752" s="9" t="n">
        <v>24</v>
      </c>
      <c r="T752" s="9" t="n">
        <v>23.5</v>
      </c>
      <c r="U752" s="9">
        <f>Q752+R752+S752+T752</f>
        <v/>
      </c>
      <c r="V752" s="9">
        <f>IF(ISNUMBER(U752),U752,"")</f>
        <v/>
      </c>
      <c r="W752" s="9">
        <f>_xlfn.RANK.EQ(V752,$V$2:$V$1031)</f>
        <v/>
      </c>
      <c r="X752" s="13" t="inlineStr">
        <is>
          <t>راسب</t>
        </is>
      </c>
      <c r="Y752" s="13" t="n">
        <v>24</v>
      </c>
      <c r="Z752" s="13" t="n">
        <v>20</v>
      </c>
      <c r="AA752" s="13" t="n">
        <v>24</v>
      </c>
      <c r="AB752" s="13">
        <f>IF(ISNUMBER(X752),X752+N(Y752)+N(Z752)+N(AA752),X752)</f>
        <v/>
      </c>
      <c r="AC752" s="13">
        <f>IF(ISNUMBER(AB752),AB752,"")</f>
        <v/>
      </c>
      <c r="AD752" s="13">
        <f>IF(ISNUMBER(AC752),_xlfn.RANK.EQ(AC752,$AC$2:$AC$1031),"")</f>
        <v/>
      </c>
      <c r="AE752" s="15">
        <f>IF(ISNUMBER(AF752),AF752/3630,"")</f>
        <v/>
      </c>
      <c r="AF752" s="14">
        <f>IFERROR(C752+D752+E752+F752+J752+K752+L752+M752+Q752+R752+S752+T752+IF(ISNUMBER(X752),X752,0)+N(Y752)+N(Z752)+N(AA752),"")</f>
        <v/>
      </c>
      <c r="AG752" s="14">
        <f>IF(ISNUMBER(AF752),AF752,"")</f>
        <v/>
      </c>
      <c r="AH752" s="14">
        <f>IF(ISNUMBER(AG752),_xlfn.RANK.EQ(AG752,$AG$2:$AG$1031),"")</f>
        <v/>
      </c>
    </row>
    <row r="753">
      <c r="A753" s="18" t="n">
        <v>1848</v>
      </c>
      <c r="B753" s="18" t="inlineStr">
        <is>
          <t>محمود محمد عيد احمد سعيد</t>
        </is>
      </c>
      <c r="C753" s="1" t="n">
        <v>440.5</v>
      </c>
      <c r="D753" s="1" t="n">
        <v>19</v>
      </c>
      <c r="E753" s="1" t="n">
        <v>20</v>
      </c>
      <c r="F753" s="1" t="n">
        <v>16</v>
      </c>
      <c r="G753" s="1">
        <f>C753+D753+E753+F753</f>
        <v/>
      </c>
      <c r="H753" s="1">
        <f>IF(ISNUMBER(G753),G753,"")</f>
        <v/>
      </c>
      <c r="I753" s="1">
        <f>_xlfn.RANK.EQ(H753,$H$2:$H$1031)</f>
        <v/>
      </c>
      <c r="J753" s="5" t="n">
        <v>409</v>
      </c>
      <c r="K753" s="5" t="n">
        <v>36</v>
      </c>
      <c r="L753" s="5" t="n">
        <v>21</v>
      </c>
      <c r="M753" s="5" t="n">
        <v>17</v>
      </c>
      <c r="N753" s="5">
        <f>J753+K753+L753+M753</f>
        <v/>
      </c>
      <c r="O753" s="5">
        <f>IF(ISNUMBER(N753),N753,"")</f>
        <v/>
      </c>
      <c r="P753" s="5">
        <f>_xlfn.RANK.EQ(O753,$O$2:$O$1031)</f>
        <v/>
      </c>
      <c r="Q753" s="9" t="inlineStr">
        <is>
          <t>راسب</t>
        </is>
      </c>
      <c r="R753" s="9" t="n">
        <v>33.5</v>
      </c>
      <c r="S753" s="9" t="n">
        <v>19</v>
      </c>
      <c r="T753" s="9" t="n">
        <v>23</v>
      </c>
      <c r="U753" s="9">
        <f>Q753+R753+S753+T753</f>
        <v/>
      </c>
      <c r="V753" s="9">
        <f>IF(ISNUMBER(U753),U753,"")</f>
        <v/>
      </c>
      <c r="W753" s="9">
        <f>_xlfn.RANK.EQ(V753,$V$2:$V$1031)</f>
        <v/>
      </c>
      <c r="X753" s="13" t="n">
        <v>1255.2791666667</v>
      </c>
      <c r="Y753" s="13" t="n">
        <v>23</v>
      </c>
      <c r="Z753" s="13" t="n">
        <v>15</v>
      </c>
      <c r="AA753" s="13" t="n">
        <v>20</v>
      </c>
      <c r="AB753" s="13">
        <f>IF(ISNUMBER(X753),X753+N(Y753)+N(Z753)+N(AA753),X753)</f>
        <v/>
      </c>
      <c r="AC753" s="13">
        <f>IF(ISNUMBER(AB753),AB753,"")</f>
        <v/>
      </c>
      <c r="AD753" s="13">
        <f>IF(ISNUMBER(AC753),_xlfn.RANK.EQ(AC753,$AC$2:$AC$1031),"")</f>
        <v/>
      </c>
      <c r="AE753" s="15">
        <f>IF(ISNUMBER(AF753),AF753/3630,"")</f>
        <v/>
      </c>
      <c r="AF753" s="14">
        <f>IFERROR(C753+D753+E753+F753+J753+K753+L753+M753+Q753+R753+S753+T753+IF(ISNUMBER(X753),X753,0)+N(Y753)+N(Z753)+N(AA753),"")</f>
        <v/>
      </c>
      <c r="AG753" s="14">
        <f>IF(ISNUMBER(AF753),AF753,"")</f>
        <v/>
      </c>
      <c r="AH753" s="14">
        <f>IF(ISNUMBER(AG753),_xlfn.RANK.EQ(AG753,$AG$2:$AG$1031),"")</f>
        <v/>
      </c>
    </row>
    <row r="754">
      <c r="A754" s="18" t="n">
        <v>1850</v>
      </c>
      <c r="B754" s="18" t="inlineStr">
        <is>
          <t>محمود محمد محمود سالم المالكي</t>
        </is>
      </c>
      <c r="C754" s="1" t="n">
        <v>621.8</v>
      </c>
      <c r="D754" s="1" t="n">
        <v>24</v>
      </c>
      <c r="E754" s="1" t="n">
        <v>25</v>
      </c>
      <c r="F754" s="1" t="n">
        <v>24</v>
      </c>
      <c r="G754" s="1">
        <f>C754+D754+E754+F754</f>
        <v/>
      </c>
      <c r="H754" s="1">
        <f>IF(ISNUMBER(G754),G754,"")</f>
        <v/>
      </c>
      <c r="I754" s="1">
        <f>_xlfn.RANK.EQ(H754,$H$2:$H$1031)</f>
        <v/>
      </c>
      <c r="J754" s="5" t="n">
        <v>579.5</v>
      </c>
      <c r="K754" s="5" t="n">
        <v>47</v>
      </c>
      <c r="L754" s="5" t="n">
        <v>25</v>
      </c>
      <c r="M754" s="5" t="n">
        <v>20</v>
      </c>
      <c r="N754" s="5">
        <f>J754+K754+L754+M754</f>
        <v/>
      </c>
      <c r="O754" s="5">
        <f>IF(ISNUMBER(N754),N754,"")</f>
        <v/>
      </c>
      <c r="P754" s="5">
        <f>_xlfn.RANK.EQ(O754,$O$2:$O$1031)</f>
        <v/>
      </c>
      <c r="Q754" s="9" t="n">
        <v>252.5</v>
      </c>
      <c r="R754" s="9" t="n">
        <v>45</v>
      </c>
      <c r="S754" s="9" t="n">
        <v>24</v>
      </c>
      <c r="T754" s="9" t="n">
        <v>25</v>
      </c>
      <c r="U754" s="9">
        <f>Q754+R754+S754+T754</f>
        <v/>
      </c>
      <c r="V754" s="9">
        <f>IF(ISNUMBER(U754),U754,"")</f>
        <v/>
      </c>
      <c r="W754" s="9">
        <f>_xlfn.RANK.EQ(V754,$V$2:$V$1031)</f>
        <v/>
      </c>
      <c r="X754" s="13" t="n">
        <v>1329.7166666667</v>
      </c>
      <c r="Y754" s="13" t="n">
        <v>25</v>
      </c>
      <c r="Z754" s="13" t="n">
        <v>21</v>
      </c>
      <c r="AA754" s="13" t="n">
        <v>24</v>
      </c>
      <c r="AB754" s="13">
        <f>IF(ISNUMBER(X754),X754+N(Y754)+N(Z754)+N(AA754),X754)</f>
        <v/>
      </c>
      <c r="AC754" s="13">
        <f>IF(ISNUMBER(AB754),AB754,"")</f>
        <v/>
      </c>
      <c r="AD754" s="13">
        <f>IF(ISNUMBER(AC754),_xlfn.RANK.EQ(AC754,$AC$2:$AC$1031),"")</f>
        <v/>
      </c>
      <c r="AE754" s="15">
        <f>IF(ISNUMBER(AF754),AF754/3630,"")</f>
        <v/>
      </c>
      <c r="AF754" s="14">
        <f>IFERROR(C754+D754+E754+F754+J754+K754+L754+M754+Q754+R754+S754+T754+IF(ISNUMBER(X754),X754,0)+N(Y754)+N(Z754)+N(AA754),"")</f>
        <v/>
      </c>
      <c r="AG754" s="14">
        <f>IF(ISNUMBER(AF754),AF754,"")</f>
        <v/>
      </c>
      <c r="AH754" s="14">
        <f>IF(ISNUMBER(AG754),_xlfn.RANK.EQ(AG754,$AG$2:$AG$1031),"")</f>
        <v/>
      </c>
    </row>
    <row r="755">
      <c r="A755" s="18" t="n">
        <v>1853</v>
      </c>
      <c r="B755" s="18" t="inlineStr">
        <is>
          <t>محمود محمد منجد احمد</t>
        </is>
      </c>
      <c r="C755" s="1" t="n">
        <v>584.6</v>
      </c>
      <c r="D755" s="1" t="n">
        <v>23</v>
      </c>
      <c r="E755" s="1" t="n">
        <v>23</v>
      </c>
      <c r="F755" s="1" t="n">
        <v>22</v>
      </c>
      <c r="G755" s="1">
        <f>C755+D755+E755+F755</f>
        <v/>
      </c>
      <c r="H755" s="1">
        <f>IF(ISNUMBER(G755),G755,"")</f>
        <v/>
      </c>
      <c r="I755" s="1">
        <f>_xlfn.RANK.EQ(H755,$H$2:$H$1031)</f>
        <v/>
      </c>
      <c r="J755" s="5" t="n">
        <v>562.5</v>
      </c>
      <c r="K755" s="5" t="n">
        <v>48</v>
      </c>
      <c r="L755" s="5" t="n">
        <v>21</v>
      </c>
      <c r="M755" s="5" t="n">
        <v>23</v>
      </c>
      <c r="N755" s="5">
        <f>J755+K755+L755+M755</f>
        <v/>
      </c>
      <c r="O755" s="5">
        <f>IF(ISNUMBER(N755),N755,"")</f>
        <v/>
      </c>
      <c r="P755" s="5">
        <f>_xlfn.RANK.EQ(O755,$O$2:$O$1031)</f>
        <v/>
      </c>
      <c r="Q755" s="9" t="n">
        <v>250.75</v>
      </c>
      <c r="R755" s="9" t="n">
        <v>46.5</v>
      </c>
      <c r="S755" s="9" t="n">
        <v>24</v>
      </c>
      <c r="T755" s="9" t="n">
        <v>22.5</v>
      </c>
      <c r="U755" s="9">
        <f>Q755+R755+S755+T755</f>
        <v/>
      </c>
      <c r="V755" s="9">
        <f>IF(ISNUMBER(U755),U755,"")</f>
        <v/>
      </c>
      <c r="W755" s="9">
        <f>_xlfn.RANK.EQ(V755,$V$2:$V$1031)</f>
        <v/>
      </c>
      <c r="X755" s="13" t="n">
        <v>1403.7958333333</v>
      </c>
      <c r="Y755" s="13" t="n">
        <v>25</v>
      </c>
      <c r="Z755" s="13" t="n">
        <v>22</v>
      </c>
      <c r="AA755" s="13" t="n">
        <v>25</v>
      </c>
      <c r="AB755" s="13">
        <f>IF(ISNUMBER(X755),X755+N(Y755)+N(Z755)+N(AA755),X755)</f>
        <v/>
      </c>
      <c r="AC755" s="13">
        <f>IF(ISNUMBER(AB755),AB755,"")</f>
        <v/>
      </c>
      <c r="AD755" s="13">
        <f>IF(ISNUMBER(AC755),_xlfn.RANK.EQ(AC755,$AC$2:$AC$1031),"")</f>
        <v/>
      </c>
      <c r="AE755" s="15">
        <f>IF(ISNUMBER(AF755),AF755/3630,"")</f>
        <v/>
      </c>
      <c r="AF755" s="14">
        <f>IFERROR(C755+D755+E755+F755+J755+K755+L755+M755+Q755+R755+S755+T755+IF(ISNUMBER(X755),X755,0)+N(Y755)+N(Z755)+N(AA755),"")</f>
        <v/>
      </c>
      <c r="AG755" s="14">
        <f>IF(ISNUMBER(AF755),AF755,"")</f>
        <v/>
      </c>
      <c r="AH755" s="14">
        <f>IF(ISNUMBER(AG755),_xlfn.RANK.EQ(AG755,$AG$2:$AG$1031),"")</f>
        <v/>
      </c>
    </row>
    <row r="756">
      <c r="A756" s="18" t="n">
        <v>1854</v>
      </c>
      <c r="B756" s="18" t="inlineStr">
        <is>
          <t>محمود محمد هارون صابر معيوف</t>
        </is>
      </c>
      <c r="C756" s="1" t="n">
        <v>639.2</v>
      </c>
      <c r="D756" s="1" t="n">
        <v>24</v>
      </c>
      <c r="E756" s="1" t="n">
        <v>25</v>
      </c>
      <c r="F756" s="1" t="n">
        <v>21</v>
      </c>
      <c r="G756" s="1">
        <f>C756+D756+E756+F756</f>
        <v/>
      </c>
      <c r="H756" s="1">
        <f>IF(ISNUMBER(G756),G756,"")</f>
        <v/>
      </c>
      <c r="I756" s="1">
        <f>_xlfn.RANK.EQ(H756,$H$2:$H$1031)</f>
        <v/>
      </c>
      <c r="J756" s="5" t="n">
        <v>628.75</v>
      </c>
      <c r="K756" s="5" t="n">
        <v>48</v>
      </c>
      <c r="L756" s="5" t="n">
        <v>24</v>
      </c>
      <c r="M756" s="5" t="n">
        <v>24</v>
      </c>
      <c r="N756" s="5">
        <f>J756+K756+L756+M756</f>
        <v/>
      </c>
      <c r="O756" s="5">
        <f>IF(ISNUMBER(N756),N756,"")</f>
        <v/>
      </c>
      <c r="P756" s="5">
        <f>_xlfn.RANK.EQ(O756,$O$2:$O$1031)</f>
        <v/>
      </c>
      <c r="Q756" s="9" t="n">
        <v>264</v>
      </c>
      <c r="R756" s="9" t="n">
        <v>47.5</v>
      </c>
      <c r="S756" s="9" t="n">
        <v>25</v>
      </c>
      <c r="T756" s="9" t="n">
        <v>24.5</v>
      </c>
      <c r="U756" s="9">
        <f>Q756+R756+S756+T756</f>
        <v/>
      </c>
      <c r="V756" s="9">
        <f>IF(ISNUMBER(U756),U756,"")</f>
        <v/>
      </c>
      <c r="W756" s="9">
        <f>_xlfn.RANK.EQ(V756,$V$2:$V$1031)</f>
        <v/>
      </c>
      <c r="X756" s="13" t="n">
        <v>1471.6916666667</v>
      </c>
      <c r="Y756" s="13" t="n">
        <v>25</v>
      </c>
      <c r="Z756" s="13" t="n">
        <v>24</v>
      </c>
      <c r="AA756" s="13" t="n">
        <v>25</v>
      </c>
      <c r="AB756" s="13">
        <f>IF(ISNUMBER(X756),X756+N(Y756)+N(Z756)+N(AA756),X756)</f>
        <v/>
      </c>
      <c r="AC756" s="13">
        <f>IF(ISNUMBER(AB756),AB756,"")</f>
        <v/>
      </c>
      <c r="AD756" s="13">
        <f>IF(ISNUMBER(AC756),_xlfn.RANK.EQ(AC756,$AC$2:$AC$1031),"")</f>
        <v/>
      </c>
      <c r="AE756" s="15">
        <f>IF(ISNUMBER(AF756),AF756/3630,"")</f>
        <v/>
      </c>
      <c r="AF756" s="14">
        <f>IFERROR(C756+D756+E756+F756+J756+K756+L756+M756+Q756+R756+S756+T756+IF(ISNUMBER(X756),X756,0)+N(Y756)+N(Z756)+N(AA756),"")</f>
        <v/>
      </c>
      <c r="AG756" s="14">
        <f>IF(ISNUMBER(AF756),AF756,"")</f>
        <v/>
      </c>
      <c r="AH756" s="14">
        <f>IF(ISNUMBER(AG756),_xlfn.RANK.EQ(AG756,$AG$2:$AG$1031),"")</f>
        <v/>
      </c>
    </row>
    <row r="757">
      <c r="A757" s="18" t="n">
        <v>1855</v>
      </c>
      <c r="B757" s="18" t="inlineStr">
        <is>
          <t>محمود هانى عبد المطلب عبد الله</t>
        </is>
      </c>
      <c r="C757" s="1" t="n">
        <v>604.7</v>
      </c>
      <c r="D757" s="1" t="n">
        <v>25</v>
      </c>
      <c r="E757" s="1" t="n">
        <v>25</v>
      </c>
      <c r="F757" s="1" t="n">
        <v>22</v>
      </c>
      <c r="G757" s="1">
        <f>C757+D757+E757+F757</f>
        <v/>
      </c>
      <c r="H757" s="1">
        <f>IF(ISNUMBER(G757),G757,"")</f>
        <v/>
      </c>
      <c r="I757" s="1">
        <f>_xlfn.RANK.EQ(H757,$H$2:$H$1031)</f>
        <v/>
      </c>
      <c r="J757" s="5" t="n">
        <v>605.5</v>
      </c>
      <c r="K757" s="5" t="n">
        <v>45</v>
      </c>
      <c r="L757" s="5" t="n">
        <v>22</v>
      </c>
      <c r="M757" s="5" t="n">
        <v>23</v>
      </c>
      <c r="N757" s="5">
        <f>J757+K757+L757+M757</f>
        <v/>
      </c>
      <c r="O757" s="5">
        <f>IF(ISNUMBER(N757),N757,"")</f>
        <v/>
      </c>
      <c r="P757" s="5">
        <f>_xlfn.RANK.EQ(O757,$O$2:$O$1031)</f>
        <v/>
      </c>
      <c r="Q757" s="9" t="n">
        <v>266</v>
      </c>
      <c r="R757" s="9" t="n">
        <v>47.5</v>
      </c>
      <c r="S757" s="9" t="n">
        <v>23</v>
      </c>
      <c r="T757" s="9" t="n">
        <v>24</v>
      </c>
      <c r="U757" s="9">
        <f>Q757+R757+S757+T757</f>
        <v/>
      </c>
      <c r="V757" s="9">
        <f>IF(ISNUMBER(U757),U757,"")</f>
        <v/>
      </c>
      <c r="W757" s="9">
        <f>_xlfn.RANK.EQ(V757,$V$2:$V$1031)</f>
        <v/>
      </c>
      <c r="X757" s="13" t="n">
        <v>1451.7541666667</v>
      </c>
      <c r="Y757" s="13" t="n">
        <v>25</v>
      </c>
      <c r="Z757" s="13" t="n">
        <v>24</v>
      </c>
      <c r="AA757" s="13" t="n">
        <v>24</v>
      </c>
      <c r="AB757" s="13">
        <f>IF(ISNUMBER(X757),X757+N(Y757)+N(Z757)+N(AA757),X757)</f>
        <v/>
      </c>
      <c r="AC757" s="13">
        <f>IF(ISNUMBER(AB757),AB757,"")</f>
        <v/>
      </c>
      <c r="AD757" s="13">
        <f>IF(ISNUMBER(AC757),_xlfn.RANK.EQ(AC757,$AC$2:$AC$1031),"")</f>
        <v/>
      </c>
      <c r="AE757" s="15">
        <f>IF(ISNUMBER(AF757),AF757/3630,"")</f>
        <v/>
      </c>
      <c r="AF757" s="14">
        <f>IFERROR(C757+D757+E757+F757+J757+K757+L757+M757+Q757+R757+S757+T757+IF(ISNUMBER(X757),X757,0)+N(Y757)+N(Z757)+N(AA757),"")</f>
        <v/>
      </c>
      <c r="AG757" s="14">
        <f>IF(ISNUMBER(AF757),AF757,"")</f>
        <v/>
      </c>
      <c r="AH757" s="14">
        <f>IF(ISNUMBER(AG757),_xlfn.RANK.EQ(AG757,$AG$2:$AG$1031),"")</f>
        <v/>
      </c>
    </row>
    <row r="758">
      <c r="A758" s="18" t="n">
        <v>1859</v>
      </c>
      <c r="B758" s="18" t="inlineStr">
        <is>
          <t>مختار علي مختار عبد العزيز ابو صفيه</t>
        </is>
      </c>
      <c r="C758" s="1" t="n">
        <v>608.8</v>
      </c>
      <c r="D758" s="1" t="n">
        <v>25</v>
      </c>
      <c r="E758" s="1" t="n">
        <v>22</v>
      </c>
      <c r="F758" s="1" t="n">
        <v>20</v>
      </c>
      <c r="G758" s="1">
        <f>C758+D758+E758+F758</f>
        <v/>
      </c>
      <c r="H758" s="1">
        <f>IF(ISNUMBER(G758),G758,"")</f>
        <v/>
      </c>
      <c r="I758" s="1">
        <f>_xlfn.RANK.EQ(H758,$H$2:$H$1031)</f>
        <v/>
      </c>
      <c r="J758" s="5" t="n">
        <v>597.75</v>
      </c>
      <c r="K758" s="5" t="n">
        <v>48</v>
      </c>
      <c r="L758" s="5" t="n">
        <v>22</v>
      </c>
      <c r="M758" s="5" t="n">
        <v>23</v>
      </c>
      <c r="N758" s="5">
        <f>J758+K758+L758+M758</f>
        <v/>
      </c>
      <c r="O758" s="5">
        <f>IF(ISNUMBER(N758),N758,"")</f>
        <v/>
      </c>
      <c r="P758" s="5">
        <f>_xlfn.RANK.EQ(O758,$O$2:$O$1031)</f>
        <v/>
      </c>
      <c r="Q758" s="9" t="n">
        <v>245</v>
      </c>
      <c r="R758" s="9" t="n">
        <v>42</v>
      </c>
      <c r="S758" s="9" t="n">
        <v>25</v>
      </c>
      <c r="T758" s="9" t="n">
        <v>24</v>
      </c>
      <c r="U758" s="9">
        <f>Q758+R758+S758+T758</f>
        <v/>
      </c>
      <c r="V758" s="9">
        <f>IF(ISNUMBER(U758),U758,"")</f>
        <v/>
      </c>
      <c r="W758" s="9">
        <f>_xlfn.RANK.EQ(V758,$V$2:$V$1031)</f>
        <v/>
      </c>
      <c r="X758" s="13" t="n">
        <v>1405.2583333333</v>
      </c>
      <c r="Y758" s="13" t="n">
        <v>25</v>
      </c>
      <c r="Z758" s="13" t="n">
        <v>21</v>
      </c>
      <c r="AA758" s="13" t="n">
        <v>24</v>
      </c>
      <c r="AB758" s="13">
        <f>IF(ISNUMBER(X758),X758+N(Y758)+N(Z758)+N(AA758),X758)</f>
        <v/>
      </c>
      <c r="AC758" s="13">
        <f>IF(ISNUMBER(AB758),AB758,"")</f>
        <v/>
      </c>
      <c r="AD758" s="13">
        <f>IF(ISNUMBER(AC758),_xlfn.RANK.EQ(AC758,$AC$2:$AC$1031),"")</f>
        <v/>
      </c>
      <c r="AE758" s="15">
        <f>IF(ISNUMBER(AF758),AF758/3630,"")</f>
        <v/>
      </c>
      <c r="AF758" s="14">
        <f>IFERROR(C758+D758+E758+F758+J758+K758+L758+M758+Q758+R758+S758+T758+IF(ISNUMBER(X758),X758,0)+N(Y758)+N(Z758)+N(AA758),"")</f>
        <v/>
      </c>
      <c r="AG758" s="14">
        <f>IF(ISNUMBER(AF758),AF758,"")</f>
        <v/>
      </c>
      <c r="AH758" s="14">
        <f>IF(ISNUMBER(AG758),_xlfn.RANK.EQ(AG758,$AG$2:$AG$1031),"")</f>
        <v/>
      </c>
    </row>
    <row r="759">
      <c r="A759" s="18" t="n">
        <v>1864</v>
      </c>
      <c r="B759" s="18" t="inlineStr">
        <is>
          <t>مرام محمد علام ابراهيم</t>
        </is>
      </c>
      <c r="C759" s="1" t="n">
        <v>486.8</v>
      </c>
      <c r="D759" s="1" t="n">
        <v>24</v>
      </c>
      <c r="E759" s="1" t="n">
        <v>20</v>
      </c>
      <c r="F759" s="1" t="n">
        <v>16</v>
      </c>
      <c r="G759" s="1">
        <f>C759+D759+E759+F759</f>
        <v/>
      </c>
      <c r="H759" s="1">
        <f>IF(ISNUMBER(G759),G759,"")</f>
        <v/>
      </c>
      <c r="I759" s="1">
        <f>_xlfn.RANK.EQ(H759,$H$2:$H$1031)</f>
        <v/>
      </c>
      <c r="J759" s="5" t="n">
        <v>547.75</v>
      </c>
      <c r="K759" s="5" t="n">
        <v>44</v>
      </c>
      <c r="L759" s="5" t="n">
        <v>19</v>
      </c>
      <c r="M759" s="5" t="n">
        <v>22</v>
      </c>
      <c r="N759" s="5">
        <f>J759+K759+L759+M759</f>
        <v/>
      </c>
      <c r="O759" s="5">
        <f>IF(ISNUMBER(N759),N759,"")</f>
        <v/>
      </c>
      <c r="P759" s="5">
        <f>_xlfn.RANK.EQ(O759,$O$2:$O$1031)</f>
        <v/>
      </c>
      <c r="Q759" s="9" t="n">
        <v>237.25</v>
      </c>
      <c r="R759" s="9" t="n">
        <v>45.5</v>
      </c>
      <c r="S759" s="9" t="n">
        <v>20</v>
      </c>
      <c r="T759" s="9" t="n">
        <v>24</v>
      </c>
      <c r="U759" s="9">
        <f>Q759+R759+S759+T759</f>
        <v/>
      </c>
      <c r="V759" s="9">
        <f>IF(ISNUMBER(U759),U759,"")</f>
        <v/>
      </c>
      <c r="W759" s="9">
        <f>_xlfn.RANK.EQ(V759,$V$2:$V$1031)</f>
        <v/>
      </c>
      <c r="X759" s="13" t="n">
        <v>1354.475</v>
      </c>
      <c r="Y759" s="13" t="n">
        <v>25</v>
      </c>
      <c r="Z759" s="13" t="n">
        <v>22</v>
      </c>
      <c r="AA759" s="13" t="n">
        <v>23</v>
      </c>
      <c r="AB759" s="13">
        <f>IF(ISNUMBER(X759),X759+N(Y759)+N(Z759)+N(AA759),X759)</f>
        <v/>
      </c>
      <c r="AC759" s="13">
        <f>IF(ISNUMBER(AB759),AB759,"")</f>
        <v/>
      </c>
      <c r="AD759" s="13">
        <f>IF(ISNUMBER(AC759),_xlfn.RANK.EQ(AC759,$AC$2:$AC$1031),"")</f>
        <v/>
      </c>
      <c r="AE759" s="15">
        <f>IF(ISNUMBER(AF759),AF759/3630,"")</f>
        <v/>
      </c>
      <c r="AF759" s="14">
        <f>IFERROR(C759+D759+E759+F759+J759+K759+L759+M759+Q759+R759+S759+T759+IF(ISNUMBER(X759),X759,0)+N(Y759)+N(Z759)+N(AA759),"")</f>
        <v/>
      </c>
      <c r="AG759" s="14">
        <f>IF(ISNUMBER(AF759),AF759,"")</f>
        <v/>
      </c>
      <c r="AH759" s="14">
        <f>IF(ISNUMBER(AG759),_xlfn.RANK.EQ(AG759,$AG$2:$AG$1031),"")</f>
        <v/>
      </c>
    </row>
    <row r="760">
      <c r="A760" s="18" t="n">
        <v>1867</v>
      </c>
      <c r="B760" s="18" t="inlineStr">
        <is>
          <t>مرثا مجدى يونان غطاس حنا</t>
        </is>
      </c>
      <c r="C760" s="1" t="n">
        <v>521.4</v>
      </c>
      <c r="D760" s="1" t="n">
        <v>23</v>
      </c>
      <c r="E760" s="1" t="n">
        <v>19</v>
      </c>
      <c r="F760" s="1" t="n">
        <v>19</v>
      </c>
      <c r="G760" s="1">
        <f>C760+D760+E760+F760</f>
        <v/>
      </c>
      <c r="H760" s="1">
        <f>IF(ISNUMBER(G760),G760,"")</f>
        <v/>
      </c>
      <c r="I760" s="1">
        <f>_xlfn.RANK.EQ(H760,$H$2:$H$1031)</f>
        <v/>
      </c>
      <c r="J760" s="5" t="n">
        <v>498</v>
      </c>
      <c r="K760" s="5" t="n">
        <v>47</v>
      </c>
      <c r="L760" s="5" t="n">
        <v>19</v>
      </c>
      <c r="M760" s="5" t="n">
        <v>18</v>
      </c>
      <c r="N760" s="5">
        <f>J760+K760+L760+M760</f>
        <v/>
      </c>
      <c r="O760" s="5">
        <f>IF(ISNUMBER(N760),N760,"")</f>
        <v/>
      </c>
      <c r="P760" s="5">
        <f>_xlfn.RANK.EQ(O760,$O$2:$O$1031)</f>
        <v/>
      </c>
      <c r="Q760" s="9" t="n">
        <v>221.5</v>
      </c>
      <c r="R760" s="9" t="n">
        <v>43</v>
      </c>
      <c r="S760" s="9" t="n">
        <v>25</v>
      </c>
      <c r="T760" s="9" t="n">
        <v>23</v>
      </c>
      <c r="U760" s="9">
        <f>Q760+R760+S760+T760</f>
        <v/>
      </c>
      <c r="V760" s="9">
        <f>IF(ISNUMBER(U760),U760,"")</f>
        <v/>
      </c>
      <c r="W760" s="9">
        <f>_xlfn.RANK.EQ(V760,$V$2:$V$1031)</f>
        <v/>
      </c>
      <c r="X760" s="13" t="n">
        <v>1317.3875</v>
      </c>
      <c r="Y760" s="13" t="n">
        <v>24</v>
      </c>
      <c r="Z760" s="13" t="n">
        <v>16</v>
      </c>
      <c r="AA760" s="13" t="n">
        <v>20</v>
      </c>
      <c r="AB760" s="13">
        <f>IF(ISNUMBER(X760),X760+N(Y760)+N(Z760)+N(AA760),X760)</f>
        <v/>
      </c>
      <c r="AC760" s="13">
        <f>IF(ISNUMBER(AB760),AB760,"")</f>
        <v/>
      </c>
      <c r="AD760" s="13">
        <f>IF(ISNUMBER(AC760),_xlfn.RANK.EQ(AC760,$AC$2:$AC$1031),"")</f>
        <v/>
      </c>
      <c r="AE760" s="15">
        <f>IF(ISNUMBER(AF760),AF760/3630,"")</f>
        <v/>
      </c>
      <c r="AF760" s="14">
        <f>IFERROR(C760+D760+E760+F760+J760+K760+L760+M760+Q760+R760+S760+T760+IF(ISNUMBER(X760),X760,0)+N(Y760)+N(Z760)+N(AA760),"")</f>
        <v/>
      </c>
      <c r="AG760" s="14">
        <f>IF(ISNUMBER(AF760),AF760,"")</f>
        <v/>
      </c>
      <c r="AH760" s="14">
        <f>IF(ISNUMBER(AG760),_xlfn.RANK.EQ(AG760,$AG$2:$AG$1031),"")</f>
        <v/>
      </c>
    </row>
    <row r="761">
      <c r="A761" s="18" t="n">
        <v>1870</v>
      </c>
      <c r="B761" s="18" t="inlineStr">
        <is>
          <t>مرفت حنفي محمود عبد العظيم</t>
        </is>
      </c>
      <c r="C761" s="1" t="n">
        <v>572.9</v>
      </c>
      <c r="D761" s="1" t="n">
        <v>19</v>
      </c>
      <c r="E761" s="1" t="n">
        <v>25</v>
      </c>
      <c r="F761" s="1" t="n">
        <v>21</v>
      </c>
      <c r="G761" s="1">
        <f>C761+D761+E761+F761</f>
        <v/>
      </c>
      <c r="H761" s="1">
        <f>IF(ISNUMBER(G761),G761,"")</f>
        <v/>
      </c>
      <c r="I761" s="1">
        <f>_xlfn.RANK.EQ(H761,$H$2:$H$1031)</f>
        <v/>
      </c>
      <c r="J761" s="5" t="n">
        <v>580.25</v>
      </c>
      <c r="K761" s="5" t="n">
        <v>46</v>
      </c>
      <c r="L761" s="5" t="n">
        <v>23</v>
      </c>
      <c r="M761" s="5" t="n">
        <v>22</v>
      </c>
      <c r="N761" s="5">
        <f>J761+K761+L761+M761</f>
        <v/>
      </c>
      <c r="O761" s="5">
        <f>IF(ISNUMBER(N761),N761,"")</f>
        <v/>
      </c>
      <c r="P761" s="5">
        <f>_xlfn.RANK.EQ(O761,$O$2:$O$1031)</f>
        <v/>
      </c>
      <c r="Q761" s="9" t="n">
        <v>247</v>
      </c>
      <c r="R761" s="9" t="n">
        <v>44.5</v>
      </c>
      <c r="S761" s="9" t="n">
        <v>21</v>
      </c>
      <c r="T761" s="9" t="n">
        <v>25</v>
      </c>
      <c r="U761" s="9">
        <f>Q761+R761+S761+T761</f>
        <v/>
      </c>
      <c r="V761" s="9">
        <f>IF(ISNUMBER(U761),U761,"")</f>
        <v/>
      </c>
      <c r="W761" s="9">
        <f>_xlfn.RANK.EQ(V761,$V$2:$V$1031)</f>
        <v/>
      </c>
      <c r="X761" s="13" t="n">
        <v>1376.1416666667</v>
      </c>
      <c r="Y761" s="13" t="n">
        <v>25</v>
      </c>
      <c r="Z761" s="13" t="n">
        <v>22</v>
      </c>
      <c r="AA761" s="13" t="n">
        <v>24</v>
      </c>
      <c r="AB761" s="13">
        <f>IF(ISNUMBER(X761),X761+N(Y761)+N(Z761)+N(AA761),X761)</f>
        <v/>
      </c>
      <c r="AC761" s="13">
        <f>IF(ISNUMBER(AB761),AB761,"")</f>
        <v/>
      </c>
      <c r="AD761" s="13">
        <f>IF(ISNUMBER(AC761),_xlfn.RANK.EQ(AC761,$AC$2:$AC$1031),"")</f>
        <v/>
      </c>
      <c r="AE761" s="15">
        <f>IF(ISNUMBER(AF761),AF761/3630,"")</f>
        <v/>
      </c>
      <c r="AF761" s="14">
        <f>IFERROR(C761+D761+E761+F761+J761+K761+L761+M761+Q761+R761+S761+T761+IF(ISNUMBER(X761),X761,0)+N(Y761)+N(Z761)+N(AA761),"")</f>
        <v/>
      </c>
      <c r="AG761" s="14">
        <f>IF(ISNUMBER(AF761),AF761,"")</f>
        <v/>
      </c>
      <c r="AH761" s="14">
        <f>IF(ISNUMBER(AG761),_xlfn.RANK.EQ(AG761,$AG$2:$AG$1031),"")</f>
        <v/>
      </c>
    </row>
    <row r="762">
      <c r="A762" s="18" t="n">
        <v>1871</v>
      </c>
      <c r="B762" s="18" t="inlineStr">
        <is>
          <t>مروان اسامة محمد عبداللطيف طلبه</t>
        </is>
      </c>
      <c r="C762" s="1" t="n">
        <v>609.6</v>
      </c>
      <c r="D762" s="1" t="n">
        <v>23</v>
      </c>
      <c r="E762" s="1" t="n">
        <v>23</v>
      </c>
      <c r="F762" s="1" t="n">
        <v>18</v>
      </c>
      <c r="G762" s="1">
        <f>C762+D762+E762+F762</f>
        <v/>
      </c>
      <c r="H762" s="1">
        <f>IF(ISNUMBER(G762),G762,"")</f>
        <v/>
      </c>
      <c r="I762" s="1">
        <f>_xlfn.RANK.EQ(H762,$H$2:$H$1031)</f>
        <v/>
      </c>
      <c r="J762" s="5" t="n">
        <v>572.5</v>
      </c>
      <c r="K762" s="5" t="n">
        <v>45</v>
      </c>
      <c r="L762" s="5" t="n">
        <v>21</v>
      </c>
      <c r="M762" s="5" t="n">
        <v>23</v>
      </c>
      <c r="N762" s="5">
        <f>J762+K762+L762+M762</f>
        <v/>
      </c>
      <c r="O762" s="5">
        <f>IF(ISNUMBER(N762),N762,"")</f>
        <v/>
      </c>
      <c r="P762" s="5">
        <f>_xlfn.RANK.EQ(O762,$O$2:$O$1031)</f>
        <v/>
      </c>
      <c r="Q762" s="9" t="n">
        <v>238.75</v>
      </c>
      <c r="R762" s="9" t="n">
        <v>33.25</v>
      </c>
      <c r="S762" s="9" t="n">
        <v>22</v>
      </c>
      <c r="T762" s="9" t="n">
        <v>21.5</v>
      </c>
      <c r="U762" s="9">
        <f>Q762+R762+S762+T762</f>
        <v/>
      </c>
      <c r="V762" s="9">
        <f>IF(ISNUMBER(U762),U762,"")</f>
        <v/>
      </c>
      <c r="W762" s="9">
        <f>_xlfn.RANK.EQ(V762,$V$2:$V$1031)</f>
        <v/>
      </c>
      <c r="X762" s="13" t="n">
        <v>1336.1458333333</v>
      </c>
      <c r="Y762" s="13" t="n">
        <v>23</v>
      </c>
      <c r="Z762" s="13" t="n">
        <v>21</v>
      </c>
      <c r="AA762" s="13" t="n">
        <v>21</v>
      </c>
      <c r="AB762" s="13">
        <f>IF(ISNUMBER(X762),X762+N(Y762)+N(Z762)+N(AA762),X762)</f>
        <v/>
      </c>
      <c r="AC762" s="13">
        <f>IF(ISNUMBER(AB762),AB762,"")</f>
        <v/>
      </c>
      <c r="AD762" s="13">
        <f>IF(ISNUMBER(AC762),_xlfn.RANK.EQ(AC762,$AC$2:$AC$1031),"")</f>
        <v/>
      </c>
      <c r="AE762" s="15">
        <f>IF(ISNUMBER(AF762),AF762/3630,"")</f>
        <v/>
      </c>
      <c r="AF762" s="14">
        <f>IFERROR(C762+D762+E762+F762+J762+K762+L762+M762+Q762+R762+S762+T762+IF(ISNUMBER(X762),X762,0)+N(Y762)+N(Z762)+N(AA762),"")</f>
        <v/>
      </c>
      <c r="AG762" s="14">
        <f>IF(ISNUMBER(AF762),AF762,"")</f>
        <v/>
      </c>
      <c r="AH762" s="14">
        <f>IF(ISNUMBER(AG762),_xlfn.RANK.EQ(AG762,$AG$2:$AG$1031),"")</f>
        <v/>
      </c>
    </row>
    <row r="763">
      <c r="A763" s="18" t="n">
        <v>1872</v>
      </c>
      <c r="B763" s="18" t="inlineStr">
        <is>
          <t>مروان بسيونى فوزى بسيونى مرعى</t>
        </is>
      </c>
      <c r="C763" s="1" t="n">
        <v>570.6</v>
      </c>
      <c r="D763" s="1" t="n">
        <v>25</v>
      </c>
      <c r="E763" s="1" t="n">
        <v>21</v>
      </c>
      <c r="F763" s="1" t="n">
        <v>23</v>
      </c>
      <c r="G763" s="1">
        <f>C763+D763+E763+F763</f>
        <v/>
      </c>
      <c r="H763" s="1">
        <f>IF(ISNUMBER(G763),G763,"")</f>
        <v/>
      </c>
      <c r="I763" s="1">
        <f>_xlfn.RANK.EQ(H763,$H$2:$H$1031)</f>
        <v/>
      </c>
      <c r="J763" s="5" t="n">
        <v>579</v>
      </c>
      <c r="K763" s="5" t="n">
        <v>47</v>
      </c>
      <c r="L763" s="5" t="n">
        <v>24</v>
      </c>
      <c r="M763" s="5" t="n">
        <v>21</v>
      </c>
      <c r="N763" s="5">
        <f>J763+K763+L763+M763</f>
        <v/>
      </c>
      <c r="O763" s="5">
        <f>IF(ISNUMBER(N763),N763,"")</f>
        <v/>
      </c>
      <c r="P763" s="5">
        <f>_xlfn.RANK.EQ(O763,$O$2:$O$1031)</f>
        <v/>
      </c>
      <c r="Q763" s="9" t="n">
        <v>232.75</v>
      </c>
      <c r="R763" s="9" t="n">
        <v>42.789</v>
      </c>
      <c r="S763" s="9" t="n">
        <v>23</v>
      </c>
      <c r="T763" s="9" t="n">
        <v>23.5</v>
      </c>
      <c r="U763" s="9">
        <f>Q763+R763+S763+T763</f>
        <v/>
      </c>
      <c r="V763" s="9">
        <f>IF(ISNUMBER(U763),U763,"")</f>
        <v/>
      </c>
      <c r="W763" s="9">
        <f>_xlfn.RANK.EQ(V763,$V$2:$V$1031)</f>
        <v/>
      </c>
      <c r="X763" s="13" t="n">
        <v>1354.5208333333</v>
      </c>
      <c r="Y763" s="13" t="n">
        <v>25</v>
      </c>
      <c r="Z763" s="13" t="n">
        <v>25</v>
      </c>
      <c r="AA763" s="13" t="n">
        <v>24</v>
      </c>
      <c r="AB763" s="13">
        <f>IF(ISNUMBER(X763),X763+N(Y763)+N(Z763)+N(AA763),X763)</f>
        <v/>
      </c>
      <c r="AC763" s="13">
        <f>IF(ISNUMBER(AB763),AB763,"")</f>
        <v/>
      </c>
      <c r="AD763" s="13">
        <f>IF(ISNUMBER(AC763),_xlfn.RANK.EQ(AC763,$AC$2:$AC$1031),"")</f>
        <v/>
      </c>
      <c r="AE763" s="15">
        <f>IF(ISNUMBER(AF763),AF763/3630,"")</f>
        <v/>
      </c>
      <c r="AF763" s="14">
        <f>IFERROR(C763+D763+E763+F763+J763+K763+L763+M763+Q763+R763+S763+T763+IF(ISNUMBER(X763),X763,0)+N(Y763)+N(Z763)+N(AA763),"")</f>
        <v/>
      </c>
      <c r="AG763" s="14">
        <f>IF(ISNUMBER(AF763),AF763,"")</f>
        <v/>
      </c>
      <c r="AH763" s="14">
        <f>IF(ISNUMBER(AG763),_xlfn.RANK.EQ(AG763,$AG$2:$AG$1031),"")</f>
        <v/>
      </c>
    </row>
    <row r="764">
      <c r="A764" s="18" t="n">
        <v>1877</v>
      </c>
      <c r="B764" s="18" t="inlineStr">
        <is>
          <t>مروان محمد السيد عيد</t>
        </is>
      </c>
      <c r="C764" s="1" t="n">
        <v>461.55</v>
      </c>
      <c r="D764" s="1" t="n">
        <v>19</v>
      </c>
      <c r="E764" s="1" t="n">
        <v>14</v>
      </c>
      <c r="F764" s="1" t="n">
        <v>13</v>
      </c>
      <c r="G764" s="1">
        <f>C764+D764+E764+F764</f>
        <v/>
      </c>
      <c r="H764" s="1">
        <f>IF(ISNUMBER(G764),G764,"")</f>
        <v/>
      </c>
      <c r="I764" s="1">
        <f>_xlfn.RANK.EQ(H764,$H$2:$H$1031)</f>
        <v/>
      </c>
      <c r="J764" s="5" t="n">
        <v>504</v>
      </c>
      <c r="K764" s="5" t="n">
        <v>47</v>
      </c>
      <c r="L764" s="5" t="n">
        <v>22</v>
      </c>
      <c r="M764" s="5" t="n">
        <v>22</v>
      </c>
      <c r="N764" s="5">
        <f>J764+K764+L764+M764</f>
        <v/>
      </c>
      <c r="O764" s="5">
        <f>IF(ISNUMBER(N764),N764,"")</f>
        <v/>
      </c>
      <c r="P764" s="5">
        <f>_xlfn.RANK.EQ(O764,$O$2:$O$1031)</f>
        <v/>
      </c>
      <c r="Q764" s="9" t="n">
        <v>220.75</v>
      </c>
      <c r="R764" s="9" t="n">
        <v>41.184</v>
      </c>
      <c r="S764" s="9" t="n">
        <v>24</v>
      </c>
      <c r="T764" s="9" t="n">
        <v>23</v>
      </c>
      <c r="U764" s="9">
        <f>Q764+R764+S764+T764</f>
        <v/>
      </c>
      <c r="V764" s="9">
        <f>IF(ISNUMBER(U764),U764,"")</f>
        <v/>
      </c>
      <c r="W764" s="9">
        <f>_xlfn.RANK.EQ(V764,$V$2:$V$1031)</f>
        <v/>
      </c>
      <c r="X764" s="13" t="inlineStr">
        <is>
          <t>راسب</t>
        </is>
      </c>
      <c r="Y764" s="13" t="n">
        <v>25</v>
      </c>
      <c r="Z764" s="13" t="n">
        <v>17</v>
      </c>
      <c r="AA764" s="13" t="n">
        <v>14</v>
      </c>
      <c r="AB764" s="13">
        <f>IF(ISNUMBER(X764),X764+N(Y764)+N(Z764)+N(AA764),X764)</f>
        <v/>
      </c>
      <c r="AC764" s="13">
        <f>IF(ISNUMBER(AB764),AB764,"")</f>
        <v/>
      </c>
      <c r="AD764" s="13">
        <f>IF(ISNUMBER(AC764),_xlfn.RANK.EQ(AC764,$AC$2:$AC$1031),"")</f>
        <v/>
      </c>
      <c r="AE764" s="15">
        <f>IF(ISNUMBER(AF764),AF764/3630,"")</f>
        <v/>
      </c>
      <c r="AF764" s="14">
        <f>IFERROR(C764+D764+E764+F764+J764+K764+L764+M764+Q764+R764+S764+T764+IF(ISNUMBER(X764),X764,0)+N(Y764)+N(Z764)+N(AA764),"")</f>
        <v/>
      </c>
      <c r="AG764" s="14">
        <f>IF(ISNUMBER(AF764),AF764,"")</f>
        <v/>
      </c>
      <c r="AH764" s="14">
        <f>IF(ISNUMBER(AG764),_xlfn.RANK.EQ(AG764,$AG$2:$AG$1031),"")</f>
        <v/>
      </c>
    </row>
    <row r="765">
      <c r="A765" s="18" t="n">
        <v>1878</v>
      </c>
      <c r="B765" s="18" t="inlineStr">
        <is>
          <t>مروان محمد محمد علام ريان</t>
        </is>
      </c>
      <c r="C765" s="1" t="n">
        <v>515.5</v>
      </c>
      <c r="D765" s="1" t="n">
        <v>24</v>
      </c>
      <c r="E765" s="1" t="n">
        <v>22</v>
      </c>
      <c r="F765" s="1" t="n">
        <v>24</v>
      </c>
      <c r="G765" s="1">
        <f>C765+D765+E765+F765</f>
        <v/>
      </c>
      <c r="H765" s="1">
        <f>IF(ISNUMBER(G765),G765,"")</f>
        <v/>
      </c>
      <c r="I765" s="1">
        <f>_xlfn.RANK.EQ(H765,$H$2:$H$1031)</f>
        <v/>
      </c>
      <c r="J765" s="5" t="n">
        <v>548.5</v>
      </c>
      <c r="K765" s="5" t="n">
        <v>48</v>
      </c>
      <c r="L765" s="5" t="n">
        <v>21</v>
      </c>
      <c r="M765" s="5" t="n">
        <v>24</v>
      </c>
      <c r="N765" s="5">
        <f>J765+K765+L765+M765</f>
        <v/>
      </c>
      <c r="O765" s="5">
        <f>IF(ISNUMBER(N765),N765,"")</f>
        <v/>
      </c>
      <c r="P765" s="5">
        <f>_xlfn.RANK.EQ(O765,$O$2:$O$1031)</f>
        <v/>
      </c>
      <c r="Q765" s="9" t="n">
        <v>232.75</v>
      </c>
      <c r="R765" s="9" t="n">
        <v>44.026</v>
      </c>
      <c r="S765" s="9" t="n">
        <v>24</v>
      </c>
      <c r="T765" s="9" t="n">
        <v>24.5</v>
      </c>
      <c r="U765" s="9">
        <f>Q765+R765+S765+T765</f>
        <v/>
      </c>
      <c r="V765" s="9">
        <f>IF(ISNUMBER(U765),U765,"")</f>
        <v/>
      </c>
      <c r="W765" s="9">
        <f>_xlfn.RANK.EQ(V765,$V$2:$V$1031)</f>
        <v/>
      </c>
      <c r="X765" s="13" t="n">
        <v>1390.4166666667</v>
      </c>
      <c r="Y765" s="13" t="n">
        <v>24</v>
      </c>
      <c r="Z765" s="13" t="n">
        <v>24</v>
      </c>
      <c r="AA765" s="13" t="n">
        <v>25</v>
      </c>
      <c r="AB765" s="13">
        <f>IF(ISNUMBER(X765),X765+N(Y765)+N(Z765)+N(AA765),X765)</f>
        <v/>
      </c>
      <c r="AC765" s="13">
        <f>IF(ISNUMBER(AB765),AB765,"")</f>
        <v/>
      </c>
      <c r="AD765" s="13">
        <f>IF(ISNUMBER(AC765),_xlfn.RANK.EQ(AC765,$AC$2:$AC$1031),"")</f>
        <v/>
      </c>
      <c r="AE765" s="15">
        <f>IF(ISNUMBER(AF765),AF765/3630,"")</f>
        <v/>
      </c>
      <c r="AF765" s="14">
        <f>IFERROR(C765+D765+E765+F765+J765+K765+L765+M765+Q765+R765+S765+T765+IF(ISNUMBER(X765),X765,0)+N(Y765)+N(Z765)+N(AA765),"")</f>
        <v/>
      </c>
      <c r="AG765" s="14">
        <f>IF(ISNUMBER(AF765),AF765,"")</f>
        <v/>
      </c>
      <c r="AH765" s="14">
        <f>IF(ISNUMBER(AG765),_xlfn.RANK.EQ(AG765,$AG$2:$AG$1031),"")</f>
        <v/>
      </c>
    </row>
    <row r="766">
      <c r="A766" s="18" t="n">
        <v>1883</v>
      </c>
      <c r="B766" s="18" t="inlineStr">
        <is>
          <t>مروه معاذ شلبي سعد</t>
        </is>
      </c>
      <c r="C766" s="1" t="n">
        <v>620.4</v>
      </c>
      <c r="D766" s="1" t="n">
        <v>23</v>
      </c>
      <c r="E766" s="1" t="n">
        <v>22</v>
      </c>
      <c r="F766" s="1" t="n">
        <v>25</v>
      </c>
      <c r="G766" s="1">
        <f>C766+D766+E766+F766</f>
        <v/>
      </c>
      <c r="H766" s="1">
        <f>IF(ISNUMBER(G766),G766,"")</f>
        <v/>
      </c>
      <c r="I766" s="1">
        <f>_xlfn.RANK.EQ(H766,$H$2:$H$1031)</f>
        <v/>
      </c>
      <c r="J766" s="5" t="n">
        <v>606.5</v>
      </c>
      <c r="K766" s="5" t="n">
        <v>47</v>
      </c>
      <c r="L766" s="5" t="n">
        <v>23</v>
      </c>
      <c r="M766" s="5" t="n">
        <v>22</v>
      </c>
      <c r="N766" s="5">
        <f>J766+K766+L766+M766</f>
        <v/>
      </c>
      <c r="O766" s="5">
        <f>IF(ISNUMBER(N766),N766,"")</f>
        <v/>
      </c>
      <c r="P766" s="5">
        <f>_xlfn.RANK.EQ(O766,$O$2:$O$1031)</f>
        <v/>
      </c>
      <c r="Q766" s="9" t="n">
        <v>253</v>
      </c>
      <c r="R766" s="9" t="n">
        <v>42.618</v>
      </c>
      <c r="S766" s="9" t="n">
        <v>22</v>
      </c>
      <c r="T766" s="9" t="n">
        <v>25</v>
      </c>
      <c r="U766" s="9">
        <f>Q766+R766+S766+T766</f>
        <v/>
      </c>
      <c r="V766" s="9">
        <f>IF(ISNUMBER(U766),U766,"")</f>
        <v/>
      </c>
      <c r="W766" s="9">
        <f>_xlfn.RANK.EQ(V766,$V$2:$V$1031)</f>
        <v/>
      </c>
      <c r="X766" s="13" t="n">
        <v>1281.1708333333</v>
      </c>
      <c r="Y766" s="13" t="n">
        <v>25</v>
      </c>
      <c r="Z766" s="13" t="n">
        <v>25</v>
      </c>
      <c r="AA766" s="13" t="n">
        <v>22</v>
      </c>
      <c r="AB766" s="13">
        <f>IF(ISNUMBER(X766),X766+N(Y766)+N(Z766)+N(AA766),X766)</f>
        <v/>
      </c>
      <c r="AC766" s="13">
        <f>IF(ISNUMBER(AB766),AB766,"")</f>
        <v/>
      </c>
      <c r="AD766" s="13">
        <f>IF(ISNUMBER(AC766),_xlfn.RANK.EQ(AC766,$AC$2:$AC$1031),"")</f>
        <v/>
      </c>
      <c r="AE766" s="15">
        <f>IF(ISNUMBER(AF766),AF766/3630,"")</f>
        <v/>
      </c>
      <c r="AF766" s="14">
        <f>IFERROR(C766+D766+E766+F766+J766+K766+L766+M766+Q766+R766+S766+T766+IF(ISNUMBER(X766),X766,0)+N(Y766)+N(Z766)+N(AA766),"")</f>
        <v/>
      </c>
      <c r="AG766" s="14">
        <f>IF(ISNUMBER(AF766),AF766,"")</f>
        <v/>
      </c>
      <c r="AH766" s="14">
        <f>IF(ISNUMBER(AG766),_xlfn.RANK.EQ(AG766,$AG$2:$AG$1031),"")</f>
        <v/>
      </c>
    </row>
    <row r="767">
      <c r="A767" s="18" t="n">
        <v>1885</v>
      </c>
      <c r="B767" s="18" t="inlineStr">
        <is>
          <t>مريم  طارق محمد الدمرداش محمد عبد السلام</t>
        </is>
      </c>
      <c r="C767" s="1" t="n">
        <v>614</v>
      </c>
      <c r="D767" s="1" t="n">
        <v>25</v>
      </c>
      <c r="E767" s="1" t="n">
        <v>23</v>
      </c>
      <c r="F767" s="1" t="n">
        <v>23</v>
      </c>
      <c r="G767" s="1">
        <f>C767+D767+E767+F767</f>
        <v/>
      </c>
      <c r="H767" s="1">
        <f>IF(ISNUMBER(G767),G767,"")</f>
        <v/>
      </c>
      <c r="I767" s="1">
        <f>_xlfn.RANK.EQ(H767,$H$2:$H$1031)</f>
        <v/>
      </c>
      <c r="J767" s="5" t="n">
        <v>609</v>
      </c>
      <c r="K767" s="5" t="n">
        <v>48</v>
      </c>
      <c r="L767" s="5" t="n">
        <v>23</v>
      </c>
      <c r="M767" s="5" t="n">
        <v>23</v>
      </c>
      <c r="N767" s="5">
        <f>J767+K767+L767+M767</f>
        <v/>
      </c>
      <c r="O767" s="5">
        <f>IF(ISNUMBER(N767),N767,"")</f>
        <v/>
      </c>
      <c r="P767" s="5">
        <f>_xlfn.RANK.EQ(O767,$O$2:$O$1031)</f>
        <v/>
      </c>
      <c r="Q767" s="9" t="n">
        <v>284</v>
      </c>
      <c r="R767" s="9" t="n">
        <v>48.118</v>
      </c>
      <c r="S767" s="9" t="n">
        <v>24</v>
      </c>
      <c r="T767" s="9" t="n">
        <v>25</v>
      </c>
      <c r="U767" s="9">
        <f>Q767+R767+S767+T767</f>
        <v/>
      </c>
      <c r="V767" s="9">
        <f>IF(ISNUMBER(U767),U767,"")</f>
        <v/>
      </c>
      <c r="W767" s="9">
        <f>_xlfn.RANK.EQ(V767,$V$2:$V$1031)</f>
        <v/>
      </c>
      <c r="X767" s="13" t="n">
        <v>1522.75</v>
      </c>
      <c r="Y767" s="13" t="n">
        <v>25</v>
      </c>
      <c r="Z767" s="13" t="n">
        <v>24</v>
      </c>
      <c r="AA767" s="13" t="n">
        <v>25</v>
      </c>
      <c r="AB767" s="13">
        <f>IF(ISNUMBER(X767),X767+N(Y767)+N(Z767)+N(AA767),X767)</f>
        <v/>
      </c>
      <c r="AC767" s="13">
        <f>IF(ISNUMBER(AB767),AB767,"")</f>
        <v/>
      </c>
      <c r="AD767" s="13">
        <f>IF(ISNUMBER(AC767),_xlfn.RANK.EQ(AC767,$AC$2:$AC$1031),"")</f>
        <v/>
      </c>
      <c r="AE767" s="15">
        <f>IF(ISNUMBER(AF767),AF767/3630,"")</f>
        <v/>
      </c>
      <c r="AF767" s="14">
        <f>IFERROR(C767+D767+E767+F767+J767+K767+L767+M767+Q767+R767+S767+T767+IF(ISNUMBER(X767),X767,0)+N(Y767)+N(Z767)+N(AA767),"")</f>
        <v/>
      </c>
      <c r="AG767" s="14">
        <f>IF(ISNUMBER(AF767),AF767,"")</f>
        <v/>
      </c>
      <c r="AH767" s="14">
        <f>IF(ISNUMBER(AG767),_xlfn.RANK.EQ(AG767,$AG$2:$AG$1031),"")</f>
        <v/>
      </c>
    </row>
    <row r="768">
      <c r="A768" s="18" t="n">
        <v>1886</v>
      </c>
      <c r="B768" s="18" t="inlineStr">
        <is>
          <t>مريم ابراهيم سعيد السيد</t>
        </is>
      </c>
      <c r="C768" s="1" t="n">
        <v>448</v>
      </c>
      <c r="D768" s="1" t="n">
        <v>23</v>
      </c>
      <c r="E768" s="1" t="n">
        <v>19</v>
      </c>
      <c r="F768" s="1" t="n">
        <v>18</v>
      </c>
      <c r="G768" s="1">
        <f>C768+D768+E768+F768</f>
        <v/>
      </c>
      <c r="H768" s="1">
        <f>IF(ISNUMBER(G768),G768,"")</f>
        <v/>
      </c>
      <c r="I768" s="1">
        <f>_xlfn.RANK.EQ(H768,$H$2:$H$1031)</f>
        <v/>
      </c>
      <c r="J768" s="5" t="n">
        <v>414.5</v>
      </c>
      <c r="K768" s="5" t="n">
        <v>19</v>
      </c>
      <c r="L768" s="5" t="n">
        <v>17</v>
      </c>
      <c r="M768" s="5" t="n">
        <v>15</v>
      </c>
      <c r="N768" s="5">
        <f>J768+K768+L768+M768</f>
        <v/>
      </c>
      <c r="O768" s="5">
        <f>IF(ISNUMBER(N768),N768,"")</f>
        <v/>
      </c>
      <c r="P768" s="5">
        <f>_xlfn.RANK.EQ(O768,$O$2:$O$1031)</f>
        <v/>
      </c>
      <c r="Q768" s="9" t="n">
        <v>170</v>
      </c>
      <c r="R768" s="9" t="n">
        <v>40.789</v>
      </c>
      <c r="S768" s="9" t="n">
        <v>23</v>
      </c>
      <c r="T768" s="9" t="n">
        <v>21</v>
      </c>
      <c r="U768" s="9">
        <f>Q768+R768+S768+T768</f>
        <v/>
      </c>
      <c r="V768" s="9">
        <f>IF(ISNUMBER(U768),U768,"")</f>
        <v/>
      </c>
      <c r="W768" s="9">
        <f>_xlfn.RANK.EQ(V768,$V$2:$V$1031)</f>
        <v/>
      </c>
      <c r="X768" s="13" t="inlineStr">
        <is>
          <t>راسب</t>
        </is>
      </c>
      <c r="Y768" s="13" t="n">
        <v>23</v>
      </c>
      <c r="Z768" s="13" t="n">
        <v>21</v>
      </c>
      <c r="AA768" s="13" t="n">
        <v>23</v>
      </c>
      <c r="AB768" s="13">
        <f>IF(ISNUMBER(X768),X768+N(Y768)+N(Z768)+N(AA768),X768)</f>
        <v/>
      </c>
      <c r="AC768" s="13">
        <f>IF(ISNUMBER(AB768),AB768,"")</f>
        <v/>
      </c>
      <c r="AD768" s="13">
        <f>IF(ISNUMBER(AC768),_xlfn.RANK.EQ(AC768,$AC$2:$AC$1031),"")</f>
        <v/>
      </c>
      <c r="AE768" s="15">
        <f>IF(ISNUMBER(AF768),AF768/3630,"")</f>
        <v/>
      </c>
      <c r="AF768" s="14">
        <f>IFERROR(C768+D768+E768+F768+J768+K768+L768+M768+Q768+R768+S768+T768+IF(ISNUMBER(X768),X768,0)+N(Y768)+N(Z768)+N(AA768),"")</f>
        <v/>
      </c>
      <c r="AG768" s="14">
        <f>IF(ISNUMBER(AF768),AF768,"")</f>
        <v/>
      </c>
      <c r="AH768" s="14">
        <f>IF(ISNUMBER(AG768),_xlfn.RANK.EQ(AG768,$AG$2:$AG$1031),"")</f>
        <v/>
      </c>
    </row>
    <row r="769">
      <c r="A769" s="18" t="n">
        <v>1887</v>
      </c>
      <c r="B769" s="18" t="inlineStr">
        <is>
          <t>مريم احمد السيد احمد</t>
        </is>
      </c>
      <c r="C769" s="1" t="n">
        <v>494.2</v>
      </c>
      <c r="D769" s="1" t="n">
        <v>20</v>
      </c>
      <c r="E769" s="1" t="n">
        <v>18</v>
      </c>
      <c r="F769" s="1" t="n">
        <v>19</v>
      </c>
      <c r="G769" s="1">
        <f>C769+D769+E769+F769</f>
        <v/>
      </c>
      <c r="H769" s="1">
        <f>IF(ISNUMBER(G769),G769,"")</f>
        <v/>
      </c>
      <c r="I769" s="1">
        <f>_xlfn.RANK.EQ(H769,$H$2:$H$1031)</f>
        <v/>
      </c>
      <c r="J769" s="5" t="n">
        <v>508</v>
      </c>
      <c r="K769" s="5" t="n">
        <v>47</v>
      </c>
      <c r="L769" s="5" t="n">
        <v>15</v>
      </c>
      <c r="M769" s="5" t="n">
        <v>17</v>
      </c>
      <c r="N769" s="5">
        <f>J769+K769+L769+M769</f>
        <v/>
      </c>
      <c r="O769" s="5">
        <f>IF(ISNUMBER(N769),N769,"")</f>
        <v/>
      </c>
      <c r="P769" s="5">
        <f>_xlfn.RANK.EQ(O769,$O$2:$O$1031)</f>
        <v/>
      </c>
      <c r="Q769" s="9" t="n">
        <v>227.75</v>
      </c>
      <c r="R769" s="9" t="n">
        <v>40.197</v>
      </c>
      <c r="S769" s="9" t="n">
        <v>24</v>
      </c>
      <c r="T769" s="9" t="n">
        <v>25</v>
      </c>
      <c r="U769" s="9">
        <f>Q769+R769+S769+T769</f>
        <v/>
      </c>
      <c r="V769" s="9">
        <f>IF(ISNUMBER(U769),U769,"")</f>
        <v/>
      </c>
      <c r="W769" s="9">
        <f>_xlfn.RANK.EQ(V769,$V$2:$V$1031)</f>
        <v/>
      </c>
      <c r="X769" s="13" t="n">
        <v>1280.7083333333</v>
      </c>
      <c r="Y769" s="13" t="n">
        <v>25</v>
      </c>
      <c r="Z769" s="13" t="n">
        <v>22</v>
      </c>
      <c r="AA769" s="13" t="n">
        <v>21</v>
      </c>
      <c r="AB769" s="13">
        <f>IF(ISNUMBER(X769),X769+N(Y769)+N(Z769)+N(AA769),X769)</f>
        <v/>
      </c>
      <c r="AC769" s="13">
        <f>IF(ISNUMBER(AB769),AB769,"")</f>
        <v/>
      </c>
      <c r="AD769" s="13">
        <f>IF(ISNUMBER(AC769),_xlfn.RANK.EQ(AC769,$AC$2:$AC$1031),"")</f>
        <v/>
      </c>
      <c r="AE769" s="15">
        <f>IF(ISNUMBER(AF769),AF769/3630,"")</f>
        <v/>
      </c>
      <c r="AF769" s="14">
        <f>IFERROR(C769+D769+E769+F769+J769+K769+L769+M769+Q769+R769+S769+T769+IF(ISNUMBER(X769),X769,0)+N(Y769)+N(Z769)+N(AA769),"")</f>
        <v/>
      </c>
      <c r="AG769" s="14">
        <f>IF(ISNUMBER(AF769),AF769,"")</f>
        <v/>
      </c>
      <c r="AH769" s="14">
        <f>IF(ISNUMBER(AG769),_xlfn.RANK.EQ(AG769,$AG$2:$AG$1031),"")</f>
        <v/>
      </c>
    </row>
    <row r="770">
      <c r="A770" s="18" t="n">
        <v>1888</v>
      </c>
      <c r="B770" s="18" t="inlineStr">
        <is>
          <t>مريم احمد جلال عكاشه</t>
        </is>
      </c>
      <c r="C770" s="1" t="n">
        <v>570.7</v>
      </c>
      <c r="D770" s="1" t="n">
        <v>24</v>
      </c>
      <c r="E770" s="1" t="n">
        <v>19</v>
      </c>
      <c r="F770" s="1" t="n">
        <v>22</v>
      </c>
      <c r="G770" s="1">
        <f>C770+D770+E770+F770</f>
        <v/>
      </c>
      <c r="H770" s="1">
        <f>IF(ISNUMBER(G770),G770,"")</f>
        <v/>
      </c>
      <c r="I770" s="1">
        <f>_xlfn.RANK.EQ(H770,$H$2:$H$1031)</f>
        <v/>
      </c>
      <c r="J770" s="5" t="n">
        <v>573.5</v>
      </c>
      <c r="K770" s="5" t="n">
        <v>47</v>
      </c>
      <c r="L770" s="5" t="n">
        <v>23</v>
      </c>
      <c r="M770" s="5" t="n">
        <v>23</v>
      </c>
      <c r="N770" s="5">
        <f>J770+K770+L770+M770</f>
        <v/>
      </c>
      <c r="O770" s="5">
        <f>IF(ISNUMBER(N770),N770,"")</f>
        <v/>
      </c>
      <c r="P770" s="5">
        <f>_xlfn.RANK.EQ(O770,$O$2:$O$1031)</f>
        <v/>
      </c>
      <c r="Q770" s="9" t="n">
        <v>244</v>
      </c>
      <c r="R770" s="9" t="n">
        <v>40.382</v>
      </c>
      <c r="S770" s="9" t="n">
        <v>25</v>
      </c>
      <c r="T770" s="9" t="n">
        <v>25</v>
      </c>
      <c r="U770" s="9">
        <f>Q770+R770+S770+T770</f>
        <v/>
      </c>
      <c r="V770" s="9">
        <f>IF(ISNUMBER(U770),U770,"")</f>
        <v/>
      </c>
      <c r="W770" s="9">
        <f>_xlfn.RANK.EQ(V770,$V$2:$V$1031)</f>
        <v/>
      </c>
      <c r="X770" s="13" t="n">
        <v>1369.6416666667</v>
      </c>
      <c r="Y770" s="13" t="n">
        <v>25</v>
      </c>
      <c r="Z770" s="13" t="n">
        <v>25</v>
      </c>
      <c r="AA770" s="13" t="n">
        <v>23</v>
      </c>
      <c r="AB770" s="13">
        <f>IF(ISNUMBER(X770),X770+N(Y770)+N(Z770)+N(AA770),X770)</f>
        <v/>
      </c>
      <c r="AC770" s="13">
        <f>IF(ISNUMBER(AB770),AB770,"")</f>
        <v/>
      </c>
      <c r="AD770" s="13">
        <f>IF(ISNUMBER(AC770),_xlfn.RANK.EQ(AC770,$AC$2:$AC$1031),"")</f>
        <v/>
      </c>
      <c r="AE770" s="15">
        <f>IF(ISNUMBER(AF770),AF770/3630,"")</f>
        <v/>
      </c>
      <c r="AF770" s="14">
        <f>IFERROR(C770+D770+E770+F770+J770+K770+L770+M770+Q770+R770+S770+T770+IF(ISNUMBER(X770),X770,0)+N(Y770)+N(Z770)+N(AA770),"")</f>
        <v/>
      </c>
      <c r="AG770" s="14">
        <f>IF(ISNUMBER(AF770),AF770,"")</f>
        <v/>
      </c>
      <c r="AH770" s="14">
        <f>IF(ISNUMBER(AG770),_xlfn.RANK.EQ(AG770,$AG$2:$AG$1031),"")</f>
        <v/>
      </c>
    </row>
    <row r="771">
      <c r="A771" s="18" t="n">
        <v>1889</v>
      </c>
      <c r="B771" s="18" t="inlineStr">
        <is>
          <t>مريم احمد فاروق سليمان</t>
        </is>
      </c>
      <c r="C771" s="1" t="n">
        <v>589.3</v>
      </c>
      <c r="D771" s="1" t="n">
        <v>24</v>
      </c>
      <c r="E771" s="1" t="n">
        <v>25</v>
      </c>
      <c r="F771" s="1" t="n">
        <v>23</v>
      </c>
      <c r="G771" s="1">
        <f>C771+D771+E771+F771</f>
        <v/>
      </c>
      <c r="H771" s="1">
        <f>IF(ISNUMBER(G771),G771,"")</f>
        <v/>
      </c>
      <c r="I771" s="1">
        <f>_xlfn.RANK.EQ(H771,$H$2:$H$1031)</f>
        <v/>
      </c>
      <c r="J771" s="5" t="n">
        <v>597</v>
      </c>
      <c r="K771" s="5" t="n">
        <v>49</v>
      </c>
      <c r="L771" s="5" t="n">
        <v>23</v>
      </c>
      <c r="M771" s="5" t="n">
        <v>22</v>
      </c>
      <c r="N771" s="5">
        <f>J771+K771+L771+M771</f>
        <v/>
      </c>
      <c r="O771" s="5">
        <f>IF(ISNUMBER(N771),N771,"")</f>
        <v/>
      </c>
      <c r="P771" s="5">
        <f>_xlfn.RANK.EQ(O771,$O$2:$O$1031)</f>
        <v/>
      </c>
      <c r="Q771" s="9" t="n">
        <v>233</v>
      </c>
      <c r="R771" s="9" t="n">
        <v>45.395</v>
      </c>
      <c r="S771" s="9" t="n">
        <v>22</v>
      </c>
      <c r="T771" s="9" t="n">
        <v>24</v>
      </c>
      <c r="U771" s="9">
        <f>Q771+R771+S771+T771</f>
        <v/>
      </c>
      <c r="V771" s="9">
        <f>IF(ISNUMBER(U771),U771,"")</f>
        <v/>
      </c>
      <c r="W771" s="9">
        <f>_xlfn.RANK.EQ(V771,$V$2:$V$1031)</f>
        <v/>
      </c>
      <c r="X771" s="13" t="n">
        <v>1383.1583333333</v>
      </c>
      <c r="Y771" s="13" t="n">
        <v>25</v>
      </c>
      <c r="Z771" s="13" t="n">
        <v>23</v>
      </c>
      <c r="AA771" s="13" t="n">
        <v>24</v>
      </c>
      <c r="AB771" s="13">
        <f>IF(ISNUMBER(X771),X771+N(Y771)+N(Z771)+N(AA771),X771)</f>
        <v/>
      </c>
      <c r="AC771" s="13">
        <f>IF(ISNUMBER(AB771),AB771,"")</f>
        <v/>
      </c>
      <c r="AD771" s="13">
        <f>IF(ISNUMBER(AC771),_xlfn.RANK.EQ(AC771,$AC$2:$AC$1031),"")</f>
        <v/>
      </c>
      <c r="AE771" s="15">
        <f>IF(ISNUMBER(AF771),AF771/3630,"")</f>
        <v/>
      </c>
      <c r="AF771" s="14">
        <f>IFERROR(C771+D771+E771+F771+J771+K771+L771+M771+Q771+R771+S771+T771+IF(ISNUMBER(X771),X771,0)+N(Y771)+N(Z771)+N(AA771),"")</f>
        <v/>
      </c>
      <c r="AG771" s="14">
        <f>IF(ISNUMBER(AF771),AF771,"")</f>
        <v/>
      </c>
      <c r="AH771" s="14">
        <f>IF(ISNUMBER(AG771),_xlfn.RANK.EQ(AG771,$AG$2:$AG$1031),"")</f>
        <v/>
      </c>
    </row>
    <row r="772">
      <c r="A772" s="18" t="n">
        <v>1890</v>
      </c>
      <c r="B772" s="18" t="inlineStr">
        <is>
          <t>مريم اسامه كامل نور الدين</t>
        </is>
      </c>
      <c r="C772" s="1" t="n">
        <v>449.3</v>
      </c>
      <c r="D772" s="1" t="n">
        <v>23</v>
      </c>
      <c r="E772" s="1" t="n">
        <v>19</v>
      </c>
      <c r="F772" s="1" t="n">
        <v>16</v>
      </c>
      <c r="G772" s="1">
        <f>C772+D772+E772+F772</f>
        <v/>
      </c>
      <c r="H772" s="1">
        <f>IF(ISNUMBER(G772),G772,"")</f>
        <v/>
      </c>
      <c r="I772" s="1">
        <f>_xlfn.RANK.EQ(H772,$H$2:$H$1031)</f>
        <v/>
      </c>
      <c r="J772" s="5" t="n">
        <v>469</v>
      </c>
      <c r="K772" s="5" t="n">
        <v>38</v>
      </c>
      <c r="L772" s="5" t="n">
        <v>19</v>
      </c>
      <c r="M772" s="5" t="n">
        <v>21</v>
      </c>
      <c r="N772" s="5">
        <f>J772+K772+L772+M772</f>
        <v/>
      </c>
      <c r="O772" s="5">
        <f>IF(ISNUMBER(N772),N772,"")</f>
        <v/>
      </c>
      <c r="P772" s="5">
        <f>_xlfn.RANK.EQ(O772,$O$2:$O$1031)</f>
        <v/>
      </c>
      <c r="Q772" s="9" t="n">
        <v>219.75</v>
      </c>
      <c r="R772" s="9" t="n">
        <v>33.584</v>
      </c>
      <c r="S772" s="9" t="n">
        <v>23</v>
      </c>
      <c r="T772" s="9" t="n">
        <v>24</v>
      </c>
      <c r="U772" s="9">
        <f>Q772+R772+S772+T772</f>
        <v/>
      </c>
      <c r="V772" s="9">
        <f>IF(ISNUMBER(U772),U772,"")</f>
        <v/>
      </c>
      <c r="W772" s="9">
        <f>_xlfn.RANK.EQ(V772,$V$2:$V$1031)</f>
        <v/>
      </c>
      <c r="X772" s="13" t="n">
        <v>1277.15</v>
      </c>
      <c r="Y772" s="13" t="n">
        <v>25</v>
      </c>
      <c r="Z772" s="13" t="n">
        <v>20</v>
      </c>
      <c r="AA772" s="13" t="n">
        <v>23</v>
      </c>
      <c r="AB772" s="13">
        <f>IF(ISNUMBER(X772),X772+N(Y772)+N(Z772)+N(AA772),X772)</f>
        <v/>
      </c>
      <c r="AC772" s="13">
        <f>IF(ISNUMBER(AB772),AB772,"")</f>
        <v/>
      </c>
      <c r="AD772" s="13">
        <f>IF(ISNUMBER(AC772),_xlfn.RANK.EQ(AC772,$AC$2:$AC$1031),"")</f>
        <v/>
      </c>
      <c r="AE772" s="15">
        <f>IF(ISNUMBER(AF772),AF772/3630,"")</f>
        <v/>
      </c>
      <c r="AF772" s="14">
        <f>IFERROR(C772+D772+E772+F772+J772+K772+L772+M772+Q772+R772+S772+T772+IF(ISNUMBER(X772),X772,0)+N(Y772)+N(Z772)+N(AA772),"")</f>
        <v/>
      </c>
      <c r="AG772" s="14">
        <f>IF(ISNUMBER(AF772),AF772,"")</f>
        <v/>
      </c>
      <c r="AH772" s="14">
        <f>IF(ISNUMBER(AG772),_xlfn.RANK.EQ(AG772,$AG$2:$AG$1031),"")</f>
        <v/>
      </c>
    </row>
    <row r="773">
      <c r="A773" s="18" t="n">
        <v>1891</v>
      </c>
      <c r="B773" s="18" t="inlineStr">
        <is>
          <t>مريم اقلاديوس ملك غبريال</t>
        </is>
      </c>
      <c r="C773" s="1" t="n">
        <v>598.5</v>
      </c>
      <c r="D773" s="1" t="n">
        <v>25</v>
      </c>
      <c r="E773" s="1" t="n">
        <v>23</v>
      </c>
      <c r="F773" s="1" t="n">
        <v>23</v>
      </c>
      <c r="G773" s="1">
        <f>C773+D773+E773+F773</f>
        <v/>
      </c>
      <c r="H773" s="1">
        <f>IF(ISNUMBER(G773),G773,"")</f>
        <v/>
      </c>
      <c r="I773" s="1">
        <f>_xlfn.RANK.EQ(H773,$H$2:$H$1031)</f>
        <v/>
      </c>
      <c r="J773" s="5" t="n">
        <v>593</v>
      </c>
      <c r="K773" s="5" t="n">
        <v>47</v>
      </c>
      <c r="L773" s="5" t="n">
        <v>20</v>
      </c>
      <c r="M773" s="5" t="n">
        <v>23</v>
      </c>
      <c r="N773" s="5">
        <f>J773+K773+L773+M773</f>
        <v/>
      </c>
      <c r="O773" s="5">
        <f>IF(ISNUMBER(N773),N773,"")</f>
        <v/>
      </c>
      <c r="P773" s="5">
        <f>_xlfn.RANK.EQ(O773,$O$2:$O$1031)</f>
        <v/>
      </c>
      <c r="Q773" s="9" t="n">
        <v>235</v>
      </c>
      <c r="R773" s="9" t="n">
        <v>44.211</v>
      </c>
      <c r="S773" s="9" t="n">
        <v>24</v>
      </c>
      <c r="T773" s="9" t="n">
        <v>24.5</v>
      </c>
      <c r="U773" s="9">
        <f>Q773+R773+S773+T773</f>
        <v/>
      </c>
      <c r="V773" s="9">
        <f>IF(ISNUMBER(U773),U773,"")</f>
        <v/>
      </c>
      <c r="W773" s="9">
        <f>_xlfn.RANK.EQ(V773,$V$2:$V$1031)</f>
        <v/>
      </c>
      <c r="X773" s="13" t="n">
        <v>1300.5583333333</v>
      </c>
      <c r="Y773" s="13" t="n">
        <v>25</v>
      </c>
      <c r="Z773" s="13" t="n">
        <v>24</v>
      </c>
      <c r="AA773" s="13" t="n">
        <v>25</v>
      </c>
      <c r="AB773" s="13">
        <f>IF(ISNUMBER(X773),X773+N(Y773)+N(Z773)+N(AA773),X773)</f>
        <v/>
      </c>
      <c r="AC773" s="13">
        <f>IF(ISNUMBER(AB773),AB773,"")</f>
        <v/>
      </c>
      <c r="AD773" s="13">
        <f>IF(ISNUMBER(AC773),_xlfn.RANK.EQ(AC773,$AC$2:$AC$1031),"")</f>
        <v/>
      </c>
      <c r="AE773" s="15">
        <f>IF(ISNUMBER(AF773),AF773/3630,"")</f>
        <v/>
      </c>
      <c r="AF773" s="14">
        <f>IFERROR(C773+D773+E773+F773+J773+K773+L773+M773+Q773+R773+S773+T773+IF(ISNUMBER(X773),X773,0)+N(Y773)+N(Z773)+N(AA773),"")</f>
        <v/>
      </c>
      <c r="AG773" s="14">
        <f>IF(ISNUMBER(AF773),AF773,"")</f>
        <v/>
      </c>
      <c r="AH773" s="14">
        <f>IF(ISNUMBER(AG773),_xlfn.RANK.EQ(AG773,$AG$2:$AG$1031),"")</f>
        <v/>
      </c>
    </row>
    <row r="774">
      <c r="A774" s="18" t="n">
        <v>1892</v>
      </c>
      <c r="B774" s="18" t="inlineStr">
        <is>
          <t>مريم السيد رمضان فرج محمد</t>
        </is>
      </c>
      <c r="C774" s="1" t="n">
        <v>576.5</v>
      </c>
      <c r="D774" s="1" t="n">
        <v>24</v>
      </c>
      <c r="E774" s="1" t="n">
        <v>24</v>
      </c>
      <c r="F774" s="1" t="n">
        <v>21</v>
      </c>
      <c r="G774" s="1">
        <f>C774+D774+E774+F774</f>
        <v/>
      </c>
      <c r="H774" s="1">
        <f>IF(ISNUMBER(G774),G774,"")</f>
        <v/>
      </c>
      <c r="I774" s="1">
        <f>_xlfn.RANK.EQ(H774,$H$2:$H$1031)</f>
        <v/>
      </c>
      <c r="J774" s="5" t="n">
        <v>574.5</v>
      </c>
      <c r="K774" s="5" t="n">
        <v>47</v>
      </c>
      <c r="L774" s="5" t="n">
        <v>18</v>
      </c>
      <c r="M774" s="5" t="n">
        <v>21</v>
      </c>
      <c r="N774" s="5">
        <f>J774+K774+L774+M774</f>
        <v/>
      </c>
      <c r="O774" s="5">
        <f>IF(ISNUMBER(N774),N774,"")</f>
        <v/>
      </c>
      <c r="P774" s="5">
        <f>_xlfn.RANK.EQ(O774,$O$2:$O$1031)</f>
        <v/>
      </c>
      <c r="Q774" s="9" t="n">
        <v>249.25</v>
      </c>
      <c r="R774" s="9" t="n">
        <v>44.434</v>
      </c>
      <c r="S774" s="9" t="n">
        <v>24</v>
      </c>
      <c r="T774" s="9" t="n">
        <v>25</v>
      </c>
      <c r="U774" s="9">
        <f>Q774+R774+S774+T774</f>
        <v/>
      </c>
      <c r="V774" s="9">
        <f>IF(ISNUMBER(U774),U774,"")</f>
        <v/>
      </c>
      <c r="W774" s="9">
        <f>_xlfn.RANK.EQ(V774,$V$2:$V$1031)</f>
        <v/>
      </c>
      <c r="X774" s="13" t="n">
        <v>1460.3208333333</v>
      </c>
      <c r="Y774" s="13" t="n">
        <v>25</v>
      </c>
      <c r="Z774" s="13" t="n">
        <v>25</v>
      </c>
      <c r="AA774" s="13" t="n">
        <v>25</v>
      </c>
      <c r="AB774" s="13">
        <f>IF(ISNUMBER(X774),X774+N(Y774)+N(Z774)+N(AA774),X774)</f>
        <v/>
      </c>
      <c r="AC774" s="13">
        <f>IF(ISNUMBER(AB774),AB774,"")</f>
        <v/>
      </c>
      <c r="AD774" s="13">
        <f>IF(ISNUMBER(AC774),_xlfn.RANK.EQ(AC774,$AC$2:$AC$1031),"")</f>
        <v/>
      </c>
      <c r="AE774" s="15">
        <f>IF(ISNUMBER(AF774),AF774/3630,"")</f>
        <v/>
      </c>
      <c r="AF774" s="14">
        <f>IFERROR(C774+D774+E774+F774+J774+K774+L774+M774+Q774+R774+S774+T774+IF(ISNUMBER(X774),X774,0)+N(Y774)+N(Z774)+N(AA774),"")</f>
        <v/>
      </c>
      <c r="AG774" s="14">
        <f>IF(ISNUMBER(AF774),AF774,"")</f>
        <v/>
      </c>
      <c r="AH774" s="14">
        <f>IF(ISNUMBER(AG774),_xlfn.RANK.EQ(AG774,$AG$2:$AG$1031),"")</f>
        <v/>
      </c>
    </row>
    <row r="775">
      <c r="A775" s="18" t="n">
        <v>1893</v>
      </c>
      <c r="B775" s="18" t="inlineStr">
        <is>
          <t>مريم ايهاب عبد الرحمن رضا عبد الفتاح</t>
        </is>
      </c>
      <c r="C775" s="1" t="n">
        <v>571.6</v>
      </c>
      <c r="D775" s="1" t="n">
        <v>24</v>
      </c>
      <c r="E775" s="1" t="n">
        <v>25</v>
      </c>
      <c r="F775" s="1" t="n">
        <v>20</v>
      </c>
      <c r="G775" s="1">
        <f>C775+D775+E775+F775</f>
        <v/>
      </c>
      <c r="H775" s="1">
        <f>IF(ISNUMBER(G775),G775,"")</f>
        <v/>
      </c>
      <c r="I775" s="1">
        <f>_xlfn.RANK.EQ(H775,$H$2:$H$1031)</f>
        <v/>
      </c>
      <c r="J775" s="5" t="n">
        <v>582</v>
      </c>
      <c r="K775" s="5" t="n">
        <v>48</v>
      </c>
      <c r="L775" s="5" t="n">
        <v>22</v>
      </c>
      <c r="M775" s="5" t="n">
        <v>21</v>
      </c>
      <c r="N775" s="5">
        <f>J775+K775+L775+M775</f>
        <v/>
      </c>
      <c r="O775" s="5">
        <f>IF(ISNUMBER(N775),N775,"")</f>
        <v/>
      </c>
      <c r="P775" s="5">
        <f>_xlfn.RANK.EQ(O775,$O$2:$O$1031)</f>
        <v/>
      </c>
      <c r="Q775" s="9" t="n">
        <v>253</v>
      </c>
      <c r="R775" s="9" t="n">
        <v>42.953</v>
      </c>
      <c r="S775" s="9" t="n">
        <v>23</v>
      </c>
      <c r="T775" s="9" t="n">
        <v>25</v>
      </c>
      <c r="U775" s="9">
        <f>Q775+R775+S775+T775</f>
        <v/>
      </c>
      <c r="V775" s="9">
        <f>IF(ISNUMBER(U775),U775,"")</f>
        <v/>
      </c>
      <c r="W775" s="9">
        <f>_xlfn.RANK.EQ(V775,$V$2:$V$1031)</f>
        <v/>
      </c>
      <c r="X775" s="13" t="n">
        <v>1415.8625</v>
      </c>
      <c r="Y775" s="13" t="n">
        <v>25</v>
      </c>
      <c r="Z775" s="13" t="n">
        <v>25</v>
      </c>
      <c r="AA775" s="13" t="n">
        <v>22</v>
      </c>
      <c r="AB775" s="13">
        <f>IF(ISNUMBER(X775),X775+N(Y775)+N(Z775)+N(AA775),X775)</f>
        <v/>
      </c>
      <c r="AC775" s="13">
        <f>IF(ISNUMBER(AB775),AB775,"")</f>
        <v/>
      </c>
      <c r="AD775" s="13">
        <f>IF(ISNUMBER(AC775),_xlfn.RANK.EQ(AC775,$AC$2:$AC$1031),"")</f>
        <v/>
      </c>
      <c r="AE775" s="15">
        <f>IF(ISNUMBER(AF775),AF775/3630,"")</f>
        <v/>
      </c>
      <c r="AF775" s="14">
        <f>IFERROR(C775+D775+E775+F775+J775+K775+L775+M775+Q775+R775+S775+T775+IF(ISNUMBER(X775),X775,0)+N(Y775)+N(Z775)+N(AA775),"")</f>
        <v/>
      </c>
      <c r="AG775" s="14">
        <f>IF(ISNUMBER(AF775),AF775,"")</f>
        <v/>
      </c>
      <c r="AH775" s="14">
        <f>IF(ISNUMBER(AG775),_xlfn.RANK.EQ(AG775,$AG$2:$AG$1031),"")</f>
        <v/>
      </c>
    </row>
    <row r="776">
      <c r="A776" s="18" t="n">
        <v>1895</v>
      </c>
      <c r="B776" s="18" t="inlineStr">
        <is>
          <t>مريم بسيوني عبدالسلام عبداللطيف</t>
        </is>
      </c>
      <c r="C776" s="1" t="n">
        <v>588.6</v>
      </c>
      <c r="D776" s="1" t="n"/>
      <c r="E776" s="1" t="n">
        <v>23</v>
      </c>
      <c r="F776" s="1" t="n">
        <v>22</v>
      </c>
      <c r="G776" s="1">
        <f>C776+D776+E776+F776</f>
        <v/>
      </c>
      <c r="H776" s="1">
        <f>IF(ISNUMBER(G776),G776,"")</f>
        <v/>
      </c>
      <c r="I776" s="1">
        <f>_xlfn.RANK.EQ(H776,$H$2:$H$1031)</f>
        <v/>
      </c>
      <c r="J776" s="5" t="n">
        <v>551.5</v>
      </c>
      <c r="K776" s="5" t="n">
        <v>45</v>
      </c>
      <c r="L776" s="5" t="n">
        <v>23</v>
      </c>
      <c r="M776" s="5" t="n">
        <v>24</v>
      </c>
      <c r="N776" s="5">
        <f>J776+K776+L776+M776</f>
        <v/>
      </c>
      <c r="O776" s="5">
        <f>IF(ISNUMBER(N776),N776,"")</f>
        <v/>
      </c>
      <c r="P776" s="5">
        <f>_xlfn.RANK.EQ(O776,$O$2:$O$1031)</f>
        <v/>
      </c>
      <c r="Q776" s="9" t="n">
        <v>235</v>
      </c>
      <c r="R776" s="9" t="n">
        <v>43.487</v>
      </c>
      <c r="S776" s="9" t="n">
        <v>24</v>
      </c>
      <c r="T776" s="9" t="n">
        <v>24</v>
      </c>
      <c r="U776" s="9">
        <f>Q776+R776+S776+T776</f>
        <v/>
      </c>
      <c r="V776" s="9">
        <f>IF(ISNUMBER(U776),U776,"")</f>
        <v/>
      </c>
      <c r="W776" s="9">
        <f>_xlfn.RANK.EQ(V776,$V$2:$V$1031)</f>
        <v/>
      </c>
      <c r="X776" s="13" t="n">
        <v>1223.3458333333</v>
      </c>
      <c r="Y776" s="13" t="n">
        <v>25</v>
      </c>
      <c r="Z776" s="13" t="n">
        <v>22</v>
      </c>
      <c r="AA776" s="13" t="n">
        <v>25</v>
      </c>
      <c r="AB776" s="13">
        <f>IF(ISNUMBER(X776),X776+N(Y776)+N(Z776)+N(AA776),X776)</f>
        <v/>
      </c>
      <c r="AC776" s="13">
        <f>IF(ISNUMBER(AB776),AB776,"")</f>
        <v/>
      </c>
      <c r="AD776" s="13">
        <f>IF(ISNUMBER(AC776),_xlfn.RANK.EQ(AC776,$AC$2:$AC$1031),"")</f>
        <v/>
      </c>
      <c r="AE776" s="15">
        <f>IF(ISNUMBER(AF776),AF776/3630,"")</f>
        <v/>
      </c>
      <c r="AF776" s="14">
        <f>IFERROR(C776+D776+E776+F776+J776+K776+L776+M776+Q776+R776+S776+T776+IF(ISNUMBER(X776),X776,0)+N(Y776)+N(Z776)+N(AA776),"")</f>
        <v/>
      </c>
      <c r="AG776" s="14">
        <f>IF(ISNUMBER(AF776),AF776,"")</f>
        <v/>
      </c>
      <c r="AH776" s="14">
        <f>IF(ISNUMBER(AG776),_xlfn.RANK.EQ(AG776,$AG$2:$AG$1031),"")</f>
        <v/>
      </c>
    </row>
    <row r="777">
      <c r="A777" s="18" t="n">
        <v>1896</v>
      </c>
      <c r="B777" s="18" t="inlineStr">
        <is>
          <t>مريم جمال خليل احمد عبد النبي</t>
        </is>
      </c>
      <c r="C777" s="1" t="n">
        <v>580.5</v>
      </c>
      <c r="D777" s="1" t="n">
        <v>21</v>
      </c>
      <c r="E777" s="1" t="n">
        <v>18</v>
      </c>
      <c r="F777" s="1" t="n">
        <v>19</v>
      </c>
      <c r="G777" s="1">
        <f>C777+D777+E777+F777</f>
        <v/>
      </c>
      <c r="H777" s="1">
        <f>IF(ISNUMBER(G777),G777,"")</f>
        <v/>
      </c>
      <c r="I777" s="1">
        <f>_xlfn.RANK.EQ(H777,$H$2:$H$1031)</f>
        <v/>
      </c>
      <c r="J777" s="5" t="n">
        <v>537.5</v>
      </c>
      <c r="K777" s="5" t="n">
        <v>46</v>
      </c>
      <c r="L777" s="5" t="n">
        <v>21</v>
      </c>
      <c r="M777" s="5" t="n">
        <v>20</v>
      </c>
      <c r="N777" s="5">
        <f>J777+K777+L777+M777</f>
        <v/>
      </c>
      <c r="O777" s="5">
        <f>IF(ISNUMBER(N777),N777,"")</f>
        <v/>
      </c>
      <c r="P777" s="5">
        <f>_xlfn.RANK.EQ(O777,$O$2:$O$1031)</f>
        <v/>
      </c>
      <c r="Q777" s="9" t="n">
        <v>210.25</v>
      </c>
      <c r="R777" s="9" t="n">
        <v>39.118</v>
      </c>
      <c r="S777" s="9" t="n">
        <v>25</v>
      </c>
      <c r="T777" s="9" t="n">
        <v>22.5</v>
      </c>
      <c r="U777" s="9">
        <f>Q777+R777+S777+T777</f>
        <v/>
      </c>
      <c r="V777" s="9">
        <f>IF(ISNUMBER(U777),U777,"")</f>
        <v/>
      </c>
      <c r="W777" s="9">
        <f>_xlfn.RANK.EQ(V777,$V$2:$V$1031)</f>
        <v/>
      </c>
      <c r="X777" s="13" t="n">
        <v>1192.6458333333</v>
      </c>
      <c r="Y777" s="13" t="n">
        <v>24</v>
      </c>
      <c r="Z777" s="13" t="n">
        <v>19</v>
      </c>
      <c r="AA777" s="13" t="n">
        <v>25</v>
      </c>
      <c r="AB777" s="13">
        <f>IF(ISNUMBER(X777),X777+N(Y777)+N(Z777)+N(AA777),X777)</f>
        <v/>
      </c>
      <c r="AC777" s="13">
        <f>IF(ISNUMBER(AB777),AB777,"")</f>
        <v/>
      </c>
      <c r="AD777" s="13">
        <f>IF(ISNUMBER(AC777),_xlfn.RANK.EQ(AC777,$AC$2:$AC$1031),"")</f>
        <v/>
      </c>
      <c r="AE777" s="15">
        <f>IF(ISNUMBER(AF777),AF777/3630,"")</f>
        <v/>
      </c>
      <c r="AF777" s="14">
        <f>IFERROR(C777+D777+E777+F777+J777+K777+L777+M777+Q777+R777+S777+T777+IF(ISNUMBER(X777),X777,0)+N(Y777)+N(Z777)+N(AA777),"")</f>
        <v/>
      </c>
      <c r="AG777" s="14">
        <f>IF(ISNUMBER(AF777),AF777,"")</f>
        <v/>
      </c>
      <c r="AH777" s="14">
        <f>IF(ISNUMBER(AG777),_xlfn.RANK.EQ(AG777,$AG$2:$AG$1031),"")</f>
        <v/>
      </c>
    </row>
    <row r="778">
      <c r="A778" s="18" t="n">
        <v>1897</v>
      </c>
      <c r="B778" s="18" t="inlineStr">
        <is>
          <t>مريم جورج فؤاد نبيل جورج</t>
        </is>
      </c>
      <c r="C778" s="1" t="n">
        <v>630</v>
      </c>
      <c r="D778" s="1" t="n">
        <v>23</v>
      </c>
      <c r="E778" s="1" t="n">
        <v>24</v>
      </c>
      <c r="F778" s="1" t="n">
        <v>21</v>
      </c>
      <c r="G778" s="1">
        <f>C778+D778+E778+F778</f>
        <v/>
      </c>
      <c r="H778" s="1">
        <f>IF(ISNUMBER(G778),G778,"")</f>
        <v/>
      </c>
      <c r="I778" s="1">
        <f>_xlfn.RANK.EQ(H778,$H$2:$H$1031)</f>
        <v/>
      </c>
      <c r="J778" s="5" t="n">
        <v>584.5</v>
      </c>
      <c r="K778" s="5" t="n">
        <v>48</v>
      </c>
      <c r="L778" s="5" t="n">
        <v>23</v>
      </c>
      <c r="M778" s="5" t="n">
        <v>24</v>
      </c>
      <c r="N778" s="5">
        <f>J778+K778+L778+M778</f>
        <v/>
      </c>
      <c r="O778" s="5">
        <f>IF(ISNUMBER(N778),N778,"")</f>
        <v/>
      </c>
      <c r="P778" s="5">
        <f>_xlfn.RANK.EQ(O778,$O$2:$O$1031)</f>
        <v/>
      </c>
      <c r="Q778" s="9" t="n">
        <v>221</v>
      </c>
      <c r="R778" s="9" t="n">
        <v>42.026</v>
      </c>
      <c r="S778" s="9" t="n">
        <v>25</v>
      </c>
      <c r="T778" s="9" t="n">
        <v>23</v>
      </c>
      <c r="U778" s="9">
        <f>Q778+R778+S778+T778</f>
        <v/>
      </c>
      <c r="V778" s="9">
        <f>IF(ISNUMBER(U778),U778,"")</f>
        <v/>
      </c>
      <c r="W778" s="9">
        <f>_xlfn.RANK.EQ(V778,$V$2:$V$1031)</f>
        <v/>
      </c>
      <c r="X778" s="13" t="n">
        <v>1388.2708333333</v>
      </c>
      <c r="Y778" s="13" t="n">
        <v>25</v>
      </c>
      <c r="Z778" s="13" t="n">
        <v>22</v>
      </c>
      <c r="AA778" s="13" t="n">
        <v>23</v>
      </c>
      <c r="AB778" s="13">
        <f>IF(ISNUMBER(X778),X778+N(Y778)+N(Z778)+N(AA778),X778)</f>
        <v/>
      </c>
      <c r="AC778" s="13">
        <f>IF(ISNUMBER(AB778),AB778,"")</f>
        <v/>
      </c>
      <c r="AD778" s="13">
        <f>IF(ISNUMBER(AC778),_xlfn.RANK.EQ(AC778,$AC$2:$AC$1031),"")</f>
        <v/>
      </c>
      <c r="AE778" s="15">
        <f>IF(ISNUMBER(AF778),AF778/3630,"")</f>
        <v/>
      </c>
      <c r="AF778" s="14">
        <f>IFERROR(C778+D778+E778+F778+J778+K778+L778+M778+Q778+R778+S778+T778+IF(ISNUMBER(X778),X778,0)+N(Y778)+N(Z778)+N(AA778),"")</f>
        <v/>
      </c>
      <c r="AG778" s="14">
        <f>IF(ISNUMBER(AF778),AF778,"")</f>
        <v/>
      </c>
      <c r="AH778" s="14">
        <f>IF(ISNUMBER(AG778),_xlfn.RANK.EQ(AG778,$AG$2:$AG$1031),"")</f>
        <v/>
      </c>
    </row>
    <row r="779">
      <c r="A779" s="18" t="n">
        <v>1898</v>
      </c>
      <c r="B779" s="18" t="inlineStr">
        <is>
          <t>مريم سراج محمد محمد سراج</t>
        </is>
      </c>
      <c r="C779" s="1" t="n">
        <v>623.1</v>
      </c>
      <c r="D779" s="1" t="n">
        <v>24</v>
      </c>
      <c r="E779" s="1" t="n">
        <v>24</v>
      </c>
      <c r="F779" s="1" t="n">
        <v>25</v>
      </c>
      <c r="G779" s="1">
        <f>C779+D779+E779+F779</f>
        <v/>
      </c>
      <c r="H779" s="1">
        <f>IF(ISNUMBER(G779),G779,"")</f>
        <v/>
      </c>
      <c r="I779" s="1">
        <f>_xlfn.RANK.EQ(H779,$H$2:$H$1031)</f>
        <v/>
      </c>
      <c r="J779" s="5" t="n">
        <v>618.5</v>
      </c>
      <c r="K779" s="5" t="n">
        <v>46</v>
      </c>
      <c r="L779" s="5" t="n">
        <v>23</v>
      </c>
      <c r="M779" s="5" t="n">
        <v>22</v>
      </c>
      <c r="N779" s="5">
        <f>J779+K779+L779+M779</f>
        <v/>
      </c>
      <c r="O779" s="5">
        <f>IF(ISNUMBER(N779),N779,"")</f>
        <v/>
      </c>
      <c r="P779" s="5">
        <f>_xlfn.RANK.EQ(O779,$O$2:$O$1031)</f>
        <v/>
      </c>
      <c r="Q779" s="9" t="n">
        <v>265.75</v>
      </c>
      <c r="R779" s="9" t="n">
        <v>45.382</v>
      </c>
      <c r="S779" s="9" t="n">
        <v>24</v>
      </c>
      <c r="T779" s="9" t="n">
        <v>25</v>
      </c>
      <c r="U779" s="9">
        <f>Q779+R779+S779+T779</f>
        <v/>
      </c>
      <c r="V779" s="9">
        <f>IF(ISNUMBER(U779),U779,"")</f>
        <v/>
      </c>
      <c r="W779" s="9">
        <f>_xlfn.RANK.EQ(V779,$V$2:$V$1031)</f>
        <v/>
      </c>
      <c r="X779" s="13" t="n">
        <v>1425.2833333333</v>
      </c>
      <c r="Y779" s="13" t="n">
        <v>25</v>
      </c>
      <c r="Z779" s="13" t="n">
        <v>24</v>
      </c>
      <c r="AA779" s="13" t="n">
        <v>24</v>
      </c>
      <c r="AB779" s="13">
        <f>IF(ISNUMBER(X779),X779+N(Y779)+N(Z779)+N(AA779),X779)</f>
        <v/>
      </c>
      <c r="AC779" s="13">
        <f>IF(ISNUMBER(AB779),AB779,"")</f>
        <v/>
      </c>
      <c r="AD779" s="13">
        <f>IF(ISNUMBER(AC779),_xlfn.RANK.EQ(AC779,$AC$2:$AC$1031),"")</f>
        <v/>
      </c>
      <c r="AE779" s="15">
        <f>IF(ISNUMBER(AF779),AF779/3630,"")</f>
        <v/>
      </c>
      <c r="AF779" s="14">
        <f>IFERROR(C779+D779+E779+F779+J779+K779+L779+M779+Q779+R779+S779+T779+IF(ISNUMBER(X779),X779,0)+N(Y779)+N(Z779)+N(AA779),"")</f>
        <v/>
      </c>
      <c r="AG779" s="14">
        <f>IF(ISNUMBER(AF779),AF779,"")</f>
        <v/>
      </c>
      <c r="AH779" s="14">
        <f>IF(ISNUMBER(AG779),_xlfn.RANK.EQ(AG779,$AG$2:$AG$1031),"")</f>
        <v/>
      </c>
    </row>
    <row r="780">
      <c r="A780" s="18" t="n">
        <v>1899</v>
      </c>
      <c r="B780" s="18" t="inlineStr">
        <is>
          <t>مريم سعد ابراهيم ابو السعيد</t>
        </is>
      </c>
      <c r="C780" s="1" t="n">
        <v>560.7</v>
      </c>
      <c r="D780" s="1" t="n">
        <v>25</v>
      </c>
      <c r="E780" s="1" t="n">
        <v>22</v>
      </c>
      <c r="F780" s="1" t="n">
        <v>23</v>
      </c>
      <c r="G780" s="1">
        <f>C780+D780+E780+F780</f>
        <v/>
      </c>
      <c r="H780" s="1">
        <f>IF(ISNUMBER(G780),G780,"")</f>
        <v/>
      </c>
      <c r="I780" s="1">
        <f>_xlfn.RANK.EQ(H780,$H$2:$H$1031)</f>
        <v/>
      </c>
      <c r="J780" s="5" t="n">
        <v>564</v>
      </c>
      <c r="K780" s="5" t="n">
        <v>45</v>
      </c>
      <c r="L780" s="5" t="n">
        <v>22</v>
      </c>
      <c r="M780" s="5" t="n">
        <v>22</v>
      </c>
      <c r="N780" s="5">
        <f>J780+K780+L780+M780</f>
        <v/>
      </c>
      <c r="O780" s="5">
        <f>IF(ISNUMBER(N780),N780,"")</f>
        <v/>
      </c>
      <c r="P780" s="5">
        <f>_xlfn.RANK.EQ(O780,$O$2:$O$1031)</f>
        <v/>
      </c>
      <c r="Q780" s="9" t="n">
        <v>239.25</v>
      </c>
      <c r="R780" s="9" t="n">
        <v>45.658</v>
      </c>
      <c r="S780" s="9" t="n">
        <v>25</v>
      </c>
      <c r="T780" s="9" t="n">
        <v>18</v>
      </c>
      <c r="U780" s="9">
        <f>Q780+R780+S780+T780</f>
        <v/>
      </c>
      <c r="V780" s="9">
        <f>IF(ISNUMBER(U780),U780,"")</f>
        <v/>
      </c>
      <c r="W780" s="9">
        <f>_xlfn.RANK.EQ(V780,$V$2:$V$1031)</f>
        <v/>
      </c>
      <c r="X780" s="13" t="n">
        <v>1279.7166666667</v>
      </c>
      <c r="Y780" s="13" t="n">
        <v>25</v>
      </c>
      <c r="Z780" s="13" t="n">
        <v>24</v>
      </c>
      <c r="AA780" s="13" t="n">
        <v>25</v>
      </c>
      <c r="AB780" s="13">
        <f>IF(ISNUMBER(X780),X780+N(Y780)+N(Z780)+N(AA780),X780)</f>
        <v/>
      </c>
      <c r="AC780" s="13">
        <f>IF(ISNUMBER(AB780),AB780,"")</f>
        <v/>
      </c>
      <c r="AD780" s="13">
        <f>IF(ISNUMBER(AC780),_xlfn.RANK.EQ(AC780,$AC$2:$AC$1031),"")</f>
        <v/>
      </c>
      <c r="AE780" s="15">
        <f>IF(ISNUMBER(AF780),AF780/3630,"")</f>
        <v/>
      </c>
      <c r="AF780" s="14">
        <f>IFERROR(C780+D780+E780+F780+J780+K780+L780+M780+Q780+R780+S780+T780+IF(ISNUMBER(X780),X780,0)+N(Y780)+N(Z780)+N(AA780),"")</f>
        <v/>
      </c>
      <c r="AG780" s="14">
        <f>IF(ISNUMBER(AF780),AF780,"")</f>
        <v/>
      </c>
      <c r="AH780" s="14">
        <f>IF(ISNUMBER(AG780),_xlfn.RANK.EQ(AG780,$AG$2:$AG$1031),"")</f>
        <v/>
      </c>
    </row>
    <row r="781">
      <c r="A781" s="18" t="n">
        <v>1900</v>
      </c>
      <c r="B781" s="18" t="inlineStr">
        <is>
          <t>مريم سمير علي البرلسي</t>
        </is>
      </c>
      <c r="C781" s="1" t="n">
        <v>571.5</v>
      </c>
      <c r="D781" s="1" t="n">
        <v>25</v>
      </c>
      <c r="E781" s="1" t="n">
        <v>22</v>
      </c>
      <c r="F781" s="1" t="n">
        <v>23</v>
      </c>
      <c r="G781" s="1">
        <f>C781+D781+E781+F781</f>
        <v/>
      </c>
      <c r="H781" s="1">
        <f>IF(ISNUMBER(G781),G781,"")</f>
        <v/>
      </c>
      <c r="I781" s="1">
        <f>_xlfn.RANK.EQ(H781,$H$2:$H$1031)</f>
        <v/>
      </c>
      <c r="J781" s="5" t="n">
        <v>597.5</v>
      </c>
      <c r="K781" s="5" t="n">
        <v>46</v>
      </c>
      <c r="L781" s="5" t="n">
        <v>21</v>
      </c>
      <c r="M781" s="5" t="n">
        <v>22</v>
      </c>
      <c r="N781" s="5">
        <f>J781+K781+L781+M781</f>
        <v/>
      </c>
      <c r="O781" s="5">
        <f>IF(ISNUMBER(N781),N781,"")</f>
        <v/>
      </c>
      <c r="P781" s="5">
        <f>_xlfn.RANK.EQ(O781,$O$2:$O$1031)</f>
        <v/>
      </c>
      <c r="Q781" s="9" t="n">
        <v>239.75</v>
      </c>
      <c r="R781" s="9" t="n">
        <v>45.289</v>
      </c>
      <c r="S781" s="9" t="n">
        <v>25</v>
      </c>
      <c r="T781" s="9" t="n">
        <v>23</v>
      </c>
      <c r="U781" s="9">
        <f>Q781+R781+S781+T781</f>
        <v/>
      </c>
      <c r="V781" s="9">
        <f>IF(ISNUMBER(U781),U781,"")</f>
        <v/>
      </c>
      <c r="W781" s="9">
        <f>_xlfn.RANK.EQ(V781,$V$2:$V$1031)</f>
        <v/>
      </c>
      <c r="X781" s="13" t="n">
        <v>1186.2791666667</v>
      </c>
      <c r="Y781" s="13" t="n">
        <v>21</v>
      </c>
      <c r="Z781" s="13" t="n">
        <v>19</v>
      </c>
      <c r="AA781" s="13" t="n">
        <v>20</v>
      </c>
      <c r="AB781" s="13">
        <f>IF(ISNUMBER(X781),X781+N(Y781)+N(Z781)+N(AA781),X781)</f>
        <v/>
      </c>
      <c r="AC781" s="13">
        <f>IF(ISNUMBER(AB781),AB781,"")</f>
        <v/>
      </c>
      <c r="AD781" s="13">
        <f>IF(ISNUMBER(AC781),_xlfn.RANK.EQ(AC781,$AC$2:$AC$1031),"")</f>
        <v/>
      </c>
      <c r="AE781" s="15">
        <f>IF(ISNUMBER(AF781),AF781/3630,"")</f>
        <v/>
      </c>
      <c r="AF781" s="14">
        <f>IFERROR(C781+D781+E781+F781+J781+K781+L781+M781+Q781+R781+S781+T781+IF(ISNUMBER(X781),X781,0)+N(Y781)+N(Z781)+N(AA781),"")</f>
        <v/>
      </c>
      <c r="AG781" s="14">
        <f>IF(ISNUMBER(AF781),AF781,"")</f>
        <v/>
      </c>
      <c r="AH781" s="14">
        <f>IF(ISNUMBER(AG781),_xlfn.RANK.EQ(AG781,$AG$2:$AG$1031),"")</f>
        <v/>
      </c>
    </row>
    <row r="782">
      <c r="A782" s="18" t="n">
        <v>1901</v>
      </c>
      <c r="B782" s="18" t="inlineStr">
        <is>
          <t>مريم صالح عوض احمد الهواري</t>
        </is>
      </c>
      <c r="C782" s="1" t="n">
        <v>563.9</v>
      </c>
      <c r="D782" s="1" t="n">
        <v>25</v>
      </c>
      <c r="E782" s="1" t="n">
        <v>25</v>
      </c>
      <c r="F782" s="1" t="n">
        <v>23</v>
      </c>
      <c r="G782" s="1">
        <f>C782+D782+E782+F782</f>
        <v/>
      </c>
      <c r="H782" s="1">
        <f>IF(ISNUMBER(G782),G782,"")</f>
        <v/>
      </c>
      <c r="I782" s="1">
        <f>_xlfn.RANK.EQ(H782,$H$2:$H$1031)</f>
        <v/>
      </c>
      <c r="J782" s="5" t="n">
        <v>565.5</v>
      </c>
      <c r="K782" s="5" t="n">
        <v>45</v>
      </c>
      <c r="L782" s="5" t="n">
        <v>23</v>
      </c>
      <c r="M782" s="5" t="n">
        <v>22</v>
      </c>
      <c r="N782" s="5">
        <f>J782+K782+L782+M782</f>
        <v/>
      </c>
      <c r="O782" s="5">
        <f>IF(ISNUMBER(N782),N782,"")</f>
        <v/>
      </c>
      <c r="P782" s="5">
        <f>_xlfn.RANK.EQ(O782,$O$2:$O$1031)</f>
        <v/>
      </c>
      <c r="Q782" s="9" t="n">
        <v>219</v>
      </c>
      <c r="R782" s="9" t="n">
        <v>42.895</v>
      </c>
      <c r="S782" s="9" t="n">
        <v>21</v>
      </c>
      <c r="T782" s="9" t="n">
        <v>23</v>
      </c>
      <c r="U782" s="9">
        <f>Q782+R782+S782+T782</f>
        <v/>
      </c>
      <c r="V782" s="9">
        <f>IF(ISNUMBER(U782),U782,"")</f>
        <v/>
      </c>
      <c r="W782" s="9">
        <f>_xlfn.RANK.EQ(V782,$V$2:$V$1031)</f>
        <v/>
      </c>
      <c r="X782" s="13" t="n">
        <v>1382.8458333333</v>
      </c>
      <c r="Y782" s="13" t="n">
        <v>25</v>
      </c>
      <c r="Z782" s="13" t="n">
        <v>25</v>
      </c>
      <c r="AA782" s="13" t="n">
        <v>24</v>
      </c>
      <c r="AB782" s="13">
        <f>IF(ISNUMBER(X782),X782+N(Y782)+N(Z782)+N(AA782),X782)</f>
        <v/>
      </c>
      <c r="AC782" s="13">
        <f>IF(ISNUMBER(AB782),AB782,"")</f>
        <v/>
      </c>
      <c r="AD782" s="13">
        <f>IF(ISNUMBER(AC782),_xlfn.RANK.EQ(AC782,$AC$2:$AC$1031),"")</f>
        <v/>
      </c>
      <c r="AE782" s="15">
        <f>IF(ISNUMBER(AF782),AF782/3630,"")</f>
        <v/>
      </c>
      <c r="AF782" s="14">
        <f>IFERROR(C782+D782+E782+F782+J782+K782+L782+M782+Q782+R782+S782+T782+IF(ISNUMBER(X782),X782,0)+N(Y782)+N(Z782)+N(AA782),"")</f>
        <v/>
      </c>
      <c r="AG782" s="14">
        <f>IF(ISNUMBER(AF782),AF782,"")</f>
        <v/>
      </c>
      <c r="AH782" s="14">
        <f>IF(ISNUMBER(AG782),_xlfn.RANK.EQ(AG782,$AG$2:$AG$1031),"")</f>
        <v/>
      </c>
    </row>
    <row r="783">
      <c r="A783" s="18" t="n">
        <v>1902</v>
      </c>
      <c r="B783" s="18" t="inlineStr">
        <is>
          <t>مريم ضياء محمد علي السايس</t>
        </is>
      </c>
      <c r="C783" s="1" t="n">
        <v>554.6</v>
      </c>
      <c r="D783" s="1" t="n">
        <v>24</v>
      </c>
      <c r="E783" s="1" t="n">
        <v>21</v>
      </c>
      <c r="F783" s="1" t="n">
        <v>19</v>
      </c>
      <c r="G783" s="1">
        <f>C783+D783+E783+F783</f>
        <v/>
      </c>
      <c r="H783" s="1">
        <f>IF(ISNUMBER(G783),G783,"")</f>
        <v/>
      </c>
      <c r="I783" s="1">
        <f>_xlfn.RANK.EQ(H783,$H$2:$H$1031)</f>
        <v/>
      </c>
      <c r="J783" s="5" t="n">
        <v>535</v>
      </c>
      <c r="K783" s="5" t="n">
        <v>29</v>
      </c>
      <c r="L783" s="5" t="n">
        <v>15</v>
      </c>
      <c r="M783" s="5" t="n">
        <v>19</v>
      </c>
      <c r="N783" s="5">
        <f>J783+K783+L783+M783</f>
        <v/>
      </c>
      <c r="O783" s="5">
        <f>IF(ISNUMBER(N783),N783,"")</f>
        <v/>
      </c>
      <c r="P783" s="5">
        <f>_xlfn.RANK.EQ(O783,$O$2:$O$1031)</f>
        <v/>
      </c>
      <c r="Q783" s="9" t="inlineStr">
        <is>
          <t>راسب</t>
        </is>
      </c>
      <c r="R783" s="9" t="n">
        <v>37.526</v>
      </c>
      <c r="S783" s="9" t="n">
        <v>25</v>
      </c>
      <c r="T783" s="9" t="n">
        <v>20.5</v>
      </c>
      <c r="U783" s="9">
        <f>Q783+R783+S783+T783</f>
        <v/>
      </c>
      <c r="V783" s="9">
        <f>IF(ISNUMBER(U783),U783,"")</f>
        <v/>
      </c>
      <c r="W783" s="9">
        <f>_xlfn.RANK.EQ(V783,$V$2:$V$1031)</f>
        <v/>
      </c>
      <c r="X783" s="13" t="inlineStr">
        <is>
          <t>راسب</t>
        </is>
      </c>
      <c r="Y783" s="13" t="n">
        <v>25</v>
      </c>
      <c r="Z783" s="13" t="n">
        <v>18</v>
      </c>
      <c r="AA783" s="13" t="n">
        <v>22</v>
      </c>
      <c r="AB783" s="13">
        <f>IF(ISNUMBER(X783),X783+N(Y783)+N(Z783)+N(AA783),X783)</f>
        <v/>
      </c>
      <c r="AC783" s="13">
        <f>IF(ISNUMBER(AB783),AB783,"")</f>
        <v/>
      </c>
      <c r="AD783" s="13">
        <f>IF(ISNUMBER(AC783),_xlfn.RANK.EQ(AC783,$AC$2:$AC$1031),"")</f>
        <v/>
      </c>
      <c r="AE783" s="15">
        <f>IF(ISNUMBER(AF783),AF783/3630,"")</f>
        <v/>
      </c>
      <c r="AF783" s="14">
        <f>IFERROR(C783+D783+E783+F783+J783+K783+L783+M783+Q783+R783+S783+T783+IF(ISNUMBER(X783),X783,0)+N(Y783)+N(Z783)+N(AA783),"")</f>
        <v/>
      </c>
      <c r="AG783" s="14">
        <f>IF(ISNUMBER(AF783),AF783,"")</f>
        <v/>
      </c>
      <c r="AH783" s="14">
        <f>IF(ISNUMBER(AG783),_xlfn.RANK.EQ(AG783,$AG$2:$AG$1031),"")</f>
        <v/>
      </c>
    </row>
    <row r="784">
      <c r="A784" s="18" t="n">
        <v>1903</v>
      </c>
      <c r="B784" s="18" t="inlineStr">
        <is>
          <t>مريم طارق محمود المرادني</t>
        </is>
      </c>
      <c r="C784" s="1" t="n">
        <v>560.5</v>
      </c>
      <c r="D784" s="1" t="n">
        <v>24</v>
      </c>
      <c r="E784" s="1" t="n">
        <v>22</v>
      </c>
      <c r="F784" s="1" t="n">
        <v>24</v>
      </c>
      <c r="G784" s="1">
        <f>C784+D784+E784+F784</f>
        <v/>
      </c>
      <c r="H784" s="1">
        <f>IF(ISNUMBER(G784),G784,"")</f>
        <v/>
      </c>
      <c r="I784" s="1">
        <f>_xlfn.RANK.EQ(H784,$H$2:$H$1031)</f>
        <v/>
      </c>
      <c r="J784" s="5" t="n">
        <v>573.5</v>
      </c>
      <c r="K784" s="5" t="n">
        <v>44</v>
      </c>
      <c r="L784" s="5" t="n">
        <v>22</v>
      </c>
      <c r="M784" s="5" t="n">
        <v>23</v>
      </c>
      <c r="N784" s="5">
        <f>J784+K784+L784+M784</f>
        <v/>
      </c>
      <c r="O784" s="5">
        <f>IF(ISNUMBER(N784),N784,"")</f>
        <v/>
      </c>
      <c r="P784" s="5">
        <f>_xlfn.RANK.EQ(O784,$O$2:$O$1031)</f>
        <v/>
      </c>
      <c r="Q784" s="9" t="n">
        <v>248.25</v>
      </c>
      <c r="R784" s="9" t="n">
        <v>47.395</v>
      </c>
      <c r="S784" s="9" t="n">
        <v>25</v>
      </c>
      <c r="T784" s="9" t="n">
        <v>17</v>
      </c>
      <c r="U784" s="9">
        <f>Q784+R784+S784+T784</f>
        <v/>
      </c>
      <c r="V784" s="9">
        <f>IF(ISNUMBER(U784),U784,"")</f>
        <v/>
      </c>
      <c r="W784" s="9">
        <f>_xlfn.RANK.EQ(V784,$V$2:$V$1031)</f>
        <v/>
      </c>
      <c r="X784" s="13" t="n">
        <v>1419.9916666667</v>
      </c>
      <c r="Y784" s="13" t="n">
        <v>25</v>
      </c>
      <c r="Z784" s="13" t="n">
        <v>24</v>
      </c>
      <c r="AA784" s="13" t="n">
        <v>25</v>
      </c>
      <c r="AB784" s="13">
        <f>IF(ISNUMBER(X784),X784+N(Y784)+N(Z784)+N(AA784),X784)</f>
        <v/>
      </c>
      <c r="AC784" s="13">
        <f>IF(ISNUMBER(AB784),AB784,"")</f>
        <v/>
      </c>
      <c r="AD784" s="13">
        <f>IF(ISNUMBER(AC784),_xlfn.RANK.EQ(AC784,$AC$2:$AC$1031),"")</f>
        <v/>
      </c>
      <c r="AE784" s="15">
        <f>IF(ISNUMBER(AF784),AF784/3630,"")</f>
        <v/>
      </c>
      <c r="AF784" s="14">
        <f>IFERROR(C784+D784+E784+F784+J784+K784+L784+M784+Q784+R784+S784+T784+IF(ISNUMBER(X784),X784,0)+N(Y784)+N(Z784)+N(AA784),"")</f>
        <v/>
      </c>
      <c r="AG784" s="14">
        <f>IF(ISNUMBER(AF784),AF784,"")</f>
        <v/>
      </c>
      <c r="AH784" s="14">
        <f>IF(ISNUMBER(AG784),_xlfn.RANK.EQ(AG784,$AG$2:$AG$1031),"")</f>
        <v/>
      </c>
    </row>
    <row r="785">
      <c r="A785" s="18" t="n">
        <v>1906</v>
      </c>
      <c r="B785" s="18" t="inlineStr">
        <is>
          <t>مريم عبد القادر محمد خليل عبد القادر</t>
        </is>
      </c>
      <c r="C785" s="1" t="n">
        <v>477.65</v>
      </c>
      <c r="D785" s="1" t="n">
        <v>20</v>
      </c>
      <c r="E785" s="1" t="n">
        <v>22</v>
      </c>
      <c r="F785" s="1" t="n">
        <v>20</v>
      </c>
      <c r="G785" s="1">
        <f>C785+D785+E785+F785</f>
        <v/>
      </c>
      <c r="H785" s="1">
        <f>IF(ISNUMBER(G785),G785,"")</f>
        <v/>
      </c>
      <c r="I785" s="1">
        <f>_xlfn.RANK.EQ(H785,$H$2:$H$1031)</f>
        <v/>
      </c>
      <c r="J785" s="5" t="n">
        <v>546.5</v>
      </c>
      <c r="K785" s="5" t="n">
        <v>46</v>
      </c>
      <c r="L785" s="5" t="n">
        <v>21</v>
      </c>
      <c r="M785" s="5" t="n">
        <v>20</v>
      </c>
      <c r="N785" s="5">
        <f>J785+K785+L785+M785</f>
        <v/>
      </c>
      <c r="O785" s="5">
        <f>IF(ISNUMBER(N785),N785,"")</f>
        <v/>
      </c>
      <c r="P785" s="5">
        <f>_xlfn.RANK.EQ(O785,$O$2:$O$1031)</f>
        <v/>
      </c>
      <c r="Q785" s="9" t="n">
        <v>230.25</v>
      </c>
      <c r="R785" s="9" t="n">
        <v>42.5</v>
      </c>
      <c r="S785" s="9" t="n">
        <v>21</v>
      </c>
      <c r="T785" s="9" t="n">
        <v>23.5</v>
      </c>
      <c r="U785" s="9">
        <f>Q785+R785+S785+T785</f>
        <v/>
      </c>
      <c r="V785" s="9">
        <f>IF(ISNUMBER(U785),U785,"")</f>
        <v/>
      </c>
      <c r="W785" s="9">
        <f>_xlfn.RANK.EQ(V785,$V$2:$V$1031)</f>
        <v/>
      </c>
      <c r="X785" s="13" t="n">
        <v>1425.0583333333</v>
      </c>
      <c r="Y785" s="13" t="n">
        <v>25</v>
      </c>
      <c r="Z785" s="13" t="n">
        <v>20</v>
      </c>
      <c r="AA785" s="13" t="n">
        <v>24</v>
      </c>
      <c r="AB785" s="13">
        <f>IF(ISNUMBER(X785),X785+N(Y785)+N(Z785)+N(AA785),X785)</f>
        <v/>
      </c>
      <c r="AC785" s="13">
        <f>IF(ISNUMBER(AB785),AB785,"")</f>
        <v/>
      </c>
      <c r="AD785" s="13">
        <f>IF(ISNUMBER(AC785),_xlfn.RANK.EQ(AC785,$AC$2:$AC$1031),"")</f>
        <v/>
      </c>
      <c r="AE785" s="15">
        <f>IF(ISNUMBER(AF785),AF785/3630,"")</f>
        <v/>
      </c>
      <c r="AF785" s="14">
        <f>IFERROR(C785+D785+E785+F785+J785+K785+L785+M785+Q785+R785+S785+T785+IF(ISNUMBER(X785),X785,0)+N(Y785)+N(Z785)+N(AA785),"")</f>
        <v/>
      </c>
      <c r="AG785" s="14">
        <f>IF(ISNUMBER(AF785),AF785,"")</f>
        <v/>
      </c>
      <c r="AH785" s="14">
        <f>IF(ISNUMBER(AG785),_xlfn.RANK.EQ(AG785,$AG$2:$AG$1031),"")</f>
        <v/>
      </c>
    </row>
    <row r="786">
      <c r="A786" s="18" t="n">
        <v>1907</v>
      </c>
      <c r="B786" s="18" t="inlineStr">
        <is>
          <t>مريم عبد المجيد ابراهيم عبد المجيد</t>
        </is>
      </c>
      <c r="C786" s="1" t="n">
        <v>611.2</v>
      </c>
      <c r="D786" s="1" t="n">
        <v>24</v>
      </c>
      <c r="E786" s="1" t="n">
        <v>23</v>
      </c>
      <c r="F786" s="1" t="n">
        <v>22</v>
      </c>
      <c r="G786" s="1">
        <f>C786+D786+E786+F786</f>
        <v/>
      </c>
      <c r="H786" s="1">
        <f>IF(ISNUMBER(G786),G786,"")</f>
        <v/>
      </c>
      <c r="I786" s="1">
        <f>_xlfn.RANK.EQ(H786,$H$2:$H$1031)</f>
        <v/>
      </c>
      <c r="J786" s="5" t="n">
        <v>561.5</v>
      </c>
      <c r="K786" s="5" t="n">
        <v>48</v>
      </c>
      <c r="L786" s="5" t="n">
        <v>23</v>
      </c>
      <c r="M786" s="5" t="n">
        <v>18</v>
      </c>
      <c r="N786" s="5">
        <f>J786+K786+L786+M786</f>
        <v/>
      </c>
      <c r="O786" s="5">
        <f>IF(ISNUMBER(N786),N786,"")</f>
        <v/>
      </c>
      <c r="P786" s="5">
        <f>_xlfn.RANK.EQ(O786,$O$2:$O$1031)</f>
        <v/>
      </c>
      <c r="Q786" s="9" t="n">
        <v>224.5</v>
      </c>
      <c r="R786" s="9" t="n">
        <v>43.5</v>
      </c>
      <c r="S786" s="9" t="n">
        <v>23</v>
      </c>
      <c r="T786" s="9" t="n">
        <v>25</v>
      </c>
      <c r="U786" s="9">
        <f>Q786+R786+S786+T786</f>
        <v/>
      </c>
      <c r="V786" s="9">
        <f>IF(ISNUMBER(U786),U786,"")</f>
        <v/>
      </c>
      <c r="W786" s="9">
        <f>_xlfn.RANK.EQ(V786,$V$2:$V$1031)</f>
        <v/>
      </c>
      <c r="X786" s="13" t="n">
        <v>1374.9583333333</v>
      </c>
      <c r="Y786" s="13" t="n">
        <v>25</v>
      </c>
      <c r="Z786" s="13" t="n">
        <v>24</v>
      </c>
      <c r="AA786" s="13" t="n">
        <v>24</v>
      </c>
      <c r="AB786" s="13">
        <f>IF(ISNUMBER(X786),X786+N(Y786)+N(Z786)+N(AA786),X786)</f>
        <v/>
      </c>
      <c r="AC786" s="13">
        <f>IF(ISNUMBER(AB786),AB786,"")</f>
        <v/>
      </c>
      <c r="AD786" s="13">
        <f>IF(ISNUMBER(AC786),_xlfn.RANK.EQ(AC786,$AC$2:$AC$1031),"")</f>
        <v/>
      </c>
      <c r="AE786" s="15">
        <f>IF(ISNUMBER(AF786),AF786/3630,"")</f>
        <v/>
      </c>
      <c r="AF786" s="14">
        <f>IFERROR(C786+D786+E786+F786+J786+K786+L786+M786+Q786+R786+S786+T786+IF(ISNUMBER(X786),X786,0)+N(Y786)+N(Z786)+N(AA786),"")</f>
        <v/>
      </c>
      <c r="AG786" s="14">
        <f>IF(ISNUMBER(AF786),AF786,"")</f>
        <v/>
      </c>
      <c r="AH786" s="14">
        <f>IF(ISNUMBER(AG786),_xlfn.RANK.EQ(AG786,$AG$2:$AG$1031),"")</f>
        <v/>
      </c>
    </row>
    <row r="787">
      <c r="A787" s="18" t="n">
        <v>1908</v>
      </c>
      <c r="B787" s="18" t="inlineStr">
        <is>
          <t>مريم عصام السيد بسيوني</t>
        </is>
      </c>
      <c r="C787" s="1" t="n">
        <v>541.4</v>
      </c>
      <c r="D787" s="1" t="n">
        <v>25</v>
      </c>
      <c r="E787" s="1" t="n">
        <v>24</v>
      </c>
      <c r="F787" s="1" t="n">
        <v>23</v>
      </c>
      <c r="G787" s="1">
        <f>C787+D787+E787+F787</f>
        <v/>
      </c>
      <c r="H787" s="1">
        <f>IF(ISNUMBER(G787),G787,"")</f>
        <v/>
      </c>
      <c r="I787" s="1">
        <f>_xlfn.RANK.EQ(H787,$H$2:$H$1031)</f>
        <v/>
      </c>
      <c r="J787" s="5" t="n">
        <v>583.5</v>
      </c>
      <c r="K787" s="5" t="n">
        <v>49</v>
      </c>
      <c r="L787" s="5" t="n">
        <v>23</v>
      </c>
      <c r="M787" s="5" t="n">
        <v>23</v>
      </c>
      <c r="N787" s="5">
        <f>J787+K787+L787+M787</f>
        <v/>
      </c>
      <c r="O787" s="5">
        <f>IF(ISNUMBER(N787),N787,"")</f>
        <v/>
      </c>
      <c r="P787" s="5">
        <f>_xlfn.RANK.EQ(O787,$O$2:$O$1031)</f>
        <v/>
      </c>
      <c r="Q787" s="9" t="n">
        <v>267.75</v>
      </c>
      <c r="R787" s="9" t="n">
        <v>48</v>
      </c>
      <c r="S787" s="9" t="n">
        <v>25</v>
      </c>
      <c r="T787" s="9" t="n">
        <v>25</v>
      </c>
      <c r="U787" s="9">
        <f>Q787+R787+S787+T787</f>
        <v/>
      </c>
      <c r="V787" s="9">
        <f>IF(ISNUMBER(U787),U787,"")</f>
        <v/>
      </c>
      <c r="W787" s="9">
        <f>_xlfn.RANK.EQ(V787,$V$2:$V$1031)</f>
        <v/>
      </c>
      <c r="X787" s="13" t="n">
        <v>1395.7458333333</v>
      </c>
      <c r="Y787" s="13" t="n">
        <v>24</v>
      </c>
      <c r="Z787" s="13" t="n">
        <v>23</v>
      </c>
      <c r="AA787" s="13" t="n">
        <v>25</v>
      </c>
      <c r="AB787" s="13">
        <f>IF(ISNUMBER(X787),X787+N(Y787)+N(Z787)+N(AA787),X787)</f>
        <v/>
      </c>
      <c r="AC787" s="13">
        <f>IF(ISNUMBER(AB787),AB787,"")</f>
        <v/>
      </c>
      <c r="AD787" s="13">
        <f>IF(ISNUMBER(AC787),_xlfn.RANK.EQ(AC787,$AC$2:$AC$1031),"")</f>
        <v/>
      </c>
      <c r="AE787" s="15">
        <f>IF(ISNUMBER(AF787),AF787/3630,"")</f>
        <v/>
      </c>
      <c r="AF787" s="14">
        <f>IFERROR(C787+D787+E787+F787+J787+K787+L787+M787+Q787+R787+S787+T787+IF(ISNUMBER(X787),X787,0)+N(Y787)+N(Z787)+N(AA787),"")</f>
        <v/>
      </c>
      <c r="AG787" s="14">
        <f>IF(ISNUMBER(AF787),AF787,"")</f>
        <v/>
      </c>
      <c r="AH787" s="14">
        <f>IF(ISNUMBER(AG787),_xlfn.RANK.EQ(AG787,$AG$2:$AG$1031),"")</f>
        <v/>
      </c>
    </row>
    <row r="788">
      <c r="A788" s="18" t="n">
        <v>1909</v>
      </c>
      <c r="B788" s="18" t="inlineStr">
        <is>
          <t>مريم عصام حامد زغلول</t>
        </is>
      </c>
      <c r="C788" s="1" t="n">
        <v>579.2</v>
      </c>
      <c r="D788" s="1" t="n">
        <v>24</v>
      </c>
      <c r="E788" s="1" t="n">
        <v>23</v>
      </c>
      <c r="F788" s="1" t="n">
        <v>22</v>
      </c>
      <c r="G788" s="1">
        <f>C788+D788+E788+F788</f>
        <v/>
      </c>
      <c r="H788" s="1">
        <f>IF(ISNUMBER(G788),G788,"")</f>
        <v/>
      </c>
      <c r="I788" s="1">
        <f>_xlfn.RANK.EQ(H788,$H$2:$H$1031)</f>
        <v/>
      </c>
      <c r="J788" s="5" t="n">
        <v>563</v>
      </c>
      <c r="K788" s="5" t="n">
        <v>46</v>
      </c>
      <c r="L788" s="5" t="n">
        <v>23</v>
      </c>
      <c r="M788" s="5" t="n">
        <v>24</v>
      </c>
      <c r="N788" s="5">
        <f>J788+K788+L788+M788</f>
        <v/>
      </c>
      <c r="O788" s="5">
        <f>IF(ISNUMBER(N788),N788,"")</f>
        <v/>
      </c>
      <c r="P788" s="5">
        <f>_xlfn.RANK.EQ(O788,$O$2:$O$1031)</f>
        <v/>
      </c>
      <c r="Q788" s="9" t="n">
        <v>245.75</v>
      </c>
      <c r="R788" s="9" t="n">
        <v>44</v>
      </c>
      <c r="S788" s="9" t="n">
        <v>25</v>
      </c>
      <c r="T788" s="9" t="n">
        <v>23.5</v>
      </c>
      <c r="U788" s="9">
        <f>Q788+R788+S788+T788</f>
        <v/>
      </c>
      <c r="V788" s="9">
        <f>IF(ISNUMBER(U788),U788,"")</f>
        <v/>
      </c>
      <c r="W788" s="9">
        <f>_xlfn.RANK.EQ(V788,$V$2:$V$1031)</f>
        <v/>
      </c>
      <c r="X788" s="13" t="n">
        <v>1306.3583333333</v>
      </c>
      <c r="Y788" s="13" t="n">
        <v>25</v>
      </c>
      <c r="Z788" s="13" t="n">
        <v>23</v>
      </c>
      <c r="AA788" s="13" t="n">
        <v>25</v>
      </c>
      <c r="AB788" s="13">
        <f>IF(ISNUMBER(X788),X788+N(Y788)+N(Z788)+N(AA788),X788)</f>
        <v/>
      </c>
      <c r="AC788" s="13">
        <f>IF(ISNUMBER(AB788),AB788,"")</f>
        <v/>
      </c>
      <c r="AD788" s="13">
        <f>IF(ISNUMBER(AC788),_xlfn.RANK.EQ(AC788,$AC$2:$AC$1031),"")</f>
        <v/>
      </c>
      <c r="AE788" s="15">
        <f>IF(ISNUMBER(AF788),AF788/3630,"")</f>
        <v/>
      </c>
      <c r="AF788" s="14">
        <f>IFERROR(C788+D788+E788+F788+J788+K788+L788+M788+Q788+R788+S788+T788+IF(ISNUMBER(X788),X788,0)+N(Y788)+N(Z788)+N(AA788),"")</f>
        <v/>
      </c>
      <c r="AG788" s="14">
        <f>IF(ISNUMBER(AF788),AF788,"")</f>
        <v/>
      </c>
      <c r="AH788" s="14">
        <f>IF(ISNUMBER(AG788),_xlfn.RANK.EQ(AG788,$AG$2:$AG$1031),"")</f>
        <v/>
      </c>
    </row>
    <row r="789">
      <c r="A789" s="18" t="n">
        <v>1910</v>
      </c>
      <c r="B789" s="18" t="inlineStr">
        <is>
          <t>مريم علاء محمد  السطوحى</t>
        </is>
      </c>
      <c r="C789" s="1" t="n">
        <v>432.7</v>
      </c>
      <c r="D789" s="1" t="n">
        <v>21</v>
      </c>
      <c r="E789" s="1" t="n">
        <v>16</v>
      </c>
      <c r="F789" s="1" t="n">
        <v>16</v>
      </c>
      <c r="G789" s="1">
        <f>C789+D789+E789+F789</f>
        <v/>
      </c>
      <c r="H789" s="1">
        <f>IF(ISNUMBER(G789),G789,"")</f>
        <v/>
      </c>
      <c r="I789" s="1">
        <f>_xlfn.RANK.EQ(H789,$H$2:$H$1031)</f>
        <v/>
      </c>
      <c r="J789" s="5" t="n">
        <v>492.5</v>
      </c>
      <c r="K789" s="5" t="n">
        <v>43</v>
      </c>
      <c r="L789" s="5" t="n">
        <v>20</v>
      </c>
      <c r="M789" s="5" t="n">
        <v>18</v>
      </c>
      <c r="N789" s="5">
        <f>J789+K789+L789+M789</f>
        <v/>
      </c>
      <c r="O789" s="5">
        <f>IF(ISNUMBER(N789),N789,"")</f>
        <v/>
      </c>
      <c r="P789" s="5">
        <f>_xlfn.RANK.EQ(O789,$O$2:$O$1031)</f>
        <v/>
      </c>
      <c r="Q789" s="9" t="n">
        <v>218.25</v>
      </c>
      <c r="R789" s="9" t="n">
        <v>38</v>
      </c>
      <c r="S789" s="9" t="n">
        <v>22</v>
      </c>
      <c r="T789" s="9" t="n">
        <v>24</v>
      </c>
      <c r="U789" s="9">
        <f>Q789+R789+S789+T789</f>
        <v/>
      </c>
      <c r="V789" s="9">
        <f>IF(ISNUMBER(U789),U789,"")</f>
        <v/>
      </c>
      <c r="W789" s="9">
        <f>_xlfn.RANK.EQ(V789,$V$2:$V$1031)</f>
        <v/>
      </c>
      <c r="X789" s="13" t="n">
        <v>1288.0375</v>
      </c>
      <c r="Y789" s="13" t="n">
        <v>25</v>
      </c>
      <c r="Z789" s="13" t="n">
        <v>22</v>
      </c>
      <c r="AA789" s="13" t="n">
        <v>23</v>
      </c>
      <c r="AB789" s="13">
        <f>IF(ISNUMBER(X789),X789+N(Y789)+N(Z789)+N(AA789),X789)</f>
        <v/>
      </c>
      <c r="AC789" s="13">
        <f>IF(ISNUMBER(AB789),AB789,"")</f>
        <v/>
      </c>
      <c r="AD789" s="13">
        <f>IF(ISNUMBER(AC789),_xlfn.RANK.EQ(AC789,$AC$2:$AC$1031),"")</f>
        <v/>
      </c>
      <c r="AE789" s="15">
        <f>IF(ISNUMBER(AF789),AF789/3630,"")</f>
        <v/>
      </c>
      <c r="AF789" s="14">
        <f>IFERROR(C789+D789+E789+F789+J789+K789+L789+M789+Q789+R789+S789+T789+IF(ISNUMBER(X789),X789,0)+N(Y789)+N(Z789)+N(AA789),"")</f>
        <v/>
      </c>
      <c r="AG789" s="14">
        <f>IF(ISNUMBER(AF789),AF789,"")</f>
        <v/>
      </c>
      <c r="AH789" s="14">
        <f>IF(ISNUMBER(AG789),_xlfn.RANK.EQ(AG789,$AG$2:$AG$1031),"")</f>
        <v/>
      </c>
    </row>
    <row r="790">
      <c r="A790" s="18" t="n">
        <v>1911</v>
      </c>
      <c r="B790" s="18" t="inlineStr">
        <is>
          <t>مريم فهمى السيد السيد بلال</t>
        </is>
      </c>
      <c r="C790" s="1" t="n">
        <v>540.4</v>
      </c>
      <c r="D790" s="1" t="n">
        <v>20</v>
      </c>
      <c r="E790" s="1" t="n">
        <v>17</v>
      </c>
      <c r="F790" s="1" t="n">
        <v>22</v>
      </c>
      <c r="G790" s="1">
        <f>C790+D790+E790+F790</f>
        <v/>
      </c>
      <c r="H790" s="1">
        <f>IF(ISNUMBER(G790),G790,"")</f>
        <v/>
      </c>
      <c r="I790" s="1">
        <f>_xlfn.RANK.EQ(H790,$H$2:$H$1031)</f>
        <v/>
      </c>
      <c r="J790" s="5" t="n">
        <v>584</v>
      </c>
      <c r="K790" s="5" t="n">
        <v>46</v>
      </c>
      <c r="L790" s="5" t="n">
        <v>19</v>
      </c>
      <c r="M790" s="5" t="n">
        <v>21</v>
      </c>
      <c r="N790" s="5">
        <f>J790+K790+L790+M790</f>
        <v/>
      </c>
      <c r="O790" s="5">
        <f>IF(ISNUMBER(N790),N790,"")</f>
        <v/>
      </c>
      <c r="P790" s="5">
        <f>_xlfn.RANK.EQ(O790,$O$2:$O$1031)</f>
        <v/>
      </c>
      <c r="Q790" s="9" t="n">
        <v>229.75</v>
      </c>
      <c r="R790" s="9" t="n">
        <v>39</v>
      </c>
      <c r="S790" s="9" t="n">
        <v>22</v>
      </c>
      <c r="T790" s="9" t="n">
        <v>23.5</v>
      </c>
      <c r="U790" s="9">
        <f>Q790+R790+S790+T790</f>
        <v/>
      </c>
      <c r="V790" s="9">
        <f>IF(ISNUMBER(U790),U790,"")</f>
        <v/>
      </c>
      <c r="W790" s="9">
        <f>_xlfn.RANK.EQ(V790,$V$2:$V$1031)</f>
        <v/>
      </c>
      <c r="X790" s="13" t="n">
        <v>1318.0375</v>
      </c>
      <c r="Y790" s="13" t="n">
        <v>25</v>
      </c>
      <c r="Z790" s="13" t="n">
        <v>24</v>
      </c>
      <c r="AA790" s="13" t="n">
        <v>23</v>
      </c>
      <c r="AB790" s="13">
        <f>IF(ISNUMBER(X790),X790+N(Y790)+N(Z790)+N(AA790),X790)</f>
        <v/>
      </c>
      <c r="AC790" s="13">
        <f>IF(ISNUMBER(AB790),AB790,"")</f>
        <v/>
      </c>
      <c r="AD790" s="13">
        <f>IF(ISNUMBER(AC790),_xlfn.RANK.EQ(AC790,$AC$2:$AC$1031),"")</f>
        <v/>
      </c>
      <c r="AE790" s="15">
        <f>IF(ISNUMBER(AF790),AF790/3630,"")</f>
        <v/>
      </c>
      <c r="AF790" s="14">
        <f>IFERROR(C790+D790+E790+F790+J790+K790+L790+M790+Q790+R790+S790+T790+IF(ISNUMBER(X790),X790,0)+N(Y790)+N(Z790)+N(AA790),"")</f>
        <v/>
      </c>
      <c r="AG790" s="14">
        <f>IF(ISNUMBER(AF790),AF790,"")</f>
        <v/>
      </c>
      <c r="AH790" s="14">
        <f>IF(ISNUMBER(AG790),_xlfn.RANK.EQ(AG790,$AG$2:$AG$1031),"")</f>
        <v/>
      </c>
    </row>
    <row r="791">
      <c r="A791" s="18" t="n">
        <v>1912</v>
      </c>
      <c r="B791" s="18" t="inlineStr">
        <is>
          <t>مريم فهمى سعد فهمى سعد</t>
        </is>
      </c>
      <c r="C791" s="1" t="n">
        <v>648.6</v>
      </c>
      <c r="D791" s="1" t="n">
        <v>25</v>
      </c>
      <c r="E791" s="1" t="n">
        <v>25</v>
      </c>
      <c r="F791" s="1" t="n">
        <v>23</v>
      </c>
      <c r="G791" s="1">
        <f>C791+D791+E791+F791</f>
        <v/>
      </c>
      <c r="H791" s="1">
        <f>IF(ISNUMBER(G791),G791,"")</f>
        <v/>
      </c>
      <c r="I791" s="1">
        <f>_xlfn.RANK.EQ(H791,$H$2:$H$1031)</f>
        <v/>
      </c>
      <c r="J791" s="5" t="n">
        <v>632.5</v>
      </c>
      <c r="K791" s="5" t="n">
        <v>49</v>
      </c>
      <c r="L791" s="5" t="n">
        <v>24</v>
      </c>
      <c r="M791" s="5" t="n">
        <v>23</v>
      </c>
      <c r="N791" s="5">
        <f>J791+K791+L791+M791</f>
        <v/>
      </c>
      <c r="O791" s="5">
        <f>IF(ISNUMBER(N791),N791,"")</f>
        <v/>
      </c>
      <c r="P791" s="5">
        <f>_xlfn.RANK.EQ(O791,$O$2:$O$1031)</f>
        <v/>
      </c>
      <c r="Q791" s="9" t="n">
        <v>280</v>
      </c>
      <c r="R791" s="9" t="n">
        <v>47</v>
      </c>
      <c r="S791" s="9" t="n">
        <v>25</v>
      </c>
      <c r="T791" s="9" t="n">
        <v>24.5</v>
      </c>
      <c r="U791" s="9">
        <f>Q791+R791+S791+T791</f>
        <v/>
      </c>
      <c r="V791" s="9">
        <f>IF(ISNUMBER(U791),U791,"")</f>
        <v/>
      </c>
      <c r="W791" s="9">
        <f>_xlfn.RANK.EQ(V791,$V$2:$V$1031)</f>
        <v/>
      </c>
      <c r="X791" s="13" t="n">
        <v>1510.6791666667</v>
      </c>
      <c r="Y791" s="13" t="n">
        <v>25</v>
      </c>
      <c r="Z791" s="13" t="n">
        <v>25</v>
      </c>
      <c r="AA791" s="13" t="n">
        <v>25</v>
      </c>
      <c r="AB791" s="13">
        <f>IF(ISNUMBER(X791),X791+N(Y791)+N(Z791)+N(AA791),X791)</f>
        <v/>
      </c>
      <c r="AC791" s="13">
        <f>IF(ISNUMBER(AB791),AB791,"")</f>
        <v/>
      </c>
      <c r="AD791" s="13">
        <f>IF(ISNUMBER(AC791),_xlfn.RANK.EQ(AC791,$AC$2:$AC$1031),"")</f>
        <v/>
      </c>
      <c r="AE791" s="15">
        <f>IF(ISNUMBER(AF791),AF791/3630,"")</f>
        <v/>
      </c>
      <c r="AF791" s="14">
        <f>IFERROR(C791+D791+E791+F791+J791+K791+L791+M791+Q791+R791+S791+T791+IF(ISNUMBER(X791),X791,0)+N(Y791)+N(Z791)+N(AA791),"")</f>
        <v/>
      </c>
      <c r="AG791" s="14">
        <f>IF(ISNUMBER(AF791),AF791,"")</f>
        <v/>
      </c>
      <c r="AH791" s="14">
        <f>IF(ISNUMBER(AG791),_xlfn.RANK.EQ(AG791,$AG$2:$AG$1031),"")</f>
        <v/>
      </c>
    </row>
    <row r="792">
      <c r="A792" s="18" t="n">
        <v>1913</v>
      </c>
      <c r="B792" s="18" t="inlineStr">
        <is>
          <t>مريم كامل عبد العزيز أحمد بدوى</t>
        </is>
      </c>
      <c r="C792" s="1" t="n">
        <v>639.2</v>
      </c>
      <c r="D792" s="1" t="n">
        <v>25</v>
      </c>
      <c r="E792" s="1" t="n">
        <v>25</v>
      </c>
      <c r="F792" s="1" t="n">
        <v>23</v>
      </c>
      <c r="G792" s="1">
        <f>C792+D792+E792+F792</f>
        <v/>
      </c>
      <c r="H792" s="1">
        <f>IF(ISNUMBER(G792),G792,"")</f>
        <v/>
      </c>
      <c r="I792" s="1">
        <f>_xlfn.RANK.EQ(H792,$H$2:$H$1031)</f>
        <v/>
      </c>
      <c r="J792" s="5" t="n">
        <v>621.35</v>
      </c>
      <c r="K792" s="5" t="n">
        <v>48</v>
      </c>
      <c r="L792" s="5" t="n">
        <v>23</v>
      </c>
      <c r="M792" s="5" t="n">
        <v>23</v>
      </c>
      <c r="N792" s="5">
        <f>J792+K792+L792+M792</f>
        <v/>
      </c>
      <c r="O792" s="5">
        <f>IF(ISNUMBER(N792),N792,"")</f>
        <v/>
      </c>
      <c r="P792" s="5">
        <f>_xlfn.RANK.EQ(O792,$O$2:$O$1031)</f>
        <v/>
      </c>
      <c r="Q792" s="9" t="n">
        <v>275.5</v>
      </c>
      <c r="R792" s="9" t="n">
        <v>46</v>
      </c>
      <c r="S792" s="9" t="n">
        <v>24</v>
      </c>
      <c r="T792" s="9" t="n">
        <v>24.5</v>
      </c>
      <c r="U792" s="9">
        <f>Q792+R792+S792+T792</f>
        <v/>
      </c>
      <c r="V792" s="9">
        <f>IF(ISNUMBER(U792),U792,"")</f>
        <v/>
      </c>
      <c r="W792" s="9">
        <f>_xlfn.RANK.EQ(V792,$V$2:$V$1031)</f>
        <v/>
      </c>
      <c r="X792" s="13" t="n">
        <v>1518.0625</v>
      </c>
      <c r="Y792" s="13" t="n">
        <v>25</v>
      </c>
      <c r="Z792" s="13" t="n">
        <v>25</v>
      </c>
      <c r="AA792" s="13" t="n">
        <v>25</v>
      </c>
      <c r="AB792" s="13">
        <f>IF(ISNUMBER(X792),X792+N(Y792)+N(Z792)+N(AA792),X792)</f>
        <v/>
      </c>
      <c r="AC792" s="13">
        <f>IF(ISNUMBER(AB792),AB792,"")</f>
        <v/>
      </c>
      <c r="AD792" s="13">
        <f>IF(ISNUMBER(AC792),_xlfn.RANK.EQ(AC792,$AC$2:$AC$1031),"")</f>
        <v/>
      </c>
      <c r="AE792" s="15">
        <f>IF(ISNUMBER(AF792),AF792/3630,"")</f>
        <v/>
      </c>
      <c r="AF792" s="14">
        <f>IFERROR(C792+D792+E792+F792+J792+K792+L792+M792+Q792+R792+S792+T792+IF(ISNUMBER(X792),X792,0)+N(Y792)+N(Z792)+N(AA792),"")</f>
        <v/>
      </c>
      <c r="AG792" s="14">
        <f>IF(ISNUMBER(AF792),AF792,"")</f>
        <v/>
      </c>
      <c r="AH792" s="14">
        <f>IF(ISNUMBER(AG792),_xlfn.RANK.EQ(AG792,$AG$2:$AG$1031),"")</f>
        <v/>
      </c>
    </row>
    <row r="793">
      <c r="A793" s="18" t="n">
        <v>1914</v>
      </c>
      <c r="B793" s="18" t="inlineStr">
        <is>
          <t>مريم كريم احمد نعيم احمد السيد</t>
        </is>
      </c>
      <c r="C793" s="1" t="n">
        <v>531.2</v>
      </c>
      <c r="D793" s="1" t="n">
        <v>22</v>
      </c>
      <c r="E793" s="1" t="n">
        <v>18</v>
      </c>
      <c r="F793" s="1" t="n">
        <v>20</v>
      </c>
      <c r="G793" s="1">
        <f>C793+D793+E793+F793</f>
        <v/>
      </c>
      <c r="H793" s="1">
        <f>IF(ISNUMBER(G793),G793,"")</f>
        <v/>
      </c>
      <c r="I793" s="1">
        <f>_xlfn.RANK.EQ(H793,$H$2:$H$1031)</f>
        <v/>
      </c>
      <c r="J793" s="5" t="n">
        <v>583.35</v>
      </c>
      <c r="K793" s="5" t="n">
        <v>45</v>
      </c>
      <c r="L793" s="5" t="n">
        <v>22</v>
      </c>
      <c r="M793" s="5" t="n">
        <v>20</v>
      </c>
      <c r="N793" s="5">
        <f>J793+K793+L793+M793</f>
        <v/>
      </c>
      <c r="O793" s="5">
        <f>IF(ISNUMBER(N793),N793,"")</f>
        <v/>
      </c>
      <c r="P793" s="5">
        <f>_xlfn.RANK.EQ(O793,$O$2:$O$1031)</f>
        <v/>
      </c>
      <c r="Q793" s="9" t="n">
        <v>259</v>
      </c>
      <c r="R793" s="9" t="n">
        <v>42</v>
      </c>
      <c r="S793" s="9" t="n">
        <v>23</v>
      </c>
      <c r="T793" s="9" t="n">
        <v>23.5</v>
      </c>
      <c r="U793" s="9">
        <f>Q793+R793+S793+T793</f>
        <v/>
      </c>
      <c r="V793" s="9">
        <f>IF(ISNUMBER(U793),U793,"")</f>
        <v/>
      </c>
      <c r="W793" s="9">
        <f>_xlfn.RANK.EQ(V793,$V$2:$V$1031)</f>
        <v/>
      </c>
      <c r="X793" s="13" t="n">
        <v>1378.7833333333</v>
      </c>
      <c r="Y793" s="13" t="n">
        <v>25</v>
      </c>
      <c r="Z793" s="13" t="n">
        <v>25</v>
      </c>
      <c r="AA793" s="13" t="n">
        <v>24</v>
      </c>
      <c r="AB793" s="13">
        <f>IF(ISNUMBER(X793),X793+N(Y793)+N(Z793)+N(AA793),X793)</f>
        <v/>
      </c>
      <c r="AC793" s="13">
        <f>IF(ISNUMBER(AB793),AB793,"")</f>
        <v/>
      </c>
      <c r="AD793" s="13">
        <f>IF(ISNUMBER(AC793),_xlfn.RANK.EQ(AC793,$AC$2:$AC$1031),"")</f>
        <v/>
      </c>
      <c r="AE793" s="15">
        <f>IF(ISNUMBER(AF793),AF793/3630,"")</f>
        <v/>
      </c>
      <c r="AF793" s="14">
        <f>IFERROR(C793+D793+E793+F793+J793+K793+L793+M793+Q793+R793+S793+T793+IF(ISNUMBER(X793),X793,0)+N(Y793)+N(Z793)+N(AA793),"")</f>
        <v/>
      </c>
      <c r="AG793" s="14">
        <f>IF(ISNUMBER(AF793),AF793,"")</f>
        <v/>
      </c>
      <c r="AH793" s="14">
        <f>IF(ISNUMBER(AG793),_xlfn.RANK.EQ(AG793,$AG$2:$AG$1031),"")</f>
        <v/>
      </c>
    </row>
    <row r="794">
      <c r="A794" s="18" t="n">
        <v>1916</v>
      </c>
      <c r="B794" s="18" t="inlineStr">
        <is>
          <t>مريم محمد صلاح احمد جاد</t>
        </is>
      </c>
      <c r="C794" s="1" t="n">
        <v>551.7</v>
      </c>
      <c r="D794" s="1" t="n">
        <v>24</v>
      </c>
      <c r="E794" s="1" t="n">
        <v>25</v>
      </c>
      <c r="F794" s="1" t="n">
        <v>22</v>
      </c>
      <c r="G794" s="1">
        <f>C794+D794+E794+F794</f>
        <v/>
      </c>
      <c r="H794" s="1">
        <f>IF(ISNUMBER(G794),G794,"")</f>
        <v/>
      </c>
      <c r="I794" s="1">
        <f>_xlfn.RANK.EQ(H794,$H$2:$H$1031)</f>
        <v/>
      </c>
      <c r="J794" s="5" t="n">
        <v>580</v>
      </c>
      <c r="K794" s="5" t="n">
        <v>48</v>
      </c>
      <c r="L794" s="5" t="n">
        <v>22</v>
      </c>
      <c r="M794" s="5" t="n">
        <v>19</v>
      </c>
      <c r="N794" s="5">
        <f>J794+K794+L794+M794</f>
        <v/>
      </c>
      <c r="O794" s="5">
        <f>IF(ISNUMBER(N794),N794,"")</f>
        <v/>
      </c>
      <c r="P794" s="5">
        <f>_xlfn.RANK.EQ(O794,$O$2:$O$1031)</f>
        <v/>
      </c>
      <c r="Q794" s="9" t="n">
        <v>213.75</v>
      </c>
      <c r="R794" s="9" t="n">
        <v>47.5</v>
      </c>
      <c r="S794" s="9" t="n">
        <v>25</v>
      </c>
      <c r="T794" s="9" t="n">
        <v>25</v>
      </c>
      <c r="U794" s="9">
        <f>Q794+R794+S794+T794</f>
        <v/>
      </c>
      <c r="V794" s="9">
        <f>IF(ISNUMBER(U794),U794,"")</f>
        <v/>
      </c>
      <c r="W794" s="9">
        <f>_xlfn.RANK.EQ(V794,$V$2:$V$1031)</f>
        <v/>
      </c>
      <c r="X794" s="13" t="n">
        <v>1210.8458333333</v>
      </c>
      <c r="Y794" s="13" t="n">
        <v>25</v>
      </c>
      <c r="Z794" s="13" t="n">
        <v>22</v>
      </c>
      <c r="AA794" s="13" t="n">
        <v>24</v>
      </c>
      <c r="AB794" s="13">
        <f>IF(ISNUMBER(X794),X794+N(Y794)+N(Z794)+N(AA794),X794)</f>
        <v/>
      </c>
      <c r="AC794" s="13">
        <f>IF(ISNUMBER(AB794),AB794,"")</f>
        <v/>
      </c>
      <c r="AD794" s="13">
        <f>IF(ISNUMBER(AC794),_xlfn.RANK.EQ(AC794,$AC$2:$AC$1031),"")</f>
        <v/>
      </c>
      <c r="AE794" s="15">
        <f>IF(ISNUMBER(AF794),AF794/3630,"")</f>
        <v/>
      </c>
      <c r="AF794" s="14">
        <f>IFERROR(C794+D794+E794+F794+J794+K794+L794+M794+Q794+R794+S794+T794+IF(ISNUMBER(X794),X794,0)+N(Y794)+N(Z794)+N(AA794),"")</f>
        <v/>
      </c>
      <c r="AG794" s="14">
        <f>IF(ISNUMBER(AF794),AF794,"")</f>
        <v/>
      </c>
      <c r="AH794" s="14">
        <f>IF(ISNUMBER(AG794),_xlfn.RANK.EQ(AG794,$AG$2:$AG$1031),"")</f>
        <v/>
      </c>
    </row>
    <row r="795">
      <c r="A795" s="18" t="n">
        <v>1917</v>
      </c>
      <c r="B795" s="18" t="inlineStr">
        <is>
          <t>مريم محمد يوسف عبد الفتاح يوسف</t>
        </is>
      </c>
      <c r="C795" s="1" t="n">
        <v>591.4</v>
      </c>
      <c r="D795" s="1" t="n">
        <v>24</v>
      </c>
      <c r="E795" s="1" t="n">
        <v>25</v>
      </c>
      <c r="F795" s="1" t="n">
        <v>22</v>
      </c>
      <c r="G795" s="1">
        <f>C795+D795+E795+F795</f>
        <v/>
      </c>
      <c r="H795" s="1">
        <f>IF(ISNUMBER(G795),G795,"")</f>
        <v/>
      </c>
      <c r="I795" s="1">
        <f>_xlfn.RANK.EQ(H795,$H$2:$H$1031)</f>
        <v/>
      </c>
      <c r="J795" s="5" t="n">
        <v>600</v>
      </c>
      <c r="K795" s="5" t="n">
        <v>47</v>
      </c>
      <c r="L795" s="5" t="n">
        <v>23</v>
      </c>
      <c r="M795" s="5" t="n">
        <v>23</v>
      </c>
      <c r="N795" s="5">
        <f>J795+K795+L795+M795</f>
        <v/>
      </c>
      <c r="O795" s="5">
        <f>IF(ISNUMBER(N795),N795,"")</f>
        <v/>
      </c>
      <c r="P795" s="5">
        <f>_xlfn.RANK.EQ(O795,$O$2:$O$1031)</f>
        <v/>
      </c>
      <c r="Q795" s="9" t="n">
        <v>267</v>
      </c>
      <c r="R795" s="9" t="n">
        <v>43.5</v>
      </c>
      <c r="S795" s="9" t="n">
        <v>25</v>
      </c>
      <c r="T795" s="9" t="n">
        <v>23.5</v>
      </c>
      <c r="U795" s="9">
        <f>Q795+R795+S795+T795</f>
        <v/>
      </c>
      <c r="V795" s="9">
        <f>IF(ISNUMBER(U795),U795,"")</f>
        <v/>
      </c>
      <c r="W795" s="9">
        <f>_xlfn.RANK.EQ(V795,$V$2:$V$1031)</f>
        <v/>
      </c>
      <c r="X795" s="13" t="n">
        <v>1371.3958333333</v>
      </c>
      <c r="Y795" s="13" t="n">
        <v>25</v>
      </c>
      <c r="Z795" s="13" t="n">
        <v>22</v>
      </c>
      <c r="AA795" s="13" t="n">
        <v>25</v>
      </c>
      <c r="AB795" s="13">
        <f>IF(ISNUMBER(X795),X795+N(Y795)+N(Z795)+N(AA795),X795)</f>
        <v/>
      </c>
      <c r="AC795" s="13">
        <f>IF(ISNUMBER(AB795),AB795,"")</f>
        <v/>
      </c>
      <c r="AD795" s="13">
        <f>IF(ISNUMBER(AC795),_xlfn.RANK.EQ(AC795,$AC$2:$AC$1031),"")</f>
        <v/>
      </c>
      <c r="AE795" s="15">
        <f>IF(ISNUMBER(AF795),AF795/3630,"")</f>
        <v/>
      </c>
      <c r="AF795" s="14">
        <f>IFERROR(C795+D795+E795+F795+J795+K795+L795+M795+Q795+R795+S795+T795+IF(ISNUMBER(X795),X795,0)+N(Y795)+N(Z795)+N(AA795),"")</f>
        <v/>
      </c>
      <c r="AG795" s="14">
        <f>IF(ISNUMBER(AF795),AF795,"")</f>
        <v/>
      </c>
      <c r="AH795" s="14">
        <f>IF(ISNUMBER(AG795),_xlfn.RANK.EQ(AG795,$AG$2:$AG$1031),"")</f>
        <v/>
      </c>
    </row>
    <row r="796">
      <c r="A796" s="18" t="n">
        <v>1918</v>
      </c>
      <c r="B796" s="18" t="inlineStr">
        <is>
          <t>مريم مصطفي محمد  عطيان</t>
        </is>
      </c>
      <c r="C796" s="1" t="n">
        <v>549.6</v>
      </c>
      <c r="D796" s="1" t="n">
        <v>23</v>
      </c>
      <c r="E796" s="1" t="n">
        <v>23</v>
      </c>
      <c r="F796" s="1" t="n">
        <v>23</v>
      </c>
      <c r="G796" s="1">
        <f>C796+D796+E796+F796</f>
        <v/>
      </c>
      <c r="H796" s="1">
        <f>IF(ISNUMBER(G796),G796,"")</f>
        <v/>
      </c>
      <c r="I796" s="1">
        <f>_xlfn.RANK.EQ(H796,$H$2:$H$1031)</f>
        <v/>
      </c>
      <c r="J796" s="5" t="n">
        <v>552.5</v>
      </c>
      <c r="K796" s="5" t="n">
        <v>47</v>
      </c>
      <c r="L796" s="5" t="n">
        <v>19</v>
      </c>
      <c r="M796" s="5" t="n">
        <v>21</v>
      </c>
      <c r="N796" s="5">
        <f>J796+K796+L796+M796</f>
        <v/>
      </c>
      <c r="O796" s="5">
        <f>IF(ISNUMBER(N796),N796,"")</f>
        <v/>
      </c>
      <c r="P796" s="5">
        <f>_xlfn.RANK.EQ(O796,$O$2:$O$1031)</f>
        <v/>
      </c>
      <c r="Q796" s="9" t="n">
        <v>208</v>
      </c>
      <c r="R796" s="9" t="n">
        <v>40.5</v>
      </c>
      <c r="S796" s="9" t="n">
        <v>25</v>
      </c>
      <c r="T796" s="9" t="n">
        <v>24</v>
      </c>
      <c r="U796" s="9">
        <f>Q796+R796+S796+T796</f>
        <v/>
      </c>
      <c r="V796" s="9">
        <f>IF(ISNUMBER(U796),U796,"")</f>
        <v/>
      </c>
      <c r="W796" s="9">
        <f>_xlfn.RANK.EQ(V796,$V$2:$V$1031)</f>
        <v/>
      </c>
      <c r="X796" s="13" t="n">
        <v>1365.325</v>
      </c>
      <c r="Y796" s="13" t="n">
        <v>25</v>
      </c>
      <c r="Z796" s="13" t="n">
        <v>21</v>
      </c>
      <c r="AA796" s="13" t="n">
        <v>25</v>
      </c>
      <c r="AB796" s="13">
        <f>IF(ISNUMBER(X796),X796+N(Y796)+N(Z796)+N(AA796),X796)</f>
        <v/>
      </c>
      <c r="AC796" s="13">
        <f>IF(ISNUMBER(AB796),AB796,"")</f>
        <v/>
      </c>
      <c r="AD796" s="13">
        <f>IF(ISNUMBER(AC796),_xlfn.RANK.EQ(AC796,$AC$2:$AC$1031),"")</f>
        <v/>
      </c>
      <c r="AE796" s="15">
        <f>IF(ISNUMBER(AF796),AF796/3630,"")</f>
        <v/>
      </c>
      <c r="AF796" s="14">
        <f>IFERROR(C796+D796+E796+F796+J796+K796+L796+M796+Q796+R796+S796+T796+IF(ISNUMBER(X796),X796,0)+N(Y796)+N(Z796)+N(AA796),"")</f>
        <v/>
      </c>
      <c r="AG796" s="14">
        <f>IF(ISNUMBER(AF796),AF796,"")</f>
        <v/>
      </c>
      <c r="AH796" s="14">
        <f>IF(ISNUMBER(AG796),_xlfn.RANK.EQ(AG796,$AG$2:$AG$1031),"")</f>
        <v/>
      </c>
    </row>
    <row r="797">
      <c r="A797" s="18" t="n">
        <v>1919</v>
      </c>
      <c r="B797" s="18" t="inlineStr">
        <is>
          <t>مريم منصور عبد الله شحاته</t>
        </is>
      </c>
      <c r="C797" s="1" t="n">
        <v>577.9</v>
      </c>
      <c r="D797" s="1" t="n">
        <v>24</v>
      </c>
      <c r="E797" s="1" t="n">
        <v>18</v>
      </c>
      <c r="F797" s="1" t="n">
        <v>20</v>
      </c>
      <c r="G797" s="1">
        <f>C797+D797+E797+F797</f>
        <v/>
      </c>
      <c r="H797" s="1">
        <f>IF(ISNUMBER(G797),G797,"")</f>
        <v/>
      </c>
      <c r="I797" s="1">
        <f>_xlfn.RANK.EQ(H797,$H$2:$H$1031)</f>
        <v/>
      </c>
      <c r="J797" s="5" t="n">
        <v>590.5</v>
      </c>
      <c r="K797" s="5" t="n">
        <v>41</v>
      </c>
      <c r="L797" s="5" t="n">
        <v>19</v>
      </c>
      <c r="M797" s="5" t="n">
        <v>16</v>
      </c>
      <c r="N797" s="5">
        <f>J797+K797+L797+M797</f>
        <v/>
      </c>
      <c r="O797" s="5">
        <f>IF(ISNUMBER(N797),N797,"")</f>
        <v/>
      </c>
      <c r="P797" s="5">
        <f>_xlfn.RANK.EQ(O797,$O$2:$O$1031)</f>
        <v/>
      </c>
      <c r="Q797" s="9" t="n">
        <v>243.25</v>
      </c>
      <c r="R797" s="9" t="n">
        <v>38</v>
      </c>
      <c r="S797" s="9" t="n">
        <v>22</v>
      </c>
      <c r="T797" s="9" t="n">
        <v>17.5</v>
      </c>
      <c r="U797" s="9">
        <f>Q797+R797+S797+T797</f>
        <v/>
      </c>
      <c r="V797" s="9">
        <f>IF(ISNUMBER(U797),U797,"")</f>
        <v/>
      </c>
      <c r="W797" s="9">
        <f>_xlfn.RANK.EQ(V797,$V$2:$V$1031)</f>
        <v/>
      </c>
      <c r="X797" s="13" t="n">
        <v>1295.4833333333</v>
      </c>
      <c r="Y797" s="13" t="n">
        <v>25</v>
      </c>
      <c r="Z797" s="13" t="n">
        <v>16</v>
      </c>
      <c r="AA797" s="13" t="n">
        <v>18</v>
      </c>
      <c r="AB797" s="13">
        <f>IF(ISNUMBER(X797),X797+N(Y797)+N(Z797)+N(AA797),X797)</f>
        <v/>
      </c>
      <c r="AC797" s="13">
        <f>IF(ISNUMBER(AB797),AB797,"")</f>
        <v/>
      </c>
      <c r="AD797" s="13">
        <f>IF(ISNUMBER(AC797),_xlfn.RANK.EQ(AC797,$AC$2:$AC$1031),"")</f>
        <v/>
      </c>
      <c r="AE797" s="15">
        <f>IF(ISNUMBER(AF797),AF797/3630,"")</f>
        <v/>
      </c>
      <c r="AF797" s="14">
        <f>IFERROR(C797+D797+E797+F797+J797+K797+L797+M797+Q797+R797+S797+T797+IF(ISNUMBER(X797),X797,0)+N(Y797)+N(Z797)+N(AA797),"")</f>
        <v/>
      </c>
      <c r="AG797" s="14">
        <f>IF(ISNUMBER(AF797),AF797,"")</f>
        <v/>
      </c>
      <c r="AH797" s="14">
        <f>IF(ISNUMBER(AG797),_xlfn.RANK.EQ(AG797,$AG$2:$AG$1031),"")</f>
        <v/>
      </c>
    </row>
    <row r="798">
      <c r="A798" s="18" t="n">
        <v>1920</v>
      </c>
      <c r="B798" s="18" t="inlineStr">
        <is>
          <t>مريم ميثم عطيه محمد عطيه العوضى</t>
        </is>
      </c>
      <c r="C798" s="1" t="n">
        <v>569</v>
      </c>
      <c r="D798" s="1" t="n">
        <v>22</v>
      </c>
      <c r="E798" s="1" t="n">
        <v>25</v>
      </c>
      <c r="F798" s="1" t="n">
        <v>21</v>
      </c>
      <c r="G798" s="1">
        <f>C798+D798+E798+F798</f>
        <v/>
      </c>
      <c r="H798" s="1">
        <f>IF(ISNUMBER(G798),G798,"")</f>
        <v/>
      </c>
      <c r="I798" s="1">
        <f>_xlfn.RANK.EQ(H798,$H$2:$H$1031)</f>
        <v/>
      </c>
      <c r="J798" s="5" t="n">
        <v>563</v>
      </c>
      <c r="K798" s="5" t="n">
        <v>46</v>
      </c>
      <c r="L798" s="5" t="n">
        <v>21</v>
      </c>
      <c r="M798" s="5" t="n">
        <v>20</v>
      </c>
      <c r="N798" s="5">
        <f>J798+K798+L798+M798</f>
        <v/>
      </c>
      <c r="O798" s="5">
        <f>IF(ISNUMBER(N798),N798,"")</f>
        <v/>
      </c>
      <c r="P798" s="5">
        <f>_xlfn.RANK.EQ(O798,$O$2:$O$1031)</f>
        <v/>
      </c>
      <c r="Q798" s="9" t="n">
        <v>243.75</v>
      </c>
      <c r="R798" s="9" t="n">
        <v>46</v>
      </c>
      <c r="S798" s="9" t="n">
        <v>23</v>
      </c>
      <c r="T798" s="9" t="n">
        <v>23.5</v>
      </c>
      <c r="U798" s="9">
        <f>Q798+R798+S798+T798</f>
        <v/>
      </c>
      <c r="V798" s="9">
        <f>IF(ISNUMBER(U798),U798,"")</f>
        <v/>
      </c>
      <c r="W798" s="9">
        <f>_xlfn.RANK.EQ(V798,$V$2:$V$1031)</f>
        <v/>
      </c>
      <c r="X798" s="13" t="n">
        <v>1377.6916666667</v>
      </c>
      <c r="Y798" s="13" t="n">
        <v>25</v>
      </c>
      <c r="Z798" s="13" t="n">
        <v>21</v>
      </c>
      <c r="AA798" s="13" t="n">
        <v>25</v>
      </c>
      <c r="AB798" s="13">
        <f>IF(ISNUMBER(X798),X798+N(Y798)+N(Z798)+N(AA798),X798)</f>
        <v/>
      </c>
      <c r="AC798" s="13">
        <f>IF(ISNUMBER(AB798),AB798,"")</f>
        <v/>
      </c>
      <c r="AD798" s="13">
        <f>IF(ISNUMBER(AC798),_xlfn.RANK.EQ(AC798,$AC$2:$AC$1031),"")</f>
        <v/>
      </c>
      <c r="AE798" s="15">
        <f>IF(ISNUMBER(AF798),AF798/3630,"")</f>
        <v/>
      </c>
      <c r="AF798" s="14">
        <f>IFERROR(C798+D798+E798+F798+J798+K798+L798+M798+Q798+R798+S798+T798+IF(ISNUMBER(X798),X798,0)+N(Y798)+N(Z798)+N(AA798),"")</f>
        <v/>
      </c>
      <c r="AG798" s="14">
        <f>IF(ISNUMBER(AF798),AF798,"")</f>
        <v/>
      </c>
      <c r="AH798" s="14">
        <f>IF(ISNUMBER(AG798),_xlfn.RANK.EQ(AG798,$AG$2:$AG$1031),"")</f>
        <v/>
      </c>
    </row>
    <row r="799">
      <c r="A799" s="18" t="n">
        <v>1922</v>
      </c>
      <c r="B799" s="18" t="inlineStr">
        <is>
          <t>مريم وائل محمد احمد البنا</t>
        </is>
      </c>
      <c r="C799" s="1" t="n">
        <v>584.1</v>
      </c>
      <c r="D799" s="1" t="n">
        <v>23</v>
      </c>
      <c r="E799" s="1" t="n">
        <v>18</v>
      </c>
      <c r="F799" s="1" t="n">
        <v>23</v>
      </c>
      <c r="G799" s="1">
        <f>C799+D799+E799+F799</f>
        <v/>
      </c>
      <c r="H799" s="1">
        <f>IF(ISNUMBER(G799),G799,"")</f>
        <v/>
      </c>
      <c r="I799" s="1">
        <f>_xlfn.RANK.EQ(H799,$H$2:$H$1031)</f>
        <v/>
      </c>
      <c r="J799" s="5" t="n">
        <v>565</v>
      </c>
      <c r="K799" s="5" t="n">
        <v>48</v>
      </c>
      <c r="L799" s="5" t="n">
        <v>24</v>
      </c>
      <c r="M799" s="5" t="n">
        <v>24</v>
      </c>
      <c r="N799" s="5">
        <f>J799+K799+L799+M799</f>
        <v/>
      </c>
      <c r="O799" s="5">
        <f>IF(ISNUMBER(N799),N799,"")</f>
        <v/>
      </c>
      <c r="P799" s="5">
        <f>_xlfn.RANK.EQ(O799,$O$2:$O$1031)</f>
        <v/>
      </c>
      <c r="Q799" s="9" t="n">
        <v>217.25</v>
      </c>
      <c r="R799" s="9" t="n">
        <v>40</v>
      </c>
      <c r="S799" s="9" t="n">
        <v>24</v>
      </c>
      <c r="T799" s="9" t="n">
        <v>24.5</v>
      </c>
      <c r="U799" s="9">
        <f>Q799+R799+S799+T799</f>
        <v/>
      </c>
      <c r="V799" s="9">
        <f>IF(ISNUMBER(U799),U799,"")</f>
        <v/>
      </c>
      <c r="W799" s="9">
        <f>_xlfn.RANK.EQ(V799,$V$2:$V$1031)</f>
        <v/>
      </c>
      <c r="X799" s="13" t="n">
        <v>1173.2208333333</v>
      </c>
      <c r="Y799" s="13" t="n">
        <v>25</v>
      </c>
      <c r="Z799" s="13" t="n">
        <v>24</v>
      </c>
      <c r="AA799" s="13" t="n">
        <v>21</v>
      </c>
      <c r="AB799" s="13">
        <f>IF(ISNUMBER(X799),X799+N(Y799)+N(Z799)+N(AA799),X799)</f>
        <v/>
      </c>
      <c r="AC799" s="13">
        <f>IF(ISNUMBER(AB799),AB799,"")</f>
        <v/>
      </c>
      <c r="AD799" s="13">
        <f>IF(ISNUMBER(AC799),_xlfn.RANK.EQ(AC799,$AC$2:$AC$1031),"")</f>
        <v/>
      </c>
      <c r="AE799" s="15">
        <f>IF(ISNUMBER(AF799),AF799/3630,"")</f>
        <v/>
      </c>
      <c r="AF799" s="14">
        <f>IFERROR(C799+D799+E799+F799+J799+K799+L799+M799+Q799+R799+S799+T799+IF(ISNUMBER(X799),X799,0)+N(Y799)+N(Z799)+N(AA799),"")</f>
        <v/>
      </c>
      <c r="AG799" s="14">
        <f>IF(ISNUMBER(AF799),AF799,"")</f>
        <v/>
      </c>
      <c r="AH799" s="14">
        <f>IF(ISNUMBER(AG799),_xlfn.RANK.EQ(AG799,$AG$2:$AG$1031),"")</f>
        <v/>
      </c>
    </row>
    <row r="800">
      <c r="A800" s="18" t="n">
        <v>1923</v>
      </c>
      <c r="B800" s="18" t="inlineStr">
        <is>
          <t>مريم ياسر عطيه عربي محمد</t>
        </is>
      </c>
      <c r="C800" s="1" t="n">
        <v>657.6</v>
      </c>
      <c r="D800" s="1" t="n">
        <v>25</v>
      </c>
      <c r="E800" s="1" t="n">
        <v>23</v>
      </c>
      <c r="F800" s="1" t="n">
        <v>24</v>
      </c>
      <c r="G800" s="1">
        <f>C800+D800+E800+F800</f>
        <v/>
      </c>
      <c r="H800" s="1">
        <f>IF(ISNUMBER(G800),G800,"")</f>
        <v/>
      </c>
      <c r="I800" s="1">
        <f>_xlfn.RANK.EQ(H800,$H$2:$H$1031)</f>
        <v/>
      </c>
      <c r="J800" s="5" t="n">
        <v>637.5</v>
      </c>
      <c r="K800" s="5" t="n">
        <v>49</v>
      </c>
      <c r="L800" s="5" t="n">
        <v>24</v>
      </c>
      <c r="M800" s="5" t="n">
        <v>25</v>
      </c>
      <c r="N800" s="5">
        <f>J800+K800+L800+M800</f>
        <v/>
      </c>
      <c r="O800" s="5">
        <f>IF(ISNUMBER(N800),N800,"")</f>
        <v/>
      </c>
      <c r="P800" s="5">
        <f>_xlfn.RANK.EQ(O800,$O$2:$O$1031)</f>
        <v/>
      </c>
      <c r="Q800" s="9" t="n">
        <v>282</v>
      </c>
      <c r="R800" s="9" t="n">
        <v>49.5</v>
      </c>
      <c r="S800" s="9" t="n">
        <v>24</v>
      </c>
      <c r="T800" s="9" t="n">
        <v>25</v>
      </c>
      <c r="U800" s="9">
        <f>Q800+R800+S800+T800</f>
        <v/>
      </c>
      <c r="V800" s="9">
        <f>IF(ISNUMBER(U800),U800,"")</f>
        <v/>
      </c>
      <c r="W800" s="9">
        <f>_xlfn.RANK.EQ(V800,$V$2:$V$1031)</f>
        <v/>
      </c>
      <c r="X800" s="13" t="n">
        <v>1569.5458333333</v>
      </c>
      <c r="Y800" s="13" t="n">
        <v>25</v>
      </c>
      <c r="Z800" s="13" t="n">
        <v>24</v>
      </c>
      <c r="AA800" s="13" t="n">
        <v>25</v>
      </c>
      <c r="AB800" s="13">
        <f>IF(ISNUMBER(X800),X800+N(Y800)+N(Z800)+N(AA800),X800)</f>
        <v/>
      </c>
      <c r="AC800" s="13">
        <f>IF(ISNUMBER(AB800),AB800,"")</f>
        <v/>
      </c>
      <c r="AD800" s="13">
        <f>IF(ISNUMBER(AC800),_xlfn.RANK.EQ(AC800,$AC$2:$AC$1031),"")</f>
        <v/>
      </c>
      <c r="AE800" s="15">
        <f>IF(ISNUMBER(AF800),AF800/3630,"")</f>
        <v/>
      </c>
      <c r="AF800" s="14">
        <f>IFERROR(C800+D800+E800+F800+J800+K800+L800+M800+Q800+R800+S800+T800+IF(ISNUMBER(X800),X800,0)+N(Y800)+N(Z800)+N(AA800),"")</f>
        <v/>
      </c>
      <c r="AG800" s="14">
        <f>IF(ISNUMBER(AF800),AF800,"")</f>
        <v/>
      </c>
      <c r="AH800" s="14">
        <f>IF(ISNUMBER(AG800),_xlfn.RANK.EQ(AG800,$AG$2:$AG$1031),"")</f>
        <v/>
      </c>
    </row>
    <row r="801">
      <c r="A801" s="18" t="n">
        <v>1927</v>
      </c>
      <c r="B801" s="18" t="inlineStr">
        <is>
          <t>مصطفى اشرف مصطفى علي العشري</t>
        </is>
      </c>
      <c r="C801" s="1" t="n">
        <v>500.2</v>
      </c>
      <c r="D801" s="1" t="n">
        <v>20</v>
      </c>
      <c r="E801" s="1" t="n">
        <v>22</v>
      </c>
      <c r="F801" s="1" t="n">
        <v>18</v>
      </c>
      <c r="G801" s="1">
        <f>C801+D801+E801+F801</f>
        <v/>
      </c>
      <c r="H801" s="1">
        <f>IF(ISNUMBER(G801),G801,"")</f>
        <v/>
      </c>
      <c r="I801" s="1">
        <f>_xlfn.RANK.EQ(H801,$H$2:$H$1031)</f>
        <v/>
      </c>
      <c r="J801" s="5" t="n">
        <v>568</v>
      </c>
      <c r="K801" s="5" t="n">
        <v>38</v>
      </c>
      <c r="L801" s="5" t="n">
        <v>23</v>
      </c>
      <c r="M801" s="5" t="n">
        <v>21</v>
      </c>
      <c r="N801" s="5">
        <f>J801+K801+L801+M801</f>
        <v/>
      </c>
      <c r="O801" s="5">
        <f>IF(ISNUMBER(N801),N801,"")</f>
        <v/>
      </c>
      <c r="P801" s="5">
        <f>_xlfn.RANK.EQ(O801,$O$2:$O$1031)</f>
        <v/>
      </c>
      <c r="Q801" s="9" t="n">
        <v>235.75</v>
      </c>
      <c r="R801" s="9" t="n">
        <v>42.5</v>
      </c>
      <c r="S801" s="9" t="n">
        <v>23</v>
      </c>
      <c r="T801" s="9" t="n">
        <v>23.5</v>
      </c>
      <c r="U801" s="9">
        <f>Q801+R801+S801+T801</f>
        <v/>
      </c>
      <c r="V801" s="9">
        <f>IF(ISNUMBER(U801),U801,"")</f>
        <v/>
      </c>
      <c r="W801" s="9">
        <f>_xlfn.RANK.EQ(V801,$V$2:$V$1031)</f>
        <v/>
      </c>
      <c r="X801" s="13" t="inlineStr">
        <is>
          <t>راسب</t>
        </is>
      </c>
      <c r="Y801" s="13" t="n">
        <v>22</v>
      </c>
      <c r="Z801" s="13" t="n">
        <v>21</v>
      </c>
      <c r="AA801" s="13" t="n">
        <v>22</v>
      </c>
      <c r="AB801" s="13">
        <f>IF(ISNUMBER(X801),X801+N(Y801)+N(Z801)+N(AA801),X801)</f>
        <v/>
      </c>
      <c r="AC801" s="13">
        <f>IF(ISNUMBER(AB801),AB801,"")</f>
        <v/>
      </c>
      <c r="AD801" s="13">
        <f>IF(ISNUMBER(AC801),_xlfn.RANK.EQ(AC801,$AC$2:$AC$1031),"")</f>
        <v/>
      </c>
      <c r="AE801" s="15">
        <f>IF(ISNUMBER(AF801),AF801/3630,"")</f>
        <v/>
      </c>
      <c r="AF801" s="14">
        <f>IFERROR(C801+D801+E801+F801+J801+K801+L801+M801+Q801+R801+S801+T801+IF(ISNUMBER(X801),X801,0)+N(Y801)+N(Z801)+N(AA801),"")</f>
        <v/>
      </c>
      <c r="AG801" s="14">
        <f>IF(ISNUMBER(AF801),AF801,"")</f>
        <v/>
      </c>
      <c r="AH801" s="14">
        <f>IF(ISNUMBER(AG801),_xlfn.RANK.EQ(AG801,$AG$2:$AG$1031),"")</f>
        <v/>
      </c>
    </row>
    <row r="802">
      <c r="A802" s="18" t="n">
        <v>1928</v>
      </c>
      <c r="B802" s="18" t="inlineStr">
        <is>
          <t>مصطفى ايهاب حيدر احمد</t>
        </is>
      </c>
      <c r="C802" s="1" t="n">
        <v>510.8</v>
      </c>
      <c r="D802" s="1" t="n">
        <v>22</v>
      </c>
      <c r="E802" s="1" t="n">
        <v>21</v>
      </c>
      <c r="F802" s="1" t="n">
        <v>21</v>
      </c>
      <c r="G802" s="1">
        <f>C802+D802+E802+F802</f>
        <v/>
      </c>
      <c r="H802" s="1">
        <f>IF(ISNUMBER(G802),G802,"")</f>
        <v/>
      </c>
      <c r="I802" s="1">
        <f>_xlfn.RANK.EQ(H802,$H$2:$H$1031)</f>
        <v/>
      </c>
      <c r="J802" s="5" t="n">
        <v>522</v>
      </c>
      <c r="K802" s="5" t="n">
        <v>32</v>
      </c>
      <c r="L802" s="5" t="n">
        <v>18</v>
      </c>
      <c r="M802" s="5" t="n">
        <v>16</v>
      </c>
      <c r="N802" s="5">
        <f>J802+K802+L802+M802</f>
        <v/>
      </c>
      <c r="O802" s="5">
        <f>IF(ISNUMBER(N802),N802,"")</f>
        <v/>
      </c>
      <c r="P802" s="5">
        <f>_xlfn.RANK.EQ(O802,$O$2:$O$1031)</f>
        <v/>
      </c>
      <c r="Q802" s="9" t="n">
        <v>176</v>
      </c>
      <c r="R802" s="9" t="n">
        <v>27.5</v>
      </c>
      <c r="S802" s="9" t="n">
        <v>20</v>
      </c>
      <c r="T802" s="9" t="n">
        <v>22</v>
      </c>
      <c r="U802" s="9">
        <f>Q802+R802+S802+T802</f>
        <v/>
      </c>
      <c r="V802" s="9">
        <f>IF(ISNUMBER(U802),U802,"")</f>
        <v/>
      </c>
      <c r="W802" s="9">
        <f>_xlfn.RANK.EQ(V802,$V$2:$V$1031)</f>
        <v/>
      </c>
      <c r="X802" s="13" t="n">
        <v>1212.2833333333</v>
      </c>
      <c r="Y802" s="13" t="n">
        <v>18</v>
      </c>
      <c r="Z802" s="13" t="n">
        <v>19</v>
      </c>
      <c r="AA802" s="13" t="n">
        <v>24</v>
      </c>
      <c r="AB802" s="13">
        <f>IF(ISNUMBER(X802),X802+N(Y802)+N(Z802)+N(AA802),X802)</f>
        <v/>
      </c>
      <c r="AC802" s="13">
        <f>IF(ISNUMBER(AB802),AB802,"")</f>
        <v/>
      </c>
      <c r="AD802" s="13">
        <f>IF(ISNUMBER(AC802),_xlfn.RANK.EQ(AC802,$AC$2:$AC$1031),"")</f>
        <v/>
      </c>
      <c r="AE802" s="15">
        <f>IF(ISNUMBER(AF802),AF802/3630,"")</f>
        <v/>
      </c>
      <c r="AF802" s="14">
        <f>IFERROR(C802+D802+E802+F802+J802+K802+L802+M802+Q802+R802+S802+T802+IF(ISNUMBER(X802),X802,0)+N(Y802)+N(Z802)+N(AA802),"")</f>
        <v/>
      </c>
      <c r="AG802" s="14">
        <f>IF(ISNUMBER(AF802),AF802,"")</f>
        <v/>
      </c>
      <c r="AH802" s="14">
        <f>IF(ISNUMBER(AG802),_xlfn.RANK.EQ(AG802,$AG$2:$AG$1031),"")</f>
        <v/>
      </c>
    </row>
    <row r="803">
      <c r="A803" s="18" t="n">
        <v>1929</v>
      </c>
      <c r="B803" s="18" t="inlineStr">
        <is>
          <t>مصطفى حسن محمد سليمان يوسف</t>
        </is>
      </c>
      <c r="C803" s="1" t="n">
        <v>482.4</v>
      </c>
      <c r="D803" s="1" t="n">
        <v>22</v>
      </c>
      <c r="E803" s="1" t="n">
        <v>21</v>
      </c>
      <c r="F803" s="1" t="n">
        <v>21</v>
      </c>
      <c r="G803" s="1">
        <f>C803+D803+E803+F803</f>
        <v/>
      </c>
      <c r="H803" s="1">
        <f>IF(ISNUMBER(G803),G803,"")</f>
        <v/>
      </c>
      <c r="I803" s="1">
        <f>_xlfn.RANK.EQ(H803,$H$2:$H$1031)</f>
        <v/>
      </c>
      <c r="J803" s="5" t="n">
        <v>435.5</v>
      </c>
      <c r="K803" s="5" t="n">
        <v>46</v>
      </c>
      <c r="L803" s="5" t="n">
        <v>24</v>
      </c>
      <c r="M803" s="5" t="n">
        <v>23</v>
      </c>
      <c r="N803" s="5">
        <f>J803+K803+L803+M803</f>
        <v/>
      </c>
      <c r="O803" s="5">
        <f>IF(ISNUMBER(N803),N803,"")</f>
        <v/>
      </c>
      <c r="P803" s="5">
        <f>_xlfn.RANK.EQ(O803,$O$2:$O$1031)</f>
        <v/>
      </c>
      <c r="Q803" s="9" t="n">
        <v>221.5</v>
      </c>
      <c r="R803" s="9" t="n">
        <v>46.5</v>
      </c>
      <c r="S803" s="9" t="n">
        <v>21</v>
      </c>
      <c r="T803" s="9" t="n">
        <v>23</v>
      </c>
      <c r="U803" s="9">
        <f>Q803+R803+S803+T803</f>
        <v/>
      </c>
      <c r="V803" s="9">
        <f>IF(ISNUMBER(U803),U803,"")</f>
        <v/>
      </c>
      <c r="W803" s="9">
        <f>_xlfn.RANK.EQ(V803,$V$2:$V$1031)</f>
        <v/>
      </c>
      <c r="X803" s="13" t="n">
        <v>1512.425</v>
      </c>
      <c r="Y803" s="13" t="n">
        <v>22</v>
      </c>
      <c r="Z803" s="13" t="n">
        <v>23</v>
      </c>
      <c r="AA803" s="13" t="n">
        <v>25</v>
      </c>
      <c r="AB803" s="13">
        <f>IF(ISNUMBER(X803),X803+N(Y803)+N(Z803)+N(AA803),X803)</f>
        <v/>
      </c>
      <c r="AC803" s="13">
        <f>IF(ISNUMBER(AB803),AB803,"")</f>
        <v/>
      </c>
      <c r="AD803" s="13">
        <f>IF(ISNUMBER(AC803),_xlfn.RANK.EQ(AC803,$AC$2:$AC$1031),"")</f>
        <v/>
      </c>
      <c r="AE803" s="15">
        <f>IF(ISNUMBER(AF803),AF803/3630,"")</f>
        <v/>
      </c>
      <c r="AF803" s="14">
        <f>IFERROR(C803+D803+E803+F803+J803+K803+L803+M803+Q803+R803+S803+T803+IF(ISNUMBER(X803),X803,0)+N(Y803)+N(Z803)+N(AA803),"")</f>
        <v/>
      </c>
      <c r="AG803" s="14">
        <f>IF(ISNUMBER(AF803),AF803,"")</f>
        <v/>
      </c>
      <c r="AH803" s="14">
        <f>IF(ISNUMBER(AG803),_xlfn.RANK.EQ(AG803,$AG$2:$AG$1031),"")</f>
        <v/>
      </c>
    </row>
    <row r="804">
      <c r="A804" s="18" t="n">
        <v>1932</v>
      </c>
      <c r="B804" s="18" t="inlineStr">
        <is>
          <t>مصطفى مجدي السيد عبد المقصود</t>
        </is>
      </c>
      <c r="C804" s="1" t="n">
        <v>602.2</v>
      </c>
      <c r="D804" s="1" t="n"/>
      <c r="E804" s="1" t="n">
        <v>22</v>
      </c>
      <c r="F804" s="1" t="n">
        <v>22</v>
      </c>
      <c r="G804" s="1">
        <f>C804+D804+E804+F804</f>
        <v/>
      </c>
      <c r="H804" s="1">
        <f>IF(ISNUMBER(G804),G804,"")</f>
        <v/>
      </c>
      <c r="I804" s="1">
        <f>_xlfn.RANK.EQ(H804,$H$2:$H$1031)</f>
        <v/>
      </c>
      <c r="J804" s="5" t="n">
        <v>591</v>
      </c>
      <c r="K804" s="5" t="n">
        <v>47</v>
      </c>
      <c r="L804" s="5" t="n">
        <v>19</v>
      </c>
      <c r="M804" s="5" t="n">
        <v>24</v>
      </c>
      <c r="N804" s="5">
        <f>J804+K804+L804+M804</f>
        <v/>
      </c>
      <c r="O804" s="5">
        <f>IF(ISNUMBER(N804),N804,"")</f>
        <v/>
      </c>
      <c r="P804" s="5">
        <f>_xlfn.RANK.EQ(O804,$O$2:$O$1031)</f>
        <v/>
      </c>
      <c r="Q804" s="9" t="n">
        <v>240.75</v>
      </c>
      <c r="R804" s="9" t="n">
        <v>44.5</v>
      </c>
      <c r="S804" s="9" t="n">
        <v>25</v>
      </c>
      <c r="T804" s="9" t="n">
        <v>22.5</v>
      </c>
      <c r="U804" s="9">
        <f>Q804+R804+S804+T804</f>
        <v/>
      </c>
      <c r="V804" s="9">
        <f>IF(ISNUMBER(U804),U804,"")</f>
        <v/>
      </c>
      <c r="W804" s="9">
        <f>_xlfn.RANK.EQ(V804,$V$2:$V$1031)</f>
        <v/>
      </c>
      <c r="X804" s="13" t="n">
        <v>1369.225</v>
      </c>
      <c r="Y804" s="13" t="n">
        <v>21</v>
      </c>
      <c r="Z804" s="13" t="n">
        <v>20</v>
      </c>
      <c r="AA804" s="13" t="n"/>
      <c r="AB804" s="13">
        <f>IF(ISNUMBER(X804),X804+N(Y804)+N(Z804)+N(AA804),X804)</f>
        <v/>
      </c>
      <c r="AC804" s="13">
        <f>IF(ISNUMBER(AB804),AB804,"")</f>
        <v/>
      </c>
      <c r="AD804" s="13">
        <f>IF(ISNUMBER(AC804),_xlfn.RANK.EQ(AC804,$AC$2:$AC$1031),"")</f>
        <v/>
      </c>
      <c r="AE804" s="15">
        <f>IF(ISNUMBER(AF804),AF804/3630,"")</f>
        <v/>
      </c>
      <c r="AF804" s="14">
        <f>IFERROR(C804+D804+E804+F804+J804+K804+L804+M804+Q804+R804+S804+T804+IF(ISNUMBER(X804),X804,0)+N(Y804)+N(Z804)+N(AA804),"")</f>
        <v/>
      </c>
      <c r="AG804" s="14">
        <f>IF(ISNUMBER(AF804),AF804,"")</f>
        <v/>
      </c>
      <c r="AH804" s="14">
        <f>IF(ISNUMBER(AG804),_xlfn.RANK.EQ(AG804,$AG$2:$AG$1031),"")</f>
        <v/>
      </c>
    </row>
    <row r="805">
      <c r="A805" s="18" t="n">
        <v>1933</v>
      </c>
      <c r="B805" s="18" t="inlineStr">
        <is>
          <t>مصطفى محمد  عبدالحكيم  محمد</t>
        </is>
      </c>
      <c r="C805" s="1" t="n">
        <v>590.1</v>
      </c>
      <c r="D805" s="1" t="n">
        <v>23</v>
      </c>
      <c r="E805" s="1" t="n">
        <v>23</v>
      </c>
      <c r="F805" s="1" t="n">
        <v>21</v>
      </c>
      <c r="G805" s="1">
        <f>C805+D805+E805+F805</f>
        <v/>
      </c>
      <c r="H805" s="1">
        <f>IF(ISNUMBER(G805),G805,"")</f>
        <v/>
      </c>
      <c r="I805" s="1">
        <f>_xlfn.RANK.EQ(H805,$H$2:$H$1031)</f>
        <v/>
      </c>
      <c r="J805" s="5" t="n">
        <v>603</v>
      </c>
      <c r="K805" s="5" t="n">
        <v>48</v>
      </c>
      <c r="L805" s="5" t="n">
        <v>23</v>
      </c>
      <c r="M805" s="5" t="n">
        <v>23</v>
      </c>
      <c r="N805" s="5">
        <f>J805+K805+L805+M805</f>
        <v/>
      </c>
      <c r="O805" s="5">
        <f>IF(ISNUMBER(N805),N805,"")</f>
        <v/>
      </c>
      <c r="P805" s="5">
        <f>_xlfn.RANK.EQ(O805,$O$2:$O$1031)</f>
        <v/>
      </c>
      <c r="Q805" s="9" t="n">
        <v>217.5</v>
      </c>
      <c r="R805" s="9" t="n">
        <v>44.5</v>
      </c>
      <c r="S805" s="9" t="n">
        <v>23</v>
      </c>
      <c r="T805" s="9" t="n">
        <v>23.5</v>
      </c>
      <c r="U805" s="9">
        <f>Q805+R805+S805+T805</f>
        <v/>
      </c>
      <c r="V805" s="9">
        <f>IF(ISNUMBER(U805),U805,"")</f>
        <v/>
      </c>
      <c r="W805" s="9">
        <f>_xlfn.RANK.EQ(V805,$V$2:$V$1031)</f>
        <v/>
      </c>
      <c r="X805" s="13" t="n">
        <v>1451.5958333333</v>
      </c>
      <c r="Y805" s="13" t="n">
        <v>24</v>
      </c>
      <c r="Z805" s="13" t="n">
        <v>21</v>
      </c>
      <c r="AA805" s="13" t="n">
        <v>21</v>
      </c>
      <c r="AB805" s="13">
        <f>IF(ISNUMBER(X805),X805+N(Y805)+N(Z805)+N(AA805),X805)</f>
        <v/>
      </c>
      <c r="AC805" s="13">
        <f>IF(ISNUMBER(AB805),AB805,"")</f>
        <v/>
      </c>
      <c r="AD805" s="13">
        <f>IF(ISNUMBER(AC805),_xlfn.RANK.EQ(AC805,$AC$2:$AC$1031),"")</f>
        <v/>
      </c>
      <c r="AE805" s="15">
        <f>IF(ISNUMBER(AF805),AF805/3630,"")</f>
        <v/>
      </c>
      <c r="AF805" s="14">
        <f>IFERROR(C805+D805+E805+F805+J805+K805+L805+M805+Q805+R805+S805+T805+IF(ISNUMBER(X805),X805,0)+N(Y805)+N(Z805)+N(AA805),"")</f>
        <v/>
      </c>
      <c r="AG805" s="14">
        <f>IF(ISNUMBER(AF805),AF805,"")</f>
        <v/>
      </c>
      <c r="AH805" s="14">
        <f>IF(ISNUMBER(AG805),_xlfn.RANK.EQ(AG805,$AG$2:$AG$1031),"")</f>
        <v/>
      </c>
    </row>
    <row r="806">
      <c r="A806" s="18" t="n">
        <v>1934</v>
      </c>
      <c r="B806" s="18" t="inlineStr">
        <is>
          <t>مصطفى محمد احمد محمد احمد</t>
        </is>
      </c>
      <c r="C806" s="1" t="n">
        <v>424</v>
      </c>
      <c r="D806" s="1" t="n">
        <v>22</v>
      </c>
      <c r="E806" s="1" t="n">
        <v>22</v>
      </c>
      <c r="F806" s="1" t="n">
        <v>20</v>
      </c>
      <c r="G806" s="1">
        <f>C806+D806+E806+F806</f>
        <v/>
      </c>
      <c r="H806" s="1">
        <f>IF(ISNUMBER(G806),G806,"")</f>
        <v/>
      </c>
      <c r="I806" s="1">
        <f>_xlfn.RANK.EQ(H806,$H$2:$H$1031)</f>
        <v/>
      </c>
      <c r="J806" s="5" t="n">
        <v>409</v>
      </c>
      <c r="K806" s="5" t="n">
        <v>41</v>
      </c>
      <c r="L806" s="5" t="n">
        <v>19</v>
      </c>
      <c r="M806" s="5" t="n">
        <v>21</v>
      </c>
      <c r="N806" s="5">
        <f>J806+K806+L806+M806</f>
        <v/>
      </c>
      <c r="O806" s="5">
        <f>IF(ISNUMBER(N806),N806,"")</f>
        <v/>
      </c>
      <c r="P806" s="5">
        <f>_xlfn.RANK.EQ(O806,$O$2:$O$1031)</f>
        <v/>
      </c>
      <c r="Q806" s="9" t="n">
        <v>195.5</v>
      </c>
      <c r="R806" s="9" t="n">
        <v>40.5</v>
      </c>
      <c r="S806" s="9" t="n">
        <v>22</v>
      </c>
      <c r="T806" s="9" t="n">
        <v>22.5</v>
      </c>
      <c r="U806" s="9">
        <f>Q806+R806+S806+T806</f>
        <v/>
      </c>
      <c r="V806" s="9">
        <f>IF(ISNUMBER(U806),U806,"")</f>
        <v/>
      </c>
      <c r="W806" s="9">
        <f>_xlfn.RANK.EQ(V806,$V$2:$V$1031)</f>
        <v/>
      </c>
      <c r="X806" s="13" t="n">
        <v>1172.2875</v>
      </c>
      <c r="Y806" s="13" t="n">
        <v>25</v>
      </c>
      <c r="Z806" s="13" t="n">
        <v>21</v>
      </c>
      <c r="AA806" s="13" t="n">
        <v>24</v>
      </c>
      <c r="AB806" s="13">
        <f>IF(ISNUMBER(X806),X806+N(Y806)+N(Z806)+N(AA806),X806)</f>
        <v/>
      </c>
      <c r="AC806" s="13">
        <f>IF(ISNUMBER(AB806),AB806,"")</f>
        <v/>
      </c>
      <c r="AD806" s="13">
        <f>IF(ISNUMBER(AC806),_xlfn.RANK.EQ(AC806,$AC$2:$AC$1031),"")</f>
        <v/>
      </c>
      <c r="AE806" s="15">
        <f>IF(ISNUMBER(AF806),AF806/3630,"")</f>
        <v/>
      </c>
      <c r="AF806" s="14">
        <f>IFERROR(C806+D806+E806+F806+J806+K806+L806+M806+Q806+R806+S806+T806+IF(ISNUMBER(X806),X806,0)+N(Y806)+N(Z806)+N(AA806),"")</f>
        <v/>
      </c>
      <c r="AG806" s="14">
        <f>IF(ISNUMBER(AF806),AF806,"")</f>
        <v/>
      </c>
      <c r="AH806" s="14">
        <f>IF(ISNUMBER(AG806),_xlfn.RANK.EQ(AG806,$AG$2:$AG$1031),"")</f>
        <v/>
      </c>
    </row>
    <row r="807">
      <c r="A807" s="18" t="n">
        <v>1936</v>
      </c>
      <c r="B807" s="18" t="inlineStr">
        <is>
          <t>مصطفى محمد عبداللطيف محمود عشرة</t>
        </is>
      </c>
      <c r="C807" s="1" t="n">
        <v>634.6</v>
      </c>
      <c r="D807" s="1" t="n">
        <v>23</v>
      </c>
      <c r="E807" s="1" t="n">
        <v>25</v>
      </c>
      <c r="F807" s="1" t="n">
        <v>23</v>
      </c>
      <c r="G807" s="1">
        <f>C807+D807+E807+F807</f>
        <v/>
      </c>
      <c r="H807" s="1">
        <f>IF(ISNUMBER(G807),G807,"")</f>
        <v/>
      </c>
      <c r="I807" s="1">
        <f>_xlfn.RANK.EQ(H807,$H$2:$H$1031)</f>
        <v/>
      </c>
      <c r="J807" s="5" t="n">
        <v>599.5</v>
      </c>
      <c r="K807" s="5" t="n">
        <v>49</v>
      </c>
      <c r="L807" s="5" t="n">
        <v>20</v>
      </c>
      <c r="M807" s="5" t="n">
        <v>22</v>
      </c>
      <c r="N807" s="5">
        <f>J807+K807+L807+M807</f>
        <v/>
      </c>
      <c r="O807" s="5">
        <f>IF(ISNUMBER(N807),N807,"")</f>
        <v/>
      </c>
      <c r="P807" s="5">
        <f>_xlfn.RANK.EQ(O807,$O$2:$O$1031)</f>
        <v/>
      </c>
      <c r="Q807" s="9" t="n">
        <v>235</v>
      </c>
      <c r="R807" s="9" t="n">
        <v>46.5</v>
      </c>
      <c r="S807" s="9" t="n">
        <v>25</v>
      </c>
      <c r="T807" s="9" t="n">
        <v>24.5</v>
      </c>
      <c r="U807" s="9">
        <f>Q807+R807+S807+T807</f>
        <v/>
      </c>
      <c r="V807" s="9">
        <f>IF(ISNUMBER(U807),U807,"")</f>
        <v/>
      </c>
      <c r="W807" s="9">
        <f>_xlfn.RANK.EQ(V807,$V$2:$V$1031)</f>
        <v/>
      </c>
      <c r="X807" s="13" t="n">
        <v>1291.1583333333</v>
      </c>
      <c r="Y807" s="13" t="n">
        <v>25</v>
      </c>
      <c r="Z807" s="13" t="n">
        <v>21</v>
      </c>
      <c r="AA807" s="13" t="n">
        <v>24</v>
      </c>
      <c r="AB807" s="13">
        <f>IF(ISNUMBER(X807),X807+N(Y807)+N(Z807)+N(AA807),X807)</f>
        <v/>
      </c>
      <c r="AC807" s="13">
        <f>IF(ISNUMBER(AB807),AB807,"")</f>
        <v/>
      </c>
      <c r="AD807" s="13">
        <f>IF(ISNUMBER(AC807),_xlfn.RANK.EQ(AC807,$AC$2:$AC$1031),"")</f>
        <v/>
      </c>
      <c r="AE807" s="15">
        <f>IF(ISNUMBER(AF807),AF807/3630,"")</f>
        <v/>
      </c>
      <c r="AF807" s="14">
        <f>IFERROR(C807+D807+E807+F807+J807+K807+L807+M807+Q807+R807+S807+T807+IF(ISNUMBER(X807),X807,0)+N(Y807)+N(Z807)+N(AA807),"")</f>
        <v/>
      </c>
      <c r="AG807" s="14">
        <f>IF(ISNUMBER(AF807),AF807,"")</f>
        <v/>
      </c>
      <c r="AH807" s="14">
        <f>IF(ISNUMBER(AG807),_xlfn.RANK.EQ(AG807,$AG$2:$AG$1031),"")</f>
        <v/>
      </c>
    </row>
    <row r="808">
      <c r="A808" s="18" t="n">
        <v>1937</v>
      </c>
      <c r="B808" s="18" t="inlineStr">
        <is>
          <t>مصطفى محمد فتحي زرد</t>
        </is>
      </c>
      <c r="C808" s="1" t="n">
        <v>526.9</v>
      </c>
      <c r="D808" s="1" t="n">
        <v>23</v>
      </c>
      <c r="E808" s="1" t="n">
        <v>23</v>
      </c>
      <c r="F808" s="1" t="n">
        <v>19</v>
      </c>
      <c r="G808" s="1">
        <f>C808+D808+E808+F808</f>
        <v/>
      </c>
      <c r="H808" s="1">
        <f>IF(ISNUMBER(G808),G808,"")</f>
        <v/>
      </c>
      <c r="I808" s="1">
        <f>_xlfn.RANK.EQ(H808,$H$2:$H$1031)</f>
        <v/>
      </c>
      <c r="J808" s="5" t="n">
        <v>539.5</v>
      </c>
      <c r="K808" s="5" t="n">
        <v>44</v>
      </c>
      <c r="L808" s="5" t="n">
        <v>18</v>
      </c>
      <c r="M808" s="5" t="n">
        <v>23</v>
      </c>
      <c r="N808" s="5">
        <f>J808+K808+L808+M808</f>
        <v/>
      </c>
      <c r="O808" s="5">
        <f>IF(ISNUMBER(N808),N808,"")</f>
        <v/>
      </c>
      <c r="P808" s="5">
        <f>_xlfn.RANK.EQ(O808,$O$2:$O$1031)</f>
        <v/>
      </c>
      <c r="Q808" s="9" t="n">
        <v>244.75</v>
      </c>
      <c r="R808" s="9" t="n">
        <v>46.5</v>
      </c>
      <c r="S808" s="9" t="n">
        <v>23</v>
      </c>
      <c r="T808" s="9" t="n">
        <v>24.5</v>
      </c>
      <c r="U808" s="9">
        <f>Q808+R808+S808+T808</f>
        <v/>
      </c>
      <c r="V808" s="9">
        <f>IF(ISNUMBER(U808),U808,"")</f>
        <v/>
      </c>
      <c r="W808" s="9">
        <f>_xlfn.RANK.EQ(V808,$V$2:$V$1031)</f>
        <v/>
      </c>
      <c r="X808" s="13" t="n">
        <v>1317.9625</v>
      </c>
      <c r="Y808" s="13" t="n">
        <v>22</v>
      </c>
      <c r="Z808" s="13" t="n">
        <v>22</v>
      </c>
      <c r="AA808" s="13" t="n">
        <v>23</v>
      </c>
      <c r="AB808" s="13">
        <f>IF(ISNUMBER(X808),X808+N(Y808)+N(Z808)+N(AA808),X808)</f>
        <v/>
      </c>
      <c r="AC808" s="13">
        <f>IF(ISNUMBER(AB808),AB808,"")</f>
        <v/>
      </c>
      <c r="AD808" s="13">
        <f>IF(ISNUMBER(AC808),_xlfn.RANK.EQ(AC808,$AC$2:$AC$1031),"")</f>
        <v/>
      </c>
      <c r="AE808" s="15">
        <f>IF(ISNUMBER(AF808),AF808/3630,"")</f>
        <v/>
      </c>
      <c r="AF808" s="14">
        <f>IFERROR(C808+D808+E808+F808+J808+K808+L808+M808+Q808+R808+S808+T808+IF(ISNUMBER(X808),X808,0)+N(Y808)+N(Z808)+N(AA808),"")</f>
        <v/>
      </c>
      <c r="AG808" s="14">
        <f>IF(ISNUMBER(AF808),AF808,"")</f>
        <v/>
      </c>
      <c r="AH808" s="14">
        <f>IF(ISNUMBER(AG808),_xlfn.RANK.EQ(AG808,$AG$2:$AG$1031),"")</f>
        <v/>
      </c>
    </row>
    <row r="809">
      <c r="A809" s="18" t="n">
        <v>1939</v>
      </c>
      <c r="B809" s="18" t="inlineStr">
        <is>
          <t>مصطفى هشام محمد على منيسى</t>
        </is>
      </c>
      <c r="C809" s="1" t="n">
        <v>631.3</v>
      </c>
      <c r="D809" s="1" t="n">
        <v>23</v>
      </c>
      <c r="E809" s="1" t="n">
        <v>23</v>
      </c>
      <c r="F809" s="1" t="n">
        <v>20</v>
      </c>
      <c r="G809" s="1">
        <f>C809+D809+E809+F809</f>
        <v/>
      </c>
      <c r="H809" s="1">
        <f>IF(ISNUMBER(G809),G809,"")</f>
        <v/>
      </c>
      <c r="I809" s="1">
        <f>_xlfn.RANK.EQ(H809,$H$2:$H$1031)</f>
        <v/>
      </c>
      <c r="J809" s="5" t="n">
        <v>628</v>
      </c>
      <c r="K809" s="5" t="n">
        <v>49</v>
      </c>
      <c r="L809" s="5" t="n">
        <v>23</v>
      </c>
      <c r="M809" s="5" t="n">
        <v>22</v>
      </c>
      <c r="N809" s="5">
        <f>J809+K809+L809+M809</f>
        <v/>
      </c>
      <c r="O809" s="5">
        <f>IF(ISNUMBER(N809),N809,"")</f>
        <v/>
      </c>
      <c r="P809" s="5">
        <f>_xlfn.RANK.EQ(O809,$O$2:$O$1031)</f>
        <v/>
      </c>
      <c r="Q809" s="9" t="n">
        <v>281</v>
      </c>
      <c r="R809" s="9" t="n">
        <v>43</v>
      </c>
      <c r="S809" s="9" t="n">
        <v>23</v>
      </c>
      <c r="T809" s="9" t="n">
        <v>16</v>
      </c>
      <c r="U809" s="9">
        <f>Q809+R809+S809+T809</f>
        <v/>
      </c>
      <c r="V809" s="9">
        <f>IF(ISNUMBER(U809),U809,"")</f>
        <v/>
      </c>
      <c r="W809" s="9">
        <f>_xlfn.RANK.EQ(V809,$V$2:$V$1031)</f>
        <v/>
      </c>
      <c r="X809" s="13" t="n">
        <v>1461.5875</v>
      </c>
      <c r="Y809" s="13" t="n">
        <v>19</v>
      </c>
      <c r="Z809" s="13" t="n">
        <v>18</v>
      </c>
      <c r="AA809" s="13" t="n">
        <v>16</v>
      </c>
      <c r="AB809" s="13">
        <f>IF(ISNUMBER(X809),X809+N(Y809)+N(Z809)+N(AA809),X809)</f>
        <v/>
      </c>
      <c r="AC809" s="13">
        <f>IF(ISNUMBER(AB809),AB809,"")</f>
        <v/>
      </c>
      <c r="AD809" s="13">
        <f>IF(ISNUMBER(AC809),_xlfn.RANK.EQ(AC809,$AC$2:$AC$1031),"")</f>
        <v/>
      </c>
      <c r="AE809" s="15">
        <f>IF(ISNUMBER(AF809),AF809/3630,"")</f>
        <v/>
      </c>
      <c r="AF809" s="14">
        <f>IFERROR(C809+D809+E809+F809+J809+K809+L809+M809+Q809+R809+S809+T809+IF(ISNUMBER(X809),X809,0)+N(Y809)+N(Z809)+N(AA809),"")</f>
        <v/>
      </c>
      <c r="AG809" s="14">
        <f>IF(ISNUMBER(AF809),AF809,"")</f>
        <v/>
      </c>
      <c r="AH809" s="14">
        <f>IF(ISNUMBER(AG809),_xlfn.RANK.EQ(AG809,$AG$2:$AG$1031),"")</f>
        <v/>
      </c>
    </row>
    <row r="810">
      <c r="A810" s="18" t="n">
        <v>1943</v>
      </c>
      <c r="B810" s="18" t="inlineStr">
        <is>
          <t>معاذ احمد سليم يوسف كوزو</t>
        </is>
      </c>
      <c r="C810" s="1" t="n">
        <v>597.1</v>
      </c>
      <c r="D810" s="1" t="n">
        <v>25</v>
      </c>
      <c r="E810" s="1" t="n">
        <v>23</v>
      </c>
      <c r="F810" s="1" t="n">
        <v>24</v>
      </c>
      <c r="G810" s="1">
        <f>C810+D810+E810+F810</f>
        <v/>
      </c>
      <c r="H810" s="1">
        <f>IF(ISNUMBER(G810),G810,"")</f>
        <v/>
      </c>
      <c r="I810" s="1">
        <f>_xlfn.RANK.EQ(H810,$H$2:$H$1031)</f>
        <v/>
      </c>
      <c r="J810" s="5" t="n">
        <v>612</v>
      </c>
      <c r="K810" s="5" t="n">
        <v>47</v>
      </c>
      <c r="L810" s="5" t="n">
        <v>24</v>
      </c>
      <c r="M810" s="5" t="n">
        <v>24</v>
      </c>
      <c r="N810" s="5">
        <f>J810+K810+L810+M810</f>
        <v/>
      </c>
      <c r="O810" s="5">
        <f>IF(ISNUMBER(N810),N810,"")</f>
        <v/>
      </c>
      <c r="P810" s="5">
        <f>_xlfn.RANK.EQ(O810,$O$2:$O$1031)</f>
        <v/>
      </c>
      <c r="Q810" s="9" t="n">
        <v>252.75</v>
      </c>
      <c r="R810" s="9" t="n">
        <v>47</v>
      </c>
      <c r="S810" s="9" t="n">
        <v>24</v>
      </c>
      <c r="T810" s="9" t="n">
        <v>23.5</v>
      </c>
      <c r="U810" s="9">
        <f>Q810+R810+S810+T810</f>
        <v/>
      </c>
      <c r="V810" s="9">
        <f>IF(ISNUMBER(U810),U810,"")</f>
        <v/>
      </c>
      <c r="W810" s="9">
        <f>_xlfn.RANK.EQ(V810,$V$2:$V$1031)</f>
        <v/>
      </c>
      <c r="X810" s="13" t="n">
        <v>1419.875</v>
      </c>
      <c r="Y810" s="13" t="n">
        <v>25</v>
      </c>
      <c r="Z810" s="13" t="n">
        <v>24</v>
      </c>
      <c r="AA810" s="13" t="n">
        <v>23</v>
      </c>
      <c r="AB810" s="13">
        <f>IF(ISNUMBER(X810),X810+N(Y810)+N(Z810)+N(AA810),X810)</f>
        <v/>
      </c>
      <c r="AC810" s="13">
        <f>IF(ISNUMBER(AB810),AB810,"")</f>
        <v/>
      </c>
      <c r="AD810" s="13">
        <f>IF(ISNUMBER(AC810),_xlfn.RANK.EQ(AC810,$AC$2:$AC$1031),"")</f>
        <v/>
      </c>
      <c r="AE810" s="15">
        <f>IF(ISNUMBER(AF810),AF810/3630,"")</f>
        <v/>
      </c>
      <c r="AF810" s="14">
        <f>IFERROR(C810+D810+E810+F810+J810+K810+L810+M810+Q810+R810+S810+T810+IF(ISNUMBER(X810),X810,0)+N(Y810)+N(Z810)+N(AA810),"")</f>
        <v/>
      </c>
      <c r="AG810" s="14">
        <f>IF(ISNUMBER(AF810),AF810,"")</f>
        <v/>
      </c>
      <c r="AH810" s="14">
        <f>IF(ISNUMBER(AG810),_xlfn.RANK.EQ(AG810,$AG$2:$AG$1031),"")</f>
        <v/>
      </c>
    </row>
    <row r="811">
      <c r="A811" s="18" t="n">
        <v>1946</v>
      </c>
      <c r="B811" s="18" t="inlineStr">
        <is>
          <t>معاذ مصطفي محمود علي</t>
        </is>
      </c>
      <c r="C811" s="1" t="n">
        <v>645.9</v>
      </c>
      <c r="D811" s="1" t="n">
        <v>25</v>
      </c>
      <c r="E811" s="1" t="n">
        <v>25</v>
      </c>
      <c r="F811" s="1" t="n">
        <v>23</v>
      </c>
      <c r="G811" s="1">
        <f>C811+D811+E811+F811</f>
        <v/>
      </c>
      <c r="H811" s="1">
        <f>IF(ISNUMBER(G811),G811,"")</f>
        <v/>
      </c>
      <c r="I811" s="1">
        <f>_xlfn.RANK.EQ(H811,$H$2:$H$1031)</f>
        <v/>
      </c>
      <c r="J811" s="5" t="n">
        <v>626.5</v>
      </c>
      <c r="K811" s="5" t="n">
        <v>48</v>
      </c>
      <c r="L811" s="5" t="n">
        <v>22</v>
      </c>
      <c r="M811" s="5" t="n">
        <v>24</v>
      </c>
      <c r="N811" s="5">
        <f>J811+K811+L811+M811</f>
        <v/>
      </c>
      <c r="O811" s="5">
        <f>IF(ISNUMBER(N811),N811,"")</f>
        <v/>
      </c>
      <c r="P811" s="5">
        <f>_xlfn.RANK.EQ(O811,$O$2:$O$1031)</f>
        <v/>
      </c>
      <c r="Q811" s="9" t="n">
        <v>264</v>
      </c>
      <c r="R811" s="9" t="n">
        <v>47.5</v>
      </c>
      <c r="S811" s="9" t="n">
        <v>23</v>
      </c>
      <c r="T811" s="9" t="n">
        <v>23.5</v>
      </c>
      <c r="U811" s="9">
        <f>Q811+R811+S811+T811</f>
        <v/>
      </c>
      <c r="V811" s="9">
        <f>IF(ISNUMBER(U811),U811,"")</f>
        <v/>
      </c>
      <c r="W811" s="9">
        <f>_xlfn.RANK.EQ(V811,$V$2:$V$1031)</f>
        <v/>
      </c>
      <c r="X811" s="13" t="n">
        <v>1481.8541666667</v>
      </c>
      <c r="Y811" s="13" t="n">
        <v>25</v>
      </c>
      <c r="Z811" s="13" t="n">
        <v>24</v>
      </c>
      <c r="AA811" s="13" t="n">
        <v>23</v>
      </c>
      <c r="AB811" s="13">
        <f>IF(ISNUMBER(X811),X811+N(Y811)+N(Z811)+N(AA811),X811)</f>
        <v/>
      </c>
      <c r="AC811" s="13">
        <f>IF(ISNUMBER(AB811),AB811,"")</f>
        <v/>
      </c>
      <c r="AD811" s="13">
        <f>IF(ISNUMBER(AC811),_xlfn.RANK.EQ(AC811,$AC$2:$AC$1031),"")</f>
        <v/>
      </c>
      <c r="AE811" s="15">
        <f>IF(ISNUMBER(AF811),AF811/3630,"")</f>
        <v/>
      </c>
      <c r="AF811" s="14">
        <f>IFERROR(C811+D811+E811+F811+J811+K811+L811+M811+Q811+R811+S811+T811+IF(ISNUMBER(X811),X811,0)+N(Y811)+N(Z811)+N(AA811),"")</f>
        <v/>
      </c>
      <c r="AG811" s="14">
        <f>IF(ISNUMBER(AF811),AF811,"")</f>
        <v/>
      </c>
      <c r="AH811" s="14">
        <f>IF(ISNUMBER(AG811),_xlfn.RANK.EQ(AG811,$AG$2:$AG$1031),"")</f>
        <v/>
      </c>
    </row>
    <row r="812">
      <c r="A812" s="18" t="n">
        <v>1947</v>
      </c>
      <c r="B812" s="18" t="inlineStr">
        <is>
          <t>معاذ منير محمد مصطفى مصطفى ضبش</t>
        </is>
      </c>
      <c r="C812" s="1" t="n">
        <v>549.4</v>
      </c>
      <c r="D812" s="1" t="n">
        <v>23</v>
      </c>
      <c r="E812" s="1" t="n">
        <v>23</v>
      </c>
      <c r="F812" s="1" t="n">
        <v>20</v>
      </c>
      <c r="G812" s="1">
        <f>C812+D812+E812+F812</f>
        <v/>
      </c>
      <c r="H812" s="1">
        <f>IF(ISNUMBER(G812),G812,"")</f>
        <v/>
      </c>
      <c r="I812" s="1">
        <f>_xlfn.RANK.EQ(H812,$H$2:$H$1031)</f>
        <v/>
      </c>
      <c r="J812" s="5" t="n">
        <v>567</v>
      </c>
      <c r="K812" s="5" t="n">
        <v>41</v>
      </c>
      <c r="L812" s="5" t="n">
        <v>20</v>
      </c>
      <c r="M812" s="5" t="n">
        <v>19</v>
      </c>
      <c r="N812" s="5">
        <f>J812+K812+L812+M812</f>
        <v/>
      </c>
      <c r="O812" s="5">
        <f>IF(ISNUMBER(N812),N812,"")</f>
        <v/>
      </c>
      <c r="P812" s="5">
        <f>_xlfn.RANK.EQ(O812,$O$2:$O$1031)</f>
        <v/>
      </c>
      <c r="Q812" s="9" t="n">
        <v>236.75</v>
      </c>
      <c r="R812" s="9" t="n">
        <v>44</v>
      </c>
      <c r="S812" s="9" t="n">
        <v>24</v>
      </c>
      <c r="T812" s="9" t="n">
        <v>22.5</v>
      </c>
      <c r="U812" s="9">
        <f>Q812+R812+S812+T812</f>
        <v/>
      </c>
      <c r="V812" s="9">
        <f>IF(ISNUMBER(U812),U812,"")</f>
        <v/>
      </c>
      <c r="W812" s="9">
        <f>_xlfn.RANK.EQ(V812,$V$2:$V$1031)</f>
        <v/>
      </c>
      <c r="X812" s="13" t="n">
        <v>1353.1416666667</v>
      </c>
      <c r="Y812" s="13" t="n">
        <v>25</v>
      </c>
      <c r="Z812" s="13" t="n">
        <v>24</v>
      </c>
      <c r="AA812" s="13" t="n">
        <v>25</v>
      </c>
      <c r="AB812" s="13">
        <f>IF(ISNUMBER(X812),X812+N(Y812)+N(Z812)+N(AA812),X812)</f>
        <v/>
      </c>
      <c r="AC812" s="13">
        <f>IF(ISNUMBER(AB812),AB812,"")</f>
        <v/>
      </c>
      <c r="AD812" s="13">
        <f>IF(ISNUMBER(AC812),_xlfn.RANK.EQ(AC812,$AC$2:$AC$1031),"")</f>
        <v/>
      </c>
      <c r="AE812" s="15">
        <f>IF(ISNUMBER(AF812),AF812/3630,"")</f>
        <v/>
      </c>
      <c r="AF812" s="14">
        <f>IFERROR(C812+D812+E812+F812+J812+K812+L812+M812+Q812+R812+S812+T812+IF(ISNUMBER(X812),X812,0)+N(Y812)+N(Z812)+N(AA812),"")</f>
        <v/>
      </c>
      <c r="AG812" s="14">
        <f>IF(ISNUMBER(AF812),AF812,"")</f>
        <v/>
      </c>
      <c r="AH812" s="14">
        <f>IF(ISNUMBER(AG812),_xlfn.RANK.EQ(AG812,$AG$2:$AG$1031),"")</f>
        <v/>
      </c>
    </row>
    <row r="813">
      <c r="A813" s="18" t="n">
        <v>1950</v>
      </c>
      <c r="B813" s="18" t="inlineStr">
        <is>
          <t>معتز عادل عبد الفتاح زغلول</t>
        </is>
      </c>
      <c r="C813" s="1" t="n">
        <v>413</v>
      </c>
      <c r="D813" s="1" t="n">
        <v>9</v>
      </c>
      <c r="E813" s="1" t="n">
        <v>12</v>
      </c>
      <c r="F813" s="1" t="n">
        <v>12</v>
      </c>
      <c r="G813" s="1">
        <f>C813+D813+E813+F813</f>
        <v/>
      </c>
      <c r="H813" s="1">
        <f>IF(ISNUMBER(G813),G813,"")</f>
        <v/>
      </c>
      <c r="I813" s="1">
        <f>_xlfn.RANK.EQ(H813,$H$2:$H$1031)</f>
        <v/>
      </c>
      <c r="J813" s="5" t="n">
        <v>442.75</v>
      </c>
      <c r="K813" s="5" t="n">
        <v>30</v>
      </c>
      <c r="L813" s="5" t="n">
        <v>13</v>
      </c>
      <c r="M813" s="5" t="n">
        <v>14</v>
      </c>
      <c r="N813" s="5">
        <f>J813+K813+L813+M813</f>
        <v/>
      </c>
      <c r="O813" s="5">
        <f>IF(ISNUMBER(N813),N813,"")</f>
        <v/>
      </c>
      <c r="P813" s="5">
        <f>_xlfn.RANK.EQ(O813,$O$2:$O$1031)</f>
        <v/>
      </c>
      <c r="Q813" s="9" t="n">
        <v>176</v>
      </c>
      <c r="R813" s="9" t="n">
        <v>30.5</v>
      </c>
      <c r="S813" s="9" t="n">
        <v>17</v>
      </c>
      <c r="T813" s="9" t="n">
        <v>21.5</v>
      </c>
      <c r="U813" s="9">
        <f>Q813+R813+S813+T813</f>
        <v/>
      </c>
      <c r="V813" s="9">
        <f>IF(ISNUMBER(U813),U813,"")</f>
        <v/>
      </c>
      <c r="W813" s="9">
        <f>_xlfn.RANK.EQ(V813,$V$2:$V$1031)</f>
        <v/>
      </c>
      <c r="X813" s="13" t="n">
        <v>1068.5583333333</v>
      </c>
      <c r="Y813" s="13" t="n">
        <v>25</v>
      </c>
      <c r="Z813" s="13" t="n">
        <v>17</v>
      </c>
      <c r="AA813" s="13" t="n">
        <v>22</v>
      </c>
      <c r="AB813" s="13">
        <f>IF(ISNUMBER(X813),X813+N(Y813)+N(Z813)+N(AA813),X813)</f>
        <v/>
      </c>
      <c r="AC813" s="13">
        <f>IF(ISNUMBER(AB813),AB813,"")</f>
        <v/>
      </c>
      <c r="AD813" s="13">
        <f>IF(ISNUMBER(AC813),_xlfn.RANK.EQ(AC813,$AC$2:$AC$1031),"")</f>
        <v/>
      </c>
      <c r="AE813" s="15">
        <f>IF(ISNUMBER(AF813),AF813/3630,"")</f>
        <v/>
      </c>
      <c r="AF813" s="14">
        <f>IFERROR(C813+D813+E813+F813+J813+K813+L813+M813+Q813+R813+S813+T813+IF(ISNUMBER(X813),X813,0)+N(Y813)+N(Z813)+N(AA813),"")</f>
        <v/>
      </c>
      <c r="AG813" s="14">
        <f>IF(ISNUMBER(AF813),AF813,"")</f>
        <v/>
      </c>
      <c r="AH813" s="14">
        <f>IF(ISNUMBER(AG813),_xlfn.RANK.EQ(AG813,$AG$2:$AG$1031),"")</f>
        <v/>
      </c>
    </row>
    <row r="814">
      <c r="A814" s="18" t="n">
        <v>1953</v>
      </c>
      <c r="B814" s="18" t="inlineStr">
        <is>
          <t>معتز وليد عادل عبد الحميد</t>
        </is>
      </c>
      <c r="C814" s="1" t="n">
        <v>414</v>
      </c>
      <c r="D814" s="1" t="n">
        <v>8</v>
      </c>
      <c r="E814" s="1" t="n">
        <v>7</v>
      </c>
      <c r="F814" s="1" t="n">
        <v>12</v>
      </c>
      <c r="G814" s="1">
        <f>C814+D814+E814+F814</f>
        <v/>
      </c>
      <c r="H814" s="1">
        <f>IF(ISNUMBER(G814),G814,"")</f>
        <v/>
      </c>
      <c r="I814" s="1">
        <f>_xlfn.RANK.EQ(H814,$H$2:$H$1031)</f>
        <v/>
      </c>
      <c r="J814" s="5" t="n">
        <v>390</v>
      </c>
      <c r="K814" s="5" t="n">
        <v>24</v>
      </c>
      <c r="L814" s="5" t="n">
        <v>14</v>
      </c>
      <c r="M814" s="5" t="n">
        <v>11</v>
      </c>
      <c r="N814" s="5">
        <f>J814+K814+L814+M814</f>
        <v/>
      </c>
      <c r="O814" s="5">
        <f>IF(ISNUMBER(N814),N814,"")</f>
        <v/>
      </c>
      <c r="P814" s="5">
        <f>_xlfn.RANK.EQ(O814,$O$2:$O$1031)</f>
        <v/>
      </c>
      <c r="Q814" s="9" t="n">
        <v>93.25</v>
      </c>
      <c r="R814" s="9" t="n">
        <v>28</v>
      </c>
      <c r="S814" s="9" t="n">
        <v>15</v>
      </c>
      <c r="T814" s="9" t="n">
        <v>15</v>
      </c>
      <c r="U814" s="9">
        <f>Q814+R814+S814+T814</f>
        <v/>
      </c>
      <c r="V814" s="9">
        <f>IF(ISNUMBER(U814),U814,"")</f>
        <v/>
      </c>
      <c r="W814" s="9">
        <f>_xlfn.RANK.EQ(V814,$V$2:$V$1031)</f>
        <v/>
      </c>
      <c r="X814" s="13" t="inlineStr">
        <is>
          <t>راسب</t>
        </is>
      </c>
      <c r="Y814" s="13" t="n">
        <v>19</v>
      </c>
      <c r="Z814" s="13" t="n">
        <v>13</v>
      </c>
      <c r="AA814" s="13" t="n">
        <v>10</v>
      </c>
      <c r="AB814" s="13">
        <f>IF(ISNUMBER(X814),X814+N(Y814)+N(Z814)+N(AA814),X814)</f>
        <v/>
      </c>
      <c r="AC814" s="13">
        <f>IF(ISNUMBER(AB814),AB814,"")</f>
        <v/>
      </c>
      <c r="AD814" s="13">
        <f>IF(ISNUMBER(AC814),_xlfn.RANK.EQ(AC814,$AC$2:$AC$1031),"")</f>
        <v/>
      </c>
      <c r="AE814" s="15">
        <f>IF(ISNUMBER(AF814),AF814/3630,"")</f>
        <v/>
      </c>
      <c r="AF814" s="14">
        <f>IFERROR(C814+D814+E814+F814+J814+K814+L814+M814+Q814+R814+S814+T814+IF(ISNUMBER(X814),X814,0)+N(Y814)+N(Z814)+N(AA814),"")</f>
        <v/>
      </c>
      <c r="AG814" s="14">
        <f>IF(ISNUMBER(AF814),AF814,"")</f>
        <v/>
      </c>
      <c r="AH814" s="14">
        <f>IF(ISNUMBER(AG814),_xlfn.RANK.EQ(AG814,$AG$2:$AG$1031),"")</f>
        <v/>
      </c>
    </row>
    <row r="815">
      <c r="A815" s="18" t="n">
        <v>1967</v>
      </c>
      <c r="B815" s="18" t="inlineStr">
        <is>
          <t>ملك ابراهيم السيد احمد الجارية</t>
        </is>
      </c>
      <c r="C815" s="1" t="n">
        <v>639.7</v>
      </c>
      <c r="D815" s="1" t="n">
        <v>23</v>
      </c>
      <c r="E815" s="1" t="n">
        <v>25</v>
      </c>
      <c r="F815" s="1" t="n">
        <v>23</v>
      </c>
      <c r="G815" s="1">
        <f>C815+D815+E815+F815</f>
        <v/>
      </c>
      <c r="H815" s="1">
        <f>IF(ISNUMBER(G815),G815,"")</f>
        <v/>
      </c>
      <c r="I815" s="1">
        <f>_xlfn.RANK.EQ(H815,$H$2:$H$1031)</f>
        <v/>
      </c>
      <c r="J815" s="5" t="n">
        <v>624.5</v>
      </c>
      <c r="K815" s="5" t="n">
        <v>49</v>
      </c>
      <c r="L815" s="5" t="n">
        <v>23</v>
      </c>
      <c r="M815" s="5" t="n">
        <v>25</v>
      </c>
      <c r="N815" s="5">
        <f>J815+K815+L815+M815</f>
        <v/>
      </c>
      <c r="O815" s="5">
        <f>IF(ISNUMBER(N815),N815,"")</f>
        <v/>
      </c>
      <c r="P815" s="5">
        <f>_xlfn.RANK.EQ(O815,$O$2:$O$1031)</f>
        <v/>
      </c>
      <c r="Q815" s="9" t="n">
        <v>285</v>
      </c>
      <c r="R815" s="9" t="n">
        <v>48.5</v>
      </c>
      <c r="S815" s="9" t="n">
        <v>23</v>
      </c>
      <c r="T815" s="9" t="n">
        <v>25</v>
      </c>
      <c r="U815" s="9">
        <f>Q815+R815+S815+T815</f>
        <v/>
      </c>
      <c r="V815" s="9">
        <f>IF(ISNUMBER(U815),U815,"")</f>
        <v/>
      </c>
      <c r="W815" s="9">
        <f>_xlfn.RANK.EQ(V815,$V$2:$V$1031)</f>
        <v/>
      </c>
      <c r="X815" s="13" t="n">
        <v>1528.0166666667</v>
      </c>
      <c r="Y815" s="13" t="n">
        <v>25</v>
      </c>
      <c r="Z815" s="13" t="n">
        <v>24</v>
      </c>
      <c r="AA815" s="13" t="n">
        <v>25</v>
      </c>
      <c r="AB815" s="13">
        <f>IF(ISNUMBER(X815),X815+N(Y815)+N(Z815)+N(AA815),X815)</f>
        <v/>
      </c>
      <c r="AC815" s="13">
        <f>IF(ISNUMBER(AB815),AB815,"")</f>
        <v/>
      </c>
      <c r="AD815" s="13">
        <f>IF(ISNUMBER(AC815),_xlfn.RANK.EQ(AC815,$AC$2:$AC$1031),"")</f>
        <v/>
      </c>
      <c r="AE815" s="15">
        <f>IF(ISNUMBER(AF815),AF815/3630,"")</f>
        <v/>
      </c>
      <c r="AF815" s="14">
        <f>IFERROR(C815+D815+E815+F815+J815+K815+L815+M815+Q815+R815+S815+T815+IF(ISNUMBER(X815),X815,0)+N(Y815)+N(Z815)+N(AA815),"")</f>
        <v/>
      </c>
      <c r="AG815" s="14">
        <f>IF(ISNUMBER(AF815),AF815,"")</f>
        <v/>
      </c>
      <c r="AH815" s="14">
        <f>IF(ISNUMBER(AG815),_xlfn.RANK.EQ(AG815,$AG$2:$AG$1031),"")</f>
        <v/>
      </c>
    </row>
    <row r="816">
      <c r="A816" s="18" t="n">
        <v>1968</v>
      </c>
      <c r="B816" s="18" t="inlineStr">
        <is>
          <t>ملك احمد محمد خلفا</t>
        </is>
      </c>
      <c r="C816" s="1" t="n">
        <v>444</v>
      </c>
      <c r="D816" s="1" t="n">
        <v>21</v>
      </c>
      <c r="E816" s="1" t="n">
        <v>20</v>
      </c>
      <c r="F816" s="1" t="n">
        <v>22</v>
      </c>
      <c r="G816" s="1">
        <f>C816+D816+E816+F816</f>
        <v/>
      </c>
      <c r="H816" s="1">
        <f>IF(ISNUMBER(G816),G816,"")</f>
        <v/>
      </c>
      <c r="I816" s="1">
        <f>_xlfn.RANK.EQ(H816,$H$2:$H$1031)</f>
        <v/>
      </c>
      <c r="J816" s="5" t="n">
        <v>398</v>
      </c>
      <c r="K816" s="5" t="n">
        <v>43</v>
      </c>
      <c r="L816" s="5" t="n">
        <v>23</v>
      </c>
      <c r="M816" s="5" t="n">
        <v>23</v>
      </c>
      <c r="N816" s="5">
        <f>J816+K816+L816+M816</f>
        <v/>
      </c>
      <c r="O816" s="5">
        <f>IF(ISNUMBER(N816),N816,"")</f>
        <v/>
      </c>
      <c r="P816" s="5">
        <f>_xlfn.RANK.EQ(O816,$O$2:$O$1031)</f>
        <v/>
      </c>
      <c r="Q816" s="9" t="inlineStr">
        <is>
          <t>راسب</t>
        </is>
      </c>
      <c r="R816" s="9" t="n">
        <v>41.5</v>
      </c>
      <c r="S816" s="9" t="n">
        <v>24</v>
      </c>
      <c r="T816" s="9" t="n">
        <v>25</v>
      </c>
      <c r="U816" s="9">
        <f>Q816+R816+S816+T816</f>
        <v/>
      </c>
      <c r="V816" s="9">
        <f>IF(ISNUMBER(U816),U816,"")</f>
        <v/>
      </c>
      <c r="W816" s="9">
        <f>_xlfn.RANK.EQ(V816,$V$2:$V$1031)</f>
        <v/>
      </c>
      <c r="X816" s="13" t="n">
        <v>1264.5833333333</v>
      </c>
      <c r="Y816" s="13" t="n">
        <v>25</v>
      </c>
      <c r="Z816" s="13" t="n">
        <v>25</v>
      </c>
      <c r="AA816" s="13" t="n">
        <v>25</v>
      </c>
      <c r="AB816" s="13">
        <f>IF(ISNUMBER(X816),X816+N(Y816)+N(Z816)+N(AA816),X816)</f>
        <v/>
      </c>
      <c r="AC816" s="13">
        <f>IF(ISNUMBER(AB816),AB816,"")</f>
        <v/>
      </c>
      <c r="AD816" s="13">
        <f>IF(ISNUMBER(AC816),_xlfn.RANK.EQ(AC816,$AC$2:$AC$1031),"")</f>
        <v/>
      </c>
      <c r="AE816" s="15">
        <f>IF(ISNUMBER(AF816),AF816/3630,"")</f>
        <v/>
      </c>
      <c r="AF816" s="14">
        <f>IFERROR(C816+D816+E816+F816+J816+K816+L816+M816+Q816+R816+S816+T816+IF(ISNUMBER(X816),X816,0)+N(Y816)+N(Z816)+N(AA816),"")</f>
        <v/>
      </c>
      <c r="AG816" s="14">
        <f>IF(ISNUMBER(AF816),AF816,"")</f>
        <v/>
      </c>
      <c r="AH816" s="14">
        <f>IF(ISNUMBER(AG816),_xlfn.RANK.EQ(AG816,$AG$2:$AG$1031),"")</f>
        <v/>
      </c>
    </row>
    <row r="817">
      <c r="A817" s="18" t="n">
        <v>1969</v>
      </c>
      <c r="B817" s="18" t="inlineStr">
        <is>
          <t>ملك احمد منصور عزيز</t>
        </is>
      </c>
      <c r="C817" s="1" t="n">
        <v>555.3</v>
      </c>
      <c r="D817" s="1" t="n">
        <v>24</v>
      </c>
      <c r="E817" s="1" t="n">
        <v>23</v>
      </c>
      <c r="F817" s="1" t="n">
        <v>23</v>
      </c>
      <c r="G817" s="1">
        <f>C817+D817+E817+F817</f>
        <v/>
      </c>
      <c r="H817" s="1">
        <f>IF(ISNUMBER(G817),G817,"")</f>
        <v/>
      </c>
      <c r="I817" s="1">
        <f>_xlfn.RANK.EQ(H817,$H$2:$H$1031)</f>
        <v/>
      </c>
      <c r="J817" s="5" t="n">
        <v>531.75</v>
      </c>
      <c r="K817" s="5" t="n">
        <v>47</v>
      </c>
      <c r="L817" s="5" t="n">
        <v>24</v>
      </c>
      <c r="M817" s="5" t="n">
        <v>25</v>
      </c>
      <c r="N817" s="5">
        <f>J817+K817+L817+M817</f>
        <v/>
      </c>
      <c r="O817" s="5">
        <f>IF(ISNUMBER(N817),N817,"")</f>
        <v/>
      </c>
      <c r="P817" s="5">
        <f>_xlfn.RANK.EQ(O817,$O$2:$O$1031)</f>
        <v/>
      </c>
      <c r="Q817" s="9" t="n">
        <v>217.75</v>
      </c>
      <c r="R817" s="9" t="n">
        <v>42</v>
      </c>
      <c r="S817" s="9" t="n">
        <v>23</v>
      </c>
      <c r="T817" s="9" t="n">
        <v>25</v>
      </c>
      <c r="U817" s="9">
        <f>Q817+R817+S817+T817</f>
        <v/>
      </c>
      <c r="V817" s="9">
        <f>IF(ISNUMBER(U817),U817,"")</f>
        <v/>
      </c>
      <c r="W817" s="9">
        <f>_xlfn.RANK.EQ(V817,$V$2:$V$1031)</f>
        <v/>
      </c>
      <c r="X817" s="13" t="n">
        <v>1350.7</v>
      </c>
      <c r="Y817" s="13" t="n">
        <v>25</v>
      </c>
      <c r="Z817" s="13" t="n">
        <v>24</v>
      </c>
      <c r="AA817" s="13" t="n">
        <v>25</v>
      </c>
      <c r="AB817" s="13">
        <f>IF(ISNUMBER(X817),X817+N(Y817)+N(Z817)+N(AA817),X817)</f>
        <v/>
      </c>
      <c r="AC817" s="13">
        <f>IF(ISNUMBER(AB817),AB817,"")</f>
        <v/>
      </c>
      <c r="AD817" s="13">
        <f>IF(ISNUMBER(AC817),_xlfn.RANK.EQ(AC817,$AC$2:$AC$1031),"")</f>
        <v/>
      </c>
      <c r="AE817" s="15">
        <f>IF(ISNUMBER(AF817),AF817/3630,"")</f>
        <v/>
      </c>
      <c r="AF817" s="14">
        <f>IFERROR(C817+D817+E817+F817+J817+K817+L817+M817+Q817+R817+S817+T817+IF(ISNUMBER(X817),X817,0)+N(Y817)+N(Z817)+N(AA817),"")</f>
        <v/>
      </c>
      <c r="AG817" s="14">
        <f>IF(ISNUMBER(AF817),AF817,"")</f>
        <v/>
      </c>
      <c r="AH817" s="14">
        <f>IF(ISNUMBER(AG817),_xlfn.RANK.EQ(AG817,$AG$2:$AG$1031),"")</f>
        <v/>
      </c>
    </row>
    <row r="818">
      <c r="A818" s="18" t="n">
        <v>1970</v>
      </c>
      <c r="B818" s="18" t="inlineStr">
        <is>
          <t>ملك ايمن  على المهداوى</t>
        </is>
      </c>
      <c r="C818" s="1" t="n">
        <v>466.5</v>
      </c>
      <c r="D818" s="1" t="n">
        <v>21</v>
      </c>
      <c r="E818" s="1" t="n">
        <v>18</v>
      </c>
      <c r="F818" s="1" t="n">
        <v>22</v>
      </c>
      <c r="G818" s="1">
        <f>C818+D818+E818+F818</f>
        <v/>
      </c>
      <c r="H818" s="1">
        <f>IF(ISNUMBER(G818),G818,"")</f>
        <v/>
      </c>
      <c r="I818" s="1">
        <f>_xlfn.RANK.EQ(H818,$H$2:$H$1031)</f>
        <v/>
      </c>
      <c r="J818" s="5" t="n">
        <v>469</v>
      </c>
      <c r="K818" s="5" t="n">
        <v>39</v>
      </c>
      <c r="L818" s="5" t="n">
        <v>22</v>
      </c>
      <c r="M818" s="5" t="n">
        <v>19</v>
      </c>
      <c r="N818" s="5">
        <f>J818+K818+L818+M818</f>
        <v/>
      </c>
      <c r="O818" s="5">
        <f>IF(ISNUMBER(N818),N818,"")</f>
        <v/>
      </c>
      <c r="P818" s="5">
        <f>_xlfn.RANK.EQ(O818,$O$2:$O$1031)</f>
        <v/>
      </c>
      <c r="Q818" s="9" t="inlineStr">
        <is>
          <t>راسب</t>
        </is>
      </c>
      <c r="R818" s="9" t="n">
        <v>39.5</v>
      </c>
      <c r="S818" s="9" t="n">
        <v>20</v>
      </c>
      <c r="T818" s="9" t="n">
        <v>24</v>
      </c>
      <c r="U818" s="9">
        <f>Q818+R818+S818+T818</f>
        <v/>
      </c>
      <c r="V818" s="9">
        <f>IF(ISNUMBER(U818),U818,"")</f>
        <v/>
      </c>
      <c r="W818" s="9">
        <f>_xlfn.RANK.EQ(V818,$V$2:$V$1031)</f>
        <v/>
      </c>
      <c r="X818" s="13" t="n">
        <v>1158.2041666667</v>
      </c>
      <c r="Y818" s="13" t="n">
        <v>25</v>
      </c>
      <c r="Z818" s="13" t="n">
        <v>20</v>
      </c>
      <c r="AA818" s="13" t="n">
        <v>19</v>
      </c>
      <c r="AB818" s="13">
        <f>IF(ISNUMBER(X818),X818+N(Y818)+N(Z818)+N(AA818),X818)</f>
        <v/>
      </c>
      <c r="AC818" s="13">
        <f>IF(ISNUMBER(AB818),AB818,"")</f>
        <v/>
      </c>
      <c r="AD818" s="13">
        <f>IF(ISNUMBER(AC818),_xlfn.RANK.EQ(AC818,$AC$2:$AC$1031),"")</f>
        <v/>
      </c>
      <c r="AE818" s="15">
        <f>IF(ISNUMBER(AF818),AF818/3630,"")</f>
        <v/>
      </c>
      <c r="AF818" s="14">
        <f>IFERROR(C818+D818+E818+F818+J818+K818+L818+M818+Q818+R818+S818+T818+IF(ISNUMBER(X818),X818,0)+N(Y818)+N(Z818)+N(AA818),"")</f>
        <v/>
      </c>
      <c r="AG818" s="14">
        <f>IF(ISNUMBER(AF818),AF818,"")</f>
        <v/>
      </c>
      <c r="AH818" s="14">
        <f>IF(ISNUMBER(AG818),_xlfn.RANK.EQ(AG818,$AG$2:$AG$1031),"")</f>
        <v/>
      </c>
    </row>
    <row r="819">
      <c r="A819" s="18" t="n">
        <v>1971</v>
      </c>
      <c r="B819" s="18" t="inlineStr">
        <is>
          <t>ملك ايمن محمد أبو الفتح  شعت</t>
        </is>
      </c>
      <c r="C819" s="1" t="n">
        <v>526.3</v>
      </c>
      <c r="D819" s="1" t="n">
        <v>22</v>
      </c>
      <c r="E819" s="1" t="n">
        <v>24</v>
      </c>
      <c r="F819" s="1" t="n">
        <v>21</v>
      </c>
      <c r="G819" s="1">
        <f>C819+D819+E819+F819</f>
        <v/>
      </c>
      <c r="H819" s="1">
        <f>IF(ISNUMBER(G819),G819,"")</f>
        <v/>
      </c>
      <c r="I819" s="1">
        <f>_xlfn.RANK.EQ(H819,$H$2:$H$1031)</f>
        <v/>
      </c>
      <c r="J819" s="5" t="n">
        <v>504.3</v>
      </c>
      <c r="K819" s="5" t="n">
        <v>31</v>
      </c>
      <c r="L819" s="5" t="n">
        <v>20</v>
      </c>
      <c r="M819" s="5" t="n">
        <v>17</v>
      </c>
      <c r="N819" s="5">
        <f>J819+K819+L819+M819</f>
        <v/>
      </c>
      <c r="O819" s="5">
        <f>IF(ISNUMBER(N819),N819,"")</f>
        <v/>
      </c>
      <c r="P819" s="5">
        <f>_xlfn.RANK.EQ(O819,$O$2:$O$1031)</f>
        <v/>
      </c>
      <c r="Q819" s="9" t="n">
        <v>202.75</v>
      </c>
      <c r="R819" s="9" t="n">
        <v>44</v>
      </c>
      <c r="S819" s="9" t="n">
        <v>23</v>
      </c>
      <c r="T819" s="9" t="n">
        <v>25</v>
      </c>
      <c r="U819" s="9">
        <f>Q819+R819+S819+T819</f>
        <v/>
      </c>
      <c r="V819" s="9">
        <f>IF(ISNUMBER(U819),U819,"")</f>
        <v/>
      </c>
      <c r="W819" s="9">
        <f>_xlfn.RANK.EQ(V819,$V$2:$V$1031)</f>
        <v/>
      </c>
      <c r="X819" s="13" t="inlineStr">
        <is>
          <t>راسب</t>
        </is>
      </c>
      <c r="Y819" s="13" t="n">
        <v>24</v>
      </c>
      <c r="Z819" s="13" t="n">
        <v>25</v>
      </c>
      <c r="AA819" s="13" t="n">
        <v>23</v>
      </c>
      <c r="AB819" s="13">
        <f>IF(ISNUMBER(X819),X819+N(Y819)+N(Z819)+N(AA819),X819)</f>
        <v/>
      </c>
      <c r="AC819" s="13">
        <f>IF(ISNUMBER(AB819),AB819,"")</f>
        <v/>
      </c>
      <c r="AD819" s="13">
        <f>IF(ISNUMBER(AC819),_xlfn.RANK.EQ(AC819,$AC$2:$AC$1031),"")</f>
        <v/>
      </c>
      <c r="AE819" s="15">
        <f>IF(ISNUMBER(AF819),AF819/3630,"")</f>
        <v/>
      </c>
      <c r="AF819" s="14">
        <f>IFERROR(C819+D819+E819+F819+J819+K819+L819+M819+Q819+R819+S819+T819+IF(ISNUMBER(X819),X819,0)+N(Y819)+N(Z819)+N(AA819),"")</f>
        <v/>
      </c>
      <c r="AG819" s="14">
        <f>IF(ISNUMBER(AF819),AF819,"")</f>
        <v/>
      </c>
      <c r="AH819" s="14">
        <f>IF(ISNUMBER(AG819),_xlfn.RANK.EQ(AG819,$AG$2:$AG$1031),"")</f>
        <v/>
      </c>
    </row>
    <row r="820">
      <c r="A820" s="18" t="n">
        <v>1972</v>
      </c>
      <c r="B820" s="18" t="inlineStr">
        <is>
          <t>ملك حازم فوزي دويدار</t>
        </is>
      </c>
      <c r="C820" s="1" t="n">
        <v>516.7</v>
      </c>
      <c r="D820" s="1" t="n">
        <v>22</v>
      </c>
      <c r="E820" s="1" t="n">
        <v>21</v>
      </c>
      <c r="F820" s="1" t="n">
        <v>24</v>
      </c>
      <c r="G820" s="1">
        <f>C820+D820+E820+F820</f>
        <v/>
      </c>
      <c r="H820" s="1">
        <f>IF(ISNUMBER(G820),G820,"")</f>
        <v/>
      </c>
      <c r="I820" s="1">
        <f>_xlfn.RANK.EQ(H820,$H$2:$H$1031)</f>
        <v/>
      </c>
      <c r="J820" s="5" t="n">
        <v>538.4</v>
      </c>
      <c r="K820" s="5" t="n">
        <v>38</v>
      </c>
      <c r="L820" s="5" t="n">
        <v>20</v>
      </c>
      <c r="M820" s="5" t="n">
        <v>21</v>
      </c>
      <c r="N820" s="5">
        <f>J820+K820+L820+M820</f>
        <v/>
      </c>
      <c r="O820" s="5">
        <f>IF(ISNUMBER(N820),N820,"")</f>
        <v/>
      </c>
      <c r="P820" s="5">
        <f>_xlfn.RANK.EQ(O820,$O$2:$O$1031)</f>
        <v/>
      </c>
      <c r="Q820" s="9" t="n">
        <v>209.25</v>
      </c>
      <c r="R820" s="9" t="n">
        <v>39.5</v>
      </c>
      <c r="S820" s="9" t="n">
        <v>24</v>
      </c>
      <c r="T820" s="9" t="n">
        <v>24</v>
      </c>
      <c r="U820" s="9">
        <f>Q820+R820+S820+T820</f>
        <v/>
      </c>
      <c r="V820" s="9">
        <f>IF(ISNUMBER(U820),U820,"")</f>
        <v/>
      </c>
      <c r="W820" s="9">
        <f>_xlfn.RANK.EQ(V820,$V$2:$V$1031)</f>
        <v/>
      </c>
      <c r="X820" s="13" t="inlineStr">
        <is>
          <t>راسب</t>
        </is>
      </c>
      <c r="Y820" s="13" t="n">
        <v>22</v>
      </c>
      <c r="Z820" s="13" t="n">
        <v>18</v>
      </c>
      <c r="AA820" s="13" t="n">
        <v>21</v>
      </c>
      <c r="AB820" s="13">
        <f>IF(ISNUMBER(X820),X820+N(Y820)+N(Z820)+N(AA820),X820)</f>
        <v/>
      </c>
      <c r="AC820" s="13">
        <f>IF(ISNUMBER(AB820),AB820,"")</f>
        <v/>
      </c>
      <c r="AD820" s="13">
        <f>IF(ISNUMBER(AC820),_xlfn.RANK.EQ(AC820,$AC$2:$AC$1031),"")</f>
        <v/>
      </c>
      <c r="AE820" s="15">
        <f>IF(ISNUMBER(AF820),AF820/3630,"")</f>
        <v/>
      </c>
      <c r="AF820" s="14">
        <f>IFERROR(C820+D820+E820+F820+J820+K820+L820+M820+Q820+R820+S820+T820+IF(ISNUMBER(X820),X820,0)+N(Y820)+N(Z820)+N(AA820),"")</f>
        <v/>
      </c>
      <c r="AG820" s="14">
        <f>IF(ISNUMBER(AF820),AF820,"")</f>
        <v/>
      </c>
      <c r="AH820" s="14">
        <f>IF(ISNUMBER(AG820),_xlfn.RANK.EQ(AG820,$AG$2:$AG$1031),"")</f>
        <v/>
      </c>
    </row>
    <row r="821">
      <c r="A821" s="18" t="n">
        <v>1973</v>
      </c>
      <c r="B821" s="18" t="inlineStr">
        <is>
          <t>ملك عمرو  محمد اسماعيل</t>
        </is>
      </c>
      <c r="C821" s="1" t="n">
        <v>523.5</v>
      </c>
      <c r="D821" s="1" t="n">
        <v>24</v>
      </c>
      <c r="E821" s="1" t="n">
        <v>23</v>
      </c>
      <c r="F821" s="1" t="n">
        <v>23</v>
      </c>
      <c r="G821" s="1">
        <f>C821+D821+E821+F821</f>
        <v/>
      </c>
      <c r="H821" s="1">
        <f>IF(ISNUMBER(G821),G821,"")</f>
        <v/>
      </c>
      <c r="I821" s="1">
        <f>_xlfn.RANK.EQ(H821,$H$2:$H$1031)</f>
        <v/>
      </c>
      <c r="J821" s="5" t="n">
        <v>561</v>
      </c>
      <c r="K821" s="5" t="n">
        <v>47</v>
      </c>
      <c r="L821" s="5" t="n">
        <v>22</v>
      </c>
      <c r="M821" s="5" t="n">
        <v>22</v>
      </c>
      <c r="N821" s="5">
        <f>J821+K821+L821+M821</f>
        <v/>
      </c>
      <c r="O821" s="5">
        <f>IF(ISNUMBER(N821),N821,"")</f>
        <v/>
      </c>
      <c r="P821" s="5">
        <f>_xlfn.RANK.EQ(O821,$O$2:$O$1031)</f>
        <v/>
      </c>
      <c r="Q821" s="9" t="n">
        <v>218.75</v>
      </c>
      <c r="R821" s="9" t="n">
        <v>42</v>
      </c>
      <c r="S821" s="9" t="n">
        <v>24</v>
      </c>
      <c r="T821" s="9" t="n">
        <v>25</v>
      </c>
      <c r="U821" s="9">
        <f>Q821+R821+S821+T821</f>
        <v/>
      </c>
      <c r="V821" s="9">
        <f>IF(ISNUMBER(U821),U821,"")</f>
        <v/>
      </c>
      <c r="W821" s="9">
        <f>_xlfn.RANK.EQ(V821,$V$2:$V$1031)</f>
        <v/>
      </c>
      <c r="X821" s="13" t="n">
        <v>1333.1416666667</v>
      </c>
      <c r="Y821" s="13" t="n">
        <v>25</v>
      </c>
      <c r="Z821" s="13" t="n">
        <v>23</v>
      </c>
      <c r="AA821" s="13" t="n">
        <v>25</v>
      </c>
      <c r="AB821" s="13">
        <f>IF(ISNUMBER(X821),X821+N(Y821)+N(Z821)+N(AA821),X821)</f>
        <v/>
      </c>
      <c r="AC821" s="13">
        <f>IF(ISNUMBER(AB821),AB821,"")</f>
        <v/>
      </c>
      <c r="AD821" s="13">
        <f>IF(ISNUMBER(AC821),_xlfn.RANK.EQ(AC821,$AC$2:$AC$1031),"")</f>
        <v/>
      </c>
      <c r="AE821" s="15">
        <f>IF(ISNUMBER(AF821),AF821/3630,"")</f>
        <v/>
      </c>
      <c r="AF821" s="14">
        <f>IFERROR(C821+D821+E821+F821+J821+K821+L821+M821+Q821+R821+S821+T821+IF(ISNUMBER(X821),X821,0)+N(Y821)+N(Z821)+N(AA821),"")</f>
        <v/>
      </c>
      <c r="AG821" s="14">
        <f>IF(ISNUMBER(AF821),AF821,"")</f>
        <v/>
      </c>
      <c r="AH821" s="14">
        <f>IF(ISNUMBER(AG821),_xlfn.RANK.EQ(AG821,$AG$2:$AG$1031),"")</f>
        <v/>
      </c>
    </row>
    <row r="822">
      <c r="A822" s="18" t="n">
        <v>1974</v>
      </c>
      <c r="B822" s="18" t="inlineStr">
        <is>
          <t>ملك عمرو مصطفى الجندى</t>
        </is>
      </c>
      <c r="C822" s="1" t="n">
        <v>595.9</v>
      </c>
      <c r="D822" s="1" t="n">
        <v>25</v>
      </c>
      <c r="E822" s="1" t="n">
        <v>22</v>
      </c>
      <c r="F822" s="1" t="n">
        <v>20</v>
      </c>
      <c r="G822" s="1">
        <f>C822+D822+E822+F822</f>
        <v/>
      </c>
      <c r="H822" s="1">
        <f>IF(ISNUMBER(G822),G822,"")</f>
        <v/>
      </c>
      <c r="I822" s="1">
        <f>_xlfn.RANK.EQ(H822,$H$2:$H$1031)</f>
        <v/>
      </c>
      <c r="J822" s="5" t="n">
        <v>612.5</v>
      </c>
      <c r="K822" s="5" t="n">
        <v>45</v>
      </c>
      <c r="L822" s="5" t="n">
        <v>21</v>
      </c>
      <c r="M822" s="5" t="n">
        <v>22</v>
      </c>
      <c r="N822" s="5">
        <f>J822+K822+L822+M822</f>
        <v/>
      </c>
      <c r="O822" s="5">
        <f>IF(ISNUMBER(N822),N822,"")</f>
        <v/>
      </c>
      <c r="P822" s="5">
        <f>_xlfn.RANK.EQ(O822,$O$2:$O$1031)</f>
        <v/>
      </c>
      <c r="Q822" s="9" t="n">
        <v>257</v>
      </c>
      <c r="R822" s="9" t="n">
        <v>45</v>
      </c>
      <c r="S822" s="9" t="n">
        <v>25</v>
      </c>
      <c r="T822" s="9" t="n">
        <v>24</v>
      </c>
      <c r="U822" s="9">
        <f>Q822+R822+S822+T822</f>
        <v/>
      </c>
      <c r="V822" s="9">
        <f>IF(ISNUMBER(U822),U822,"")</f>
        <v/>
      </c>
      <c r="W822" s="9">
        <f>_xlfn.RANK.EQ(V822,$V$2:$V$1031)</f>
        <v/>
      </c>
      <c r="X822" s="13" t="n">
        <v>1412.8708333333</v>
      </c>
      <c r="Y822" s="13" t="n">
        <v>25</v>
      </c>
      <c r="Z822" s="13" t="n">
        <v>24</v>
      </c>
      <c r="AA822" s="13" t="n">
        <v>24</v>
      </c>
      <c r="AB822" s="13">
        <f>IF(ISNUMBER(X822),X822+N(Y822)+N(Z822)+N(AA822),X822)</f>
        <v/>
      </c>
      <c r="AC822" s="13">
        <f>IF(ISNUMBER(AB822),AB822,"")</f>
        <v/>
      </c>
      <c r="AD822" s="13">
        <f>IF(ISNUMBER(AC822),_xlfn.RANK.EQ(AC822,$AC$2:$AC$1031),"")</f>
        <v/>
      </c>
      <c r="AE822" s="15">
        <f>IF(ISNUMBER(AF822),AF822/3630,"")</f>
        <v/>
      </c>
      <c r="AF822" s="14">
        <f>IFERROR(C822+D822+E822+F822+J822+K822+L822+M822+Q822+R822+S822+T822+IF(ISNUMBER(X822),X822,0)+N(Y822)+N(Z822)+N(AA822),"")</f>
        <v/>
      </c>
      <c r="AG822" s="14">
        <f>IF(ISNUMBER(AF822),AF822,"")</f>
        <v/>
      </c>
      <c r="AH822" s="14">
        <f>IF(ISNUMBER(AG822),_xlfn.RANK.EQ(AG822,$AG$2:$AG$1031),"")</f>
        <v/>
      </c>
    </row>
    <row r="823">
      <c r="A823" s="18" t="n">
        <v>1975</v>
      </c>
      <c r="B823" s="18" t="inlineStr">
        <is>
          <t>ملك فتحي محمد احمد موسي</t>
        </is>
      </c>
      <c r="C823" s="1" t="n">
        <v>572.4</v>
      </c>
      <c r="D823" s="1" t="n">
        <v>25</v>
      </c>
      <c r="E823" s="1" t="n">
        <v>22</v>
      </c>
      <c r="F823" s="1" t="n">
        <v>23</v>
      </c>
      <c r="G823" s="1">
        <f>C823+D823+E823+F823</f>
        <v/>
      </c>
      <c r="H823" s="1">
        <f>IF(ISNUMBER(G823),G823,"")</f>
        <v/>
      </c>
      <c r="I823" s="1">
        <f>_xlfn.RANK.EQ(H823,$H$2:$H$1031)</f>
        <v/>
      </c>
      <c r="J823" s="5" t="n">
        <v>606</v>
      </c>
      <c r="K823" s="5" t="n">
        <v>48</v>
      </c>
      <c r="L823" s="5" t="n">
        <v>20</v>
      </c>
      <c r="M823" s="5" t="n">
        <v>25</v>
      </c>
      <c r="N823" s="5">
        <f>J823+K823+L823+M823</f>
        <v/>
      </c>
      <c r="O823" s="5">
        <f>IF(ISNUMBER(N823),N823,"")</f>
        <v/>
      </c>
      <c r="P823" s="5">
        <f>_xlfn.RANK.EQ(O823,$O$2:$O$1031)</f>
        <v/>
      </c>
      <c r="Q823" s="9" t="n">
        <v>276</v>
      </c>
      <c r="R823" s="9" t="n">
        <v>48.5</v>
      </c>
      <c r="S823" s="9" t="n">
        <v>25</v>
      </c>
      <c r="T823" s="9" t="n">
        <v>25</v>
      </c>
      <c r="U823" s="9">
        <f>Q823+R823+S823+T823</f>
        <v/>
      </c>
      <c r="V823" s="9">
        <f>IF(ISNUMBER(U823),U823,"")</f>
        <v/>
      </c>
      <c r="W823" s="9">
        <f>_xlfn.RANK.EQ(V823,$V$2:$V$1031)</f>
        <v/>
      </c>
      <c r="X823" s="13" t="n">
        <v>1549.2916666667</v>
      </c>
      <c r="Y823" s="13" t="n">
        <v>25</v>
      </c>
      <c r="Z823" s="13" t="n">
        <v>25</v>
      </c>
      <c r="AA823" s="13" t="n">
        <v>25</v>
      </c>
      <c r="AB823" s="13">
        <f>IF(ISNUMBER(X823),X823+N(Y823)+N(Z823)+N(AA823),X823)</f>
        <v/>
      </c>
      <c r="AC823" s="13">
        <f>IF(ISNUMBER(AB823),AB823,"")</f>
        <v/>
      </c>
      <c r="AD823" s="13">
        <f>IF(ISNUMBER(AC823),_xlfn.RANK.EQ(AC823,$AC$2:$AC$1031),"")</f>
        <v/>
      </c>
      <c r="AE823" s="15">
        <f>IF(ISNUMBER(AF823),AF823/3630,"")</f>
        <v/>
      </c>
      <c r="AF823" s="14">
        <f>IFERROR(C823+D823+E823+F823+J823+K823+L823+M823+Q823+R823+S823+T823+IF(ISNUMBER(X823),X823,0)+N(Y823)+N(Z823)+N(AA823),"")</f>
        <v/>
      </c>
      <c r="AG823" s="14">
        <f>IF(ISNUMBER(AF823),AF823,"")</f>
        <v/>
      </c>
      <c r="AH823" s="14">
        <f>IF(ISNUMBER(AG823),_xlfn.RANK.EQ(AG823,$AG$2:$AG$1031),"")</f>
        <v/>
      </c>
    </row>
    <row r="824">
      <c r="A824" s="18" t="n">
        <v>1976</v>
      </c>
      <c r="B824" s="18" t="inlineStr">
        <is>
          <t>ملك محمد صلاح الدين السيد اباظة</t>
        </is>
      </c>
      <c r="C824" s="1" t="n">
        <v>572.5</v>
      </c>
      <c r="D824" s="1" t="n">
        <v>24</v>
      </c>
      <c r="E824" s="1" t="n">
        <v>24</v>
      </c>
      <c r="F824" s="1" t="n">
        <v>19</v>
      </c>
      <c r="G824" s="1">
        <f>C824+D824+E824+F824</f>
        <v/>
      </c>
      <c r="H824" s="1">
        <f>IF(ISNUMBER(G824),G824,"")</f>
        <v/>
      </c>
      <c r="I824" s="1">
        <f>_xlfn.RANK.EQ(H824,$H$2:$H$1031)</f>
        <v/>
      </c>
      <c r="J824" s="5" t="n">
        <v>569.5</v>
      </c>
      <c r="K824" s="5" t="n">
        <v>46</v>
      </c>
      <c r="L824" s="5" t="n">
        <v>22</v>
      </c>
      <c r="M824" s="5" t="n">
        <v>22</v>
      </c>
      <c r="N824" s="5">
        <f>J824+K824+L824+M824</f>
        <v/>
      </c>
      <c r="O824" s="5">
        <f>IF(ISNUMBER(N824),N824,"")</f>
        <v/>
      </c>
      <c r="P824" s="5">
        <f>_xlfn.RANK.EQ(O824,$O$2:$O$1031)</f>
        <v/>
      </c>
      <c r="Q824" s="9" t="n">
        <v>265</v>
      </c>
      <c r="R824" s="9" t="n">
        <v>44.5</v>
      </c>
      <c r="S824" s="9" t="n">
        <v>24</v>
      </c>
      <c r="T824" s="9" t="n">
        <v>25</v>
      </c>
      <c r="U824" s="9">
        <f>Q824+R824+S824+T824</f>
        <v/>
      </c>
      <c r="V824" s="9">
        <f>IF(ISNUMBER(U824),U824,"")</f>
        <v/>
      </c>
      <c r="W824" s="9">
        <f>_xlfn.RANK.EQ(V824,$V$2:$V$1031)</f>
        <v/>
      </c>
      <c r="X824" s="13" t="n">
        <v>1400.8625</v>
      </c>
      <c r="Y824" s="13" t="n">
        <v>25</v>
      </c>
      <c r="Z824" s="13" t="n">
        <v>23</v>
      </c>
      <c r="AA824" s="13" t="n">
        <v>23</v>
      </c>
      <c r="AB824" s="13">
        <f>IF(ISNUMBER(X824),X824+N(Y824)+N(Z824)+N(AA824),X824)</f>
        <v/>
      </c>
      <c r="AC824" s="13">
        <f>IF(ISNUMBER(AB824),AB824,"")</f>
        <v/>
      </c>
      <c r="AD824" s="13">
        <f>IF(ISNUMBER(AC824),_xlfn.RANK.EQ(AC824,$AC$2:$AC$1031),"")</f>
        <v/>
      </c>
      <c r="AE824" s="15">
        <f>IF(ISNUMBER(AF824),AF824/3630,"")</f>
        <v/>
      </c>
      <c r="AF824" s="14">
        <f>IFERROR(C824+D824+E824+F824+J824+K824+L824+M824+Q824+R824+S824+T824+IF(ISNUMBER(X824),X824,0)+N(Y824)+N(Z824)+N(AA824),"")</f>
        <v/>
      </c>
      <c r="AG824" s="14">
        <f>IF(ISNUMBER(AF824),AF824,"")</f>
        <v/>
      </c>
      <c r="AH824" s="14">
        <f>IF(ISNUMBER(AG824),_xlfn.RANK.EQ(AG824,$AG$2:$AG$1031),"")</f>
        <v/>
      </c>
    </row>
    <row r="825">
      <c r="A825" s="18" t="n">
        <v>1977</v>
      </c>
      <c r="B825" s="18" t="inlineStr">
        <is>
          <t>ملك محمد عبد المنعم محمد إبراهيم</t>
        </is>
      </c>
      <c r="C825" s="1" t="n">
        <v>632.2</v>
      </c>
      <c r="D825" s="1" t="n">
        <v>24</v>
      </c>
      <c r="E825" s="1" t="n">
        <v>23</v>
      </c>
      <c r="F825" s="1" t="n">
        <v>23</v>
      </c>
      <c r="G825" s="1">
        <f>C825+D825+E825+F825</f>
        <v/>
      </c>
      <c r="H825" s="1">
        <f>IF(ISNUMBER(G825),G825,"")</f>
        <v/>
      </c>
      <c r="I825" s="1">
        <f>_xlfn.RANK.EQ(H825,$H$2:$H$1031)</f>
        <v/>
      </c>
      <c r="J825" s="5" t="n">
        <v>614</v>
      </c>
      <c r="K825" s="5" t="n">
        <v>46</v>
      </c>
      <c r="L825" s="5" t="n">
        <v>21</v>
      </c>
      <c r="M825" s="5" t="n">
        <v>20</v>
      </c>
      <c r="N825" s="5">
        <f>J825+K825+L825+M825</f>
        <v/>
      </c>
      <c r="O825" s="5">
        <f>IF(ISNUMBER(N825),N825,"")</f>
        <v/>
      </c>
      <c r="P825" s="5">
        <f>_xlfn.RANK.EQ(O825,$O$2:$O$1031)</f>
        <v/>
      </c>
      <c r="Q825" s="9" t="n">
        <v>273.75</v>
      </c>
      <c r="R825" s="9" t="n">
        <v>48</v>
      </c>
      <c r="S825" s="9" t="n">
        <v>24</v>
      </c>
      <c r="T825" s="9" t="n">
        <v>25</v>
      </c>
      <c r="U825" s="9">
        <f>Q825+R825+S825+T825</f>
        <v/>
      </c>
      <c r="V825" s="9">
        <f>IF(ISNUMBER(U825),U825,"")</f>
        <v/>
      </c>
      <c r="W825" s="9">
        <f>_xlfn.RANK.EQ(V825,$V$2:$V$1031)</f>
        <v/>
      </c>
      <c r="X825" s="13" t="n">
        <v>1502.4166666667</v>
      </c>
      <c r="Y825" s="13" t="n">
        <v>24</v>
      </c>
      <c r="Z825" s="13" t="n">
        <v>24</v>
      </c>
      <c r="AA825" s="13" t="n">
        <v>25</v>
      </c>
      <c r="AB825" s="13">
        <f>IF(ISNUMBER(X825),X825+N(Y825)+N(Z825)+N(AA825),X825)</f>
        <v/>
      </c>
      <c r="AC825" s="13">
        <f>IF(ISNUMBER(AB825),AB825,"")</f>
        <v/>
      </c>
      <c r="AD825" s="13">
        <f>IF(ISNUMBER(AC825),_xlfn.RANK.EQ(AC825,$AC$2:$AC$1031),"")</f>
        <v/>
      </c>
      <c r="AE825" s="15">
        <f>IF(ISNUMBER(AF825),AF825/3630,"")</f>
        <v/>
      </c>
      <c r="AF825" s="14">
        <f>IFERROR(C825+D825+E825+F825+J825+K825+L825+M825+Q825+R825+S825+T825+IF(ISNUMBER(X825),X825,0)+N(Y825)+N(Z825)+N(AA825),"")</f>
        <v/>
      </c>
      <c r="AG825" s="14">
        <f>IF(ISNUMBER(AF825),AF825,"")</f>
        <v/>
      </c>
      <c r="AH825" s="14">
        <f>IF(ISNUMBER(AG825),_xlfn.RANK.EQ(AG825,$AG$2:$AG$1031),"")</f>
        <v/>
      </c>
    </row>
    <row r="826">
      <c r="A826" s="18" t="n">
        <v>1978</v>
      </c>
      <c r="B826" s="18" t="inlineStr">
        <is>
          <t>ملك محمد عبدالفتاح عبدالباري عمر</t>
        </is>
      </c>
      <c r="C826" s="1" t="n">
        <v>596.7</v>
      </c>
      <c r="D826" s="1" t="n">
        <v>25</v>
      </c>
      <c r="E826" s="1" t="n">
        <v>23</v>
      </c>
      <c r="F826" s="1" t="n">
        <v>23</v>
      </c>
      <c r="G826" s="1">
        <f>C826+D826+E826+F826</f>
        <v/>
      </c>
      <c r="H826" s="1">
        <f>IF(ISNUMBER(G826),G826,"")</f>
        <v/>
      </c>
      <c r="I826" s="1">
        <f>_xlfn.RANK.EQ(H826,$H$2:$H$1031)</f>
        <v/>
      </c>
      <c r="J826" s="5" t="n">
        <v>612</v>
      </c>
      <c r="K826" s="5" t="n">
        <v>46</v>
      </c>
      <c r="L826" s="5" t="n">
        <v>23</v>
      </c>
      <c r="M826" s="5" t="n">
        <v>23</v>
      </c>
      <c r="N826" s="5">
        <f>J826+K826+L826+M826</f>
        <v/>
      </c>
      <c r="O826" s="5">
        <f>IF(ISNUMBER(N826),N826,"")</f>
        <v/>
      </c>
      <c r="P826" s="5">
        <f>_xlfn.RANK.EQ(O826,$O$2:$O$1031)</f>
        <v/>
      </c>
      <c r="Q826" s="9" t="n">
        <v>271.75</v>
      </c>
      <c r="R826" s="9" t="n">
        <v>46.5</v>
      </c>
      <c r="S826" s="9" t="n">
        <v>25</v>
      </c>
      <c r="T826" s="9" t="n">
        <v>25</v>
      </c>
      <c r="U826" s="9">
        <f>Q826+R826+S826+T826</f>
        <v/>
      </c>
      <c r="V826" s="9">
        <f>IF(ISNUMBER(U826),U826,"")</f>
        <v/>
      </c>
      <c r="W826" s="9">
        <f>_xlfn.RANK.EQ(V826,$V$2:$V$1031)</f>
        <v/>
      </c>
      <c r="X826" s="13" t="n">
        <v>1389.7333333333</v>
      </c>
      <c r="Y826" s="13" t="n">
        <v>25</v>
      </c>
      <c r="Z826" s="13" t="n">
        <v>25</v>
      </c>
      <c r="AA826" s="13" t="n">
        <v>24</v>
      </c>
      <c r="AB826" s="13">
        <f>IF(ISNUMBER(X826),X826+N(Y826)+N(Z826)+N(AA826),X826)</f>
        <v/>
      </c>
      <c r="AC826" s="13">
        <f>IF(ISNUMBER(AB826),AB826,"")</f>
        <v/>
      </c>
      <c r="AD826" s="13">
        <f>IF(ISNUMBER(AC826),_xlfn.RANK.EQ(AC826,$AC$2:$AC$1031),"")</f>
        <v/>
      </c>
      <c r="AE826" s="15">
        <f>IF(ISNUMBER(AF826),AF826/3630,"")</f>
        <v/>
      </c>
      <c r="AF826" s="14">
        <f>IFERROR(C826+D826+E826+F826+J826+K826+L826+M826+Q826+R826+S826+T826+IF(ISNUMBER(X826),X826,0)+N(Y826)+N(Z826)+N(AA826),"")</f>
        <v/>
      </c>
      <c r="AG826" s="14">
        <f>IF(ISNUMBER(AF826),AF826,"")</f>
        <v/>
      </c>
      <c r="AH826" s="14">
        <f>IF(ISNUMBER(AG826),_xlfn.RANK.EQ(AG826,$AG$2:$AG$1031),"")</f>
        <v/>
      </c>
    </row>
    <row r="827">
      <c r="A827" s="18" t="n">
        <v>1979</v>
      </c>
      <c r="B827" s="18" t="inlineStr">
        <is>
          <t>ملك محمد محمد عبد النبي</t>
        </is>
      </c>
      <c r="C827" s="1" t="n">
        <v>608.7</v>
      </c>
      <c r="D827" s="1" t="n">
        <v>23</v>
      </c>
      <c r="E827" s="1" t="n">
        <v>23</v>
      </c>
      <c r="F827" s="1" t="n">
        <v>23</v>
      </c>
      <c r="G827" s="1">
        <f>C827+D827+E827+F827</f>
        <v/>
      </c>
      <c r="H827" s="1">
        <f>IF(ISNUMBER(G827),G827,"")</f>
        <v/>
      </c>
      <c r="I827" s="1">
        <f>_xlfn.RANK.EQ(H827,$H$2:$H$1031)</f>
        <v/>
      </c>
      <c r="J827" s="5" t="n">
        <v>596</v>
      </c>
      <c r="K827" s="5" t="n">
        <v>46</v>
      </c>
      <c r="L827" s="5" t="n">
        <v>22</v>
      </c>
      <c r="M827" s="5" t="n">
        <v>23</v>
      </c>
      <c r="N827" s="5">
        <f>J827+K827+L827+M827</f>
        <v/>
      </c>
      <c r="O827" s="5">
        <f>IF(ISNUMBER(N827),N827,"")</f>
        <v/>
      </c>
      <c r="P827" s="5">
        <f>_xlfn.RANK.EQ(O827,$O$2:$O$1031)</f>
        <v/>
      </c>
      <c r="Q827" s="9" t="n">
        <v>252.25</v>
      </c>
      <c r="R827" s="9" t="n">
        <v>46.5</v>
      </c>
      <c r="S827" s="9" t="n">
        <v>22</v>
      </c>
      <c r="T827" s="9" t="n">
        <v>25</v>
      </c>
      <c r="U827" s="9">
        <f>Q827+R827+S827+T827</f>
        <v/>
      </c>
      <c r="V827" s="9">
        <f>IF(ISNUMBER(U827),U827,"")</f>
        <v/>
      </c>
      <c r="W827" s="9">
        <f>_xlfn.RANK.EQ(V827,$V$2:$V$1031)</f>
        <v/>
      </c>
      <c r="X827" s="13" t="n">
        <v>1499.7625</v>
      </c>
      <c r="Y827" s="13" t="n">
        <v>25</v>
      </c>
      <c r="Z827" s="13" t="n">
        <v>25</v>
      </c>
      <c r="AA827" s="13" t="n">
        <v>25</v>
      </c>
      <c r="AB827" s="13">
        <f>IF(ISNUMBER(X827),X827+N(Y827)+N(Z827)+N(AA827),X827)</f>
        <v/>
      </c>
      <c r="AC827" s="13">
        <f>IF(ISNUMBER(AB827),AB827,"")</f>
        <v/>
      </c>
      <c r="AD827" s="13">
        <f>IF(ISNUMBER(AC827),_xlfn.RANK.EQ(AC827,$AC$2:$AC$1031),"")</f>
        <v/>
      </c>
      <c r="AE827" s="15">
        <f>IF(ISNUMBER(AF827),AF827/3630,"")</f>
        <v/>
      </c>
      <c r="AF827" s="14">
        <f>IFERROR(C827+D827+E827+F827+J827+K827+L827+M827+Q827+R827+S827+T827+IF(ISNUMBER(X827),X827,0)+N(Y827)+N(Z827)+N(AA827),"")</f>
        <v/>
      </c>
      <c r="AG827" s="14">
        <f>IF(ISNUMBER(AF827),AF827,"")</f>
        <v/>
      </c>
      <c r="AH827" s="14">
        <f>IF(ISNUMBER(AG827),_xlfn.RANK.EQ(AG827,$AG$2:$AG$1031),"")</f>
        <v/>
      </c>
    </row>
    <row r="828">
      <c r="A828" s="18" t="n">
        <v>1980</v>
      </c>
      <c r="B828" s="18" t="inlineStr">
        <is>
          <t>ملك محمود شهير ربيع</t>
        </is>
      </c>
      <c r="C828" s="1" t="n">
        <v>652.6</v>
      </c>
      <c r="D828" s="1" t="n">
        <v>25</v>
      </c>
      <c r="E828" s="1" t="n">
        <v>24</v>
      </c>
      <c r="F828" s="1" t="n">
        <v>24</v>
      </c>
      <c r="G828" s="1">
        <f>C828+D828+E828+F828</f>
        <v/>
      </c>
      <c r="H828" s="1">
        <f>IF(ISNUMBER(G828),G828,"")</f>
        <v/>
      </c>
      <c r="I828" s="1">
        <f>_xlfn.RANK.EQ(H828,$H$2:$H$1031)</f>
        <v/>
      </c>
      <c r="J828" s="5" t="n">
        <v>643</v>
      </c>
      <c r="K828" s="5" t="n">
        <v>49</v>
      </c>
      <c r="L828" s="5" t="n">
        <v>23</v>
      </c>
      <c r="M828" s="5" t="n">
        <v>25</v>
      </c>
      <c r="N828" s="5">
        <f>J828+K828+L828+M828</f>
        <v/>
      </c>
      <c r="O828" s="5">
        <f>IF(ISNUMBER(N828),N828,"")</f>
        <v/>
      </c>
      <c r="P828" s="5">
        <f>_xlfn.RANK.EQ(O828,$O$2:$O$1031)</f>
        <v/>
      </c>
      <c r="Q828" s="9" t="n">
        <v>285</v>
      </c>
      <c r="R828" s="9" t="n">
        <v>49</v>
      </c>
      <c r="S828" s="9" t="n">
        <v>25</v>
      </c>
      <c r="T828" s="9" t="n">
        <v>25</v>
      </c>
      <c r="U828" s="9">
        <f>Q828+R828+S828+T828</f>
        <v/>
      </c>
      <c r="V828" s="9">
        <f>IF(ISNUMBER(U828),U828,"")</f>
        <v/>
      </c>
      <c r="W828" s="9">
        <f>_xlfn.RANK.EQ(V828,$V$2:$V$1031)</f>
        <v/>
      </c>
      <c r="X828" s="13" t="n">
        <v>1553.9916666667</v>
      </c>
      <c r="Y828" s="13" t="n">
        <v>25</v>
      </c>
      <c r="Z828" s="13" t="n">
        <v>24</v>
      </c>
      <c r="AA828" s="13" t="n">
        <v>25</v>
      </c>
      <c r="AB828" s="13">
        <f>IF(ISNUMBER(X828),X828+N(Y828)+N(Z828)+N(AA828),X828)</f>
        <v/>
      </c>
      <c r="AC828" s="13">
        <f>IF(ISNUMBER(AB828),AB828,"")</f>
        <v/>
      </c>
      <c r="AD828" s="13">
        <f>IF(ISNUMBER(AC828),_xlfn.RANK.EQ(AC828,$AC$2:$AC$1031),"")</f>
        <v/>
      </c>
      <c r="AE828" s="15">
        <f>IF(ISNUMBER(AF828),AF828/3630,"")</f>
        <v/>
      </c>
      <c r="AF828" s="14">
        <f>IFERROR(C828+D828+E828+F828+J828+K828+L828+M828+Q828+R828+S828+T828+IF(ISNUMBER(X828),X828,0)+N(Y828)+N(Z828)+N(AA828),"")</f>
        <v/>
      </c>
      <c r="AG828" s="14">
        <f>IF(ISNUMBER(AF828),AF828,"")</f>
        <v/>
      </c>
      <c r="AH828" s="14">
        <f>IF(ISNUMBER(AG828),_xlfn.RANK.EQ(AG828,$AG$2:$AG$1031),"")</f>
        <v/>
      </c>
    </row>
    <row r="829">
      <c r="A829" s="18" t="n">
        <v>1981</v>
      </c>
      <c r="B829" s="18" t="inlineStr">
        <is>
          <t>ملك هشام عبدالرحمن  خليل</t>
        </is>
      </c>
      <c r="C829" s="1" t="n">
        <v>418</v>
      </c>
      <c r="D829" s="1" t="n">
        <v>15</v>
      </c>
      <c r="E829" s="1" t="n">
        <v>14</v>
      </c>
      <c r="F829" s="1" t="n">
        <v>18</v>
      </c>
      <c r="G829" s="1">
        <f>C829+D829+E829+F829</f>
        <v/>
      </c>
      <c r="H829" s="1">
        <f>IF(ISNUMBER(G829),G829,"")</f>
        <v/>
      </c>
      <c r="I829" s="1">
        <f>_xlfn.RANK.EQ(H829,$H$2:$H$1031)</f>
        <v/>
      </c>
      <c r="J829" s="5" t="n">
        <v>390</v>
      </c>
      <c r="K829" s="5" t="n">
        <v>26</v>
      </c>
      <c r="L829" s="5" t="n">
        <v>17</v>
      </c>
      <c r="M829" s="5" t="n">
        <v>12</v>
      </c>
      <c r="N829" s="5">
        <f>J829+K829+L829+M829</f>
        <v/>
      </c>
      <c r="O829" s="5">
        <f>IF(ISNUMBER(N829),N829,"")</f>
        <v/>
      </c>
      <c r="P829" s="5">
        <f>_xlfn.RANK.EQ(O829,$O$2:$O$1031)</f>
        <v/>
      </c>
      <c r="Q829" s="9" t="n">
        <v>107.75</v>
      </c>
      <c r="R829" s="9" t="n">
        <v>20.5</v>
      </c>
      <c r="S829" s="9" t="n">
        <v>11</v>
      </c>
      <c r="T829" s="9" t="n">
        <v>13</v>
      </c>
      <c r="U829" s="9">
        <f>Q829+R829+S829+T829</f>
        <v/>
      </c>
      <c r="V829" s="9">
        <f>IF(ISNUMBER(U829),U829,"")</f>
        <v/>
      </c>
      <c r="W829" s="9">
        <f>_xlfn.RANK.EQ(V829,$V$2:$V$1031)</f>
        <v/>
      </c>
      <c r="X829" s="13" t="inlineStr">
        <is>
          <t>راسب</t>
        </is>
      </c>
      <c r="Y829" s="13" t="n">
        <v>13</v>
      </c>
      <c r="Z829" s="13" t="n">
        <v>12</v>
      </c>
      <c r="AA829" s="13" t="n">
        <v>14</v>
      </c>
      <c r="AB829" s="13">
        <f>IF(ISNUMBER(X829),X829+N(Y829)+N(Z829)+N(AA829),X829)</f>
        <v/>
      </c>
      <c r="AC829" s="13">
        <f>IF(ISNUMBER(AB829),AB829,"")</f>
        <v/>
      </c>
      <c r="AD829" s="13">
        <f>IF(ISNUMBER(AC829),_xlfn.RANK.EQ(AC829,$AC$2:$AC$1031),"")</f>
        <v/>
      </c>
      <c r="AE829" s="15">
        <f>IF(ISNUMBER(AF829),AF829/3630,"")</f>
        <v/>
      </c>
      <c r="AF829" s="14">
        <f>IFERROR(C829+D829+E829+F829+J829+K829+L829+M829+Q829+R829+S829+T829+IF(ISNUMBER(X829),X829,0)+N(Y829)+N(Z829)+N(AA829),"")</f>
        <v/>
      </c>
      <c r="AG829" s="14">
        <f>IF(ISNUMBER(AF829),AF829,"")</f>
        <v/>
      </c>
      <c r="AH829" s="14">
        <f>IF(ISNUMBER(AG829),_xlfn.RANK.EQ(AG829,$AG$2:$AG$1031),"")</f>
        <v/>
      </c>
    </row>
    <row r="830">
      <c r="A830" s="18" t="n">
        <v>1982</v>
      </c>
      <c r="B830" s="18" t="inlineStr">
        <is>
          <t>ملك ياسر السيد ادريس</t>
        </is>
      </c>
      <c r="C830" s="1" t="n">
        <v>570.1</v>
      </c>
      <c r="D830" s="1" t="n">
        <v>23</v>
      </c>
      <c r="E830" s="1" t="n">
        <v>24</v>
      </c>
      <c r="F830" s="1" t="n">
        <v>23</v>
      </c>
      <c r="G830" s="1">
        <f>C830+D830+E830+F830</f>
        <v/>
      </c>
      <c r="H830" s="1">
        <f>IF(ISNUMBER(G830),G830,"")</f>
        <v/>
      </c>
      <c r="I830" s="1">
        <f>_xlfn.RANK.EQ(H830,$H$2:$H$1031)</f>
        <v/>
      </c>
      <c r="J830" s="5" t="n">
        <v>555</v>
      </c>
      <c r="K830" s="5" t="n">
        <v>41</v>
      </c>
      <c r="L830" s="5" t="n">
        <v>21</v>
      </c>
      <c r="M830" s="5" t="n">
        <v>20</v>
      </c>
      <c r="N830" s="5">
        <f>J830+K830+L830+M830</f>
        <v/>
      </c>
      <c r="O830" s="5">
        <f>IF(ISNUMBER(N830),N830,"")</f>
        <v/>
      </c>
      <c r="P830" s="5">
        <f>_xlfn.RANK.EQ(O830,$O$2:$O$1031)</f>
        <v/>
      </c>
      <c r="Q830" s="9" t="n">
        <v>192.25</v>
      </c>
      <c r="R830" s="9" t="n">
        <v>41.5</v>
      </c>
      <c r="S830" s="9" t="n">
        <v>22</v>
      </c>
      <c r="T830" s="9" t="n">
        <v>24</v>
      </c>
      <c r="U830" s="9">
        <f>Q830+R830+S830+T830</f>
        <v/>
      </c>
      <c r="V830" s="9">
        <f>IF(ISNUMBER(U830),U830,"")</f>
        <v/>
      </c>
      <c r="W830" s="9">
        <f>_xlfn.RANK.EQ(V830,$V$2:$V$1031)</f>
        <v/>
      </c>
      <c r="X830" s="13" t="n">
        <v>1280.3333333333</v>
      </c>
      <c r="Y830" s="13" t="n">
        <v>25</v>
      </c>
      <c r="Z830" s="13" t="n">
        <v>24</v>
      </c>
      <c r="AA830" s="13" t="n">
        <v>25</v>
      </c>
      <c r="AB830" s="13">
        <f>IF(ISNUMBER(X830),X830+N(Y830)+N(Z830)+N(AA830),X830)</f>
        <v/>
      </c>
      <c r="AC830" s="13">
        <f>IF(ISNUMBER(AB830),AB830,"")</f>
        <v/>
      </c>
      <c r="AD830" s="13">
        <f>IF(ISNUMBER(AC830),_xlfn.RANK.EQ(AC830,$AC$2:$AC$1031),"")</f>
        <v/>
      </c>
      <c r="AE830" s="15">
        <f>IF(ISNUMBER(AF830),AF830/3630,"")</f>
        <v/>
      </c>
      <c r="AF830" s="14">
        <f>IFERROR(C830+D830+E830+F830+J830+K830+L830+M830+Q830+R830+S830+T830+IF(ISNUMBER(X830),X830,0)+N(Y830)+N(Z830)+N(AA830),"")</f>
        <v/>
      </c>
      <c r="AG830" s="14">
        <f>IF(ISNUMBER(AF830),AF830,"")</f>
        <v/>
      </c>
      <c r="AH830" s="14">
        <f>IF(ISNUMBER(AG830),_xlfn.RANK.EQ(AG830,$AG$2:$AG$1031),"")</f>
        <v/>
      </c>
    </row>
    <row r="831">
      <c r="A831" s="18" t="n">
        <v>1986</v>
      </c>
      <c r="B831" s="18" t="inlineStr">
        <is>
          <t>منار خميس فرج عبدالحليم</t>
        </is>
      </c>
      <c r="C831" s="1" t="n">
        <v>519.2</v>
      </c>
      <c r="D831" s="1" t="n">
        <v>25</v>
      </c>
      <c r="E831" s="1" t="n">
        <v>20</v>
      </c>
      <c r="F831" s="1" t="n">
        <v>20</v>
      </c>
      <c r="G831" s="1">
        <f>C831+D831+E831+F831</f>
        <v/>
      </c>
      <c r="H831" s="1">
        <f>IF(ISNUMBER(G831),G831,"")</f>
        <v/>
      </c>
      <c r="I831" s="1">
        <f>_xlfn.RANK.EQ(H831,$H$2:$H$1031)</f>
        <v/>
      </c>
      <c r="J831" s="5" t="n">
        <v>601</v>
      </c>
      <c r="K831" s="5" t="n">
        <v>47</v>
      </c>
      <c r="L831" s="5" t="n">
        <v>22</v>
      </c>
      <c r="M831" s="5" t="n">
        <v>20</v>
      </c>
      <c r="N831" s="5">
        <f>J831+K831+L831+M831</f>
        <v/>
      </c>
      <c r="O831" s="5">
        <f>IF(ISNUMBER(N831),N831,"")</f>
        <v/>
      </c>
      <c r="P831" s="5">
        <f>_xlfn.RANK.EQ(O831,$O$2:$O$1031)</f>
        <v/>
      </c>
      <c r="Q831" s="9" t="n">
        <v>275.25</v>
      </c>
      <c r="R831" s="9" t="n">
        <v>46.5</v>
      </c>
      <c r="S831" s="9" t="n">
        <v>24</v>
      </c>
      <c r="T831" s="9" t="n">
        <v>25</v>
      </c>
      <c r="U831" s="9">
        <f>Q831+R831+S831+T831</f>
        <v/>
      </c>
      <c r="V831" s="9">
        <f>IF(ISNUMBER(U831),U831,"")</f>
        <v/>
      </c>
      <c r="W831" s="9">
        <f>_xlfn.RANK.EQ(V831,$V$2:$V$1031)</f>
        <v/>
      </c>
      <c r="X831" s="13" t="n">
        <v>1491.8458333333</v>
      </c>
      <c r="Y831" s="13" t="n">
        <v>25</v>
      </c>
      <c r="Z831" s="13" t="n">
        <v>25</v>
      </c>
      <c r="AA831" s="13" t="n">
        <v>25</v>
      </c>
      <c r="AB831" s="13">
        <f>IF(ISNUMBER(X831),X831+N(Y831)+N(Z831)+N(AA831),X831)</f>
        <v/>
      </c>
      <c r="AC831" s="13">
        <f>IF(ISNUMBER(AB831),AB831,"")</f>
        <v/>
      </c>
      <c r="AD831" s="13">
        <f>IF(ISNUMBER(AC831),_xlfn.RANK.EQ(AC831,$AC$2:$AC$1031),"")</f>
        <v/>
      </c>
      <c r="AE831" s="15">
        <f>IF(ISNUMBER(AF831),AF831/3630,"")</f>
        <v/>
      </c>
      <c r="AF831" s="14">
        <f>IFERROR(C831+D831+E831+F831+J831+K831+L831+M831+Q831+R831+S831+T831+IF(ISNUMBER(X831),X831,0)+N(Y831)+N(Z831)+N(AA831),"")</f>
        <v/>
      </c>
      <c r="AG831" s="14">
        <f>IF(ISNUMBER(AF831),AF831,"")</f>
        <v/>
      </c>
      <c r="AH831" s="14">
        <f>IF(ISNUMBER(AG831),_xlfn.RANK.EQ(AG831,$AG$2:$AG$1031),"")</f>
        <v/>
      </c>
    </row>
    <row r="832">
      <c r="A832" s="18" t="n">
        <v>1987</v>
      </c>
      <c r="B832" s="18" t="inlineStr">
        <is>
          <t>منار شحاتة خميس عبد المعطى سعد</t>
        </is>
      </c>
      <c r="C832" s="1" t="n">
        <v>576.2</v>
      </c>
      <c r="D832" s="1" t="n">
        <v>24</v>
      </c>
      <c r="E832" s="1" t="n">
        <v>24</v>
      </c>
      <c r="F832" s="1" t="n">
        <v>23</v>
      </c>
      <c r="G832" s="1">
        <f>C832+D832+E832+F832</f>
        <v/>
      </c>
      <c r="H832" s="1">
        <f>IF(ISNUMBER(G832),G832,"")</f>
        <v/>
      </c>
      <c r="I832" s="1">
        <f>_xlfn.RANK.EQ(H832,$H$2:$H$1031)</f>
        <v/>
      </c>
      <c r="J832" s="5" t="n">
        <v>590.5</v>
      </c>
      <c r="K832" s="5" t="n">
        <v>47</v>
      </c>
      <c r="L832" s="5" t="n">
        <v>23</v>
      </c>
      <c r="M832" s="5" t="n">
        <v>21</v>
      </c>
      <c r="N832" s="5">
        <f>J832+K832+L832+M832</f>
        <v/>
      </c>
      <c r="O832" s="5">
        <f>IF(ISNUMBER(N832),N832,"")</f>
        <v/>
      </c>
      <c r="P832" s="5">
        <f>_xlfn.RANK.EQ(O832,$O$2:$O$1031)</f>
        <v/>
      </c>
      <c r="Q832" s="9" t="n">
        <v>256.5</v>
      </c>
      <c r="R832" s="9" t="n">
        <v>44.5</v>
      </c>
      <c r="S832" s="9" t="n">
        <v>24</v>
      </c>
      <c r="T832" s="9" t="n">
        <v>25</v>
      </c>
      <c r="U832" s="9">
        <f>Q832+R832+S832+T832</f>
        <v/>
      </c>
      <c r="V832" s="9">
        <f>IF(ISNUMBER(U832),U832,"")</f>
        <v/>
      </c>
      <c r="W832" s="9">
        <f>_xlfn.RANK.EQ(V832,$V$2:$V$1031)</f>
        <v/>
      </c>
      <c r="X832" s="13" t="inlineStr">
        <is>
          <t>غ ب</t>
        </is>
      </c>
      <c r="Y832" s="13" t="n">
        <v>25</v>
      </c>
      <c r="Z832" s="13" t="n">
        <v>24</v>
      </c>
      <c r="AA832" s="13" t="n">
        <v>22</v>
      </c>
      <c r="AB832" s="13">
        <f>IF(ISNUMBER(X832),X832+N(Y832)+N(Z832)+N(AA832),X832)</f>
        <v/>
      </c>
      <c r="AC832" s="13">
        <f>IF(ISNUMBER(AB832),AB832,"")</f>
        <v/>
      </c>
      <c r="AD832" s="13">
        <f>IF(ISNUMBER(AC832),_xlfn.RANK.EQ(AC832,$AC$2:$AC$1031),"")</f>
        <v/>
      </c>
      <c r="AE832" s="15">
        <f>IF(ISNUMBER(AF832),AF832/3630,"")</f>
        <v/>
      </c>
      <c r="AF832" s="14">
        <f>IFERROR(C832+D832+E832+F832+J832+K832+L832+M832+Q832+R832+S832+T832+IF(ISNUMBER(X832),X832,0)+N(Y832)+N(Z832)+N(AA832),"")</f>
        <v/>
      </c>
      <c r="AG832" s="14">
        <f>IF(ISNUMBER(AF832),AF832,"")</f>
        <v/>
      </c>
      <c r="AH832" s="14">
        <f>IF(ISNUMBER(AG832),_xlfn.RANK.EQ(AG832,$AG$2:$AG$1031),"")</f>
        <v/>
      </c>
    </row>
    <row r="833">
      <c r="A833" s="18" t="n">
        <v>1989</v>
      </c>
      <c r="B833" s="18" t="inlineStr">
        <is>
          <t>منار عبده السيد عبده أبو عوف</t>
        </is>
      </c>
      <c r="C833" s="1" t="n">
        <v>638.7</v>
      </c>
      <c r="D833" s="1" t="n">
        <v>25</v>
      </c>
      <c r="E833" s="1" t="n">
        <v>25</v>
      </c>
      <c r="F833" s="1" t="n">
        <v>24</v>
      </c>
      <c r="G833" s="1">
        <f>C833+D833+E833+F833</f>
        <v/>
      </c>
      <c r="H833" s="1">
        <f>IF(ISNUMBER(G833),G833,"")</f>
        <v/>
      </c>
      <c r="I833" s="1">
        <f>_xlfn.RANK.EQ(H833,$H$2:$H$1031)</f>
        <v/>
      </c>
      <c r="J833" s="5" t="n">
        <v>622.5</v>
      </c>
      <c r="K833" s="5" t="n">
        <v>47</v>
      </c>
      <c r="L833" s="5" t="n">
        <v>20</v>
      </c>
      <c r="M833" s="5" t="n">
        <v>23</v>
      </c>
      <c r="N833" s="5">
        <f>J833+K833+L833+M833</f>
        <v/>
      </c>
      <c r="O833" s="5">
        <f>IF(ISNUMBER(N833),N833,"")</f>
        <v/>
      </c>
      <c r="P833" s="5">
        <f>_xlfn.RANK.EQ(O833,$O$2:$O$1031)</f>
        <v/>
      </c>
      <c r="Q833" s="9" t="n">
        <v>227</v>
      </c>
      <c r="R833" s="9" t="n">
        <v>47.5</v>
      </c>
      <c r="S833" s="9" t="n">
        <v>23</v>
      </c>
      <c r="T833" s="9" t="n">
        <v>25</v>
      </c>
      <c r="U833" s="9">
        <f>Q833+R833+S833+T833</f>
        <v/>
      </c>
      <c r="V833" s="9">
        <f>IF(ISNUMBER(U833),U833,"")</f>
        <v/>
      </c>
      <c r="W833" s="9">
        <f>_xlfn.RANK.EQ(V833,$V$2:$V$1031)</f>
        <v/>
      </c>
      <c r="X833" s="13" t="n">
        <v>1326.6916666667</v>
      </c>
      <c r="Y833" s="13" t="n">
        <v>24</v>
      </c>
      <c r="Z833" s="13" t="n">
        <v>23</v>
      </c>
      <c r="AA833" s="13" t="n">
        <v>24</v>
      </c>
      <c r="AB833" s="13">
        <f>IF(ISNUMBER(X833),X833+N(Y833)+N(Z833)+N(AA833),X833)</f>
        <v/>
      </c>
      <c r="AC833" s="13">
        <f>IF(ISNUMBER(AB833),AB833,"")</f>
        <v/>
      </c>
      <c r="AD833" s="13">
        <f>IF(ISNUMBER(AC833),_xlfn.RANK.EQ(AC833,$AC$2:$AC$1031),"")</f>
        <v/>
      </c>
      <c r="AE833" s="15">
        <f>IF(ISNUMBER(AF833),AF833/3630,"")</f>
        <v/>
      </c>
      <c r="AF833" s="14">
        <f>IFERROR(C833+D833+E833+F833+J833+K833+L833+M833+Q833+R833+S833+T833+IF(ISNUMBER(X833),X833,0)+N(Y833)+N(Z833)+N(AA833),"")</f>
        <v/>
      </c>
      <c r="AG833" s="14">
        <f>IF(ISNUMBER(AF833),AF833,"")</f>
        <v/>
      </c>
      <c r="AH833" s="14">
        <f>IF(ISNUMBER(AG833),_xlfn.RANK.EQ(AG833,$AG$2:$AG$1031),"")</f>
        <v/>
      </c>
    </row>
    <row r="834">
      <c r="A834" s="18" t="n">
        <v>1994</v>
      </c>
      <c r="B834" s="18" t="inlineStr">
        <is>
          <t>منة الله خالد مختار عبدالباقى شعيب</t>
        </is>
      </c>
      <c r="C834" s="1" t="n">
        <v>491.7</v>
      </c>
      <c r="D834" s="1" t="n">
        <v>22</v>
      </c>
      <c r="E834" s="1" t="n">
        <v>22</v>
      </c>
      <c r="F834" s="1" t="n">
        <v>17</v>
      </c>
      <c r="G834" s="1">
        <f>C834+D834+E834+F834</f>
        <v/>
      </c>
      <c r="H834" s="1">
        <f>IF(ISNUMBER(G834),G834,"")</f>
        <v/>
      </c>
      <c r="I834" s="1">
        <f>_xlfn.RANK.EQ(H834,$H$2:$H$1031)</f>
        <v/>
      </c>
      <c r="J834" s="5" t="n">
        <v>505.5</v>
      </c>
      <c r="K834" s="5" t="n">
        <v>40</v>
      </c>
      <c r="L834" s="5" t="n">
        <v>18</v>
      </c>
      <c r="M834" s="5" t="n">
        <v>21</v>
      </c>
      <c r="N834" s="5">
        <f>J834+K834+L834+M834</f>
        <v/>
      </c>
      <c r="O834" s="5">
        <f>IF(ISNUMBER(N834),N834,"")</f>
        <v/>
      </c>
      <c r="P834" s="5">
        <f>_xlfn.RANK.EQ(O834,$O$2:$O$1031)</f>
        <v/>
      </c>
      <c r="Q834" s="9" t="n">
        <v>256.25</v>
      </c>
      <c r="R834" s="9" t="n">
        <v>45</v>
      </c>
      <c r="S834" s="9" t="n">
        <v>23</v>
      </c>
      <c r="T834" s="9" t="n">
        <v>24</v>
      </c>
      <c r="U834" s="9">
        <f>Q834+R834+S834+T834</f>
        <v/>
      </c>
      <c r="V834" s="9">
        <f>IF(ISNUMBER(U834),U834,"")</f>
        <v/>
      </c>
      <c r="W834" s="9">
        <f>_xlfn.RANK.EQ(V834,$V$2:$V$1031)</f>
        <v/>
      </c>
      <c r="X834" s="13" t="n">
        <v>1230.0791666667</v>
      </c>
      <c r="Y834" s="13" t="n">
        <v>25</v>
      </c>
      <c r="Z834" s="13" t="n">
        <v>23</v>
      </c>
      <c r="AA834" s="13" t="n">
        <v>25</v>
      </c>
      <c r="AB834" s="13">
        <f>IF(ISNUMBER(X834),X834+N(Y834)+N(Z834)+N(AA834),X834)</f>
        <v/>
      </c>
      <c r="AC834" s="13">
        <f>IF(ISNUMBER(AB834),AB834,"")</f>
        <v/>
      </c>
      <c r="AD834" s="13">
        <f>IF(ISNUMBER(AC834),_xlfn.RANK.EQ(AC834,$AC$2:$AC$1031),"")</f>
        <v/>
      </c>
      <c r="AE834" s="15">
        <f>IF(ISNUMBER(AF834),AF834/3630,"")</f>
        <v/>
      </c>
      <c r="AF834" s="14">
        <f>IFERROR(C834+D834+E834+F834+J834+K834+L834+M834+Q834+R834+S834+T834+IF(ISNUMBER(X834),X834,0)+N(Y834)+N(Z834)+N(AA834),"")</f>
        <v/>
      </c>
      <c r="AG834" s="14">
        <f>IF(ISNUMBER(AF834),AF834,"")</f>
        <v/>
      </c>
      <c r="AH834" s="14">
        <f>IF(ISNUMBER(AG834),_xlfn.RANK.EQ(AG834,$AG$2:$AG$1031),"")</f>
        <v/>
      </c>
    </row>
    <row r="835">
      <c r="A835" s="18" t="n">
        <v>1996</v>
      </c>
      <c r="B835" s="18" t="inlineStr">
        <is>
          <t>منة الله احمد السيد الرومى</t>
        </is>
      </c>
      <c r="C835" s="1" t="n">
        <v>633.6</v>
      </c>
      <c r="D835" s="1" t="n">
        <v>25</v>
      </c>
      <c r="E835" s="1" t="n">
        <v>25</v>
      </c>
      <c r="F835" s="1" t="n">
        <v>25</v>
      </c>
      <c r="G835" s="1">
        <f>C835+D835+E835+F835</f>
        <v/>
      </c>
      <c r="H835" s="1">
        <f>IF(ISNUMBER(G835),G835,"")</f>
        <v/>
      </c>
      <c r="I835" s="1">
        <f>_xlfn.RANK.EQ(H835,$H$2:$H$1031)</f>
        <v/>
      </c>
      <c r="J835" s="5" t="n">
        <v>625</v>
      </c>
      <c r="K835" s="5" t="n">
        <v>47</v>
      </c>
      <c r="L835" s="5" t="n">
        <v>21</v>
      </c>
      <c r="M835" s="5" t="n">
        <v>22</v>
      </c>
      <c r="N835" s="5">
        <f>J835+K835+L835+M835</f>
        <v/>
      </c>
      <c r="O835" s="5">
        <f>IF(ISNUMBER(N835),N835,"")</f>
        <v/>
      </c>
      <c r="P835" s="5">
        <f>_xlfn.RANK.EQ(O835,$O$2:$O$1031)</f>
        <v/>
      </c>
      <c r="Q835" s="9" t="n">
        <v>253.5</v>
      </c>
      <c r="R835" s="9" t="n">
        <v>45.5</v>
      </c>
      <c r="S835" s="9" t="n">
        <v>24</v>
      </c>
      <c r="T835" s="9" t="n">
        <v>24</v>
      </c>
      <c r="U835" s="9">
        <f>Q835+R835+S835+T835</f>
        <v/>
      </c>
      <c r="V835" s="9">
        <f>IF(ISNUMBER(U835),U835,"")</f>
        <v/>
      </c>
      <c r="W835" s="9">
        <f>_xlfn.RANK.EQ(V835,$V$2:$V$1031)</f>
        <v/>
      </c>
      <c r="X835" s="13" t="n">
        <v>1434.0333333333</v>
      </c>
      <c r="Y835" s="13" t="n">
        <v>25</v>
      </c>
      <c r="Z835" s="13" t="n">
        <v>25</v>
      </c>
      <c r="AA835" s="13" t="n">
        <v>25</v>
      </c>
      <c r="AB835" s="13">
        <f>IF(ISNUMBER(X835),X835+N(Y835)+N(Z835)+N(AA835),X835)</f>
        <v/>
      </c>
      <c r="AC835" s="13">
        <f>IF(ISNUMBER(AB835),AB835,"")</f>
        <v/>
      </c>
      <c r="AD835" s="13">
        <f>IF(ISNUMBER(AC835),_xlfn.RANK.EQ(AC835,$AC$2:$AC$1031),"")</f>
        <v/>
      </c>
      <c r="AE835" s="15">
        <f>IF(ISNUMBER(AF835),AF835/3630,"")</f>
        <v/>
      </c>
      <c r="AF835" s="14">
        <f>IFERROR(C835+D835+E835+F835+J835+K835+L835+M835+Q835+R835+S835+T835+IF(ISNUMBER(X835),X835,0)+N(Y835)+N(Z835)+N(AA835),"")</f>
        <v/>
      </c>
      <c r="AG835" s="14">
        <f>IF(ISNUMBER(AF835),AF835,"")</f>
        <v/>
      </c>
      <c r="AH835" s="14">
        <f>IF(ISNUMBER(AG835),_xlfn.RANK.EQ(AG835,$AG$2:$AG$1031),"")</f>
        <v/>
      </c>
    </row>
    <row r="836">
      <c r="A836" s="18" t="n">
        <v>1997</v>
      </c>
      <c r="B836" s="18" t="inlineStr">
        <is>
          <t>منة الله احمد عبدالمنعم عبدالفتاح</t>
        </is>
      </c>
      <c r="C836" s="1" t="n">
        <v>462.8</v>
      </c>
      <c r="D836" s="1" t="n">
        <v>20</v>
      </c>
      <c r="E836" s="1" t="n">
        <v>18</v>
      </c>
      <c r="F836" s="1" t="n">
        <v>19</v>
      </c>
      <c r="G836" s="1">
        <f>C836+D836+E836+F836</f>
        <v/>
      </c>
      <c r="H836" s="1">
        <f>IF(ISNUMBER(G836),G836,"")</f>
        <v/>
      </c>
      <c r="I836" s="1">
        <f>_xlfn.RANK.EQ(H836,$H$2:$H$1031)</f>
        <v/>
      </c>
      <c r="J836" s="5" t="n">
        <v>494</v>
      </c>
      <c r="K836" s="5" t="n">
        <v>34</v>
      </c>
      <c r="L836" s="5" t="n">
        <v>23</v>
      </c>
      <c r="M836" s="5" t="n">
        <v>22</v>
      </c>
      <c r="N836" s="5">
        <f>J836+K836+L836+M836</f>
        <v/>
      </c>
      <c r="O836" s="5">
        <f>IF(ISNUMBER(N836),N836,"")</f>
        <v/>
      </c>
      <c r="P836" s="5">
        <f>_xlfn.RANK.EQ(O836,$O$2:$O$1031)</f>
        <v/>
      </c>
      <c r="Q836" s="9" t="n">
        <v>164.75</v>
      </c>
      <c r="R836" s="9" t="n">
        <v>37</v>
      </c>
      <c r="S836" s="9" t="n">
        <v>24</v>
      </c>
      <c r="T836" s="9" t="n">
        <v>24</v>
      </c>
      <c r="U836" s="9">
        <f>Q836+R836+S836+T836</f>
        <v/>
      </c>
      <c r="V836" s="9">
        <f>IF(ISNUMBER(U836),U836,"")</f>
        <v/>
      </c>
      <c r="W836" s="9">
        <f>_xlfn.RANK.EQ(V836,$V$2:$V$1031)</f>
        <v/>
      </c>
      <c r="X836" s="13" t="n">
        <v>1202.9791666667</v>
      </c>
      <c r="Y836" s="13" t="n">
        <v>23</v>
      </c>
      <c r="Z836" s="13" t="n">
        <v>21</v>
      </c>
      <c r="AA836" s="13" t="n">
        <v>24</v>
      </c>
      <c r="AB836" s="13">
        <f>IF(ISNUMBER(X836),X836+N(Y836)+N(Z836)+N(AA836),X836)</f>
        <v/>
      </c>
      <c r="AC836" s="13">
        <f>IF(ISNUMBER(AB836),AB836,"")</f>
        <v/>
      </c>
      <c r="AD836" s="13">
        <f>IF(ISNUMBER(AC836),_xlfn.RANK.EQ(AC836,$AC$2:$AC$1031),"")</f>
        <v/>
      </c>
      <c r="AE836" s="15">
        <f>IF(ISNUMBER(AF836),AF836/3630,"")</f>
        <v/>
      </c>
      <c r="AF836" s="14">
        <f>IFERROR(C836+D836+E836+F836+J836+K836+L836+M836+Q836+R836+S836+T836+IF(ISNUMBER(X836),X836,0)+N(Y836)+N(Z836)+N(AA836),"")</f>
        <v/>
      </c>
      <c r="AG836" s="14">
        <f>IF(ISNUMBER(AF836),AF836,"")</f>
        <v/>
      </c>
      <c r="AH836" s="14">
        <f>IF(ISNUMBER(AG836),_xlfn.RANK.EQ(AG836,$AG$2:$AG$1031),"")</f>
        <v/>
      </c>
    </row>
    <row r="837">
      <c r="A837" s="18" t="n">
        <v>1998</v>
      </c>
      <c r="B837" s="18" t="inlineStr">
        <is>
          <t>منة الله حسن محمد السيد</t>
        </is>
      </c>
      <c r="C837" s="1" t="n">
        <v>557.9</v>
      </c>
      <c r="D837" s="1" t="n">
        <v>24</v>
      </c>
      <c r="E837" s="1" t="n">
        <v>25</v>
      </c>
      <c r="F837" s="1" t="n">
        <v>24</v>
      </c>
      <c r="G837" s="1">
        <f>C837+D837+E837+F837</f>
        <v/>
      </c>
      <c r="H837" s="1">
        <f>IF(ISNUMBER(G837),G837,"")</f>
        <v/>
      </c>
      <c r="I837" s="1">
        <f>_xlfn.RANK.EQ(H837,$H$2:$H$1031)</f>
        <v/>
      </c>
      <c r="J837" s="5" t="n">
        <v>592</v>
      </c>
      <c r="K837" s="5" t="n">
        <v>47</v>
      </c>
      <c r="L837" s="5" t="n">
        <v>23</v>
      </c>
      <c r="M837" s="5" t="n">
        <v>20</v>
      </c>
      <c r="N837" s="5">
        <f>J837+K837+L837+M837</f>
        <v/>
      </c>
      <c r="O837" s="5">
        <f>IF(ISNUMBER(N837),N837,"")</f>
        <v/>
      </c>
      <c r="P837" s="5">
        <f>_xlfn.RANK.EQ(O837,$O$2:$O$1031)</f>
        <v/>
      </c>
      <c r="Q837" s="9" t="n">
        <v>242.5</v>
      </c>
      <c r="R837" s="9" t="n">
        <v>46.5</v>
      </c>
      <c r="S837" s="9" t="n">
        <v>21</v>
      </c>
      <c r="T837" s="9" t="n">
        <v>25</v>
      </c>
      <c r="U837" s="9">
        <f>Q837+R837+S837+T837</f>
        <v/>
      </c>
      <c r="V837" s="9">
        <f>IF(ISNUMBER(U837),U837,"")</f>
        <v/>
      </c>
      <c r="W837" s="9">
        <f>_xlfn.RANK.EQ(V837,$V$2:$V$1031)</f>
        <v/>
      </c>
      <c r="X837" s="13" t="n">
        <v>1415.3291666667</v>
      </c>
      <c r="Y837" s="13" t="n">
        <v>25</v>
      </c>
      <c r="Z837" s="13" t="n">
        <v>25</v>
      </c>
      <c r="AA837" s="13" t="n">
        <v>23</v>
      </c>
      <c r="AB837" s="13">
        <f>IF(ISNUMBER(X837),X837+N(Y837)+N(Z837)+N(AA837),X837)</f>
        <v/>
      </c>
      <c r="AC837" s="13">
        <f>IF(ISNUMBER(AB837),AB837,"")</f>
        <v/>
      </c>
      <c r="AD837" s="13">
        <f>IF(ISNUMBER(AC837),_xlfn.RANK.EQ(AC837,$AC$2:$AC$1031),"")</f>
        <v/>
      </c>
      <c r="AE837" s="15">
        <f>IF(ISNUMBER(AF837),AF837/3630,"")</f>
        <v/>
      </c>
      <c r="AF837" s="14">
        <f>IFERROR(C837+D837+E837+F837+J837+K837+L837+M837+Q837+R837+S837+T837+IF(ISNUMBER(X837),X837,0)+N(Y837)+N(Z837)+N(AA837),"")</f>
        <v/>
      </c>
      <c r="AG837" s="14">
        <f>IF(ISNUMBER(AF837),AF837,"")</f>
        <v/>
      </c>
      <c r="AH837" s="14">
        <f>IF(ISNUMBER(AG837),_xlfn.RANK.EQ(AG837,$AG$2:$AG$1031),"")</f>
        <v/>
      </c>
    </row>
    <row r="838">
      <c r="A838" s="18" t="n">
        <v>1999</v>
      </c>
      <c r="B838" s="18" t="inlineStr">
        <is>
          <t>منة الله خالد عبد الحكيم حميدان</t>
        </is>
      </c>
      <c r="C838" s="1" t="n">
        <v>508.7</v>
      </c>
      <c r="D838" s="1" t="n">
        <v>21</v>
      </c>
      <c r="E838" s="1" t="n">
        <v>19</v>
      </c>
      <c r="F838" s="1" t="n">
        <v>22</v>
      </c>
      <c r="G838" s="1">
        <f>C838+D838+E838+F838</f>
        <v/>
      </c>
      <c r="H838" s="1">
        <f>IF(ISNUMBER(G838),G838,"")</f>
        <v/>
      </c>
      <c r="I838" s="1">
        <f>_xlfn.RANK.EQ(H838,$H$2:$H$1031)</f>
        <v/>
      </c>
      <c r="J838" s="5" t="n">
        <v>537.5</v>
      </c>
      <c r="K838" s="5" t="n">
        <v>42</v>
      </c>
      <c r="L838" s="5" t="n">
        <v>22</v>
      </c>
      <c r="M838" s="5" t="n">
        <v>21</v>
      </c>
      <c r="N838" s="5">
        <f>J838+K838+L838+M838</f>
        <v/>
      </c>
      <c r="O838" s="5">
        <f>IF(ISNUMBER(N838),N838,"")</f>
        <v/>
      </c>
      <c r="P838" s="5">
        <f>_xlfn.RANK.EQ(O838,$O$2:$O$1031)</f>
        <v/>
      </c>
      <c r="Q838" s="9" t="n">
        <v>226</v>
      </c>
      <c r="R838" s="9" t="n">
        <v>43</v>
      </c>
      <c r="S838" s="9" t="n">
        <v>21</v>
      </c>
      <c r="T838" s="9" t="n">
        <v>23</v>
      </c>
      <c r="U838" s="9">
        <f>Q838+R838+S838+T838</f>
        <v/>
      </c>
      <c r="V838" s="9">
        <f>IF(ISNUMBER(U838),U838,"")</f>
        <v/>
      </c>
      <c r="W838" s="9">
        <f>_xlfn.RANK.EQ(V838,$V$2:$V$1031)</f>
        <v/>
      </c>
      <c r="X838" s="13" t="n">
        <v>1347.3791666667</v>
      </c>
      <c r="Y838" s="13" t="n">
        <v>24</v>
      </c>
      <c r="Z838" s="13" t="n">
        <v>22</v>
      </c>
      <c r="AA838" s="13" t="n">
        <v>22</v>
      </c>
      <c r="AB838" s="13">
        <f>IF(ISNUMBER(X838),X838+N(Y838)+N(Z838)+N(AA838),X838)</f>
        <v/>
      </c>
      <c r="AC838" s="13">
        <f>IF(ISNUMBER(AB838),AB838,"")</f>
        <v/>
      </c>
      <c r="AD838" s="13">
        <f>IF(ISNUMBER(AC838),_xlfn.RANK.EQ(AC838,$AC$2:$AC$1031),"")</f>
        <v/>
      </c>
      <c r="AE838" s="15">
        <f>IF(ISNUMBER(AF838),AF838/3630,"")</f>
        <v/>
      </c>
      <c r="AF838" s="14">
        <f>IFERROR(C838+D838+E838+F838+J838+K838+L838+M838+Q838+R838+S838+T838+IF(ISNUMBER(X838),X838,0)+N(Y838)+N(Z838)+N(AA838),"")</f>
        <v/>
      </c>
      <c r="AG838" s="14">
        <f>IF(ISNUMBER(AF838),AF838,"")</f>
        <v/>
      </c>
      <c r="AH838" s="14">
        <f>IF(ISNUMBER(AG838),_xlfn.RANK.EQ(AG838,$AG$2:$AG$1031),"")</f>
        <v/>
      </c>
    </row>
    <row r="839">
      <c r="A839" s="18" t="n">
        <v>2000</v>
      </c>
      <c r="B839" s="18" t="inlineStr">
        <is>
          <t>منة الله رافت محمد خليل سالم</t>
        </is>
      </c>
      <c r="C839" s="1" t="n">
        <v>569.5</v>
      </c>
      <c r="D839" s="1" t="n">
        <v>23</v>
      </c>
      <c r="E839" s="1" t="n">
        <v>25</v>
      </c>
      <c r="F839" s="1" t="n">
        <v>22</v>
      </c>
      <c r="G839" s="1">
        <f>C839+D839+E839+F839</f>
        <v/>
      </c>
      <c r="H839" s="1">
        <f>IF(ISNUMBER(G839),G839,"")</f>
        <v/>
      </c>
      <c r="I839" s="1">
        <f>_xlfn.RANK.EQ(H839,$H$2:$H$1031)</f>
        <v/>
      </c>
      <c r="J839" s="5" t="n">
        <v>585</v>
      </c>
      <c r="K839" s="5" t="n">
        <v>47</v>
      </c>
      <c r="L839" s="5" t="n">
        <v>22</v>
      </c>
      <c r="M839" s="5" t="n">
        <v>23</v>
      </c>
      <c r="N839" s="5">
        <f>J839+K839+L839+M839</f>
        <v/>
      </c>
      <c r="O839" s="5">
        <f>IF(ISNUMBER(N839),N839,"")</f>
        <v/>
      </c>
      <c r="P839" s="5">
        <f>_xlfn.RANK.EQ(O839,$O$2:$O$1031)</f>
        <v/>
      </c>
      <c r="Q839" s="9" t="n">
        <v>258</v>
      </c>
      <c r="R839" s="9" t="n">
        <v>46</v>
      </c>
      <c r="S839" s="9" t="n">
        <v>23</v>
      </c>
      <c r="T839" s="9" t="n">
        <v>25</v>
      </c>
      <c r="U839" s="9">
        <f>Q839+R839+S839+T839</f>
        <v/>
      </c>
      <c r="V839" s="9">
        <f>IF(ISNUMBER(U839),U839,"")</f>
        <v/>
      </c>
      <c r="W839" s="9">
        <f>_xlfn.RANK.EQ(V839,$V$2:$V$1031)</f>
        <v/>
      </c>
      <c r="X839" s="13" t="n">
        <v>1457.1875</v>
      </c>
      <c r="Y839" s="13" t="n">
        <v>25</v>
      </c>
      <c r="Z839" s="13" t="n">
        <v>24</v>
      </c>
      <c r="AA839" s="13" t="n">
        <v>23</v>
      </c>
      <c r="AB839" s="13">
        <f>IF(ISNUMBER(X839),X839+N(Y839)+N(Z839)+N(AA839),X839)</f>
        <v/>
      </c>
      <c r="AC839" s="13">
        <f>IF(ISNUMBER(AB839),AB839,"")</f>
        <v/>
      </c>
      <c r="AD839" s="13">
        <f>IF(ISNUMBER(AC839),_xlfn.RANK.EQ(AC839,$AC$2:$AC$1031),"")</f>
        <v/>
      </c>
      <c r="AE839" s="15">
        <f>IF(ISNUMBER(AF839),AF839/3630,"")</f>
        <v/>
      </c>
      <c r="AF839" s="14">
        <f>IFERROR(C839+D839+E839+F839+J839+K839+L839+M839+Q839+R839+S839+T839+IF(ISNUMBER(X839),X839,0)+N(Y839)+N(Z839)+N(AA839),"")</f>
        <v/>
      </c>
      <c r="AG839" s="14">
        <f>IF(ISNUMBER(AF839),AF839,"")</f>
        <v/>
      </c>
      <c r="AH839" s="14">
        <f>IF(ISNUMBER(AG839),_xlfn.RANK.EQ(AG839,$AG$2:$AG$1031),"")</f>
        <v/>
      </c>
    </row>
    <row r="840">
      <c r="A840" s="18" t="n">
        <v>2001</v>
      </c>
      <c r="B840" s="18" t="inlineStr">
        <is>
          <t>منة الله رجب شكرى على النشار</t>
        </is>
      </c>
      <c r="C840" s="1" t="n">
        <v>619.4</v>
      </c>
      <c r="D840" s="1" t="n">
        <v>24</v>
      </c>
      <c r="E840" s="1" t="n">
        <v>24</v>
      </c>
      <c r="F840" s="1" t="n">
        <v>23</v>
      </c>
      <c r="G840" s="1">
        <f>C840+D840+E840+F840</f>
        <v/>
      </c>
      <c r="H840" s="1">
        <f>IF(ISNUMBER(G840),G840,"")</f>
        <v/>
      </c>
      <c r="I840" s="1">
        <f>_xlfn.RANK.EQ(H840,$H$2:$H$1031)</f>
        <v/>
      </c>
      <c r="J840" s="5" t="n">
        <v>600</v>
      </c>
      <c r="K840" s="5" t="n">
        <v>46</v>
      </c>
      <c r="L840" s="5" t="n">
        <v>20</v>
      </c>
      <c r="M840" s="5" t="n">
        <v>24</v>
      </c>
      <c r="N840" s="5">
        <f>J840+K840+L840+M840</f>
        <v/>
      </c>
      <c r="O840" s="5">
        <f>IF(ISNUMBER(N840),N840,"")</f>
        <v/>
      </c>
      <c r="P840" s="5">
        <f>_xlfn.RANK.EQ(O840,$O$2:$O$1031)</f>
        <v/>
      </c>
      <c r="Q840" s="9" t="n">
        <v>270.75</v>
      </c>
      <c r="R840" s="9" t="n">
        <v>48</v>
      </c>
      <c r="S840" s="9" t="n">
        <v>25</v>
      </c>
      <c r="T840" s="9" t="n">
        <v>25</v>
      </c>
      <c r="U840" s="9">
        <f>Q840+R840+S840+T840</f>
        <v/>
      </c>
      <c r="V840" s="9">
        <f>IF(ISNUMBER(U840),U840,"")</f>
        <v/>
      </c>
      <c r="W840" s="9">
        <f>_xlfn.RANK.EQ(V840,$V$2:$V$1031)</f>
        <v/>
      </c>
      <c r="X840" s="13" t="n">
        <v>1308.3041666667</v>
      </c>
      <c r="Y840" s="13" t="n">
        <v>24</v>
      </c>
      <c r="Z840" s="13" t="n">
        <v>23</v>
      </c>
      <c r="AA840" s="13" t="n">
        <v>25</v>
      </c>
      <c r="AB840" s="13">
        <f>IF(ISNUMBER(X840),X840+N(Y840)+N(Z840)+N(AA840),X840)</f>
        <v/>
      </c>
      <c r="AC840" s="13">
        <f>IF(ISNUMBER(AB840),AB840,"")</f>
        <v/>
      </c>
      <c r="AD840" s="13">
        <f>IF(ISNUMBER(AC840),_xlfn.RANK.EQ(AC840,$AC$2:$AC$1031),"")</f>
        <v/>
      </c>
      <c r="AE840" s="15">
        <f>IF(ISNUMBER(AF840),AF840/3630,"")</f>
        <v/>
      </c>
      <c r="AF840" s="14">
        <f>IFERROR(C840+D840+E840+F840+J840+K840+L840+M840+Q840+R840+S840+T840+IF(ISNUMBER(X840),X840,0)+N(Y840)+N(Z840)+N(AA840),"")</f>
        <v/>
      </c>
      <c r="AG840" s="14">
        <f>IF(ISNUMBER(AF840),AF840,"")</f>
        <v/>
      </c>
      <c r="AH840" s="14">
        <f>IF(ISNUMBER(AG840),_xlfn.RANK.EQ(AG840,$AG$2:$AG$1031),"")</f>
        <v/>
      </c>
    </row>
    <row r="841">
      <c r="A841" s="18" t="n">
        <v>2002</v>
      </c>
      <c r="B841" s="18" t="inlineStr">
        <is>
          <t>منة الله زايد رياض سليمان حسين</t>
        </is>
      </c>
      <c r="C841" s="1" t="n">
        <v>626.5</v>
      </c>
      <c r="D841" s="1" t="n">
        <v>25</v>
      </c>
      <c r="E841" s="1" t="n">
        <v>25</v>
      </c>
      <c r="F841" s="1" t="n">
        <v>24</v>
      </c>
      <c r="G841" s="1">
        <f>C841+D841+E841+F841</f>
        <v/>
      </c>
      <c r="H841" s="1">
        <f>IF(ISNUMBER(G841),G841,"")</f>
        <v/>
      </c>
      <c r="I841" s="1">
        <f>_xlfn.RANK.EQ(H841,$H$2:$H$1031)</f>
        <v/>
      </c>
      <c r="J841" s="5" t="n">
        <v>619</v>
      </c>
      <c r="K841" s="5" t="n">
        <v>49</v>
      </c>
      <c r="L841" s="5" t="n">
        <v>23</v>
      </c>
      <c r="M841" s="5" t="n">
        <v>22</v>
      </c>
      <c r="N841" s="5">
        <f>J841+K841+L841+M841</f>
        <v/>
      </c>
      <c r="O841" s="5">
        <f>IF(ISNUMBER(N841),N841,"")</f>
        <v/>
      </c>
      <c r="P841" s="5">
        <f>_xlfn.RANK.EQ(O841,$O$2:$O$1031)</f>
        <v/>
      </c>
      <c r="Q841" s="9" t="n">
        <v>282</v>
      </c>
      <c r="R841" s="9" t="n">
        <v>48</v>
      </c>
      <c r="S841" s="9" t="n">
        <v>24</v>
      </c>
      <c r="T841" s="9" t="n">
        <v>25</v>
      </c>
      <c r="U841" s="9">
        <f>Q841+R841+S841+T841</f>
        <v/>
      </c>
      <c r="V841" s="9">
        <f>IF(ISNUMBER(U841),U841,"")</f>
        <v/>
      </c>
      <c r="W841" s="9">
        <f>_xlfn.RANK.EQ(V841,$V$2:$V$1031)</f>
        <v/>
      </c>
      <c r="X841" s="13" t="n">
        <v>1497.6291666667</v>
      </c>
      <c r="Y841" s="13" t="n">
        <v>25</v>
      </c>
      <c r="Z841" s="13" t="n">
        <v>23</v>
      </c>
      <c r="AA841" s="13" t="n">
        <v>24</v>
      </c>
      <c r="AB841" s="13">
        <f>IF(ISNUMBER(X841),X841+N(Y841)+N(Z841)+N(AA841),X841)</f>
        <v/>
      </c>
      <c r="AC841" s="13">
        <f>IF(ISNUMBER(AB841),AB841,"")</f>
        <v/>
      </c>
      <c r="AD841" s="13">
        <f>IF(ISNUMBER(AC841),_xlfn.RANK.EQ(AC841,$AC$2:$AC$1031),"")</f>
        <v/>
      </c>
      <c r="AE841" s="15">
        <f>IF(ISNUMBER(AF841),AF841/3630,"")</f>
        <v/>
      </c>
      <c r="AF841" s="14">
        <f>IFERROR(C841+D841+E841+F841+J841+K841+L841+M841+Q841+R841+S841+T841+IF(ISNUMBER(X841),X841,0)+N(Y841)+N(Z841)+N(AA841),"")</f>
        <v/>
      </c>
      <c r="AG841" s="14">
        <f>IF(ISNUMBER(AF841),AF841,"")</f>
        <v/>
      </c>
      <c r="AH841" s="14">
        <f>IF(ISNUMBER(AG841),_xlfn.RANK.EQ(AG841,$AG$2:$AG$1031),"")</f>
        <v/>
      </c>
    </row>
    <row r="842">
      <c r="A842" s="18" t="n">
        <v>2003</v>
      </c>
      <c r="B842" s="18" t="inlineStr">
        <is>
          <t>منة الله سعيد مبروك على عبد العاطى</t>
        </is>
      </c>
      <c r="C842" s="1" t="n">
        <v>556.2</v>
      </c>
      <c r="D842" s="1" t="n">
        <v>22</v>
      </c>
      <c r="E842" s="1" t="n">
        <v>18</v>
      </c>
      <c r="F842" s="1" t="n">
        <v>17</v>
      </c>
      <c r="G842" s="1">
        <f>C842+D842+E842+F842</f>
        <v/>
      </c>
      <c r="H842" s="1">
        <f>IF(ISNUMBER(G842),G842,"")</f>
        <v/>
      </c>
      <c r="I842" s="1">
        <f>_xlfn.RANK.EQ(H842,$H$2:$H$1031)</f>
        <v/>
      </c>
      <c r="J842" s="5" t="n">
        <v>455</v>
      </c>
      <c r="K842" s="5" t="n">
        <v>31</v>
      </c>
      <c r="L842" s="5" t="n">
        <v>18</v>
      </c>
      <c r="M842" s="5" t="n">
        <v>18</v>
      </c>
      <c r="N842" s="5">
        <f>J842+K842+L842+M842</f>
        <v/>
      </c>
      <c r="O842" s="5">
        <f>IF(ISNUMBER(N842),N842,"")</f>
        <v/>
      </c>
      <c r="P842" s="5">
        <f>_xlfn.RANK.EQ(O842,$O$2:$O$1031)</f>
        <v/>
      </c>
      <c r="Q842" s="9" t="n">
        <v>155.5</v>
      </c>
      <c r="R842" s="9" t="n">
        <v>32</v>
      </c>
      <c r="S842" s="9" t="n">
        <v>25</v>
      </c>
      <c r="T842" s="9" t="n">
        <v>22</v>
      </c>
      <c r="U842" s="9">
        <f>Q842+R842+S842+T842</f>
        <v/>
      </c>
      <c r="V842" s="9">
        <f>IF(ISNUMBER(U842),U842,"")</f>
        <v/>
      </c>
      <c r="W842" s="9">
        <f>_xlfn.RANK.EQ(V842,$V$2:$V$1031)</f>
        <v/>
      </c>
      <c r="X842" s="13" t="inlineStr">
        <is>
          <t>راسب</t>
        </is>
      </c>
      <c r="Y842" s="13" t="n">
        <v>24</v>
      </c>
      <c r="Z842" s="13" t="n">
        <v>18</v>
      </c>
      <c r="AA842" s="13" t="n">
        <v>23</v>
      </c>
      <c r="AB842" s="13">
        <f>IF(ISNUMBER(X842),X842+N(Y842)+N(Z842)+N(AA842),X842)</f>
        <v/>
      </c>
      <c r="AC842" s="13">
        <f>IF(ISNUMBER(AB842),AB842,"")</f>
        <v/>
      </c>
      <c r="AD842" s="13">
        <f>IF(ISNUMBER(AC842),_xlfn.RANK.EQ(AC842,$AC$2:$AC$1031),"")</f>
        <v/>
      </c>
      <c r="AE842" s="15">
        <f>IF(ISNUMBER(AF842),AF842/3630,"")</f>
        <v/>
      </c>
      <c r="AF842" s="14">
        <f>IFERROR(C842+D842+E842+F842+J842+K842+L842+M842+Q842+R842+S842+T842+IF(ISNUMBER(X842),X842,0)+N(Y842)+N(Z842)+N(AA842),"")</f>
        <v/>
      </c>
      <c r="AG842" s="14">
        <f>IF(ISNUMBER(AF842),AF842,"")</f>
        <v/>
      </c>
      <c r="AH842" s="14">
        <f>IF(ISNUMBER(AG842),_xlfn.RANK.EQ(AG842,$AG$2:$AG$1031),"")</f>
        <v/>
      </c>
    </row>
    <row r="843">
      <c r="A843" s="18" t="n">
        <v>2004</v>
      </c>
      <c r="B843" s="18" t="inlineStr">
        <is>
          <t>منة الله شريف احمد محمدداود</t>
        </is>
      </c>
      <c r="C843" s="1" t="n">
        <v>644.2</v>
      </c>
      <c r="D843" s="1" t="n">
        <v>25</v>
      </c>
      <c r="E843" s="1" t="n">
        <v>25</v>
      </c>
      <c r="F843" s="1" t="n">
        <v>24</v>
      </c>
      <c r="G843" s="1">
        <f>C843+D843+E843+F843</f>
        <v/>
      </c>
      <c r="H843" s="1">
        <f>IF(ISNUMBER(G843),G843,"")</f>
        <v/>
      </c>
      <c r="I843" s="1">
        <f>_xlfn.RANK.EQ(H843,$H$2:$H$1031)</f>
        <v/>
      </c>
      <c r="J843" s="5" t="n">
        <v>637</v>
      </c>
      <c r="K843" s="5" t="n">
        <v>48</v>
      </c>
      <c r="L843" s="5" t="n">
        <v>23</v>
      </c>
      <c r="M843" s="5" t="n">
        <v>25</v>
      </c>
      <c r="N843" s="5">
        <f>J843+K843+L843+M843</f>
        <v/>
      </c>
      <c r="O843" s="5">
        <f>IF(ISNUMBER(N843),N843,"")</f>
        <v/>
      </c>
      <c r="P843" s="5">
        <f>_xlfn.RANK.EQ(O843,$O$2:$O$1031)</f>
        <v/>
      </c>
      <c r="Q843" s="9" t="n">
        <v>279</v>
      </c>
      <c r="R843" s="9" t="n">
        <v>46.5</v>
      </c>
      <c r="S843" s="9" t="n">
        <v>24</v>
      </c>
      <c r="T843" s="9" t="n">
        <v>25</v>
      </c>
      <c r="U843" s="9">
        <f>Q843+R843+S843+T843</f>
        <v/>
      </c>
      <c r="V843" s="9">
        <f>IF(ISNUMBER(U843),U843,"")</f>
        <v/>
      </c>
      <c r="W843" s="9">
        <f>_xlfn.RANK.EQ(V843,$V$2:$V$1031)</f>
        <v/>
      </c>
      <c r="X843" s="13" t="n">
        <v>1552.8</v>
      </c>
      <c r="Y843" s="13" t="n">
        <v>25</v>
      </c>
      <c r="Z843" s="13" t="n">
        <v>24</v>
      </c>
      <c r="AA843" s="13" t="n">
        <v>24</v>
      </c>
      <c r="AB843" s="13">
        <f>IF(ISNUMBER(X843),X843+N(Y843)+N(Z843)+N(AA843),X843)</f>
        <v/>
      </c>
      <c r="AC843" s="13">
        <f>IF(ISNUMBER(AB843),AB843,"")</f>
        <v/>
      </c>
      <c r="AD843" s="13">
        <f>IF(ISNUMBER(AC843),_xlfn.RANK.EQ(AC843,$AC$2:$AC$1031),"")</f>
        <v/>
      </c>
      <c r="AE843" s="15">
        <f>IF(ISNUMBER(AF843),AF843/3630,"")</f>
        <v/>
      </c>
      <c r="AF843" s="14">
        <f>IFERROR(C843+D843+E843+F843+J843+K843+L843+M843+Q843+R843+S843+T843+IF(ISNUMBER(X843),X843,0)+N(Y843)+N(Z843)+N(AA843),"")</f>
        <v/>
      </c>
      <c r="AG843" s="14">
        <f>IF(ISNUMBER(AF843),AF843,"")</f>
        <v/>
      </c>
      <c r="AH843" s="14">
        <f>IF(ISNUMBER(AG843),_xlfn.RANK.EQ(AG843,$AG$2:$AG$1031),"")</f>
        <v/>
      </c>
    </row>
    <row r="844">
      <c r="A844" s="18" t="n">
        <v>2005</v>
      </c>
      <c r="B844" s="18" t="inlineStr">
        <is>
          <t>منة عبد الله عبدالعليم مندى</t>
        </is>
      </c>
      <c r="C844" s="1" t="n">
        <v>588.6</v>
      </c>
      <c r="D844" s="1" t="n">
        <v>24</v>
      </c>
      <c r="E844" s="1" t="n">
        <v>22</v>
      </c>
      <c r="F844" s="1" t="n">
        <v>22</v>
      </c>
      <c r="G844" s="1">
        <f>C844+D844+E844+F844</f>
        <v/>
      </c>
      <c r="H844" s="1">
        <f>IF(ISNUMBER(G844),G844,"")</f>
        <v/>
      </c>
      <c r="I844" s="1">
        <f>_xlfn.RANK.EQ(H844,$H$2:$H$1031)</f>
        <v/>
      </c>
      <c r="J844" s="5" t="n">
        <v>582.5</v>
      </c>
      <c r="K844" s="5" t="n">
        <v>47</v>
      </c>
      <c r="L844" s="5" t="n">
        <v>18</v>
      </c>
      <c r="M844" s="5" t="n">
        <v>21</v>
      </c>
      <c r="N844" s="5">
        <f>J844+K844+L844+M844</f>
        <v/>
      </c>
      <c r="O844" s="5">
        <f>IF(ISNUMBER(N844),N844,"")</f>
        <v/>
      </c>
      <c r="P844" s="5">
        <f>_xlfn.RANK.EQ(O844,$O$2:$O$1031)</f>
        <v/>
      </c>
      <c r="Q844" s="9" t="n">
        <v>221</v>
      </c>
      <c r="R844" s="9" t="n">
        <v>47.5</v>
      </c>
      <c r="S844" s="9" t="n">
        <v>23</v>
      </c>
      <c r="T844" s="9" t="n">
        <v>25</v>
      </c>
      <c r="U844" s="9">
        <f>Q844+R844+S844+T844</f>
        <v/>
      </c>
      <c r="V844" s="9">
        <f>IF(ISNUMBER(U844),U844,"")</f>
        <v/>
      </c>
      <c r="W844" s="9">
        <f>_xlfn.RANK.EQ(V844,$V$2:$V$1031)</f>
        <v/>
      </c>
      <c r="X844" s="13" t="inlineStr">
        <is>
          <t>غ ب</t>
        </is>
      </c>
      <c r="Y844" s="13" t="n">
        <v>24</v>
      </c>
      <c r="Z844" s="13" t="n">
        <v>23</v>
      </c>
      <c r="AA844" s="13" t="n">
        <v>24</v>
      </c>
      <c r="AB844" s="13">
        <f>IF(ISNUMBER(X844),X844+N(Y844)+N(Z844)+N(AA844),X844)</f>
        <v/>
      </c>
      <c r="AC844" s="13">
        <f>IF(ISNUMBER(AB844),AB844,"")</f>
        <v/>
      </c>
      <c r="AD844" s="13">
        <f>IF(ISNUMBER(AC844),_xlfn.RANK.EQ(AC844,$AC$2:$AC$1031),"")</f>
        <v/>
      </c>
      <c r="AE844" s="15">
        <f>IF(ISNUMBER(AF844),AF844/3630,"")</f>
        <v/>
      </c>
      <c r="AF844" s="14">
        <f>IFERROR(C844+D844+E844+F844+J844+K844+L844+M844+Q844+R844+S844+T844+IF(ISNUMBER(X844),X844,0)+N(Y844)+N(Z844)+N(AA844),"")</f>
        <v/>
      </c>
      <c r="AG844" s="14">
        <f>IF(ISNUMBER(AF844),AF844,"")</f>
        <v/>
      </c>
      <c r="AH844" s="14">
        <f>IF(ISNUMBER(AG844),_xlfn.RANK.EQ(AG844,$AG$2:$AG$1031),"")</f>
        <v/>
      </c>
    </row>
    <row r="845">
      <c r="A845" s="18" t="n">
        <v>2006</v>
      </c>
      <c r="B845" s="18" t="inlineStr">
        <is>
          <t>منة الله على حسنين على السيد</t>
        </is>
      </c>
      <c r="C845" s="1" t="n">
        <v>497.2</v>
      </c>
      <c r="D845" s="1" t="n">
        <v>18</v>
      </c>
      <c r="E845" s="1" t="n">
        <v>19</v>
      </c>
      <c r="F845" s="1" t="n">
        <v>20</v>
      </c>
      <c r="G845" s="1">
        <f>C845+D845+E845+F845</f>
        <v/>
      </c>
      <c r="H845" s="1">
        <f>IF(ISNUMBER(G845),G845,"")</f>
        <v/>
      </c>
      <c r="I845" s="1">
        <f>_xlfn.RANK.EQ(H845,$H$2:$H$1031)</f>
        <v/>
      </c>
      <c r="J845" s="5" t="n">
        <v>587</v>
      </c>
      <c r="K845" s="5" t="n">
        <v>49</v>
      </c>
      <c r="L845" s="5" t="n">
        <v>22</v>
      </c>
      <c r="M845" s="5" t="n">
        <v>19</v>
      </c>
      <c r="N845" s="5">
        <f>J845+K845+L845+M845</f>
        <v/>
      </c>
      <c r="O845" s="5">
        <f>IF(ISNUMBER(N845),N845,"")</f>
        <v/>
      </c>
      <c r="P845" s="5">
        <f>_xlfn.RANK.EQ(O845,$O$2:$O$1031)</f>
        <v/>
      </c>
      <c r="Q845" s="9" t="n">
        <v>249</v>
      </c>
      <c r="R845" s="9" t="n">
        <v>46.5</v>
      </c>
      <c r="S845" s="9" t="n">
        <v>22</v>
      </c>
      <c r="T845" s="9" t="n">
        <v>24</v>
      </c>
      <c r="U845" s="9">
        <f>Q845+R845+S845+T845</f>
        <v/>
      </c>
      <c r="V845" s="9">
        <f>IF(ISNUMBER(U845),U845,"")</f>
        <v/>
      </c>
      <c r="W845" s="9">
        <f>_xlfn.RANK.EQ(V845,$V$2:$V$1031)</f>
        <v/>
      </c>
      <c r="X845" s="13" t="n">
        <v>1381.8291666667</v>
      </c>
      <c r="Y845" s="13" t="n">
        <v>24</v>
      </c>
      <c r="Z845" s="13" t="n">
        <v>13</v>
      </c>
      <c r="AA845" s="13" t="n">
        <v>25</v>
      </c>
      <c r="AB845" s="13">
        <f>IF(ISNUMBER(X845),X845+N(Y845)+N(Z845)+N(AA845),X845)</f>
        <v/>
      </c>
      <c r="AC845" s="13">
        <f>IF(ISNUMBER(AB845),AB845,"")</f>
        <v/>
      </c>
      <c r="AD845" s="13">
        <f>IF(ISNUMBER(AC845),_xlfn.RANK.EQ(AC845,$AC$2:$AC$1031),"")</f>
        <v/>
      </c>
      <c r="AE845" s="15">
        <f>IF(ISNUMBER(AF845),AF845/3630,"")</f>
        <v/>
      </c>
      <c r="AF845" s="14">
        <f>IFERROR(C845+D845+E845+F845+J845+K845+L845+M845+Q845+R845+S845+T845+IF(ISNUMBER(X845),X845,0)+N(Y845)+N(Z845)+N(AA845),"")</f>
        <v/>
      </c>
      <c r="AG845" s="14">
        <f>IF(ISNUMBER(AF845),AF845,"")</f>
        <v/>
      </c>
      <c r="AH845" s="14">
        <f>IF(ISNUMBER(AG845),_xlfn.RANK.EQ(AG845,$AG$2:$AG$1031),"")</f>
        <v/>
      </c>
    </row>
    <row r="846">
      <c r="A846" s="18" t="n">
        <v>2007</v>
      </c>
      <c r="B846" s="18" t="inlineStr">
        <is>
          <t>منة الله على رضوان قاسم مصطفى</t>
        </is>
      </c>
      <c r="C846" s="1" t="n">
        <v>542.6</v>
      </c>
      <c r="D846" s="1" t="n">
        <v>23</v>
      </c>
      <c r="E846" s="1" t="n">
        <v>25</v>
      </c>
      <c r="F846" s="1" t="n">
        <v>21</v>
      </c>
      <c r="G846" s="1">
        <f>C846+D846+E846+F846</f>
        <v/>
      </c>
      <c r="H846" s="1">
        <f>IF(ISNUMBER(G846),G846,"")</f>
        <v/>
      </c>
      <c r="I846" s="1">
        <f>_xlfn.RANK.EQ(H846,$H$2:$H$1031)</f>
        <v/>
      </c>
      <c r="J846" s="5" t="n">
        <v>521.5</v>
      </c>
      <c r="K846" s="5" t="n">
        <v>47</v>
      </c>
      <c r="L846" s="5" t="n">
        <v>21</v>
      </c>
      <c r="M846" s="5" t="n">
        <v>22</v>
      </c>
      <c r="N846" s="5">
        <f>J846+K846+L846+M846</f>
        <v/>
      </c>
      <c r="O846" s="5">
        <f>IF(ISNUMBER(N846),N846,"")</f>
        <v/>
      </c>
      <c r="P846" s="5">
        <f>_xlfn.RANK.EQ(O846,$O$2:$O$1031)</f>
        <v/>
      </c>
      <c r="Q846" s="9" t="n">
        <v>250</v>
      </c>
      <c r="R846" s="9" t="n">
        <v>45</v>
      </c>
      <c r="S846" s="9" t="n">
        <v>21</v>
      </c>
      <c r="T846" s="9" t="n">
        <v>23</v>
      </c>
      <c r="U846" s="9">
        <f>Q846+R846+S846+T846</f>
        <v/>
      </c>
      <c r="V846" s="9">
        <f>IF(ISNUMBER(U846),U846,"")</f>
        <v/>
      </c>
      <c r="W846" s="9">
        <f>_xlfn.RANK.EQ(V846,$V$2:$V$1031)</f>
        <v/>
      </c>
      <c r="X846" s="13" t="n">
        <v>1368.8708333333</v>
      </c>
      <c r="Y846" s="13" t="n">
        <v>24</v>
      </c>
      <c r="Z846" s="13" t="n">
        <v>20</v>
      </c>
      <c r="AA846" s="13" t="n">
        <v>21</v>
      </c>
      <c r="AB846" s="13">
        <f>IF(ISNUMBER(X846),X846+N(Y846)+N(Z846)+N(AA846),X846)</f>
        <v/>
      </c>
      <c r="AC846" s="13">
        <f>IF(ISNUMBER(AB846),AB846,"")</f>
        <v/>
      </c>
      <c r="AD846" s="13">
        <f>IF(ISNUMBER(AC846),_xlfn.RANK.EQ(AC846,$AC$2:$AC$1031),"")</f>
        <v/>
      </c>
      <c r="AE846" s="15">
        <f>IF(ISNUMBER(AF846),AF846/3630,"")</f>
        <v/>
      </c>
      <c r="AF846" s="14">
        <f>IFERROR(C846+D846+E846+F846+J846+K846+L846+M846+Q846+R846+S846+T846+IF(ISNUMBER(X846),X846,0)+N(Y846)+N(Z846)+N(AA846),"")</f>
        <v/>
      </c>
      <c r="AG846" s="14">
        <f>IF(ISNUMBER(AF846),AF846,"")</f>
        <v/>
      </c>
      <c r="AH846" s="14">
        <f>IF(ISNUMBER(AG846),_xlfn.RANK.EQ(AG846,$AG$2:$AG$1031),"")</f>
        <v/>
      </c>
    </row>
    <row r="847">
      <c r="A847" s="18" t="n">
        <v>2008</v>
      </c>
      <c r="B847" s="18" t="inlineStr">
        <is>
          <t>منة الله علي سعد المشتولي</t>
        </is>
      </c>
      <c r="C847" s="1" t="n">
        <v>416</v>
      </c>
      <c r="D847" s="1" t="n">
        <v>11</v>
      </c>
      <c r="E847" s="1" t="n">
        <v>17</v>
      </c>
      <c r="F847" s="1" t="n">
        <v>15</v>
      </c>
      <c r="G847" s="1">
        <f>C847+D847+E847+F847</f>
        <v/>
      </c>
      <c r="H847" s="1">
        <f>IF(ISNUMBER(G847),G847,"")</f>
        <v/>
      </c>
      <c r="I847" s="1">
        <f>_xlfn.RANK.EQ(H847,$H$2:$H$1031)</f>
        <v/>
      </c>
      <c r="J847" s="5" t="n">
        <v>435</v>
      </c>
      <c r="K847" s="5" t="n">
        <v>37</v>
      </c>
      <c r="L847" s="5" t="n">
        <v>21</v>
      </c>
      <c r="M847" s="5" t="n">
        <v>21</v>
      </c>
      <c r="N847" s="5">
        <f>J847+K847+L847+M847</f>
        <v/>
      </c>
      <c r="O847" s="5">
        <f>IF(ISNUMBER(N847),N847,"")</f>
        <v/>
      </c>
      <c r="P847" s="5">
        <f>_xlfn.RANK.EQ(O847,$O$2:$O$1031)</f>
        <v/>
      </c>
      <c r="Q847" s="9" t="n">
        <v>179.25</v>
      </c>
      <c r="R847" s="9" t="n">
        <v>21.5</v>
      </c>
      <c r="S847" s="9" t="n">
        <v>12</v>
      </c>
      <c r="T847" s="9" t="n">
        <v>21</v>
      </c>
      <c r="U847" s="9">
        <f>Q847+R847+S847+T847</f>
        <v/>
      </c>
      <c r="V847" s="9">
        <f>IF(ISNUMBER(U847),U847,"")</f>
        <v/>
      </c>
      <c r="W847" s="9">
        <f>_xlfn.RANK.EQ(V847,$V$2:$V$1031)</f>
        <v/>
      </c>
      <c r="X847" s="13" t="inlineStr">
        <is>
          <t>راسب</t>
        </is>
      </c>
      <c r="Y847" s="13" t="n">
        <v>23</v>
      </c>
      <c r="Z847" s="13" t="n">
        <v>11</v>
      </c>
      <c r="AA847" s="13" t="n">
        <v>15</v>
      </c>
      <c r="AB847" s="13">
        <f>IF(ISNUMBER(X847),X847+N(Y847)+N(Z847)+N(AA847),X847)</f>
        <v/>
      </c>
      <c r="AC847" s="13">
        <f>IF(ISNUMBER(AB847),AB847,"")</f>
        <v/>
      </c>
      <c r="AD847" s="13">
        <f>IF(ISNUMBER(AC847),_xlfn.RANK.EQ(AC847,$AC$2:$AC$1031),"")</f>
        <v/>
      </c>
      <c r="AE847" s="15">
        <f>IF(ISNUMBER(AF847),AF847/3630,"")</f>
        <v/>
      </c>
      <c r="AF847" s="14">
        <f>IFERROR(C847+D847+E847+F847+J847+K847+L847+M847+Q847+R847+S847+T847+IF(ISNUMBER(X847),X847,0)+N(Y847)+N(Z847)+N(AA847),"")</f>
        <v/>
      </c>
      <c r="AG847" s="14">
        <f>IF(ISNUMBER(AF847),AF847,"")</f>
        <v/>
      </c>
      <c r="AH847" s="14">
        <f>IF(ISNUMBER(AG847),_xlfn.RANK.EQ(AG847,$AG$2:$AG$1031),"")</f>
        <v/>
      </c>
    </row>
    <row r="848">
      <c r="A848" s="18" t="n">
        <v>2009</v>
      </c>
      <c r="B848" s="18" t="inlineStr">
        <is>
          <t>منة الله محمد احمد فؤاد عبدالحي</t>
        </is>
      </c>
      <c r="C848" s="1" t="n">
        <v>591.7</v>
      </c>
      <c r="D848" s="1" t="n">
        <v>24</v>
      </c>
      <c r="E848" s="1" t="n">
        <v>25</v>
      </c>
      <c r="F848" s="1" t="n">
        <v>21</v>
      </c>
      <c r="G848" s="1">
        <f>C848+D848+E848+F848</f>
        <v/>
      </c>
      <c r="H848" s="1">
        <f>IF(ISNUMBER(G848),G848,"")</f>
        <v/>
      </c>
      <c r="I848" s="1">
        <f>_xlfn.RANK.EQ(H848,$H$2:$H$1031)</f>
        <v/>
      </c>
      <c r="J848" s="5" t="n">
        <v>585.5</v>
      </c>
      <c r="K848" s="5" t="n">
        <v>45</v>
      </c>
      <c r="L848" s="5" t="n">
        <v>20</v>
      </c>
      <c r="M848" s="5" t="n">
        <v>23</v>
      </c>
      <c r="N848" s="5">
        <f>J848+K848+L848+M848</f>
        <v/>
      </c>
      <c r="O848" s="5">
        <f>IF(ISNUMBER(N848),N848,"")</f>
        <v/>
      </c>
      <c r="P848" s="5">
        <f>_xlfn.RANK.EQ(O848,$O$2:$O$1031)</f>
        <v/>
      </c>
      <c r="Q848" s="9" t="n">
        <v>240.25</v>
      </c>
      <c r="R848" s="9" t="n">
        <v>43</v>
      </c>
      <c r="S848" s="9" t="n">
        <v>22</v>
      </c>
      <c r="T848" s="9" t="n">
        <v>23</v>
      </c>
      <c r="U848" s="9">
        <f>Q848+R848+S848+T848</f>
        <v/>
      </c>
      <c r="V848" s="9">
        <f>IF(ISNUMBER(U848),U848,"")</f>
        <v/>
      </c>
      <c r="W848" s="9">
        <f>_xlfn.RANK.EQ(V848,$V$2:$V$1031)</f>
        <v/>
      </c>
      <c r="X848" s="13" t="n">
        <v>1245.5875</v>
      </c>
      <c r="Y848" s="13" t="n">
        <v>24</v>
      </c>
      <c r="Z848" s="13" t="n">
        <v>23</v>
      </c>
      <c r="AA848" s="13" t="n">
        <v>23</v>
      </c>
      <c r="AB848" s="13">
        <f>IF(ISNUMBER(X848),X848+N(Y848)+N(Z848)+N(AA848),X848)</f>
        <v/>
      </c>
      <c r="AC848" s="13">
        <f>IF(ISNUMBER(AB848),AB848,"")</f>
        <v/>
      </c>
      <c r="AD848" s="13">
        <f>IF(ISNUMBER(AC848),_xlfn.RANK.EQ(AC848,$AC$2:$AC$1031),"")</f>
        <v/>
      </c>
      <c r="AE848" s="15">
        <f>IF(ISNUMBER(AF848),AF848/3630,"")</f>
        <v/>
      </c>
      <c r="AF848" s="14">
        <f>IFERROR(C848+D848+E848+F848+J848+K848+L848+M848+Q848+R848+S848+T848+IF(ISNUMBER(X848),X848,0)+N(Y848)+N(Z848)+N(AA848),"")</f>
        <v/>
      </c>
      <c r="AG848" s="14">
        <f>IF(ISNUMBER(AF848),AF848,"")</f>
        <v/>
      </c>
      <c r="AH848" s="14">
        <f>IF(ISNUMBER(AG848),_xlfn.RANK.EQ(AG848,$AG$2:$AG$1031),"")</f>
        <v/>
      </c>
    </row>
    <row r="849">
      <c r="A849" s="18" t="n">
        <v>2010</v>
      </c>
      <c r="B849" s="18" t="inlineStr">
        <is>
          <t>منة الله محمد السيد محمد السيد عطيه</t>
        </is>
      </c>
      <c r="C849" s="1" t="n">
        <v>593.5</v>
      </c>
      <c r="D849" s="1" t="n">
        <v>25</v>
      </c>
      <c r="E849" s="1" t="n">
        <v>23</v>
      </c>
      <c r="F849" s="1" t="n">
        <v>21</v>
      </c>
      <c r="G849" s="1">
        <f>C849+D849+E849+F849</f>
        <v/>
      </c>
      <c r="H849" s="1">
        <f>IF(ISNUMBER(G849),G849,"")</f>
        <v/>
      </c>
      <c r="I849" s="1">
        <f>_xlfn.RANK.EQ(H849,$H$2:$H$1031)</f>
        <v/>
      </c>
      <c r="J849" s="5" t="n">
        <v>584.5</v>
      </c>
      <c r="K849" s="5" t="n">
        <v>43</v>
      </c>
      <c r="L849" s="5" t="n">
        <v>18</v>
      </c>
      <c r="M849" s="5" t="n">
        <v>21</v>
      </c>
      <c r="N849" s="5">
        <f>J849+K849+L849+M849</f>
        <v/>
      </c>
      <c r="O849" s="5">
        <f>IF(ISNUMBER(N849),N849,"")</f>
        <v/>
      </c>
      <c r="P849" s="5">
        <f>_xlfn.RANK.EQ(O849,$O$2:$O$1031)</f>
        <v/>
      </c>
      <c r="Q849" s="9" t="n">
        <v>259.75</v>
      </c>
      <c r="R849" s="9" t="n">
        <v>46</v>
      </c>
      <c r="S849" s="9" t="n">
        <v>23</v>
      </c>
      <c r="T849" s="9" t="n">
        <v>24</v>
      </c>
      <c r="U849" s="9">
        <f>Q849+R849+S849+T849</f>
        <v/>
      </c>
      <c r="V849" s="9">
        <f>IF(ISNUMBER(U849),U849,"")</f>
        <v/>
      </c>
      <c r="W849" s="9">
        <f>_xlfn.RANK.EQ(V849,$V$2:$V$1031)</f>
        <v/>
      </c>
      <c r="X849" s="13" t="n">
        <v>1457.8625</v>
      </c>
      <c r="Y849" s="13" t="n">
        <v>25</v>
      </c>
      <c r="Z849" s="13" t="n">
        <v>21.5</v>
      </c>
      <c r="AA849" s="13" t="n">
        <v>24</v>
      </c>
      <c r="AB849" s="13">
        <f>IF(ISNUMBER(X849),X849+N(Y849)+N(Z849)+N(AA849),X849)</f>
        <v/>
      </c>
      <c r="AC849" s="13">
        <f>IF(ISNUMBER(AB849),AB849,"")</f>
        <v/>
      </c>
      <c r="AD849" s="13">
        <f>IF(ISNUMBER(AC849),_xlfn.RANK.EQ(AC849,$AC$2:$AC$1031),"")</f>
        <v/>
      </c>
      <c r="AE849" s="15">
        <f>IF(ISNUMBER(AF849),AF849/3630,"")</f>
        <v/>
      </c>
      <c r="AF849" s="14">
        <f>IFERROR(C849+D849+E849+F849+J849+K849+L849+M849+Q849+R849+S849+T849+IF(ISNUMBER(X849),X849,0)+N(Y849)+N(Z849)+N(AA849),"")</f>
        <v/>
      </c>
      <c r="AG849" s="14">
        <f>IF(ISNUMBER(AF849),AF849,"")</f>
        <v/>
      </c>
      <c r="AH849" s="14">
        <f>IF(ISNUMBER(AG849),_xlfn.RANK.EQ(AG849,$AG$2:$AG$1031),"")</f>
        <v/>
      </c>
    </row>
    <row r="850">
      <c r="A850" s="18" t="n">
        <v>2011</v>
      </c>
      <c r="B850" s="18" t="inlineStr">
        <is>
          <t>منة الله محمد بكر حنفى</t>
        </is>
      </c>
      <c r="C850" s="1" t="n">
        <v>548.9</v>
      </c>
      <c r="D850" s="1" t="n">
        <v>24</v>
      </c>
      <c r="E850" s="1" t="n">
        <v>24</v>
      </c>
      <c r="F850" s="1" t="n">
        <v>22</v>
      </c>
      <c r="G850" s="1">
        <f>C850+D850+E850+F850</f>
        <v/>
      </c>
      <c r="H850" s="1">
        <f>IF(ISNUMBER(G850),G850,"")</f>
        <v/>
      </c>
      <c r="I850" s="1">
        <f>_xlfn.RANK.EQ(H850,$H$2:$H$1031)</f>
        <v/>
      </c>
      <c r="J850" s="5" t="n">
        <v>546</v>
      </c>
      <c r="K850" s="5" t="n">
        <v>48</v>
      </c>
      <c r="L850" s="5" t="n">
        <v>21</v>
      </c>
      <c r="M850" s="5" t="n">
        <v>23</v>
      </c>
      <c r="N850" s="5">
        <f>J850+K850+L850+M850</f>
        <v/>
      </c>
      <c r="O850" s="5">
        <f>IF(ISNUMBER(N850),N850,"")</f>
        <v/>
      </c>
      <c r="P850" s="5">
        <f>_xlfn.RANK.EQ(O850,$O$2:$O$1031)</f>
        <v/>
      </c>
      <c r="Q850" s="9" t="n">
        <v>233.25</v>
      </c>
      <c r="R850" s="9" t="n">
        <v>42</v>
      </c>
      <c r="S850" s="9" t="n">
        <v>24</v>
      </c>
      <c r="T850" s="9" t="n">
        <v>25</v>
      </c>
      <c r="U850" s="9">
        <f>Q850+R850+S850+T850</f>
        <v/>
      </c>
      <c r="V850" s="9">
        <f>IF(ISNUMBER(U850),U850,"")</f>
        <v/>
      </c>
      <c r="W850" s="9">
        <f>_xlfn.RANK.EQ(V850,$V$2:$V$1031)</f>
        <v/>
      </c>
      <c r="X850" s="13" t="n">
        <v>1376.6125</v>
      </c>
      <c r="Y850" s="13" t="n">
        <v>25</v>
      </c>
      <c r="Z850" s="13" t="n">
        <v>21</v>
      </c>
      <c r="AA850" s="13" t="n">
        <v>24</v>
      </c>
      <c r="AB850" s="13">
        <f>IF(ISNUMBER(X850),X850+N(Y850)+N(Z850)+N(AA850),X850)</f>
        <v/>
      </c>
      <c r="AC850" s="13">
        <f>IF(ISNUMBER(AB850),AB850,"")</f>
        <v/>
      </c>
      <c r="AD850" s="13">
        <f>IF(ISNUMBER(AC850),_xlfn.RANK.EQ(AC850,$AC$2:$AC$1031),"")</f>
        <v/>
      </c>
      <c r="AE850" s="15">
        <f>IF(ISNUMBER(AF850),AF850/3630,"")</f>
        <v/>
      </c>
      <c r="AF850" s="14">
        <f>IFERROR(C850+D850+E850+F850+J850+K850+L850+M850+Q850+R850+S850+T850+IF(ISNUMBER(X850),X850,0)+N(Y850)+N(Z850)+N(AA850),"")</f>
        <v/>
      </c>
      <c r="AG850" s="14">
        <f>IF(ISNUMBER(AF850),AF850,"")</f>
        <v/>
      </c>
      <c r="AH850" s="14">
        <f>IF(ISNUMBER(AG850),_xlfn.RANK.EQ(AG850,$AG$2:$AG$1031),"")</f>
        <v/>
      </c>
    </row>
    <row r="851">
      <c r="A851" s="18" t="n">
        <v>2012</v>
      </c>
      <c r="B851" s="18" t="inlineStr">
        <is>
          <t>منة الله محمد سالم سالم</t>
        </is>
      </c>
      <c r="C851" s="1" t="n">
        <v>619.5</v>
      </c>
      <c r="D851" s="1" t="n">
        <v>24</v>
      </c>
      <c r="E851" s="1" t="n">
        <v>25</v>
      </c>
      <c r="F851" s="1" t="n">
        <v>24</v>
      </c>
      <c r="G851" s="1">
        <f>C851+D851+E851+F851</f>
        <v/>
      </c>
      <c r="H851" s="1">
        <f>IF(ISNUMBER(G851),G851,"")</f>
        <v/>
      </c>
      <c r="I851" s="1">
        <f>_xlfn.RANK.EQ(H851,$H$2:$H$1031)</f>
        <v/>
      </c>
      <c r="J851" s="5" t="n">
        <v>594</v>
      </c>
      <c r="K851" s="5" t="n">
        <v>48</v>
      </c>
      <c r="L851" s="5" t="n">
        <v>23</v>
      </c>
      <c r="M851" s="5" t="n">
        <v>23</v>
      </c>
      <c r="N851" s="5">
        <f>J851+K851+L851+M851</f>
        <v/>
      </c>
      <c r="O851" s="5">
        <f>IF(ISNUMBER(N851),N851,"")</f>
        <v/>
      </c>
      <c r="P851" s="5">
        <f>_xlfn.RANK.EQ(O851,$O$2:$O$1031)</f>
        <v/>
      </c>
      <c r="Q851" s="9" t="n">
        <v>255.5</v>
      </c>
      <c r="R851" s="9" t="n">
        <v>49.5</v>
      </c>
      <c r="S851" s="9" t="n">
        <v>24</v>
      </c>
      <c r="T851" s="9" t="n">
        <v>25</v>
      </c>
      <c r="U851" s="9">
        <f>Q851+R851+S851+T851</f>
        <v/>
      </c>
      <c r="V851" s="9">
        <f>IF(ISNUMBER(U851),U851,"")</f>
        <v/>
      </c>
      <c r="W851" s="9">
        <f>_xlfn.RANK.EQ(V851,$V$2:$V$1031)</f>
        <v/>
      </c>
      <c r="X851" s="13" t="n">
        <v>1485.7625</v>
      </c>
      <c r="Y851" s="13" t="n">
        <v>25</v>
      </c>
      <c r="Z851" s="13" t="n">
        <v>25</v>
      </c>
      <c r="AA851" s="13" t="n">
        <v>25</v>
      </c>
      <c r="AB851" s="13">
        <f>IF(ISNUMBER(X851),X851+N(Y851)+N(Z851)+N(AA851),X851)</f>
        <v/>
      </c>
      <c r="AC851" s="13">
        <f>IF(ISNUMBER(AB851),AB851,"")</f>
        <v/>
      </c>
      <c r="AD851" s="13">
        <f>IF(ISNUMBER(AC851),_xlfn.RANK.EQ(AC851,$AC$2:$AC$1031),"")</f>
        <v/>
      </c>
      <c r="AE851" s="15">
        <f>IF(ISNUMBER(AF851),AF851/3630,"")</f>
        <v/>
      </c>
      <c r="AF851" s="14">
        <f>IFERROR(C851+D851+E851+F851+J851+K851+L851+M851+Q851+R851+S851+T851+IF(ISNUMBER(X851),X851,0)+N(Y851)+N(Z851)+N(AA851),"")</f>
        <v/>
      </c>
      <c r="AG851" s="14">
        <f>IF(ISNUMBER(AF851),AF851,"")</f>
        <v/>
      </c>
      <c r="AH851" s="14">
        <f>IF(ISNUMBER(AG851),_xlfn.RANK.EQ(AG851,$AG$2:$AG$1031),"")</f>
        <v/>
      </c>
    </row>
    <row r="852">
      <c r="A852" s="18" t="n">
        <v>2013</v>
      </c>
      <c r="B852" s="18" t="inlineStr">
        <is>
          <t>منة الله محمد على عسل</t>
        </is>
      </c>
      <c r="C852" s="1" t="n">
        <v>599.6</v>
      </c>
      <c r="D852" s="1" t="n">
        <v>25</v>
      </c>
      <c r="E852" s="1" t="n">
        <v>24</v>
      </c>
      <c r="F852" s="1" t="n">
        <v>18</v>
      </c>
      <c r="G852" s="1">
        <f>C852+D852+E852+F852</f>
        <v/>
      </c>
      <c r="H852" s="1">
        <f>IF(ISNUMBER(G852),G852,"")</f>
        <v/>
      </c>
      <c r="I852" s="1">
        <f>_xlfn.RANK.EQ(H852,$H$2:$H$1031)</f>
        <v/>
      </c>
      <c r="J852" s="5" t="n">
        <v>604.5</v>
      </c>
      <c r="K852" s="5" t="n">
        <v>49</v>
      </c>
      <c r="L852" s="5" t="n">
        <v>22</v>
      </c>
      <c r="M852" s="5" t="n">
        <v>25</v>
      </c>
      <c r="N852" s="5">
        <f>J852+K852+L852+M852</f>
        <v/>
      </c>
      <c r="O852" s="5">
        <f>IF(ISNUMBER(N852),N852,"")</f>
        <v/>
      </c>
      <c r="P852" s="5">
        <f>_xlfn.RANK.EQ(O852,$O$2:$O$1031)</f>
        <v/>
      </c>
      <c r="Q852" s="9" t="n">
        <v>257.5</v>
      </c>
      <c r="R852" s="9" t="n">
        <v>46</v>
      </c>
      <c r="S852" s="9" t="n">
        <v>25</v>
      </c>
      <c r="T852" s="9" t="n">
        <v>25</v>
      </c>
      <c r="U852" s="9">
        <f>Q852+R852+S852+T852</f>
        <v/>
      </c>
      <c r="V852" s="9">
        <f>IF(ISNUMBER(U852),U852,"")</f>
        <v/>
      </c>
      <c r="W852" s="9">
        <f>_xlfn.RANK.EQ(V852,$V$2:$V$1031)</f>
        <v/>
      </c>
      <c r="X852" s="13" t="n">
        <v>1405.8125</v>
      </c>
      <c r="Y852" s="13" t="n">
        <v>25</v>
      </c>
      <c r="Z852" s="13" t="n">
        <v>24.5</v>
      </c>
      <c r="AA852" s="13" t="n">
        <v>25</v>
      </c>
      <c r="AB852" s="13">
        <f>IF(ISNUMBER(X852),X852+N(Y852)+N(Z852)+N(AA852),X852)</f>
        <v/>
      </c>
      <c r="AC852" s="13">
        <f>IF(ISNUMBER(AB852),AB852,"")</f>
        <v/>
      </c>
      <c r="AD852" s="13">
        <f>IF(ISNUMBER(AC852),_xlfn.RANK.EQ(AC852,$AC$2:$AC$1031),"")</f>
        <v/>
      </c>
      <c r="AE852" s="15">
        <f>IF(ISNUMBER(AF852),AF852/3630,"")</f>
        <v/>
      </c>
      <c r="AF852" s="14">
        <f>IFERROR(C852+D852+E852+F852+J852+K852+L852+M852+Q852+R852+S852+T852+IF(ISNUMBER(X852),X852,0)+N(Y852)+N(Z852)+N(AA852),"")</f>
        <v/>
      </c>
      <c r="AG852" s="14">
        <f>IF(ISNUMBER(AF852),AF852,"")</f>
        <v/>
      </c>
      <c r="AH852" s="14">
        <f>IF(ISNUMBER(AG852),_xlfn.RANK.EQ(AG852,$AG$2:$AG$1031),"")</f>
        <v/>
      </c>
    </row>
    <row r="853">
      <c r="A853" s="18" t="n">
        <v>2015</v>
      </c>
      <c r="B853" s="18" t="inlineStr">
        <is>
          <t>منة الله مصطفي محمد عبد الوهاب</t>
        </is>
      </c>
      <c r="C853" s="1" t="n">
        <v>457.2</v>
      </c>
      <c r="D853" s="1" t="n">
        <v>24</v>
      </c>
      <c r="E853" s="1" t="n">
        <v>22</v>
      </c>
      <c r="F853" s="1" t="n">
        <v>20</v>
      </c>
      <c r="G853" s="1">
        <f>C853+D853+E853+F853</f>
        <v/>
      </c>
      <c r="H853" s="1">
        <f>IF(ISNUMBER(G853),G853,"")</f>
        <v/>
      </c>
      <c r="I853" s="1">
        <f>_xlfn.RANK.EQ(H853,$H$2:$H$1031)</f>
        <v/>
      </c>
      <c r="J853" s="5" t="n">
        <v>442.9</v>
      </c>
      <c r="K853" s="5" t="n">
        <v>47</v>
      </c>
      <c r="L853" s="5" t="n">
        <v>23</v>
      </c>
      <c r="M853" s="5" t="n">
        <v>20</v>
      </c>
      <c r="N853" s="5">
        <f>J853+K853+L853+M853</f>
        <v/>
      </c>
      <c r="O853" s="5">
        <f>IF(ISNUMBER(N853),N853,"")</f>
        <v/>
      </c>
      <c r="P853" s="5">
        <f>_xlfn.RANK.EQ(O853,$O$2:$O$1031)</f>
        <v/>
      </c>
      <c r="Q853" s="9" t="n">
        <v>206.5</v>
      </c>
      <c r="R853" s="9" t="n">
        <v>42.5</v>
      </c>
      <c r="S853" s="9" t="n">
        <v>24</v>
      </c>
      <c r="T853" s="9" t="n">
        <v>23</v>
      </c>
      <c r="U853" s="9">
        <f>Q853+R853+S853+T853</f>
        <v/>
      </c>
      <c r="V853" s="9">
        <f>IF(ISNUMBER(U853),U853,"")</f>
        <v/>
      </c>
      <c r="W853" s="9">
        <f>_xlfn.RANK.EQ(V853,$V$2:$V$1031)</f>
        <v/>
      </c>
      <c r="X853" s="13" t="n">
        <v>1251.5125</v>
      </c>
      <c r="Y853" s="13" t="n">
        <v>25</v>
      </c>
      <c r="Z853" s="13" t="n">
        <v>23</v>
      </c>
      <c r="AA853" s="13" t="n">
        <v>25</v>
      </c>
      <c r="AB853" s="13">
        <f>IF(ISNUMBER(X853),X853+N(Y853)+N(Z853)+N(AA853),X853)</f>
        <v/>
      </c>
      <c r="AC853" s="13">
        <f>IF(ISNUMBER(AB853),AB853,"")</f>
        <v/>
      </c>
      <c r="AD853" s="13">
        <f>IF(ISNUMBER(AC853),_xlfn.RANK.EQ(AC853,$AC$2:$AC$1031),"")</f>
        <v/>
      </c>
      <c r="AE853" s="15">
        <f>IF(ISNUMBER(AF853),AF853/3630,"")</f>
        <v/>
      </c>
      <c r="AF853" s="14">
        <f>IFERROR(C853+D853+E853+F853+J853+K853+L853+M853+Q853+R853+S853+T853+IF(ISNUMBER(X853),X853,0)+N(Y853)+N(Z853)+N(AA853),"")</f>
        <v/>
      </c>
      <c r="AG853" s="14">
        <f>IF(ISNUMBER(AF853),AF853,"")</f>
        <v/>
      </c>
      <c r="AH853" s="14">
        <f>IF(ISNUMBER(AG853),_xlfn.RANK.EQ(AG853,$AG$2:$AG$1031),"")</f>
        <v/>
      </c>
    </row>
    <row r="854">
      <c r="A854" s="18" t="n">
        <v>2017</v>
      </c>
      <c r="B854" s="18" t="inlineStr">
        <is>
          <t>منة الله ياسر العقيلى عبد الحافظ</t>
        </is>
      </c>
      <c r="C854" s="1" t="n">
        <v>598.7</v>
      </c>
      <c r="D854" s="1" t="n">
        <v>23</v>
      </c>
      <c r="E854" s="1" t="n">
        <v>24</v>
      </c>
      <c r="F854" s="1" t="n">
        <v>21</v>
      </c>
      <c r="G854" s="1">
        <f>C854+D854+E854+F854</f>
        <v/>
      </c>
      <c r="H854" s="1">
        <f>IF(ISNUMBER(G854),G854,"")</f>
        <v/>
      </c>
      <c r="I854" s="1">
        <f>_xlfn.RANK.EQ(H854,$H$2:$H$1031)</f>
        <v/>
      </c>
      <c r="J854" s="5" t="n">
        <v>602.5</v>
      </c>
      <c r="K854" s="5" t="n">
        <v>48</v>
      </c>
      <c r="L854" s="5" t="n">
        <v>24</v>
      </c>
      <c r="M854" s="5" t="n">
        <v>25</v>
      </c>
      <c r="N854" s="5">
        <f>J854+K854+L854+M854</f>
        <v/>
      </c>
      <c r="O854" s="5">
        <f>IF(ISNUMBER(N854),N854,"")</f>
        <v/>
      </c>
      <c r="P854" s="5">
        <f>_xlfn.RANK.EQ(O854,$O$2:$O$1031)</f>
        <v/>
      </c>
      <c r="Q854" s="9" t="n">
        <v>259.25</v>
      </c>
      <c r="R854" s="9" t="n">
        <v>47.5</v>
      </c>
      <c r="S854" s="9" t="n">
        <v>25</v>
      </c>
      <c r="T854" s="9" t="n">
        <v>25</v>
      </c>
      <c r="U854" s="9">
        <f>Q854+R854+S854+T854</f>
        <v/>
      </c>
      <c r="V854" s="9">
        <f>IF(ISNUMBER(U854),U854,"")</f>
        <v/>
      </c>
      <c r="W854" s="9">
        <f>_xlfn.RANK.EQ(V854,$V$2:$V$1031)</f>
        <v/>
      </c>
      <c r="X854" s="13" t="n">
        <v>1428.8041666667</v>
      </c>
      <c r="Y854" s="13" t="n">
        <v>25</v>
      </c>
      <c r="Z854" s="13" t="n">
        <v>23</v>
      </c>
      <c r="AA854" s="13" t="n">
        <v>24</v>
      </c>
      <c r="AB854" s="13">
        <f>IF(ISNUMBER(X854),X854+N(Y854)+N(Z854)+N(AA854),X854)</f>
        <v/>
      </c>
      <c r="AC854" s="13">
        <f>IF(ISNUMBER(AB854),AB854,"")</f>
        <v/>
      </c>
      <c r="AD854" s="13">
        <f>IF(ISNUMBER(AC854),_xlfn.RANK.EQ(AC854,$AC$2:$AC$1031),"")</f>
        <v/>
      </c>
      <c r="AE854" s="15">
        <f>IF(ISNUMBER(AF854),AF854/3630,"")</f>
        <v/>
      </c>
      <c r="AF854" s="14">
        <f>IFERROR(C854+D854+E854+F854+J854+K854+L854+M854+Q854+R854+S854+T854+IF(ISNUMBER(X854),X854,0)+N(Y854)+N(Z854)+N(AA854),"")</f>
        <v/>
      </c>
      <c r="AG854" s="14">
        <f>IF(ISNUMBER(AF854),AF854,"")</f>
        <v/>
      </c>
      <c r="AH854" s="14">
        <f>IF(ISNUMBER(AG854),_xlfn.RANK.EQ(AG854,$AG$2:$AG$1031),"")</f>
        <v/>
      </c>
    </row>
    <row r="855">
      <c r="A855" s="18" t="n">
        <v>2018</v>
      </c>
      <c r="B855" s="18" t="inlineStr">
        <is>
          <t>منة عزت محمد ابراهيم عرقوب</t>
        </is>
      </c>
      <c r="C855" s="1" t="n">
        <v>629.7</v>
      </c>
      <c r="D855" s="1" t="n">
        <v>25</v>
      </c>
      <c r="E855" s="1" t="n">
        <v>25</v>
      </c>
      <c r="F855" s="1" t="n">
        <v>24</v>
      </c>
      <c r="G855" s="1">
        <f>C855+D855+E855+F855</f>
        <v/>
      </c>
      <c r="H855" s="1">
        <f>IF(ISNUMBER(G855),G855,"")</f>
        <v/>
      </c>
      <c r="I855" s="1">
        <f>_xlfn.RANK.EQ(H855,$H$2:$H$1031)</f>
        <v/>
      </c>
      <c r="J855" s="5" t="n">
        <v>625.5</v>
      </c>
      <c r="K855" s="5" t="n">
        <v>50</v>
      </c>
      <c r="L855" s="5" t="n">
        <v>24</v>
      </c>
      <c r="M855" s="5" t="n">
        <v>23</v>
      </c>
      <c r="N855" s="5">
        <f>J855+K855+L855+M855</f>
        <v/>
      </c>
      <c r="O855" s="5">
        <f>IF(ISNUMBER(N855),N855,"")</f>
        <v/>
      </c>
      <c r="P855" s="5">
        <f>_xlfn.RANK.EQ(O855,$O$2:$O$1031)</f>
        <v/>
      </c>
      <c r="Q855" s="9" t="n">
        <v>289.75</v>
      </c>
      <c r="R855" s="9" t="n">
        <v>48.5</v>
      </c>
      <c r="S855" s="9" t="n">
        <v>23</v>
      </c>
      <c r="T855" s="9" t="n">
        <v>24</v>
      </c>
      <c r="U855" s="9">
        <f>Q855+R855+S855+T855</f>
        <v/>
      </c>
      <c r="V855" s="9">
        <f>IF(ISNUMBER(U855),U855,"")</f>
        <v/>
      </c>
      <c r="W855" s="9">
        <f>_xlfn.RANK.EQ(V855,$V$2:$V$1031)</f>
        <v/>
      </c>
      <c r="X855" s="13" t="n">
        <v>1502.6708333333</v>
      </c>
      <c r="Y855" s="13" t="n">
        <v>25</v>
      </c>
      <c r="Z855" s="13" t="n">
        <v>24</v>
      </c>
      <c r="AA855" s="13" t="n">
        <v>25</v>
      </c>
      <c r="AB855" s="13">
        <f>IF(ISNUMBER(X855),X855+N(Y855)+N(Z855)+N(AA855),X855)</f>
        <v/>
      </c>
      <c r="AC855" s="13">
        <f>IF(ISNUMBER(AB855),AB855,"")</f>
        <v/>
      </c>
      <c r="AD855" s="13">
        <f>IF(ISNUMBER(AC855),_xlfn.RANK.EQ(AC855,$AC$2:$AC$1031),"")</f>
        <v/>
      </c>
      <c r="AE855" s="15">
        <f>IF(ISNUMBER(AF855),AF855/3630,"")</f>
        <v/>
      </c>
      <c r="AF855" s="14">
        <f>IFERROR(C855+D855+E855+F855+J855+K855+L855+M855+Q855+R855+S855+T855+IF(ISNUMBER(X855),X855,0)+N(Y855)+N(Z855)+N(AA855),"")</f>
        <v/>
      </c>
      <c r="AG855" s="14">
        <f>IF(ISNUMBER(AF855),AF855,"")</f>
        <v/>
      </c>
      <c r="AH855" s="14">
        <f>IF(ISNUMBER(AG855),_xlfn.RANK.EQ(AG855,$AG$2:$AG$1031),"")</f>
        <v/>
      </c>
    </row>
    <row r="856">
      <c r="A856" s="18" t="n">
        <v>2019</v>
      </c>
      <c r="B856" s="18" t="inlineStr">
        <is>
          <t>منة محمد توفيق البشلاوى</t>
        </is>
      </c>
      <c r="C856" s="1" t="n">
        <v>637.2</v>
      </c>
      <c r="D856" s="1" t="n">
        <v>25</v>
      </c>
      <c r="E856" s="1" t="n">
        <v>25</v>
      </c>
      <c r="F856" s="1" t="n">
        <v>24</v>
      </c>
      <c r="G856" s="1">
        <f>C856+D856+E856+F856</f>
        <v/>
      </c>
      <c r="H856" s="1">
        <f>IF(ISNUMBER(G856),G856,"")</f>
        <v/>
      </c>
      <c r="I856" s="1">
        <f>_xlfn.RANK.EQ(H856,$H$2:$H$1031)</f>
        <v/>
      </c>
      <c r="J856" s="5" t="n">
        <v>598.5</v>
      </c>
      <c r="K856" s="5" t="n">
        <v>45</v>
      </c>
      <c r="L856" s="5" t="n">
        <v>19</v>
      </c>
      <c r="M856" s="5" t="n">
        <v>23</v>
      </c>
      <c r="N856" s="5">
        <f>J856+K856+L856+M856</f>
        <v/>
      </c>
      <c r="O856" s="5">
        <f>IF(ISNUMBER(N856),N856,"")</f>
        <v/>
      </c>
      <c r="P856" s="5">
        <f>_xlfn.RANK.EQ(O856,$O$2:$O$1031)</f>
        <v/>
      </c>
      <c r="Q856" s="9" t="n">
        <v>243.75</v>
      </c>
      <c r="R856" s="9" t="n">
        <v>48</v>
      </c>
      <c r="S856" s="9" t="n">
        <v>22</v>
      </c>
      <c r="T856" s="9" t="n">
        <v>24</v>
      </c>
      <c r="U856" s="9">
        <f>Q856+R856+S856+T856</f>
        <v/>
      </c>
      <c r="V856" s="9">
        <f>IF(ISNUMBER(U856),U856,"")</f>
        <v/>
      </c>
      <c r="W856" s="9">
        <f>_xlfn.RANK.EQ(V856,$V$2:$V$1031)</f>
        <v/>
      </c>
      <c r="X856" s="13" t="n">
        <v>1381.8833333333</v>
      </c>
      <c r="Y856" s="13" t="n">
        <v>25</v>
      </c>
      <c r="Z856" s="13" t="n">
        <v>25</v>
      </c>
      <c r="AA856" s="13" t="n">
        <v>25</v>
      </c>
      <c r="AB856" s="13">
        <f>IF(ISNUMBER(X856),X856+N(Y856)+N(Z856)+N(AA856),X856)</f>
        <v/>
      </c>
      <c r="AC856" s="13">
        <f>IF(ISNUMBER(AB856),AB856,"")</f>
        <v/>
      </c>
      <c r="AD856" s="13">
        <f>IF(ISNUMBER(AC856),_xlfn.RANK.EQ(AC856,$AC$2:$AC$1031),"")</f>
        <v/>
      </c>
      <c r="AE856" s="15">
        <f>IF(ISNUMBER(AF856),AF856/3630,"")</f>
        <v/>
      </c>
      <c r="AF856" s="14">
        <f>IFERROR(C856+D856+E856+F856+J856+K856+L856+M856+Q856+R856+S856+T856+IF(ISNUMBER(X856),X856,0)+N(Y856)+N(Z856)+N(AA856),"")</f>
        <v/>
      </c>
      <c r="AG856" s="14">
        <f>IF(ISNUMBER(AF856),AF856,"")</f>
        <v/>
      </c>
      <c r="AH856" s="14">
        <f>IF(ISNUMBER(AG856),_xlfn.RANK.EQ(AG856,$AG$2:$AG$1031),"")</f>
        <v/>
      </c>
    </row>
    <row r="857">
      <c r="A857" s="18" t="n">
        <v>2027</v>
      </c>
      <c r="B857" s="18" t="inlineStr">
        <is>
          <t>منى حمدى عبد اللطيف محمد</t>
        </is>
      </c>
      <c r="C857" s="1" t="n">
        <v>448.5</v>
      </c>
      <c r="D857" s="1" t="n">
        <v>19</v>
      </c>
      <c r="E857" s="1" t="n">
        <v>21</v>
      </c>
      <c r="F857" s="1" t="n">
        <v>20</v>
      </c>
      <c r="G857" s="1">
        <f>C857+D857+E857+F857</f>
        <v/>
      </c>
      <c r="H857" s="1">
        <f>IF(ISNUMBER(G857),G857,"")</f>
        <v/>
      </c>
      <c r="I857" s="1">
        <f>_xlfn.RANK.EQ(H857,$H$2:$H$1031)</f>
        <v/>
      </c>
      <c r="J857" s="5" t="n">
        <v>489.6</v>
      </c>
      <c r="K857" s="5" t="n">
        <v>44</v>
      </c>
      <c r="L857" s="5" t="n">
        <v>20</v>
      </c>
      <c r="M857" s="5" t="n">
        <v>20</v>
      </c>
      <c r="N857" s="5">
        <f>J857+K857+L857+M857</f>
        <v/>
      </c>
      <c r="O857" s="5">
        <f>IF(ISNUMBER(N857),N857,"")</f>
        <v/>
      </c>
      <c r="P857" s="5">
        <f>_xlfn.RANK.EQ(O857,$O$2:$O$1031)</f>
        <v/>
      </c>
      <c r="Q857" s="9" t="n">
        <v>221.25</v>
      </c>
      <c r="R857" s="9" t="n">
        <v>44</v>
      </c>
      <c r="S857" s="9" t="n">
        <v>22</v>
      </c>
      <c r="T857" s="9" t="n">
        <v>24</v>
      </c>
      <c r="U857" s="9">
        <f>Q857+R857+S857+T857</f>
        <v/>
      </c>
      <c r="V857" s="9">
        <f>IF(ISNUMBER(U857),U857,"")</f>
        <v/>
      </c>
      <c r="W857" s="9">
        <f>_xlfn.RANK.EQ(V857,$V$2:$V$1031)</f>
        <v/>
      </c>
      <c r="X857" s="13" t="n">
        <v>1305.7791666667</v>
      </c>
      <c r="Y857" s="13" t="n">
        <v>25</v>
      </c>
      <c r="Z857" s="13" t="n">
        <v>25</v>
      </c>
      <c r="AA857" s="13" t="n">
        <v>24</v>
      </c>
      <c r="AB857" s="13">
        <f>IF(ISNUMBER(X857),X857+N(Y857)+N(Z857)+N(AA857),X857)</f>
        <v/>
      </c>
      <c r="AC857" s="13">
        <f>IF(ISNUMBER(AB857),AB857,"")</f>
        <v/>
      </c>
      <c r="AD857" s="13">
        <f>IF(ISNUMBER(AC857),_xlfn.RANK.EQ(AC857,$AC$2:$AC$1031),"")</f>
        <v/>
      </c>
      <c r="AE857" s="15">
        <f>IF(ISNUMBER(AF857),AF857/3630,"")</f>
        <v/>
      </c>
      <c r="AF857" s="14">
        <f>IFERROR(C857+D857+E857+F857+J857+K857+L857+M857+Q857+R857+S857+T857+IF(ISNUMBER(X857),X857,0)+N(Y857)+N(Z857)+N(AA857),"")</f>
        <v/>
      </c>
      <c r="AG857" s="14">
        <f>IF(ISNUMBER(AF857),AF857,"")</f>
        <v/>
      </c>
      <c r="AH857" s="14">
        <f>IF(ISNUMBER(AG857),_xlfn.RANK.EQ(AG857,$AG$2:$AG$1031),"")</f>
        <v/>
      </c>
    </row>
    <row r="858">
      <c r="A858" s="18" t="n">
        <v>2029</v>
      </c>
      <c r="B858" s="18" t="inlineStr">
        <is>
          <t>منى عطيه على محمد ابو غيط</t>
        </is>
      </c>
      <c r="C858" s="1" t="n">
        <v>624</v>
      </c>
      <c r="D858" s="1" t="n">
        <v>25</v>
      </c>
      <c r="E858" s="1" t="n">
        <v>25</v>
      </c>
      <c r="F858" s="1" t="n">
        <v>23</v>
      </c>
      <c r="G858" s="1">
        <f>C858+D858+E858+F858</f>
        <v/>
      </c>
      <c r="H858" s="1">
        <f>IF(ISNUMBER(G858),G858,"")</f>
        <v/>
      </c>
      <c r="I858" s="1">
        <f>_xlfn.RANK.EQ(H858,$H$2:$H$1031)</f>
        <v/>
      </c>
      <c r="J858" s="5" t="n">
        <v>611.6</v>
      </c>
      <c r="K858" s="5" t="n">
        <v>49</v>
      </c>
      <c r="L858" s="5" t="n">
        <v>21</v>
      </c>
      <c r="M858" s="5" t="n">
        <v>21</v>
      </c>
      <c r="N858" s="5">
        <f>J858+K858+L858+M858</f>
        <v/>
      </c>
      <c r="O858" s="5">
        <f>IF(ISNUMBER(N858),N858,"")</f>
        <v/>
      </c>
      <c r="P858" s="5">
        <f>_xlfn.RANK.EQ(O858,$O$2:$O$1031)</f>
        <v/>
      </c>
      <c r="Q858" s="9" t="n">
        <v>272.75</v>
      </c>
      <c r="R858" s="9" t="n">
        <v>46.5</v>
      </c>
      <c r="S858" s="9" t="n">
        <v>25</v>
      </c>
      <c r="T858" s="9" t="n">
        <v>25</v>
      </c>
      <c r="U858" s="9">
        <f>Q858+R858+S858+T858</f>
        <v/>
      </c>
      <c r="V858" s="9">
        <f>IF(ISNUMBER(U858),U858,"")</f>
        <v/>
      </c>
      <c r="W858" s="9">
        <f>_xlfn.RANK.EQ(V858,$V$2:$V$1031)</f>
        <v/>
      </c>
      <c r="X858" s="13" t="n">
        <v>1479.0041666667</v>
      </c>
      <c r="Y858" s="13" t="n">
        <v>25</v>
      </c>
      <c r="Z858" s="13" t="n">
        <v>24</v>
      </c>
      <c r="AA858" s="13" t="n">
        <v>23</v>
      </c>
      <c r="AB858" s="13">
        <f>IF(ISNUMBER(X858),X858+N(Y858)+N(Z858)+N(AA858),X858)</f>
        <v/>
      </c>
      <c r="AC858" s="13">
        <f>IF(ISNUMBER(AB858),AB858,"")</f>
        <v/>
      </c>
      <c r="AD858" s="13">
        <f>IF(ISNUMBER(AC858),_xlfn.RANK.EQ(AC858,$AC$2:$AC$1031),"")</f>
        <v/>
      </c>
      <c r="AE858" s="15">
        <f>IF(ISNUMBER(AF858),AF858/3630,"")</f>
        <v/>
      </c>
      <c r="AF858" s="14">
        <f>IFERROR(C858+D858+E858+F858+J858+K858+L858+M858+Q858+R858+S858+T858+IF(ISNUMBER(X858),X858,0)+N(Y858)+N(Z858)+N(AA858),"")</f>
        <v/>
      </c>
      <c r="AG858" s="14">
        <f>IF(ISNUMBER(AF858),AF858,"")</f>
        <v/>
      </c>
      <c r="AH858" s="14">
        <f>IF(ISNUMBER(AG858),_xlfn.RANK.EQ(AG858,$AG$2:$AG$1031),"")</f>
        <v/>
      </c>
    </row>
    <row r="859">
      <c r="A859" s="18" t="n">
        <v>2032</v>
      </c>
      <c r="B859" s="18" t="inlineStr">
        <is>
          <t>مها سليمان احمد حلمى</t>
        </is>
      </c>
      <c r="C859" s="1" t="n">
        <v>588.5</v>
      </c>
      <c r="D859" s="1" t="n">
        <v>22</v>
      </c>
      <c r="E859" s="1" t="n">
        <v>25</v>
      </c>
      <c r="F859" s="1" t="n">
        <v>18.5</v>
      </c>
      <c r="G859" s="1">
        <f>C859+D859+E859+F859</f>
        <v/>
      </c>
      <c r="H859" s="1">
        <f>IF(ISNUMBER(G859),G859,"")</f>
        <v/>
      </c>
      <c r="I859" s="1">
        <f>_xlfn.RANK.EQ(H859,$H$2:$H$1031)</f>
        <v/>
      </c>
      <c r="J859" s="5" t="n">
        <v>618.7</v>
      </c>
      <c r="K859" s="5" t="n">
        <v>49</v>
      </c>
      <c r="L859" s="5" t="n">
        <v>22</v>
      </c>
      <c r="M859" s="5" t="n">
        <v>23</v>
      </c>
      <c r="N859" s="5">
        <f>J859+K859+L859+M859</f>
        <v/>
      </c>
      <c r="O859" s="5">
        <f>IF(ISNUMBER(N859),N859,"")</f>
        <v/>
      </c>
      <c r="P859" s="5">
        <f>_xlfn.RANK.EQ(O859,$O$2:$O$1031)</f>
        <v/>
      </c>
      <c r="Q859" s="9" t="n">
        <v>261</v>
      </c>
      <c r="R859" s="9" t="n">
        <v>46</v>
      </c>
      <c r="S859" s="9" t="n">
        <v>23</v>
      </c>
      <c r="T859" s="9" t="n">
        <v>25</v>
      </c>
      <c r="U859" s="9">
        <f>Q859+R859+S859+T859</f>
        <v/>
      </c>
      <c r="V859" s="9">
        <f>IF(ISNUMBER(U859),U859,"")</f>
        <v/>
      </c>
      <c r="W859" s="9">
        <f>_xlfn.RANK.EQ(V859,$V$2:$V$1031)</f>
        <v/>
      </c>
      <c r="X859" s="13" t="n">
        <v>1419.3291666667</v>
      </c>
      <c r="Y859" s="13" t="n">
        <v>25</v>
      </c>
      <c r="Z859" s="13" t="n">
        <v>23.5</v>
      </c>
      <c r="AA859" s="13" t="n">
        <v>24</v>
      </c>
      <c r="AB859" s="13">
        <f>IF(ISNUMBER(X859),X859+N(Y859)+N(Z859)+N(AA859),X859)</f>
        <v/>
      </c>
      <c r="AC859" s="13">
        <f>IF(ISNUMBER(AB859),AB859,"")</f>
        <v/>
      </c>
      <c r="AD859" s="13">
        <f>IF(ISNUMBER(AC859),_xlfn.RANK.EQ(AC859,$AC$2:$AC$1031),"")</f>
        <v/>
      </c>
      <c r="AE859" s="15">
        <f>IF(ISNUMBER(AF859),AF859/3630,"")</f>
        <v/>
      </c>
      <c r="AF859" s="14">
        <f>IFERROR(C859+D859+E859+F859+J859+K859+L859+M859+Q859+R859+S859+T859+IF(ISNUMBER(X859),X859,0)+N(Y859)+N(Z859)+N(AA859),"")</f>
        <v/>
      </c>
      <c r="AG859" s="14">
        <f>IF(ISNUMBER(AF859),AF859,"")</f>
        <v/>
      </c>
      <c r="AH859" s="14">
        <f>IF(ISNUMBER(AG859),_xlfn.RANK.EQ(AG859,$AG$2:$AG$1031),"")</f>
        <v/>
      </c>
    </row>
    <row r="860">
      <c r="A860" s="18" t="n">
        <v>2033</v>
      </c>
      <c r="B860" s="18" t="inlineStr">
        <is>
          <t>مها عادل السيد فراج</t>
        </is>
      </c>
      <c r="C860" s="1" t="n">
        <v>436.3</v>
      </c>
      <c r="D860" s="1" t="n">
        <v>17</v>
      </c>
      <c r="E860" s="1" t="n">
        <v>15</v>
      </c>
      <c r="F860" s="1" t="n">
        <v>13</v>
      </c>
      <c r="G860" s="1">
        <f>C860+D860+E860+F860</f>
        <v/>
      </c>
      <c r="H860" s="1">
        <f>IF(ISNUMBER(G860),G860,"")</f>
        <v/>
      </c>
      <c r="I860" s="1">
        <f>_xlfn.RANK.EQ(H860,$H$2:$H$1031)</f>
        <v/>
      </c>
      <c r="J860" s="5" t="n">
        <v>458.2</v>
      </c>
      <c r="K860" s="5" t="n">
        <v>34</v>
      </c>
      <c r="L860" s="5" t="n">
        <v>19</v>
      </c>
      <c r="M860" s="5" t="n">
        <v>12</v>
      </c>
      <c r="N860" s="5">
        <f>J860+K860+L860+M860</f>
        <v/>
      </c>
      <c r="O860" s="5">
        <f>IF(ISNUMBER(N860),N860,"")</f>
        <v/>
      </c>
      <c r="P860" s="5">
        <f>_xlfn.RANK.EQ(O860,$O$2:$O$1031)</f>
        <v/>
      </c>
      <c r="Q860" s="9" t="inlineStr">
        <is>
          <t>راسب</t>
        </is>
      </c>
      <c r="R860" s="9" t="n">
        <v>31</v>
      </c>
      <c r="S860" s="9" t="n">
        <v>15</v>
      </c>
      <c r="T860" s="9" t="n">
        <v>23</v>
      </c>
      <c r="U860" s="9">
        <f>Q860+R860+S860+T860</f>
        <v/>
      </c>
      <c r="V860" s="9">
        <f>IF(ISNUMBER(U860),U860,"")</f>
        <v/>
      </c>
      <c r="W860" s="9">
        <f>_xlfn.RANK.EQ(V860,$V$2:$V$1031)</f>
        <v/>
      </c>
      <c r="X860" s="13" t="inlineStr">
        <is>
          <t>راسب</t>
        </is>
      </c>
      <c r="Y860" s="13" t="n">
        <v>21</v>
      </c>
      <c r="Z860" s="13" t="n">
        <v>20</v>
      </c>
      <c r="AA860" s="13" t="n">
        <v>19</v>
      </c>
      <c r="AB860" s="13">
        <f>IF(ISNUMBER(X860),X860+N(Y860)+N(Z860)+N(AA860),X860)</f>
        <v/>
      </c>
      <c r="AC860" s="13">
        <f>IF(ISNUMBER(AB860),AB860,"")</f>
        <v/>
      </c>
      <c r="AD860" s="13">
        <f>IF(ISNUMBER(AC860),_xlfn.RANK.EQ(AC860,$AC$2:$AC$1031),"")</f>
        <v/>
      </c>
      <c r="AE860" s="15">
        <f>IF(ISNUMBER(AF860),AF860/3630,"")</f>
        <v/>
      </c>
      <c r="AF860" s="14">
        <f>IFERROR(C860+D860+E860+F860+J860+K860+L860+M860+Q860+R860+S860+T860+IF(ISNUMBER(X860),X860,0)+N(Y860)+N(Z860)+N(AA860),"")</f>
        <v/>
      </c>
      <c r="AG860" s="14">
        <f>IF(ISNUMBER(AF860),AF860,"")</f>
        <v/>
      </c>
      <c r="AH860" s="14">
        <f>IF(ISNUMBER(AG860),_xlfn.RANK.EQ(AG860,$AG$2:$AG$1031),"")</f>
        <v/>
      </c>
    </row>
    <row r="861">
      <c r="A861" s="18" t="n">
        <v>2034</v>
      </c>
      <c r="B861" s="18" t="inlineStr">
        <is>
          <t>مهاب أشرف محمد عبدالله بحر</t>
        </is>
      </c>
      <c r="C861" s="1" t="n">
        <v>537</v>
      </c>
      <c r="D861" s="1" t="n">
        <v>24</v>
      </c>
      <c r="E861" s="1" t="n">
        <v>20</v>
      </c>
      <c r="F861" s="1" t="n">
        <v>20</v>
      </c>
      <c r="G861" s="1">
        <f>C861+D861+E861+F861</f>
        <v/>
      </c>
      <c r="H861" s="1">
        <f>IF(ISNUMBER(G861),G861,"")</f>
        <v/>
      </c>
      <c r="I861" s="1">
        <f>_xlfn.RANK.EQ(H861,$H$2:$H$1031)</f>
        <v/>
      </c>
      <c r="J861" s="5" t="n">
        <v>544</v>
      </c>
      <c r="K861" s="5" t="n">
        <v>38</v>
      </c>
      <c r="L861" s="5" t="n">
        <v>21</v>
      </c>
      <c r="M861" s="5" t="n">
        <v>21</v>
      </c>
      <c r="N861" s="5">
        <f>J861+K861+L861+M861</f>
        <v/>
      </c>
      <c r="O861" s="5">
        <f>IF(ISNUMBER(N861),N861,"")</f>
        <v/>
      </c>
      <c r="P861" s="5">
        <f>_xlfn.RANK.EQ(O861,$O$2:$O$1031)</f>
        <v/>
      </c>
      <c r="Q861" s="9" t="n">
        <v>245</v>
      </c>
      <c r="R861" s="9" t="n">
        <v>43</v>
      </c>
      <c r="S861" s="9" t="n">
        <v>22</v>
      </c>
      <c r="T861" s="9" t="n">
        <v>23</v>
      </c>
      <c r="U861" s="9">
        <f>Q861+R861+S861+T861</f>
        <v/>
      </c>
      <c r="V861" s="9">
        <f>IF(ISNUMBER(U861),U861,"")</f>
        <v/>
      </c>
      <c r="W861" s="9">
        <f>_xlfn.RANK.EQ(V861,$V$2:$V$1031)</f>
        <v/>
      </c>
      <c r="X861" s="13" t="n">
        <v>1413.0208333333</v>
      </c>
      <c r="Y861" s="13" t="n">
        <v>23</v>
      </c>
      <c r="Z861" s="13" t="n">
        <v>23.5</v>
      </c>
      <c r="AA861" s="13" t="n">
        <v>24</v>
      </c>
      <c r="AB861" s="13">
        <f>IF(ISNUMBER(X861),X861+N(Y861)+N(Z861)+N(AA861),X861)</f>
        <v/>
      </c>
      <c r="AC861" s="13">
        <f>IF(ISNUMBER(AB861),AB861,"")</f>
        <v/>
      </c>
      <c r="AD861" s="13">
        <f>IF(ISNUMBER(AC861),_xlfn.RANK.EQ(AC861,$AC$2:$AC$1031),"")</f>
        <v/>
      </c>
      <c r="AE861" s="15">
        <f>IF(ISNUMBER(AF861),AF861/3630,"")</f>
        <v/>
      </c>
      <c r="AF861" s="14">
        <f>IFERROR(C861+D861+E861+F861+J861+K861+L861+M861+Q861+R861+S861+T861+IF(ISNUMBER(X861),X861,0)+N(Y861)+N(Z861)+N(AA861),"")</f>
        <v/>
      </c>
      <c r="AG861" s="14">
        <f>IF(ISNUMBER(AF861),AF861,"")</f>
        <v/>
      </c>
      <c r="AH861" s="14">
        <f>IF(ISNUMBER(AG861),_xlfn.RANK.EQ(AG861,$AG$2:$AG$1031),"")</f>
        <v/>
      </c>
    </row>
    <row r="862">
      <c r="A862" s="18" t="n">
        <v>2046</v>
      </c>
      <c r="B862" s="18" t="inlineStr">
        <is>
          <t>مؤتمن محمد الشحات حسن</t>
        </is>
      </c>
      <c r="C862" s="1" t="n">
        <v>626.5</v>
      </c>
      <c r="D862" s="1" t="n">
        <v>23</v>
      </c>
      <c r="E862" s="1" t="n">
        <v>22</v>
      </c>
      <c r="F862" s="1" t="n">
        <v>23</v>
      </c>
      <c r="G862" s="1">
        <f>C862+D862+E862+F862</f>
        <v/>
      </c>
      <c r="H862" s="1">
        <f>IF(ISNUMBER(G862),G862,"")</f>
        <v/>
      </c>
      <c r="I862" s="1">
        <f>_xlfn.RANK.EQ(H862,$H$2:$H$1031)</f>
        <v/>
      </c>
      <c r="J862" s="5" t="n">
        <v>600</v>
      </c>
      <c r="K862" s="5" t="n">
        <v>44</v>
      </c>
      <c r="L862" s="5" t="n">
        <v>18</v>
      </c>
      <c r="M862" s="5" t="n">
        <v>20</v>
      </c>
      <c r="N862" s="5">
        <f>J862+K862+L862+M862</f>
        <v/>
      </c>
      <c r="O862" s="5">
        <f>IF(ISNUMBER(N862),N862,"")</f>
        <v/>
      </c>
      <c r="P862" s="5">
        <f>_xlfn.RANK.EQ(O862,$O$2:$O$1031)</f>
        <v/>
      </c>
      <c r="Q862" s="9" t="n">
        <v>270.25</v>
      </c>
      <c r="R862" s="9" t="n">
        <v>46</v>
      </c>
      <c r="S862" s="9" t="n">
        <v>25</v>
      </c>
      <c r="T862" s="9" t="n">
        <v>25</v>
      </c>
      <c r="U862" s="9">
        <f>Q862+R862+S862+T862</f>
        <v/>
      </c>
      <c r="V862" s="9">
        <f>IF(ISNUMBER(U862),U862,"")</f>
        <v/>
      </c>
      <c r="W862" s="9">
        <f>_xlfn.RANK.EQ(V862,$V$2:$V$1031)</f>
        <v/>
      </c>
      <c r="X862" s="13" t="n">
        <v>1447.9208333333</v>
      </c>
      <c r="Y862" s="13" t="n">
        <v>25</v>
      </c>
      <c r="Z862" s="13" t="n">
        <v>22</v>
      </c>
      <c r="AA862" s="13" t="n">
        <v>24</v>
      </c>
      <c r="AB862" s="13">
        <f>IF(ISNUMBER(X862),X862+N(Y862)+N(Z862)+N(AA862),X862)</f>
        <v/>
      </c>
      <c r="AC862" s="13">
        <f>IF(ISNUMBER(AB862),AB862,"")</f>
        <v/>
      </c>
      <c r="AD862" s="13">
        <f>IF(ISNUMBER(AC862),_xlfn.RANK.EQ(AC862,$AC$2:$AC$1031),"")</f>
        <v/>
      </c>
      <c r="AE862" s="15">
        <f>IF(ISNUMBER(AF862),AF862/3630,"")</f>
        <v/>
      </c>
      <c r="AF862" s="14">
        <f>IFERROR(C862+D862+E862+F862+J862+K862+L862+M862+Q862+R862+S862+T862+IF(ISNUMBER(X862),X862,0)+N(Y862)+N(Z862)+N(AA862),"")</f>
        <v/>
      </c>
      <c r="AG862" s="14">
        <f>IF(ISNUMBER(AF862),AF862,"")</f>
        <v/>
      </c>
      <c r="AH862" s="14">
        <f>IF(ISNUMBER(AG862),_xlfn.RANK.EQ(AG862,$AG$2:$AG$1031),"")</f>
        <v/>
      </c>
    </row>
    <row r="863">
      <c r="A863" s="18" t="n">
        <v>2049</v>
      </c>
      <c r="B863" s="18" t="inlineStr">
        <is>
          <t>مؤمن محمد رضا ابراهيم</t>
        </is>
      </c>
      <c r="C863" s="1" t="n">
        <v>574.5</v>
      </c>
      <c r="D863" s="1" t="n">
        <v>24</v>
      </c>
      <c r="E863" s="1" t="n">
        <v>22</v>
      </c>
      <c r="F863" s="1" t="n">
        <v>24</v>
      </c>
      <c r="G863" s="1">
        <f>C863+D863+E863+F863</f>
        <v/>
      </c>
      <c r="H863" s="1">
        <f>IF(ISNUMBER(G863),G863,"")</f>
        <v/>
      </c>
      <c r="I863" s="1">
        <f>_xlfn.RANK.EQ(H863,$H$2:$H$1031)</f>
        <v/>
      </c>
      <c r="J863" s="5" t="n">
        <v>606.5</v>
      </c>
      <c r="K863" s="5" t="n">
        <v>45</v>
      </c>
      <c r="L863" s="5" t="n">
        <v>23</v>
      </c>
      <c r="M863" s="5" t="n">
        <v>23</v>
      </c>
      <c r="N863" s="5">
        <f>J863+K863+L863+M863</f>
        <v/>
      </c>
      <c r="O863" s="5">
        <f>IF(ISNUMBER(N863),N863,"")</f>
        <v/>
      </c>
      <c r="P863" s="5">
        <f>_xlfn.RANK.EQ(O863,$O$2:$O$1031)</f>
        <v/>
      </c>
      <c r="Q863" s="9" t="n">
        <v>267</v>
      </c>
      <c r="R863" s="9" t="n">
        <v>48</v>
      </c>
      <c r="S863" s="9" t="n">
        <v>24</v>
      </c>
      <c r="T863" s="9" t="n">
        <v>24</v>
      </c>
      <c r="U863" s="9">
        <f>Q863+R863+S863+T863</f>
        <v/>
      </c>
      <c r="V863" s="9">
        <f>IF(ISNUMBER(U863),U863,"")</f>
        <v/>
      </c>
      <c r="W863" s="9">
        <f>_xlfn.RANK.EQ(V863,$V$2:$V$1031)</f>
        <v/>
      </c>
      <c r="X863" s="13" t="n">
        <v>1412.7666666667</v>
      </c>
      <c r="Y863" s="13" t="n">
        <v>24</v>
      </c>
      <c r="Z863" s="13" t="n">
        <v>24</v>
      </c>
      <c r="AA863" s="13" t="n">
        <v>24</v>
      </c>
      <c r="AB863" s="13">
        <f>IF(ISNUMBER(X863),X863+N(Y863)+N(Z863)+N(AA863),X863)</f>
        <v/>
      </c>
      <c r="AC863" s="13">
        <f>IF(ISNUMBER(AB863),AB863,"")</f>
        <v/>
      </c>
      <c r="AD863" s="13">
        <f>IF(ISNUMBER(AC863),_xlfn.RANK.EQ(AC863,$AC$2:$AC$1031),"")</f>
        <v/>
      </c>
      <c r="AE863" s="15">
        <f>IF(ISNUMBER(AF863),AF863/3630,"")</f>
        <v/>
      </c>
      <c r="AF863" s="14">
        <f>IFERROR(C863+D863+E863+F863+J863+K863+L863+M863+Q863+R863+S863+T863+IF(ISNUMBER(X863),X863,0)+N(Y863)+N(Z863)+N(AA863),"")</f>
        <v/>
      </c>
      <c r="AG863" s="14">
        <f>IF(ISNUMBER(AF863),AF863,"")</f>
        <v/>
      </c>
      <c r="AH863" s="14">
        <f>IF(ISNUMBER(AG863),_xlfn.RANK.EQ(AG863,$AG$2:$AG$1031),"")</f>
        <v/>
      </c>
    </row>
    <row r="864">
      <c r="A864" s="18" t="n">
        <v>2050</v>
      </c>
      <c r="B864" s="18" t="inlineStr">
        <is>
          <t>مؤمن محمد عبد القادر عبد الغني</t>
        </is>
      </c>
      <c r="C864" s="1" t="n">
        <v>648</v>
      </c>
      <c r="D864" s="1" t="n">
        <v>24</v>
      </c>
      <c r="E864" s="1" t="n">
        <v>24</v>
      </c>
      <c r="F864" s="1" t="n">
        <v>23</v>
      </c>
      <c r="G864" s="1">
        <f>C864+D864+E864+F864</f>
        <v/>
      </c>
      <c r="H864" s="1">
        <f>IF(ISNUMBER(G864),G864,"")</f>
        <v/>
      </c>
      <c r="I864" s="1">
        <f>_xlfn.RANK.EQ(H864,$H$2:$H$1031)</f>
        <v/>
      </c>
      <c r="J864" s="5" t="n">
        <v>624.5</v>
      </c>
      <c r="K864" s="5" t="n">
        <v>48</v>
      </c>
      <c r="L864" s="5" t="n">
        <v>21</v>
      </c>
      <c r="M864" s="5" t="n">
        <v>24</v>
      </c>
      <c r="N864" s="5">
        <f>J864+K864+L864+M864</f>
        <v/>
      </c>
      <c r="O864" s="5">
        <f>IF(ISNUMBER(N864),N864,"")</f>
        <v/>
      </c>
      <c r="P864" s="5">
        <f>_xlfn.RANK.EQ(O864,$O$2:$O$1031)</f>
        <v/>
      </c>
      <c r="Q864" s="9" t="n">
        <v>258.75</v>
      </c>
      <c r="R864" s="9" t="n">
        <v>44.5</v>
      </c>
      <c r="S864" s="9" t="n">
        <v>23</v>
      </c>
      <c r="T864" s="9" t="n">
        <v>25</v>
      </c>
      <c r="U864" s="9">
        <f>Q864+R864+S864+T864</f>
        <v/>
      </c>
      <c r="V864" s="9">
        <f>IF(ISNUMBER(U864),U864,"")</f>
        <v/>
      </c>
      <c r="W864" s="9">
        <f>_xlfn.RANK.EQ(V864,$V$2:$V$1031)</f>
        <v/>
      </c>
      <c r="X864" s="13" t="n">
        <v>1497.2583333333</v>
      </c>
      <c r="Y864" s="13" t="n">
        <v>25</v>
      </c>
      <c r="Z864" s="13" t="n">
        <v>24</v>
      </c>
      <c r="AA864" s="13" t="n">
        <v>25</v>
      </c>
      <c r="AB864" s="13">
        <f>IF(ISNUMBER(X864),X864+N(Y864)+N(Z864)+N(AA864),X864)</f>
        <v/>
      </c>
      <c r="AC864" s="13">
        <f>IF(ISNUMBER(AB864),AB864,"")</f>
        <v/>
      </c>
      <c r="AD864" s="13">
        <f>IF(ISNUMBER(AC864),_xlfn.RANK.EQ(AC864,$AC$2:$AC$1031),"")</f>
        <v/>
      </c>
      <c r="AE864" s="15">
        <f>IF(ISNUMBER(AF864),AF864/3630,"")</f>
        <v/>
      </c>
      <c r="AF864" s="14">
        <f>IFERROR(C864+D864+E864+F864+J864+K864+L864+M864+Q864+R864+S864+T864+IF(ISNUMBER(X864),X864,0)+N(Y864)+N(Z864)+N(AA864),"")</f>
        <v/>
      </c>
      <c r="AG864" s="14">
        <f>IF(ISNUMBER(AF864),AF864,"")</f>
        <v/>
      </c>
      <c r="AH864" s="14">
        <f>IF(ISNUMBER(AG864),_xlfn.RANK.EQ(AG864,$AG$2:$AG$1031),"")</f>
        <v/>
      </c>
    </row>
    <row r="865">
      <c r="A865" s="18" t="n">
        <v>2057</v>
      </c>
      <c r="B865" s="18" t="inlineStr">
        <is>
          <t>مى عماد فتحى راضى</t>
        </is>
      </c>
      <c r="C865" s="1" t="n">
        <v>571.5</v>
      </c>
      <c r="D865" s="1" t="n">
        <v>23</v>
      </c>
      <c r="E865" s="1" t="n">
        <v>24</v>
      </c>
      <c r="F865" s="1" t="n">
        <v>23</v>
      </c>
      <c r="G865" s="1">
        <f>C865+D865+E865+F865</f>
        <v/>
      </c>
      <c r="H865" s="1">
        <f>IF(ISNUMBER(G865),G865,"")</f>
        <v/>
      </c>
      <c r="I865" s="1">
        <f>_xlfn.RANK.EQ(H865,$H$2:$H$1031)</f>
        <v/>
      </c>
      <c r="J865" s="5" t="n">
        <v>588</v>
      </c>
      <c r="K865" s="5" t="n">
        <v>46</v>
      </c>
      <c r="L865" s="5" t="n">
        <v>23</v>
      </c>
      <c r="M865" s="5" t="n">
        <v>24</v>
      </c>
      <c r="N865" s="5">
        <f>J865+K865+L865+M865</f>
        <v/>
      </c>
      <c r="O865" s="5">
        <f>IF(ISNUMBER(N865),N865,"")</f>
        <v/>
      </c>
      <c r="P865" s="5">
        <f>_xlfn.RANK.EQ(O865,$O$2:$O$1031)</f>
        <v/>
      </c>
      <c r="Q865" s="9" t="n">
        <v>261</v>
      </c>
      <c r="R865" s="9" t="n">
        <v>47.5</v>
      </c>
      <c r="S865" s="9" t="n">
        <v>24</v>
      </c>
      <c r="T865" s="9" t="n">
        <v>25</v>
      </c>
      <c r="U865" s="9">
        <f>Q865+R865+S865+T865</f>
        <v/>
      </c>
      <c r="V865" s="9">
        <f>IF(ISNUMBER(U865),U865,"")</f>
        <v/>
      </c>
      <c r="W865" s="9">
        <f>_xlfn.RANK.EQ(V865,$V$2:$V$1031)</f>
        <v/>
      </c>
      <c r="X865" s="13" t="n">
        <v>1467.3375</v>
      </c>
      <c r="Y865" s="13" t="n">
        <v>25</v>
      </c>
      <c r="Z865" s="13" t="n">
        <v>25</v>
      </c>
      <c r="AA865" s="13" t="n">
        <v>24</v>
      </c>
      <c r="AB865" s="13">
        <f>IF(ISNUMBER(X865),X865+N(Y865)+N(Z865)+N(AA865),X865)</f>
        <v/>
      </c>
      <c r="AC865" s="13">
        <f>IF(ISNUMBER(AB865),AB865,"")</f>
        <v/>
      </c>
      <c r="AD865" s="13">
        <f>IF(ISNUMBER(AC865),_xlfn.RANK.EQ(AC865,$AC$2:$AC$1031),"")</f>
        <v/>
      </c>
      <c r="AE865" s="15">
        <f>IF(ISNUMBER(AF865),AF865/3630,"")</f>
        <v/>
      </c>
      <c r="AF865" s="14">
        <f>IFERROR(C865+D865+E865+F865+J865+K865+L865+M865+Q865+R865+S865+T865+IF(ISNUMBER(X865),X865,0)+N(Y865)+N(Z865)+N(AA865),"")</f>
        <v/>
      </c>
      <c r="AG865" s="14">
        <f>IF(ISNUMBER(AF865),AF865,"")</f>
        <v/>
      </c>
      <c r="AH865" s="14">
        <f>IF(ISNUMBER(AG865),_xlfn.RANK.EQ(AG865,$AG$2:$AG$1031),"")</f>
        <v/>
      </c>
    </row>
    <row r="866">
      <c r="A866" s="18" t="n">
        <v>2058</v>
      </c>
      <c r="B866" s="18" t="inlineStr">
        <is>
          <t>مى محمد حسن الطحان</t>
        </is>
      </c>
      <c r="C866" s="1" t="n">
        <v>628.9</v>
      </c>
      <c r="D866" s="1" t="n">
        <v>25</v>
      </c>
      <c r="E866" s="1" t="n">
        <v>25</v>
      </c>
      <c r="F866" s="1" t="n">
        <v>23</v>
      </c>
      <c r="G866" s="1">
        <f>C866+D866+E866+F866</f>
        <v/>
      </c>
      <c r="H866" s="1">
        <f>IF(ISNUMBER(G866),G866,"")</f>
        <v/>
      </c>
      <c r="I866" s="1">
        <f>_xlfn.RANK.EQ(H866,$H$2:$H$1031)</f>
        <v/>
      </c>
      <c r="J866" s="5" t="n">
        <v>616.5</v>
      </c>
      <c r="K866" s="5" t="n">
        <v>47</v>
      </c>
      <c r="L866" s="5" t="n">
        <v>22</v>
      </c>
      <c r="M866" s="5" t="n">
        <v>25</v>
      </c>
      <c r="N866" s="5">
        <f>J866+K866+L866+M866</f>
        <v/>
      </c>
      <c r="O866" s="5">
        <f>IF(ISNUMBER(N866),N866,"")</f>
        <v/>
      </c>
      <c r="P866" s="5">
        <f>_xlfn.RANK.EQ(O866,$O$2:$O$1031)</f>
        <v/>
      </c>
      <c r="Q866" s="9" t="n">
        <v>273.75</v>
      </c>
      <c r="R866" s="9" t="n">
        <v>49.5</v>
      </c>
      <c r="S866" s="9" t="n">
        <v>24</v>
      </c>
      <c r="T866" s="9" t="n">
        <v>25</v>
      </c>
      <c r="U866" s="9">
        <f>Q866+R866+S866+T866</f>
        <v/>
      </c>
      <c r="V866" s="9">
        <f>IF(ISNUMBER(U866),U866,"")</f>
        <v/>
      </c>
      <c r="W866" s="9">
        <f>_xlfn.RANK.EQ(V866,$V$2:$V$1031)</f>
        <v/>
      </c>
      <c r="X866" s="13" t="n">
        <v>1545.1</v>
      </c>
      <c r="Y866" s="13" t="n">
        <v>25</v>
      </c>
      <c r="Z866" s="13" t="n">
        <v>24</v>
      </c>
      <c r="AA866" s="13" t="n">
        <v>24</v>
      </c>
      <c r="AB866" s="13">
        <f>IF(ISNUMBER(X866),X866+N(Y866)+N(Z866)+N(AA866),X866)</f>
        <v/>
      </c>
      <c r="AC866" s="13">
        <f>IF(ISNUMBER(AB866),AB866,"")</f>
        <v/>
      </c>
      <c r="AD866" s="13">
        <f>IF(ISNUMBER(AC866),_xlfn.RANK.EQ(AC866,$AC$2:$AC$1031),"")</f>
        <v/>
      </c>
      <c r="AE866" s="15">
        <f>IF(ISNUMBER(AF866),AF866/3630,"")</f>
        <v/>
      </c>
      <c r="AF866" s="14">
        <f>IFERROR(C866+D866+E866+F866+J866+K866+L866+M866+Q866+R866+S866+T866+IF(ISNUMBER(X866),X866,0)+N(Y866)+N(Z866)+N(AA866),"")</f>
        <v/>
      </c>
      <c r="AG866" s="14">
        <f>IF(ISNUMBER(AF866),AF866,"")</f>
        <v/>
      </c>
      <c r="AH866" s="14">
        <f>IF(ISNUMBER(AG866),_xlfn.RANK.EQ(AG866,$AG$2:$AG$1031),"")</f>
        <v/>
      </c>
    </row>
    <row r="867">
      <c r="A867" s="18" t="n">
        <v>2059</v>
      </c>
      <c r="B867" s="18" t="inlineStr">
        <is>
          <t>مى محمد صابر محمد حسن مرزوق</t>
        </is>
      </c>
      <c r="C867" s="1" t="n">
        <v>605.8</v>
      </c>
      <c r="D867" s="1" t="n">
        <v>24</v>
      </c>
      <c r="E867" s="1" t="n">
        <v>25</v>
      </c>
      <c r="F867" s="1" t="n">
        <v>23</v>
      </c>
      <c r="G867" s="1">
        <f>C867+D867+E867+F867</f>
        <v/>
      </c>
      <c r="H867" s="1">
        <f>IF(ISNUMBER(G867),G867,"")</f>
        <v/>
      </c>
      <c r="I867" s="1">
        <f>_xlfn.RANK.EQ(H867,$H$2:$H$1031)</f>
        <v/>
      </c>
      <c r="J867" s="5" t="n">
        <v>611.1</v>
      </c>
      <c r="K867" s="5" t="n">
        <v>48</v>
      </c>
      <c r="L867" s="5" t="n">
        <v>23</v>
      </c>
      <c r="M867" s="5" t="n">
        <v>24</v>
      </c>
      <c r="N867" s="5">
        <f>J867+K867+L867+M867</f>
        <v/>
      </c>
      <c r="O867" s="5">
        <f>IF(ISNUMBER(N867),N867,"")</f>
        <v/>
      </c>
      <c r="P867" s="5">
        <f>_xlfn.RANK.EQ(O867,$O$2:$O$1031)</f>
        <v/>
      </c>
      <c r="Q867" s="9" t="n">
        <v>275</v>
      </c>
      <c r="R867" s="9" t="n">
        <v>45.5</v>
      </c>
      <c r="S867" s="9" t="n">
        <v>23</v>
      </c>
      <c r="T867" s="9" t="n">
        <v>25</v>
      </c>
      <c r="U867" s="9">
        <f>Q867+R867+S867+T867</f>
        <v/>
      </c>
      <c r="V867" s="9">
        <f>IF(ISNUMBER(U867),U867,"")</f>
        <v/>
      </c>
      <c r="W867" s="9">
        <f>_xlfn.RANK.EQ(V867,$V$2:$V$1031)</f>
        <v/>
      </c>
      <c r="X867" s="13" t="inlineStr">
        <is>
          <t>غ ب</t>
        </is>
      </c>
      <c r="Y867" s="13" t="n">
        <v>25</v>
      </c>
      <c r="Z867" s="13" t="n">
        <v>23</v>
      </c>
      <c r="AA867" s="13" t="n">
        <v>23</v>
      </c>
      <c r="AB867" s="13">
        <f>IF(ISNUMBER(X867),X867+N(Y867)+N(Z867)+N(AA867),X867)</f>
        <v/>
      </c>
      <c r="AC867" s="13">
        <f>IF(ISNUMBER(AB867),AB867,"")</f>
        <v/>
      </c>
      <c r="AD867" s="13">
        <f>IF(ISNUMBER(AC867),_xlfn.RANK.EQ(AC867,$AC$2:$AC$1031),"")</f>
        <v/>
      </c>
      <c r="AE867" s="15">
        <f>IF(ISNUMBER(AF867),AF867/3630,"")</f>
        <v/>
      </c>
      <c r="AF867" s="14">
        <f>IFERROR(C867+D867+E867+F867+J867+K867+L867+M867+Q867+R867+S867+T867+IF(ISNUMBER(X867),X867,0)+N(Y867)+N(Z867)+N(AA867),"")</f>
        <v/>
      </c>
      <c r="AG867" s="14">
        <f>IF(ISNUMBER(AF867),AF867,"")</f>
        <v/>
      </c>
      <c r="AH867" s="14">
        <f>IF(ISNUMBER(AG867),_xlfn.RANK.EQ(AG867,$AG$2:$AG$1031),"")</f>
        <v/>
      </c>
    </row>
    <row r="868">
      <c r="A868" s="18" t="n">
        <v>2060</v>
      </c>
      <c r="B868" s="18" t="inlineStr">
        <is>
          <t>مى محمد كمال توفيق النجار</t>
        </is>
      </c>
      <c r="C868" s="1" t="n">
        <v>524.9</v>
      </c>
      <c r="D868" s="1" t="n">
        <v>25</v>
      </c>
      <c r="E868" s="1" t="n">
        <v>24</v>
      </c>
      <c r="F868" s="1" t="n">
        <v>23</v>
      </c>
      <c r="G868" s="1">
        <f>C868+D868+E868+F868</f>
        <v/>
      </c>
      <c r="H868" s="1">
        <f>IF(ISNUMBER(G868),G868,"")</f>
        <v/>
      </c>
      <c r="I868" s="1">
        <f>_xlfn.RANK.EQ(H868,$H$2:$H$1031)</f>
        <v/>
      </c>
      <c r="J868" s="5" t="n">
        <v>542.5</v>
      </c>
      <c r="K868" s="5" t="n">
        <v>44</v>
      </c>
      <c r="L868" s="5" t="n">
        <v>23</v>
      </c>
      <c r="M868" s="5" t="n">
        <v>22</v>
      </c>
      <c r="N868" s="5">
        <f>J868+K868+L868+M868</f>
        <v/>
      </c>
      <c r="O868" s="5">
        <f>IF(ISNUMBER(N868),N868,"")</f>
        <v/>
      </c>
      <c r="P868" s="5">
        <f>_xlfn.RANK.EQ(O868,$O$2:$O$1031)</f>
        <v/>
      </c>
      <c r="Q868" s="9" t="n">
        <v>239.5</v>
      </c>
      <c r="R868" s="9" t="n">
        <v>41</v>
      </c>
      <c r="S868" s="9" t="n">
        <v>25</v>
      </c>
      <c r="T868" s="9" t="n">
        <v>25</v>
      </c>
      <c r="U868" s="9">
        <f>Q868+R868+S868+T868</f>
        <v/>
      </c>
      <c r="V868" s="9">
        <f>IF(ISNUMBER(U868),U868,"")</f>
        <v/>
      </c>
      <c r="W868" s="9">
        <f>_xlfn.RANK.EQ(V868,$V$2:$V$1031)</f>
        <v/>
      </c>
      <c r="X868" s="13" t="n">
        <v>1377.4791666667</v>
      </c>
      <c r="Y868" s="13" t="n">
        <v>25</v>
      </c>
      <c r="Z868" s="13" t="n">
        <v>22</v>
      </c>
      <c r="AA868" s="13" t="n">
        <v>23</v>
      </c>
      <c r="AB868" s="13">
        <f>IF(ISNUMBER(X868),X868+N(Y868)+N(Z868)+N(AA868),X868)</f>
        <v/>
      </c>
      <c r="AC868" s="13">
        <f>IF(ISNUMBER(AB868),AB868,"")</f>
        <v/>
      </c>
      <c r="AD868" s="13">
        <f>IF(ISNUMBER(AC868),_xlfn.RANK.EQ(AC868,$AC$2:$AC$1031),"")</f>
        <v/>
      </c>
      <c r="AE868" s="15">
        <f>IF(ISNUMBER(AF868),AF868/3630,"")</f>
        <v/>
      </c>
      <c r="AF868" s="14">
        <f>IFERROR(C868+D868+E868+F868+J868+K868+L868+M868+Q868+R868+S868+T868+IF(ISNUMBER(X868),X868,0)+N(Y868)+N(Z868)+N(AA868),"")</f>
        <v/>
      </c>
      <c r="AG868" s="14">
        <f>IF(ISNUMBER(AF868),AF868,"")</f>
        <v/>
      </c>
      <c r="AH868" s="14">
        <f>IF(ISNUMBER(AG868),_xlfn.RANK.EQ(AG868,$AG$2:$AG$1031),"")</f>
        <v/>
      </c>
    </row>
    <row r="869">
      <c r="A869" s="18" t="n">
        <v>2062</v>
      </c>
      <c r="B869" s="18" t="inlineStr">
        <is>
          <t>ميادة اسامه السيد شافعى</t>
        </is>
      </c>
      <c r="C869" s="1" t="e">
        <v>#N/A</v>
      </c>
      <c r="D869" s="1" t="n">
        <v>21</v>
      </c>
      <c r="E869" s="1" t="n">
        <v>20</v>
      </c>
      <c r="F869" s="1" t="n"/>
      <c r="G869" s="1">
        <f>C869+D869+E869+F869</f>
        <v/>
      </c>
      <c r="H869" s="1">
        <f>IF(ISNUMBER(G869),G869,"")</f>
        <v/>
      </c>
      <c r="I869" s="1">
        <f>_xlfn.RANK.EQ(H869,$H$2:$H$1031)</f>
        <v/>
      </c>
      <c r="J869" s="5" t="n">
        <v>455.5</v>
      </c>
      <c r="K869" s="5" t="n">
        <v>42</v>
      </c>
      <c r="L869" s="5" t="n">
        <v>22</v>
      </c>
      <c r="M869" s="5" t="n">
        <v>22</v>
      </c>
      <c r="N869" s="5">
        <f>J869+K869+L869+M869</f>
        <v/>
      </c>
      <c r="O869" s="5">
        <f>IF(ISNUMBER(N869),N869,"")</f>
        <v/>
      </c>
      <c r="P869" s="5">
        <f>_xlfn.RANK.EQ(O869,$O$2:$O$1031)</f>
        <v/>
      </c>
      <c r="Q869" s="9" t="n">
        <v>212.75</v>
      </c>
      <c r="R869" s="9" t="n">
        <v>42</v>
      </c>
      <c r="S869" s="9" t="n">
        <v>19</v>
      </c>
      <c r="T869" s="9" t="n">
        <v>23</v>
      </c>
      <c r="U869" s="9">
        <f>Q869+R869+S869+T869</f>
        <v/>
      </c>
      <c r="V869" s="9">
        <f>IF(ISNUMBER(U869),U869,"")</f>
        <v/>
      </c>
      <c r="W869" s="9">
        <f>_xlfn.RANK.EQ(V869,$V$2:$V$1031)</f>
        <v/>
      </c>
      <c r="X869" s="13" t="inlineStr">
        <is>
          <t>راسب</t>
        </is>
      </c>
      <c r="Y869" s="13" t="n">
        <v>25</v>
      </c>
      <c r="Z869" s="13" t="n">
        <v>22</v>
      </c>
      <c r="AA869" s="13" t="n">
        <v>23</v>
      </c>
      <c r="AB869" s="13">
        <f>IF(ISNUMBER(X869),X869+N(Y869)+N(Z869)+N(AA869),X869)</f>
        <v/>
      </c>
      <c r="AC869" s="13">
        <f>IF(ISNUMBER(AB869),AB869,"")</f>
        <v/>
      </c>
      <c r="AD869" s="13">
        <f>IF(ISNUMBER(AC869),_xlfn.RANK.EQ(AC869,$AC$2:$AC$1031),"")</f>
        <v/>
      </c>
      <c r="AE869" s="15">
        <f>IF(ISNUMBER(AF869),AF869/3630,"")</f>
        <v/>
      </c>
      <c r="AF869" s="14">
        <f>IFERROR(C869+D869+E869+F869+J869+K869+L869+M869+Q869+R869+S869+T869+IF(ISNUMBER(X869),X869,0)+N(Y869)+N(Z869)+N(AA869),"")</f>
        <v/>
      </c>
      <c r="AG869" s="14">
        <f>IF(ISNUMBER(AF869),AF869,"")</f>
        <v/>
      </c>
      <c r="AH869" s="14">
        <f>IF(ISNUMBER(AG869),_xlfn.RANK.EQ(AG869,$AG$2:$AG$1031),"")</f>
        <v/>
      </c>
    </row>
    <row r="870">
      <c r="A870" s="18" t="n">
        <v>2063</v>
      </c>
      <c r="B870" s="18" t="inlineStr">
        <is>
          <t>ميادة رضا احمد عبد الله النجار</t>
        </is>
      </c>
      <c r="C870" s="1" t="n">
        <v>629.6</v>
      </c>
      <c r="D870" s="1" t="n">
        <v>24</v>
      </c>
      <c r="E870" s="1" t="n">
        <v>24</v>
      </c>
      <c r="F870" s="1" t="n">
        <v>22</v>
      </c>
      <c r="G870" s="1">
        <f>C870+D870+E870+F870</f>
        <v/>
      </c>
      <c r="H870" s="1">
        <f>IF(ISNUMBER(G870),G870,"")</f>
        <v/>
      </c>
      <c r="I870" s="1">
        <f>_xlfn.RANK.EQ(H870,$H$2:$H$1031)</f>
        <v/>
      </c>
      <c r="J870" s="5" t="n">
        <v>589.6</v>
      </c>
      <c r="K870" s="5" t="n">
        <v>47</v>
      </c>
      <c r="L870" s="5" t="n">
        <v>23</v>
      </c>
      <c r="M870" s="5" t="n">
        <v>20</v>
      </c>
      <c r="N870" s="5">
        <f>J870+K870+L870+M870</f>
        <v/>
      </c>
      <c r="O870" s="5">
        <f>IF(ISNUMBER(N870),N870,"")</f>
        <v/>
      </c>
      <c r="P870" s="5">
        <f>_xlfn.RANK.EQ(O870,$O$2:$O$1031)</f>
        <v/>
      </c>
      <c r="Q870" s="9" t="n">
        <v>249.5</v>
      </c>
      <c r="R870" s="9" t="n">
        <v>48.5</v>
      </c>
      <c r="S870" s="9" t="n">
        <v>20</v>
      </c>
      <c r="T870" s="9" t="n">
        <v>23</v>
      </c>
      <c r="U870" s="9">
        <f>Q870+R870+S870+T870</f>
        <v/>
      </c>
      <c r="V870" s="9">
        <f>IF(ISNUMBER(U870),U870,"")</f>
        <v/>
      </c>
      <c r="W870" s="9">
        <f>_xlfn.RANK.EQ(V870,$V$2:$V$1031)</f>
        <v/>
      </c>
      <c r="X870" s="13" t="n">
        <v>1335.6958333333</v>
      </c>
      <c r="Y870" s="13" t="n">
        <v>23</v>
      </c>
      <c r="Z870" s="13" t="n">
        <v>23</v>
      </c>
      <c r="AA870" s="13" t="n">
        <v>21</v>
      </c>
      <c r="AB870" s="13">
        <f>IF(ISNUMBER(X870),X870+N(Y870)+N(Z870)+N(AA870),X870)</f>
        <v/>
      </c>
      <c r="AC870" s="13">
        <f>IF(ISNUMBER(AB870),AB870,"")</f>
        <v/>
      </c>
      <c r="AD870" s="13">
        <f>IF(ISNUMBER(AC870),_xlfn.RANK.EQ(AC870,$AC$2:$AC$1031),"")</f>
        <v/>
      </c>
      <c r="AE870" s="15">
        <f>IF(ISNUMBER(AF870),AF870/3630,"")</f>
        <v/>
      </c>
      <c r="AF870" s="14">
        <f>IFERROR(C870+D870+E870+F870+J870+K870+L870+M870+Q870+R870+S870+T870+IF(ISNUMBER(X870),X870,0)+N(Y870)+N(Z870)+N(AA870),"")</f>
        <v/>
      </c>
      <c r="AG870" s="14">
        <f>IF(ISNUMBER(AF870),AF870,"")</f>
        <v/>
      </c>
      <c r="AH870" s="14">
        <f>IF(ISNUMBER(AG870),_xlfn.RANK.EQ(AG870,$AG$2:$AG$1031),"")</f>
        <v/>
      </c>
    </row>
    <row r="871">
      <c r="A871" s="18" t="n">
        <v>2064</v>
      </c>
      <c r="B871" s="18" t="inlineStr">
        <is>
          <t>ميادة ماهر ابراهيم محمد قطوش</t>
        </is>
      </c>
      <c r="C871" s="1" t="n">
        <v>522.8</v>
      </c>
      <c r="D871" s="1" t="n">
        <v>25</v>
      </c>
      <c r="E871" s="1" t="n">
        <v>23</v>
      </c>
      <c r="F871" s="1" t="n">
        <v>21</v>
      </c>
      <c r="G871" s="1">
        <f>C871+D871+E871+F871</f>
        <v/>
      </c>
      <c r="H871" s="1">
        <f>IF(ISNUMBER(G871),G871,"")</f>
        <v/>
      </c>
      <c r="I871" s="1">
        <f>_xlfn.RANK.EQ(H871,$H$2:$H$1031)</f>
        <v/>
      </c>
      <c r="J871" s="5" t="n">
        <v>492</v>
      </c>
      <c r="K871" s="5" t="n">
        <v>47</v>
      </c>
      <c r="L871" s="5" t="n">
        <v>22</v>
      </c>
      <c r="M871" s="5" t="n">
        <v>21</v>
      </c>
      <c r="N871" s="5">
        <f>J871+K871+L871+M871</f>
        <v/>
      </c>
      <c r="O871" s="5">
        <f>IF(ISNUMBER(N871),N871,"")</f>
        <v/>
      </c>
      <c r="P871" s="5">
        <f>_xlfn.RANK.EQ(O871,$O$2:$O$1031)</f>
        <v/>
      </c>
      <c r="Q871" s="9" t="n">
        <v>196</v>
      </c>
      <c r="R871" s="9" t="n">
        <v>41.5</v>
      </c>
      <c r="S871" s="9" t="n">
        <v>24</v>
      </c>
      <c r="T871" s="9" t="n">
        <v>24</v>
      </c>
      <c r="U871" s="9">
        <f>Q871+R871+S871+T871</f>
        <v/>
      </c>
      <c r="V871" s="9">
        <f>IF(ISNUMBER(U871),U871,"")</f>
        <v/>
      </c>
      <c r="W871" s="9">
        <f>_xlfn.RANK.EQ(V871,$V$2:$V$1031)</f>
        <v/>
      </c>
      <c r="X871" s="13" t="n">
        <v>1146.9666666667</v>
      </c>
      <c r="Y871" s="13" t="n">
        <v>25</v>
      </c>
      <c r="Z871" s="13" t="n">
        <v>21</v>
      </c>
      <c r="AA871" s="13" t="n">
        <v>25</v>
      </c>
      <c r="AB871" s="13">
        <f>IF(ISNUMBER(X871),X871+N(Y871)+N(Z871)+N(AA871),X871)</f>
        <v/>
      </c>
      <c r="AC871" s="13">
        <f>IF(ISNUMBER(AB871),AB871,"")</f>
        <v/>
      </c>
      <c r="AD871" s="13">
        <f>IF(ISNUMBER(AC871),_xlfn.RANK.EQ(AC871,$AC$2:$AC$1031),"")</f>
        <v/>
      </c>
      <c r="AE871" s="15">
        <f>IF(ISNUMBER(AF871),AF871/3630,"")</f>
        <v/>
      </c>
      <c r="AF871" s="14">
        <f>IFERROR(C871+D871+E871+F871+J871+K871+L871+M871+Q871+R871+S871+T871+IF(ISNUMBER(X871),X871,0)+N(Y871)+N(Z871)+N(AA871),"")</f>
        <v/>
      </c>
      <c r="AG871" s="14">
        <f>IF(ISNUMBER(AF871),AF871,"")</f>
        <v/>
      </c>
      <c r="AH871" s="14">
        <f>IF(ISNUMBER(AG871),_xlfn.RANK.EQ(AG871,$AG$2:$AG$1031),"")</f>
        <v/>
      </c>
    </row>
    <row r="872">
      <c r="A872" s="18" t="n">
        <v>2067</v>
      </c>
      <c r="B872" s="18" t="inlineStr">
        <is>
          <t>ميار احمد محمد الشرقاوي</t>
        </is>
      </c>
      <c r="C872" s="1" t="n">
        <v>567</v>
      </c>
      <c r="D872" s="1" t="n">
        <v>20</v>
      </c>
      <c r="E872" s="1" t="n">
        <v>23</v>
      </c>
      <c r="F872" s="1" t="n">
        <v>24</v>
      </c>
      <c r="G872" s="1">
        <f>C872+D872+E872+F872</f>
        <v/>
      </c>
      <c r="H872" s="1">
        <f>IF(ISNUMBER(G872),G872,"")</f>
        <v/>
      </c>
      <c r="I872" s="1">
        <f>_xlfn.RANK.EQ(H872,$H$2:$H$1031)</f>
        <v/>
      </c>
      <c r="J872" s="5" t="n">
        <v>609</v>
      </c>
      <c r="K872" s="5" t="n">
        <v>46</v>
      </c>
      <c r="L872" s="5" t="n">
        <v>24</v>
      </c>
      <c r="M872" s="5" t="n">
        <v>22</v>
      </c>
      <c r="N872" s="5">
        <f>J872+K872+L872+M872</f>
        <v/>
      </c>
      <c r="O872" s="5">
        <f>IF(ISNUMBER(N872),N872,"")</f>
        <v/>
      </c>
      <c r="P872" s="5">
        <f>_xlfn.RANK.EQ(O872,$O$2:$O$1031)</f>
        <v/>
      </c>
      <c r="Q872" s="9" t="n">
        <v>262.5</v>
      </c>
      <c r="R872" s="9" t="n">
        <v>42</v>
      </c>
      <c r="S872" s="9" t="n">
        <v>24</v>
      </c>
      <c r="T872" s="9" t="n">
        <v>24</v>
      </c>
      <c r="U872" s="9">
        <f>Q872+R872+S872+T872</f>
        <v/>
      </c>
      <c r="V872" s="9">
        <f>IF(ISNUMBER(U872),U872,"")</f>
        <v/>
      </c>
      <c r="W872" s="9">
        <f>_xlfn.RANK.EQ(V872,$V$2:$V$1031)</f>
        <v/>
      </c>
      <c r="X872" s="13" t="n">
        <v>1428.9458333333</v>
      </c>
      <c r="Y872" s="13" t="n">
        <v>25</v>
      </c>
      <c r="Z872" s="13" t="n">
        <v>21</v>
      </c>
      <c r="AA872" s="13" t="n">
        <v>23</v>
      </c>
      <c r="AB872" s="13">
        <f>IF(ISNUMBER(X872),X872+N(Y872)+N(Z872)+N(AA872),X872)</f>
        <v/>
      </c>
      <c r="AC872" s="13">
        <f>IF(ISNUMBER(AB872),AB872,"")</f>
        <v/>
      </c>
      <c r="AD872" s="13">
        <f>IF(ISNUMBER(AC872),_xlfn.RANK.EQ(AC872,$AC$2:$AC$1031),"")</f>
        <v/>
      </c>
      <c r="AE872" s="15">
        <f>IF(ISNUMBER(AF872),AF872/3630,"")</f>
        <v/>
      </c>
      <c r="AF872" s="14">
        <f>IFERROR(C872+D872+E872+F872+J872+K872+L872+M872+Q872+R872+S872+T872+IF(ISNUMBER(X872),X872,0)+N(Y872)+N(Z872)+N(AA872),"")</f>
        <v/>
      </c>
      <c r="AG872" s="14">
        <f>IF(ISNUMBER(AF872),AF872,"")</f>
        <v/>
      </c>
      <c r="AH872" s="14">
        <f>IF(ISNUMBER(AG872),_xlfn.RANK.EQ(AG872,$AG$2:$AG$1031),"")</f>
        <v/>
      </c>
    </row>
    <row r="873">
      <c r="A873" s="18" t="n">
        <v>2069</v>
      </c>
      <c r="B873" s="18" t="inlineStr">
        <is>
          <t>ميار محمد عبد الرءوف على حنفي</t>
        </is>
      </c>
      <c r="C873" s="1" t="n">
        <v>622.5</v>
      </c>
      <c r="D873" s="1" t="n">
        <v>25</v>
      </c>
      <c r="E873" s="1" t="n">
        <v>24</v>
      </c>
      <c r="F873" s="1" t="n">
        <v>24</v>
      </c>
      <c r="G873" s="1">
        <f>C873+D873+E873+F873</f>
        <v/>
      </c>
      <c r="H873" s="1">
        <f>IF(ISNUMBER(G873),G873,"")</f>
        <v/>
      </c>
      <c r="I873" s="1">
        <f>_xlfn.RANK.EQ(H873,$H$2:$H$1031)</f>
        <v/>
      </c>
      <c r="J873" s="5" t="n">
        <v>625</v>
      </c>
      <c r="K873" s="5" t="n">
        <v>47</v>
      </c>
      <c r="L873" s="5" t="n">
        <v>23</v>
      </c>
      <c r="M873" s="5" t="n">
        <v>25</v>
      </c>
      <c r="N873" s="5">
        <f>J873+K873+L873+M873</f>
        <v/>
      </c>
      <c r="O873" s="5">
        <f>IF(ISNUMBER(N873),N873,"")</f>
        <v/>
      </c>
      <c r="P873" s="5">
        <f>_xlfn.RANK.EQ(O873,$O$2:$O$1031)</f>
        <v/>
      </c>
      <c r="Q873" s="9" t="n">
        <v>278</v>
      </c>
      <c r="R873" s="9" t="n">
        <v>49</v>
      </c>
      <c r="S873" s="9" t="n">
        <v>23</v>
      </c>
      <c r="T873" s="9" t="n">
        <v>25</v>
      </c>
      <c r="U873" s="9">
        <f>Q873+R873+S873+T873</f>
        <v/>
      </c>
      <c r="V873" s="9">
        <f>IF(ISNUMBER(U873),U873,"")</f>
        <v/>
      </c>
      <c r="W873" s="9">
        <f>_xlfn.RANK.EQ(V873,$V$2:$V$1031)</f>
        <v/>
      </c>
      <c r="X873" s="13" t="n">
        <v>1531.0291666667</v>
      </c>
      <c r="Y873" s="13" t="n">
        <v>25</v>
      </c>
      <c r="Z873" s="13" t="n">
        <v>25</v>
      </c>
      <c r="AA873" s="13" t="n">
        <v>25</v>
      </c>
      <c r="AB873" s="13">
        <f>IF(ISNUMBER(X873),X873+N(Y873)+N(Z873)+N(AA873),X873)</f>
        <v/>
      </c>
      <c r="AC873" s="13">
        <f>IF(ISNUMBER(AB873),AB873,"")</f>
        <v/>
      </c>
      <c r="AD873" s="13">
        <f>IF(ISNUMBER(AC873),_xlfn.RANK.EQ(AC873,$AC$2:$AC$1031),"")</f>
        <v/>
      </c>
      <c r="AE873" s="15">
        <f>IF(ISNUMBER(AF873),AF873/3630,"")</f>
        <v/>
      </c>
      <c r="AF873" s="14">
        <f>IFERROR(C873+D873+E873+F873+J873+K873+L873+M873+Q873+R873+S873+T873+IF(ISNUMBER(X873),X873,0)+N(Y873)+N(Z873)+N(AA873),"")</f>
        <v/>
      </c>
      <c r="AG873" s="14">
        <f>IF(ISNUMBER(AF873),AF873,"")</f>
        <v/>
      </c>
      <c r="AH873" s="14">
        <f>IF(ISNUMBER(AG873),_xlfn.RANK.EQ(AG873,$AG$2:$AG$1031),"")</f>
        <v/>
      </c>
    </row>
    <row r="874">
      <c r="A874" s="18" t="n">
        <v>2071</v>
      </c>
      <c r="B874" s="18" t="inlineStr">
        <is>
          <t>ميرال معتز أحمد عبد العزيز زويل</t>
        </is>
      </c>
      <c r="C874" s="1" t="n">
        <v>549.1</v>
      </c>
      <c r="D874" s="1" t="n">
        <v>25</v>
      </c>
      <c r="E874" s="1" t="n">
        <v>20</v>
      </c>
      <c r="F874" s="1" t="n">
        <v>21</v>
      </c>
      <c r="G874" s="1">
        <f>C874+D874+E874+F874</f>
        <v/>
      </c>
      <c r="H874" s="1">
        <f>IF(ISNUMBER(G874),G874,"")</f>
        <v/>
      </c>
      <c r="I874" s="1">
        <f>_xlfn.RANK.EQ(H874,$H$2:$H$1031)</f>
        <v/>
      </c>
      <c r="J874" s="5" t="n">
        <v>579</v>
      </c>
      <c r="K874" s="5" t="n">
        <v>43</v>
      </c>
      <c r="L874" s="5" t="n">
        <v>23</v>
      </c>
      <c r="M874" s="5" t="n">
        <v>22</v>
      </c>
      <c r="N874" s="5">
        <f>J874+K874+L874+M874</f>
        <v/>
      </c>
      <c r="O874" s="5">
        <f>IF(ISNUMBER(N874),N874,"")</f>
        <v/>
      </c>
      <c r="P874" s="5">
        <f>_xlfn.RANK.EQ(O874,$O$2:$O$1031)</f>
        <v/>
      </c>
      <c r="Q874" s="9" t="n">
        <v>272</v>
      </c>
      <c r="R874" s="9" t="n">
        <v>41.5</v>
      </c>
      <c r="S874" s="9" t="n">
        <v>23</v>
      </c>
      <c r="T874" s="9" t="n">
        <v>22</v>
      </c>
      <c r="U874" s="9">
        <f>Q874+R874+S874+T874</f>
        <v/>
      </c>
      <c r="V874" s="9">
        <f>IF(ISNUMBER(U874),U874,"")</f>
        <v/>
      </c>
      <c r="W874" s="9">
        <f>_xlfn.RANK.EQ(V874,$V$2:$V$1031)</f>
        <v/>
      </c>
      <c r="X874" s="13" t="n">
        <v>1449.6666666667</v>
      </c>
      <c r="Y874" s="13" t="n">
        <v>24</v>
      </c>
      <c r="Z874" s="13" t="n">
        <v>20</v>
      </c>
      <c r="AA874" s="13" t="n">
        <v>21</v>
      </c>
      <c r="AB874" s="13">
        <f>IF(ISNUMBER(X874),X874+N(Y874)+N(Z874)+N(AA874),X874)</f>
        <v/>
      </c>
      <c r="AC874" s="13">
        <f>IF(ISNUMBER(AB874),AB874,"")</f>
        <v/>
      </c>
      <c r="AD874" s="13">
        <f>IF(ISNUMBER(AC874),_xlfn.RANK.EQ(AC874,$AC$2:$AC$1031),"")</f>
        <v/>
      </c>
      <c r="AE874" s="15">
        <f>IF(ISNUMBER(AF874),AF874/3630,"")</f>
        <v/>
      </c>
      <c r="AF874" s="14">
        <f>IFERROR(C874+D874+E874+F874+J874+K874+L874+M874+Q874+R874+S874+T874+IF(ISNUMBER(X874),X874,0)+N(Y874)+N(Z874)+N(AA874),"")</f>
        <v/>
      </c>
      <c r="AG874" s="14">
        <f>IF(ISNUMBER(AF874),AF874,"")</f>
        <v/>
      </c>
      <c r="AH874" s="14">
        <f>IF(ISNUMBER(AG874),_xlfn.RANK.EQ(AG874,$AG$2:$AG$1031),"")</f>
        <v/>
      </c>
    </row>
    <row r="875">
      <c r="A875" s="18" t="n">
        <v>2073</v>
      </c>
      <c r="B875" s="18" t="inlineStr">
        <is>
          <t>ميرنا حسام الدين يونس محمد يونس</t>
        </is>
      </c>
      <c r="C875" s="1" t="n">
        <v>659</v>
      </c>
      <c r="D875" s="1" t="n">
        <v>24</v>
      </c>
      <c r="E875" s="1" t="n">
        <v>25</v>
      </c>
      <c r="F875" s="1" t="n">
        <v>23</v>
      </c>
      <c r="G875" s="1">
        <f>C875+D875+E875+F875</f>
        <v/>
      </c>
      <c r="H875" s="1">
        <f>IF(ISNUMBER(G875),G875,"")</f>
        <v/>
      </c>
      <c r="I875" s="1">
        <f>_xlfn.RANK.EQ(H875,$H$2:$H$1031)</f>
        <v/>
      </c>
      <c r="J875" s="5" t="n">
        <v>637</v>
      </c>
      <c r="K875" s="5" t="n">
        <v>48</v>
      </c>
      <c r="L875" s="5" t="n">
        <v>20</v>
      </c>
      <c r="M875" s="5" t="n">
        <v>24</v>
      </c>
      <c r="N875" s="5">
        <f>J875+K875+L875+M875</f>
        <v/>
      </c>
      <c r="O875" s="5">
        <f>IF(ISNUMBER(N875),N875,"")</f>
        <v/>
      </c>
      <c r="P875" s="5">
        <f>_xlfn.RANK.EQ(O875,$O$2:$O$1031)</f>
        <v/>
      </c>
      <c r="Q875" s="9" t="n">
        <v>282</v>
      </c>
      <c r="R875" s="9" t="n">
        <v>47.5</v>
      </c>
      <c r="S875" s="9" t="n">
        <v>25</v>
      </c>
      <c r="T875" s="9" t="n">
        <v>25</v>
      </c>
      <c r="U875" s="9">
        <f>Q875+R875+S875+T875</f>
        <v/>
      </c>
      <c r="V875" s="9">
        <f>IF(ISNUMBER(U875),U875,"")</f>
        <v/>
      </c>
      <c r="W875" s="9">
        <f>_xlfn.RANK.EQ(V875,$V$2:$V$1031)</f>
        <v/>
      </c>
      <c r="X875" s="13" t="n">
        <v>1566.15</v>
      </c>
      <c r="Y875" s="13" t="n">
        <v>25</v>
      </c>
      <c r="Z875" s="13" t="n">
        <v>23</v>
      </c>
      <c r="AA875" s="13" t="n">
        <v>24</v>
      </c>
      <c r="AB875" s="13">
        <f>IF(ISNUMBER(X875),X875+N(Y875)+N(Z875)+N(AA875),X875)</f>
        <v/>
      </c>
      <c r="AC875" s="13">
        <f>IF(ISNUMBER(AB875),AB875,"")</f>
        <v/>
      </c>
      <c r="AD875" s="13">
        <f>IF(ISNUMBER(AC875),_xlfn.RANK.EQ(AC875,$AC$2:$AC$1031),"")</f>
        <v/>
      </c>
      <c r="AE875" s="15">
        <f>IF(ISNUMBER(AF875),AF875/3630,"")</f>
        <v/>
      </c>
      <c r="AF875" s="14">
        <f>IFERROR(C875+D875+E875+F875+J875+K875+L875+M875+Q875+R875+S875+T875+IF(ISNUMBER(X875),X875,0)+N(Y875)+N(Z875)+N(AA875),"")</f>
        <v/>
      </c>
      <c r="AG875" s="14">
        <f>IF(ISNUMBER(AF875),AF875,"")</f>
        <v/>
      </c>
      <c r="AH875" s="14">
        <f>IF(ISNUMBER(AG875),_xlfn.RANK.EQ(AG875,$AG$2:$AG$1031),"")</f>
        <v/>
      </c>
    </row>
    <row r="876">
      <c r="A876" s="18" t="n">
        <v>2075</v>
      </c>
      <c r="B876" s="18" t="inlineStr">
        <is>
          <t>ميرهان عطيه علي عطيه سالم</t>
        </is>
      </c>
      <c r="C876" s="1" t="n">
        <v>471.35</v>
      </c>
      <c r="D876" s="1" t="n">
        <v>23</v>
      </c>
      <c r="E876" s="1" t="n">
        <v>11</v>
      </c>
      <c r="F876" s="1" t="n">
        <v>14</v>
      </c>
      <c r="G876" s="1">
        <f>C876+D876+E876+F876</f>
        <v/>
      </c>
      <c r="H876" s="1">
        <f>IF(ISNUMBER(G876),G876,"")</f>
        <v/>
      </c>
      <c r="I876" s="1">
        <f>_xlfn.RANK.EQ(H876,$H$2:$H$1031)</f>
        <v/>
      </c>
      <c r="J876" s="5" t="n">
        <v>452.5</v>
      </c>
      <c r="K876" s="5" t="n">
        <v>36</v>
      </c>
      <c r="L876" s="5" t="n">
        <v>16</v>
      </c>
      <c r="M876" s="5" t="n">
        <v>16</v>
      </c>
      <c r="N876" s="5">
        <f>J876+K876+L876+M876</f>
        <v/>
      </c>
      <c r="O876" s="5">
        <f>IF(ISNUMBER(N876),N876,"")</f>
        <v/>
      </c>
      <c r="P876" s="5">
        <f>_xlfn.RANK.EQ(O876,$O$2:$O$1031)</f>
        <v/>
      </c>
      <c r="Q876" s="9" t="n">
        <v>188</v>
      </c>
      <c r="R876" s="9" t="n">
        <v>35.5</v>
      </c>
      <c r="S876" s="9" t="n">
        <v>25</v>
      </c>
      <c r="T876" s="9" t="n">
        <v>24</v>
      </c>
      <c r="U876" s="9">
        <f>Q876+R876+S876+T876</f>
        <v/>
      </c>
      <c r="V876" s="9">
        <f>IF(ISNUMBER(U876),U876,"")</f>
        <v/>
      </c>
      <c r="W876" s="9">
        <f>_xlfn.RANK.EQ(V876,$V$2:$V$1031)</f>
        <v/>
      </c>
      <c r="X876" s="13" t="inlineStr">
        <is>
          <t>راسب</t>
        </is>
      </c>
      <c r="Y876" s="13" t="n">
        <v>19</v>
      </c>
      <c r="Z876" s="13" t="n">
        <v>16</v>
      </c>
      <c r="AA876" s="13" t="n">
        <v>18</v>
      </c>
      <c r="AB876" s="13">
        <f>IF(ISNUMBER(X876),X876+N(Y876)+N(Z876)+N(AA876),X876)</f>
        <v/>
      </c>
      <c r="AC876" s="13">
        <f>IF(ISNUMBER(AB876),AB876,"")</f>
        <v/>
      </c>
      <c r="AD876" s="13">
        <f>IF(ISNUMBER(AC876),_xlfn.RANK.EQ(AC876,$AC$2:$AC$1031),"")</f>
        <v/>
      </c>
      <c r="AE876" s="15">
        <f>IF(ISNUMBER(AF876),AF876/3630,"")</f>
        <v/>
      </c>
      <c r="AF876" s="14">
        <f>IFERROR(C876+D876+E876+F876+J876+K876+L876+M876+Q876+R876+S876+T876+IF(ISNUMBER(X876),X876,0)+N(Y876)+N(Z876)+N(AA876),"")</f>
        <v/>
      </c>
      <c r="AG876" s="14">
        <f>IF(ISNUMBER(AF876),AF876,"")</f>
        <v/>
      </c>
      <c r="AH876" s="14">
        <f>IF(ISNUMBER(AG876),_xlfn.RANK.EQ(AG876,$AG$2:$AG$1031),"")</f>
        <v/>
      </c>
    </row>
    <row r="877">
      <c r="A877" s="18" t="n">
        <v>2077</v>
      </c>
      <c r="B877" s="18" t="inlineStr">
        <is>
          <t>ميسم رضا يسرى عبدالحميد</t>
        </is>
      </c>
      <c r="C877" s="1" t="n">
        <v>559.4</v>
      </c>
      <c r="D877" s="1" t="n">
        <v>25</v>
      </c>
      <c r="E877" s="1" t="n">
        <v>23</v>
      </c>
      <c r="F877" s="1" t="n">
        <v>23</v>
      </c>
      <c r="G877" s="1">
        <f>C877+D877+E877+F877</f>
        <v/>
      </c>
      <c r="H877" s="1">
        <f>IF(ISNUMBER(G877),G877,"")</f>
        <v/>
      </c>
      <c r="I877" s="1">
        <f>_xlfn.RANK.EQ(H877,$H$2:$H$1031)</f>
        <v/>
      </c>
      <c r="J877" s="5" t="n">
        <v>555</v>
      </c>
      <c r="K877" s="5" t="n">
        <v>46</v>
      </c>
      <c r="L877" s="5" t="n">
        <v>21</v>
      </c>
      <c r="M877" s="5" t="n">
        <v>24</v>
      </c>
      <c r="N877" s="5">
        <f>J877+K877+L877+M877</f>
        <v/>
      </c>
      <c r="O877" s="5">
        <f>IF(ISNUMBER(N877),N877,"")</f>
        <v/>
      </c>
      <c r="P877" s="5">
        <f>_xlfn.RANK.EQ(O877,$O$2:$O$1031)</f>
        <v/>
      </c>
      <c r="Q877" s="9" t="n">
        <v>253.5</v>
      </c>
      <c r="R877" s="9" t="n">
        <v>47.5</v>
      </c>
      <c r="S877" s="9" t="n">
        <v>25</v>
      </c>
      <c r="T877" s="9" t="n">
        <v>25</v>
      </c>
      <c r="U877" s="9">
        <f>Q877+R877+S877+T877</f>
        <v/>
      </c>
      <c r="V877" s="9">
        <f>IF(ISNUMBER(U877),U877,"")</f>
        <v/>
      </c>
      <c r="W877" s="9">
        <f>_xlfn.RANK.EQ(V877,$V$2:$V$1031)</f>
        <v/>
      </c>
      <c r="X877" s="13" t="n">
        <v>1393.4625</v>
      </c>
      <c r="Y877" s="13" t="n">
        <v>25</v>
      </c>
      <c r="Z877" s="13" t="n">
        <v>24</v>
      </c>
      <c r="AA877" s="13" t="n">
        <v>23</v>
      </c>
      <c r="AB877" s="13">
        <f>IF(ISNUMBER(X877),X877+N(Y877)+N(Z877)+N(AA877),X877)</f>
        <v/>
      </c>
      <c r="AC877" s="13">
        <f>IF(ISNUMBER(AB877),AB877,"")</f>
        <v/>
      </c>
      <c r="AD877" s="13">
        <f>IF(ISNUMBER(AC877),_xlfn.RANK.EQ(AC877,$AC$2:$AC$1031),"")</f>
        <v/>
      </c>
      <c r="AE877" s="15">
        <f>IF(ISNUMBER(AF877),AF877/3630,"")</f>
        <v/>
      </c>
      <c r="AF877" s="14">
        <f>IFERROR(C877+D877+E877+F877+J877+K877+L877+M877+Q877+R877+S877+T877+IF(ISNUMBER(X877),X877,0)+N(Y877)+N(Z877)+N(AA877),"")</f>
        <v/>
      </c>
      <c r="AG877" s="14">
        <f>IF(ISNUMBER(AF877),AF877,"")</f>
        <v/>
      </c>
      <c r="AH877" s="14">
        <f>IF(ISNUMBER(AG877),_xlfn.RANK.EQ(AG877,$AG$2:$AG$1031),"")</f>
        <v/>
      </c>
    </row>
    <row r="878">
      <c r="A878" s="18" t="n">
        <v>2080</v>
      </c>
      <c r="B878" s="18" t="inlineStr">
        <is>
          <t>ميلانه فؤاد لمعي زامك</t>
        </is>
      </c>
      <c r="C878" s="1" t="n">
        <v>432.5</v>
      </c>
      <c r="D878" s="1" t="n">
        <v>23</v>
      </c>
      <c r="E878" s="1" t="n">
        <v>19</v>
      </c>
      <c r="F878" s="1" t="n">
        <v>19</v>
      </c>
      <c r="G878" s="1">
        <f>C878+D878+E878+F878</f>
        <v/>
      </c>
      <c r="H878" s="1">
        <f>IF(ISNUMBER(G878),G878,"")</f>
        <v/>
      </c>
      <c r="I878" s="1">
        <f>_xlfn.RANK.EQ(H878,$H$2:$H$1031)</f>
        <v/>
      </c>
      <c r="J878" s="5" t="n">
        <v>440.5</v>
      </c>
      <c r="K878" s="5" t="n">
        <v>46</v>
      </c>
      <c r="L878" s="5" t="n">
        <v>20</v>
      </c>
      <c r="M878" s="5" t="n">
        <v>19</v>
      </c>
      <c r="N878" s="5">
        <f>J878+K878+L878+M878</f>
        <v/>
      </c>
      <c r="O878" s="5">
        <f>IF(ISNUMBER(N878),N878,"")</f>
        <v/>
      </c>
      <c r="P878" s="5">
        <f>_xlfn.RANK.EQ(O878,$O$2:$O$1031)</f>
        <v/>
      </c>
      <c r="Q878" s="9" t="n">
        <v>214</v>
      </c>
      <c r="R878" s="9" t="n">
        <v>46</v>
      </c>
      <c r="S878" s="9" t="n">
        <v>25</v>
      </c>
      <c r="T878" s="9" t="n">
        <v>25</v>
      </c>
      <c r="U878" s="9">
        <f>Q878+R878+S878+T878</f>
        <v/>
      </c>
      <c r="V878" s="9">
        <f>IF(ISNUMBER(U878),U878,"")</f>
        <v/>
      </c>
      <c r="W878" s="9">
        <f>_xlfn.RANK.EQ(V878,$V$2:$V$1031)</f>
        <v/>
      </c>
      <c r="X878" s="13" t="n">
        <v>1328.975</v>
      </c>
      <c r="Y878" s="13" t="n">
        <v>25</v>
      </c>
      <c r="Z878" s="13" t="n">
        <v>22</v>
      </c>
      <c r="AA878" s="13" t="n">
        <v>23</v>
      </c>
      <c r="AB878" s="13">
        <f>IF(ISNUMBER(X878),X878+N(Y878)+N(Z878)+N(AA878),X878)</f>
        <v/>
      </c>
      <c r="AC878" s="13">
        <f>IF(ISNUMBER(AB878),AB878,"")</f>
        <v/>
      </c>
      <c r="AD878" s="13">
        <f>IF(ISNUMBER(AC878),_xlfn.RANK.EQ(AC878,$AC$2:$AC$1031),"")</f>
        <v/>
      </c>
      <c r="AE878" s="15">
        <f>IF(ISNUMBER(AF878),AF878/3630,"")</f>
        <v/>
      </c>
      <c r="AF878" s="14">
        <f>IFERROR(C878+D878+E878+F878+J878+K878+L878+M878+Q878+R878+S878+T878+IF(ISNUMBER(X878),X878,0)+N(Y878)+N(Z878)+N(AA878),"")</f>
        <v/>
      </c>
      <c r="AG878" s="14">
        <f>IF(ISNUMBER(AF878),AF878,"")</f>
        <v/>
      </c>
      <c r="AH878" s="14">
        <f>IF(ISNUMBER(AG878),_xlfn.RANK.EQ(AG878,$AG$2:$AG$1031),"")</f>
        <v/>
      </c>
    </row>
    <row r="879">
      <c r="A879" s="18" t="n">
        <v>2081</v>
      </c>
      <c r="B879" s="18" t="inlineStr">
        <is>
          <t>مينا جاد السيد جورج جاد السيد</t>
        </is>
      </c>
      <c r="C879" s="1" t="n">
        <v>486.2</v>
      </c>
      <c r="D879" s="1" t="n">
        <v>22</v>
      </c>
      <c r="E879" s="1" t="n">
        <v>23</v>
      </c>
      <c r="F879" s="1" t="n">
        <v>18</v>
      </c>
      <c r="G879" s="1">
        <f>C879+D879+E879+F879</f>
        <v/>
      </c>
      <c r="H879" s="1">
        <f>IF(ISNUMBER(G879),G879,"")</f>
        <v/>
      </c>
      <c r="I879" s="1">
        <f>_xlfn.RANK.EQ(H879,$H$2:$H$1031)</f>
        <v/>
      </c>
      <c r="J879" s="5" t="n">
        <v>461</v>
      </c>
      <c r="K879" s="5" t="n">
        <v>45</v>
      </c>
      <c r="L879" s="5" t="n">
        <v>19</v>
      </c>
      <c r="M879" s="5" t="n">
        <v>20</v>
      </c>
      <c r="N879" s="5">
        <f>J879+K879+L879+M879</f>
        <v/>
      </c>
      <c r="O879" s="5">
        <f>IF(ISNUMBER(N879),N879,"")</f>
        <v/>
      </c>
      <c r="P879" s="5">
        <f>_xlfn.RANK.EQ(O879,$O$2:$O$1031)</f>
        <v/>
      </c>
      <c r="Q879" s="9" t="n">
        <v>174</v>
      </c>
      <c r="R879" s="9" t="n">
        <v>39.5</v>
      </c>
      <c r="S879" s="9" t="n">
        <v>22</v>
      </c>
      <c r="T879" s="9" t="n">
        <v>25</v>
      </c>
      <c r="U879" s="9">
        <f>Q879+R879+S879+T879</f>
        <v/>
      </c>
      <c r="V879" s="9">
        <f>IF(ISNUMBER(U879),U879,"")</f>
        <v/>
      </c>
      <c r="W879" s="9">
        <f>_xlfn.RANK.EQ(V879,$V$2:$V$1031)</f>
        <v/>
      </c>
      <c r="X879" s="13" t="n">
        <v>1453.975</v>
      </c>
      <c r="Y879" s="13" t="n">
        <v>25</v>
      </c>
      <c r="Z879" s="13" t="n">
        <v>23.5</v>
      </c>
      <c r="AA879" s="13" t="n">
        <v>25</v>
      </c>
      <c r="AB879" s="13">
        <f>IF(ISNUMBER(X879),X879+N(Y879)+N(Z879)+N(AA879),X879)</f>
        <v/>
      </c>
      <c r="AC879" s="13">
        <f>IF(ISNUMBER(AB879),AB879,"")</f>
        <v/>
      </c>
      <c r="AD879" s="13">
        <f>IF(ISNUMBER(AC879),_xlfn.RANK.EQ(AC879,$AC$2:$AC$1031),"")</f>
        <v/>
      </c>
      <c r="AE879" s="15">
        <f>IF(ISNUMBER(AF879),AF879/3630,"")</f>
        <v/>
      </c>
      <c r="AF879" s="14">
        <f>IFERROR(C879+D879+E879+F879+J879+K879+L879+M879+Q879+R879+S879+T879+IF(ISNUMBER(X879),X879,0)+N(Y879)+N(Z879)+N(AA879),"")</f>
        <v/>
      </c>
      <c r="AG879" s="14">
        <f>IF(ISNUMBER(AF879),AF879,"")</f>
        <v/>
      </c>
      <c r="AH879" s="14">
        <f>IF(ISNUMBER(AG879),_xlfn.RANK.EQ(AG879,$AG$2:$AG$1031),"")</f>
        <v/>
      </c>
    </row>
    <row r="880">
      <c r="A880" s="18" t="n">
        <v>2082</v>
      </c>
      <c r="B880" s="18" t="inlineStr">
        <is>
          <t>مينا عماد هلال عياد بخيت</t>
        </is>
      </c>
      <c r="C880" s="1" t="n">
        <v>651</v>
      </c>
      <c r="D880" s="1" t="n">
        <v>24</v>
      </c>
      <c r="E880" s="1" t="n">
        <v>25</v>
      </c>
      <c r="F880" s="1" t="n">
        <v>24</v>
      </c>
      <c r="G880" s="1">
        <f>C880+D880+E880+F880</f>
        <v/>
      </c>
      <c r="H880" s="1">
        <f>IF(ISNUMBER(G880),G880,"")</f>
        <v/>
      </c>
      <c r="I880" s="1">
        <f>_xlfn.RANK.EQ(H880,$H$2:$H$1031)</f>
        <v/>
      </c>
      <c r="J880" s="5" t="n">
        <v>632.5</v>
      </c>
      <c r="K880" s="5" t="n">
        <v>49</v>
      </c>
      <c r="L880" s="5" t="n">
        <v>23</v>
      </c>
      <c r="M880" s="5" t="n">
        <v>23</v>
      </c>
      <c r="N880" s="5">
        <f>J880+K880+L880+M880</f>
        <v/>
      </c>
      <c r="O880" s="5">
        <f>IF(ISNUMBER(N880),N880,"")</f>
        <v/>
      </c>
      <c r="P880" s="5">
        <f>_xlfn.RANK.EQ(O880,$O$2:$O$1031)</f>
        <v/>
      </c>
      <c r="Q880" s="9" t="n">
        <v>289</v>
      </c>
      <c r="R880" s="9" t="n">
        <v>49</v>
      </c>
      <c r="S880" s="9" t="n">
        <v>24</v>
      </c>
      <c r="T880" s="9" t="n">
        <v>25</v>
      </c>
      <c r="U880" s="9">
        <f>Q880+R880+S880+T880</f>
        <v/>
      </c>
      <c r="V880" s="9">
        <f>IF(ISNUMBER(U880),U880,"")</f>
        <v/>
      </c>
      <c r="W880" s="9">
        <f>_xlfn.RANK.EQ(V880,$V$2:$V$1031)</f>
        <v/>
      </c>
      <c r="X880" s="13" t="n">
        <v>1594.9458333333</v>
      </c>
      <c r="Y880" s="13" t="n">
        <v>25</v>
      </c>
      <c r="Z880" s="13" t="n">
        <v>25</v>
      </c>
      <c r="AA880" s="13" t="n">
        <v>23</v>
      </c>
      <c r="AB880" s="13">
        <f>IF(ISNUMBER(X880),X880+N(Y880)+N(Z880)+N(AA880),X880)</f>
        <v/>
      </c>
      <c r="AC880" s="13">
        <f>IF(ISNUMBER(AB880),AB880,"")</f>
        <v/>
      </c>
      <c r="AD880" s="13">
        <f>IF(ISNUMBER(AC880),_xlfn.RANK.EQ(AC880,$AC$2:$AC$1031),"")</f>
        <v/>
      </c>
      <c r="AE880" s="15">
        <f>IF(ISNUMBER(AF880),AF880/3630,"")</f>
        <v/>
      </c>
      <c r="AF880" s="14">
        <f>IFERROR(C880+D880+E880+F880+J880+K880+L880+M880+Q880+R880+S880+T880+IF(ISNUMBER(X880),X880,0)+N(Y880)+N(Z880)+N(AA880),"")</f>
        <v/>
      </c>
      <c r="AG880" s="14">
        <f>IF(ISNUMBER(AF880),AF880,"")</f>
        <v/>
      </c>
      <c r="AH880" s="14">
        <f>IF(ISNUMBER(AG880),_xlfn.RANK.EQ(AG880,$AG$2:$AG$1031),"")</f>
        <v/>
      </c>
    </row>
    <row r="881">
      <c r="A881" s="18" t="n">
        <v>2083</v>
      </c>
      <c r="B881" s="18" t="inlineStr">
        <is>
          <t>مينا فيكتور اندراوس اسكاروس</t>
        </is>
      </c>
      <c r="C881" s="1" t="n">
        <v>647.5</v>
      </c>
      <c r="D881" s="1" t="n">
        <v>25</v>
      </c>
      <c r="E881" s="1" t="n">
        <v>25</v>
      </c>
      <c r="F881" s="1" t="n">
        <v>24</v>
      </c>
      <c r="G881" s="1">
        <f>C881+D881+E881+F881</f>
        <v/>
      </c>
      <c r="H881" s="1">
        <f>IF(ISNUMBER(G881),G881,"")</f>
        <v/>
      </c>
      <c r="I881" s="1">
        <f>_xlfn.RANK.EQ(H881,$H$2:$H$1031)</f>
        <v/>
      </c>
      <c r="J881" s="5" t="n">
        <v>642</v>
      </c>
      <c r="K881" s="5" t="n">
        <v>50</v>
      </c>
      <c r="L881" s="5" t="n">
        <v>23</v>
      </c>
      <c r="M881" s="5" t="n">
        <v>23</v>
      </c>
      <c r="N881" s="5">
        <f>J881+K881+L881+M881</f>
        <v/>
      </c>
      <c r="O881" s="5">
        <f>IF(ISNUMBER(N881),N881,"")</f>
        <v/>
      </c>
      <c r="P881" s="5">
        <f>_xlfn.RANK.EQ(O881,$O$2:$O$1031)</f>
        <v/>
      </c>
      <c r="Q881" s="9" t="n">
        <v>288</v>
      </c>
      <c r="R881" s="9" t="n">
        <v>48.5</v>
      </c>
      <c r="S881" s="9" t="n">
        <v>25</v>
      </c>
      <c r="T881" s="9" t="n">
        <v>25</v>
      </c>
      <c r="U881" s="9">
        <f>Q881+R881+S881+T881</f>
        <v/>
      </c>
      <c r="V881" s="9">
        <f>IF(ISNUMBER(U881),U881,"")</f>
        <v/>
      </c>
      <c r="W881" s="9">
        <f>_xlfn.RANK.EQ(V881,$V$2:$V$1031)</f>
        <v/>
      </c>
      <c r="X881" s="13" t="n">
        <v>1565.175</v>
      </c>
      <c r="Y881" s="13" t="n">
        <v>25</v>
      </c>
      <c r="Z881" s="13" t="n">
        <v>24</v>
      </c>
      <c r="AA881" s="13" t="n">
        <v>25</v>
      </c>
      <c r="AB881" s="13">
        <f>IF(ISNUMBER(X881),X881+N(Y881)+N(Z881)+N(AA881),X881)</f>
        <v/>
      </c>
      <c r="AC881" s="13">
        <f>IF(ISNUMBER(AB881),AB881,"")</f>
        <v/>
      </c>
      <c r="AD881" s="13">
        <f>IF(ISNUMBER(AC881),_xlfn.RANK.EQ(AC881,$AC$2:$AC$1031),"")</f>
        <v/>
      </c>
      <c r="AE881" s="15">
        <f>IF(ISNUMBER(AF881),AF881/3630,"")</f>
        <v/>
      </c>
      <c r="AF881" s="14">
        <f>IFERROR(C881+D881+E881+F881+J881+K881+L881+M881+Q881+R881+S881+T881+IF(ISNUMBER(X881),X881,0)+N(Y881)+N(Z881)+N(AA881),"")</f>
        <v/>
      </c>
      <c r="AG881" s="14">
        <f>IF(ISNUMBER(AF881),AF881,"")</f>
        <v/>
      </c>
      <c r="AH881" s="14">
        <f>IF(ISNUMBER(AG881),_xlfn.RANK.EQ(AG881,$AG$2:$AG$1031),"")</f>
        <v/>
      </c>
    </row>
    <row r="882">
      <c r="A882" s="18" t="n">
        <v>2084</v>
      </c>
      <c r="B882" s="18" t="inlineStr">
        <is>
          <t>مينا مجدى رمزى مسعود شنوده</t>
        </is>
      </c>
      <c r="C882" s="1" t="n">
        <v>642.9</v>
      </c>
      <c r="D882" s="1" t="n">
        <v>25</v>
      </c>
      <c r="E882" s="1" t="n">
        <v>25</v>
      </c>
      <c r="F882" s="1" t="n">
        <v>24</v>
      </c>
      <c r="G882" s="1">
        <f>C882+D882+E882+F882</f>
        <v/>
      </c>
      <c r="H882" s="1">
        <f>IF(ISNUMBER(G882),G882,"")</f>
        <v/>
      </c>
      <c r="I882" s="1">
        <f>_xlfn.RANK.EQ(H882,$H$2:$H$1031)</f>
        <v/>
      </c>
      <c r="J882" s="5" t="n">
        <v>643.85</v>
      </c>
      <c r="K882" s="5" t="n">
        <v>48</v>
      </c>
      <c r="L882" s="5" t="n">
        <v>23</v>
      </c>
      <c r="M882" s="5" t="n">
        <v>25</v>
      </c>
      <c r="N882" s="5">
        <f>J882+K882+L882+M882</f>
        <v/>
      </c>
      <c r="O882" s="5">
        <f>IF(ISNUMBER(N882),N882,"")</f>
        <v/>
      </c>
      <c r="P882" s="5">
        <f>_xlfn.RANK.EQ(O882,$O$2:$O$1031)</f>
        <v/>
      </c>
      <c r="Q882" s="9" t="n">
        <v>285</v>
      </c>
      <c r="R882" s="9" t="n">
        <v>49.5</v>
      </c>
      <c r="S882" s="9" t="n">
        <v>24</v>
      </c>
      <c r="T882" s="9" t="n">
        <v>24</v>
      </c>
      <c r="U882" s="9">
        <f>Q882+R882+S882+T882</f>
        <v/>
      </c>
      <c r="V882" s="9">
        <f>IF(ISNUMBER(U882),U882,"")</f>
        <v/>
      </c>
      <c r="W882" s="9">
        <f>_xlfn.RANK.EQ(V882,$V$2:$V$1031)</f>
        <v/>
      </c>
      <c r="X882" s="13" t="n">
        <v>1598.3791666667</v>
      </c>
      <c r="Y882" s="13" t="n">
        <v>25</v>
      </c>
      <c r="Z882" s="13" t="n">
        <v>25</v>
      </c>
      <c r="AA882" s="13" t="n">
        <v>25</v>
      </c>
      <c r="AB882" s="13">
        <f>IF(ISNUMBER(X882),X882+N(Y882)+N(Z882)+N(AA882),X882)</f>
        <v/>
      </c>
      <c r="AC882" s="13">
        <f>IF(ISNUMBER(AB882),AB882,"")</f>
        <v/>
      </c>
      <c r="AD882" s="13">
        <f>IF(ISNUMBER(AC882),_xlfn.RANK.EQ(AC882,$AC$2:$AC$1031),"")</f>
        <v/>
      </c>
      <c r="AE882" s="15">
        <f>IF(ISNUMBER(AF882),AF882/3630,"")</f>
        <v/>
      </c>
      <c r="AF882" s="14">
        <f>IFERROR(C882+D882+E882+F882+J882+K882+L882+M882+Q882+R882+S882+T882+IF(ISNUMBER(X882),X882,0)+N(Y882)+N(Z882)+N(AA882),"")</f>
        <v/>
      </c>
      <c r="AG882" s="14">
        <f>IF(ISNUMBER(AF882),AF882,"")</f>
        <v/>
      </c>
      <c r="AH882" s="14">
        <f>IF(ISNUMBER(AG882),_xlfn.RANK.EQ(AG882,$AG$2:$AG$1031),"")</f>
        <v/>
      </c>
    </row>
    <row r="883">
      <c r="A883" s="18" t="n">
        <v>2085</v>
      </c>
      <c r="B883" s="18" t="inlineStr">
        <is>
          <t>مينا ناصف حنا سيف حنا</t>
        </is>
      </c>
      <c r="C883" s="1" t="n">
        <v>614.2</v>
      </c>
      <c r="D883" s="1" t="n">
        <v>23</v>
      </c>
      <c r="E883" s="1" t="n">
        <v>25</v>
      </c>
      <c r="F883" s="1" t="n">
        <v>24</v>
      </c>
      <c r="G883" s="1">
        <f>C883+D883+E883+F883</f>
        <v/>
      </c>
      <c r="H883" s="1">
        <f>IF(ISNUMBER(G883),G883,"")</f>
        <v/>
      </c>
      <c r="I883" s="1">
        <f>_xlfn.RANK.EQ(H883,$H$2:$H$1031)</f>
        <v/>
      </c>
      <c r="J883" s="5" t="n">
        <v>620.2</v>
      </c>
      <c r="K883" s="5" t="n">
        <v>49</v>
      </c>
      <c r="L883" s="5" t="n">
        <v>24</v>
      </c>
      <c r="M883" s="5" t="n">
        <v>23</v>
      </c>
      <c r="N883" s="5">
        <f>J883+K883+L883+M883</f>
        <v/>
      </c>
      <c r="O883" s="5">
        <f>IF(ISNUMBER(N883),N883,"")</f>
        <v/>
      </c>
      <c r="P883" s="5">
        <f>_xlfn.RANK.EQ(O883,$O$2:$O$1031)</f>
        <v/>
      </c>
      <c r="Q883" s="9" t="n">
        <v>269</v>
      </c>
      <c r="R883" s="9" t="n">
        <v>47.5</v>
      </c>
      <c r="S883" s="9" t="n">
        <v>24</v>
      </c>
      <c r="T883" s="9" t="n">
        <v>25</v>
      </c>
      <c r="U883" s="9">
        <f>Q883+R883+S883+T883</f>
        <v/>
      </c>
      <c r="V883" s="9">
        <f>IF(ISNUMBER(U883),U883,"")</f>
        <v/>
      </c>
      <c r="W883" s="9">
        <f>_xlfn.RANK.EQ(V883,$V$2:$V$1031)</f>
        <v/>
      </c>
      <c r="X883" s="13" t="n">
        <v>1538.9083333333</v>
      </c>
      <c r="Y883" s="13" t="n">
        <v>25</v>
      </c>
      <c r="Z883" s="13" t="n">
        <v>25</v>
      </c>
      <c r="AA883" s="13" t="n">
        <v>25</v>
      </c>
      <c r="AB883" s="13">
        <f>IF(ISNUMBER(X883),X883+N(Y883)+N(Z883)+N(AA883),X883)</f>
        <v/>
      </c>
      <c r="AC883" s="13">
        <f>IF(ISNUMBER(AB883),AB883,"")</f>
        <v/>
      </c>
      <c r="AD883" s="13">
        <f>IF(ISNUMBER(AC883),_xlfn.RANK.EQ(AC883,$AC$2:$AC$1031),"")</f>
        <v/>
      </c>
      <c r="AE883" s="15">
        <f>IF(ISNUMBER(AF883),AF883/3630,"")</f>
        <v/>
      </c>
      <c r="AF883" s="14">
        <f>IFERROR(C883+D883+E883+F883+J883+K883+L883+M883+Q883+R883+S883+T883+IF(ISNUMBER(X883),X883,0)+N(Y883)+N(Z883)+N(AA883),"")</f>
        <v/>
      </c>
      <c r="AG883" s="14">
        <f>IF(ISNUMBER(AF883),AF883,"")</f>
        <v/>
      </c>
      <c r="AH883" s="14">
        <f>IF(ISNUMBER(AG883),_xlfn.RANK.EQ(AG883,$AG$2:$AG$1031),"")</f>
        <v/>
      </c>
    </row>
    <row r="884">
      <c r="A884" s="18" t="n">
        <v>2087</v>
      </c>
      <c r="B884" s="18" t="inlineStr">
        <is>
          <t>نادر وجيه احمد محمود</t>
        </is>
      </c>
      <c r="C884" s="1" t="n">
        <v>501.2</v>
      </c>
      <c r="D884" s="1" t="n">
        <v>21</v>
      </c>
      <c r="E884" s="1" t="n">
        <v>21</v>
      </c>
      <c r="F884" s="1" t="n">
        <v>20</v>
      </c>
      <c r="G884" s="1">
        <f>C884+D884+E884+F884</f>
        <v/>
      </c>
      <c r="H884" s="1">
        <f>IF(ISNUMBER(G884),G884,"")</f>
        <v/>
      </c>
      <c r="I884" s="1">
        <f>_xlfn.RANK.EQ(H884,$H$2:$H$1031)</f>
        <v/>
      </c>
      <c r="J884" s="5" t="n">
        <v>501.2</v>
      </c>
      <c r="K884" s="5" t="n">
        <v>34</v>
      </c>
      <c r="L884" s="5" t="n">
        <v>20</v>
      </c>
      <c r="M884" s="5" t="n">
        <v>21</v>
      </c>
      <c r="N884" s="5">
        <f>J884+K884+L884+M884</f>
        <v/>
      </c>
      <c r="O884" s="5">
        <f>IF(ISNUMBER(N884),N884,"")</f>
        <v/>
      </c>
      <c r="P884" s="5">
        <f>_xlfn.RANK.EQ(O884,$O$2:$O$1031)</f>
        <v/>
      </c>
      <c r="Q884" s="9" t="n">
        <v>221</v>
      </c>
      <c r="R884" s="9" t="n">
        <v>42.5</v>
      </c>
      <c r="S884" s="9" t="n">
        <v>19</v>
      </c>
      <c r="T884" s="9" t="n">
        <v>22</v>
      </c>
      <c r="U884" s="9">
        <f>Q884+R884+S884+T884</f>
        <v/>
      </c>
      <c r="V884" s="9">
        <f>IF(ISNUMBER(U884),U884,"")</f>
        <v/>
      </c>
      <c r="W884" s="9">
        <f>_xlfn.RANK.EQ(V884,$V$2:$V$1031)</f>
        <v/>
      </c>
      <c r="X884" s="13" t="n">
        <v>1293.4333333333</v>
      </c>
      <c r="Y884" s="13" t="n">
        <v>25</v>
      </c>
      <c r="Z884" s="13" t="n">
        <v>25</v>
      </c>
      <c r="AA884" s="13" t="n">
        <v>24</v>
      </c>
      <c r="AB884" s="13">
        <f>IF(ISNUMBER(X884),X884+N(Y884)+N(Z884)+N(AA884),X884)</f>
        <v/>
      </c>
      <c r="AC884" s="13">
        <f>IF(ISNUMBER(AB884),AB884,"")</f>
        <v/>
      </c>
      <c r="AD884" s="13">
        <f>IF(ISNUMBER(AC884),_xlfn.RANK.EQ(AC884,$AC$2:$AC$1031),"")</f>
        <v/>
      </c>
      <c r="AE884" s="15">
        <f>IF(ISNUMBER(AF884),AF884/3630,"")</f>
        <v/>
      </c>
      <c r="AF884" s="14">
        <f>IFERROR(C884+D884+E884+F884+J884+K884+L884+M884+Q884+R884+S884+T884+IF(ISNUMBER(X884),X884,0)+N(Y884)+N(Z884)+N(AA884),"")</f>
        <v/>
      </c>
      <c r="AG884" s="14">
        <f>IF(ISNUMBER(AF884),AF884,"")</f>
        <v/>
      </c>
      <c r="AH884" s="14">
        <f>IF(ISNUMBER(AG884),_xlfn.RANK.EQ(AG884,$AG$2:$AG$1031),"")</f>
        <v/>
      </c>
    </row>
    <row r="885">
      <c r="A885" s="18" t="n">
        <v>2088</v>
      </c>
      <c r="B885" s="18" t="inlineStr">
        <is>
          <t>نادين سامح حامد محمد</t>
        </is>
      </c>
      <c r="C885" s="1" t="n">
        <v>594.7</v>
      </c>
      <c r="D885" s="1" t="n">
        <v>25</v>
      </c>
      <c r="E885" s="1" t="n">
        <v>23</v>
      </c>
      <c r="F885" s="1" t="n">
        <v>23</v>
      </c>
      <c r="G885" s="1">
        <f>C885+D885+E885+F885</f>
        <v/>
      </c>
      <c r="H885" s="1">
        <f>IF(ISNUMBER(G885),G885,"")</f>
        <v/>
      </c>
      <c r="I885" s="1">
        <f>_xlfn.RANK.EQ(H885,$H$2:$H$1031)</f>
        <v/>
      </c>
      <c r="J885" s="5" t="n">
        <v>623</v>
      </c>
      <c r="K885" s="5" t="n">
        <v>45</v>
      </c>
      <c r="L885" s="5" t="n">
        <v>24</v>
      </c>
      <c r="M885" s="5" t="n">
        <v>25</v>
      </c>
      <c r="N885" s="5">
        <f>J885+K885+L885+M885</f>
        <v/>
      </c>
      <c r="O885" s="5">
        <f>IF(ISNUMBER(N885),N885,"")</f>
        <v/>
      </c>
      <c r="P885" s="5">
        <f>_xlfn.RANK.EQ(O885,$O$2:$O$1031)</f>
        <v/>
      </c>
      <c r="Q885" s="9" t="n">
        <v>271</v>
      </c>
      <c r="R885" s="9" t="n">
        <v>45</v>
      </c>
      <c r="S885" s="9" t="n">
        <v>23</v>
      </c>
      <c r="T885" s="9" t="n">
        <v>25</v>
      </c>
      <c r="U885" s="9">
        <f>Q885+R885+S885+T885</f>
        <v/>
      </c>
      <c r="V885" s="9">
        <f>IF(ISNUMBER(U885),U885,"")</f>
        <v/>
      </c>
      <c r="W885" s="9">
        <f>_xlfn.RANK.EQ(V885,$V$2:$V$1031)</f>
        <v/>
      </c>
      <c r="X885" s="13" t="n">
        <v>1497.7625</v>
      </c>
      <c r="Y885" s="13" t="n">
        <v>25</v>
      </c>
      <c r="Z885" s="13" t="n">
        <v>25</v>
      </c>
      <c r="AA885" s="13" t="n">
        <v>24</v>
      </c>
      <c r="AB885" s="13">
        <f>IF(ISNUMBER(X885),X885+N(Y885)+N(Z885)+N(AA885),X885)</f>
        <v/>
      </c>
      <c r="AC885" s="13">
        <f>IF(ISNUMBER(AB885),AB885,"")</f>
        <v/>
      </c>
      <c r="AD885" s="13">
        <f>IF(ISNUMBER(AC885),_xlfn.RANK.EQ(AC885,$AC$2:$AC$1031),"")</f>
        <v/>
      </c>
      <c r="AE885" s="15">
        <f>IF(ISNUMBER(AF885),AF885/3630,"")</f>
        <v/>
      </c>
      <c r="AF885" s="14">
        <f>IFERROR(C885+D885+E885+F885+J885+K885+L885+M885+Q885+R885+S885+T885+IF(ISNUMBER(X885),X885,0)+N(Y885)+N(Z885)+N(AA885),"")</f>
        <v/>
      </c>
      <c r="AG885" s="14">
        <f>IF(ISNUMBER(AF885),AF885,"")</f>
        <v/>
      </c>
      <c r="AH885" s="14">
        <f>IF(ISNUMBER(AG885),_xlfn.RANK.EQ(AG885,$AG$2:$AG$1031),"")</f>
        <v/>
      </c>
    </row>
    <row r="886">
      <c r="A886" s="18" t="n">
        <v>2089</v>
      </c>
      <c r="B886" s="18" t="inlineStr">
        <is>
          <t>نادين هاني ابراهيم جبر</t>
        </is>
      </c>
      <c r="C886" s="1" t="n">
        <v>440</v>
      </c>
      <c r="D886" s="1" t="n">
        <v>25</v>
      </c>
      <c r="E886" s="1" t="n">
        <v>21</v>
      </c>
      <c r="F886" s="1" t="n">
        <v>20</v>
      </c>
      <c r="G886" s="1">
        <f>C886+D886+E886+F886</f>
        <v/>
      </c>
      <c r="H886" s="1">
        <f>IF(ISNUMBER(G886),G886,"")</f>
        <v/>
      </c>
      <c r="I886" s="1">
        <f>_xlfn.RANK.EQ(H886,$H$2:$H$1031)</f>
        <v/>
      </c>
      <c r="J886" s="5" t="n">
        <v>488.5</v>
      </c>
      <c r="K886" s="5" t="n">
        <v>43</v>
      </c>
      <c r="L886" s="5" t="n">
        <v>23</v>
      </c>
      <c r="M886" s="5" t="n">
        <v>19</v>
      </c>
      <c r="N886" s="5">
        <f>J886+K886+L886+M886</f>
        <v/>
      </c>
      <c r="O886" s="5">
        <f>IF(ISNUMBER(N886),N886,"")</f>
        <v/>
      </c>
      <c r="P886" s="5">
        <f>_xlfn.RANK.EQ(O886,$O$2:$O$1031)</f>
        <v/>
      </c>
      <c r="Q886" s="9" t="n">
        <v>229</v>
      </c>
      <c r="R886" s="9" t="n">
        <v>46</v>
      </c>
      <c r="S886" s="9" t="n">
        <v>25</v>
      </c>
      <c r="T886" s="9" t="n">
        <v>25</v>
      </c>
      <c r="U886" s="9">
        <f>Q886+R886+S886+T886</f>
        <v/>
      </c>
      <c r="V886" s="9">
        <f>IF(ISNUMBER(U886),U886,"")</f>
        <v/>
      </c>
      <c r="W886" s="9">
        <f>_xlfn.RANK.EQ(V886,$V$2:$V$1031)</f>
        <v/>
      </c>
      <c r="X886" s="13" t="n">
        <v>1195.3791666667</v>
      </c>
      <c r="Y886" s="13" t="n">
        <v>25</v>
      </c>
      <c r="Z886" s="13" t="n">
        <v>24</v>
      </c>
      <c r="AA886" s="13" t="n">
        <v>23</v>
      </c>
      <c r="AB886" s="13">
        <f>IF(ISNUMBER(X886),X886+N(Y886)+N(Z886)+N(AA886),X886)</f>
        <v/>
      </c>
      <c r="AC886" s="13">
        <f>IF(ISNUMBER(AB886),AB886,"")</f>
        <v/>
      </c>
      <c r="AD886" s="13">
        <f>IF(ISNUMBER(AC886),_xlfn.RANK.EQ(AC886,$AC$2:$AC$1031),"")</f>
        <v/>
      </c>
      <c r="AE886" s="15">
        <f>IF(ISNUMBER(AF886),AF886/3630,"")</f>
        <v/>
      </c>
      <c r="AF886" s="14">
        <f>IFERROR(C886+D886+E886+F886+J886+K886+L886+M886+Q886+R886+S886+T886+IF(ISNUMBER(X886),X886,0)+N(Y886)+N(Z886)+N(AA886),"")</f>
        <v/>
      </c>
      <c r="AG886" s="14">
        <f>IF(ISNUMBER(AF886),AF886,"")</f>
        <v/>
      </c>
      <c r="AH886" s="14">
        <f>IF(ISNUMBER(AG886),_xlfn.RANK.EQ(AG886,$AG$2:$AG$1031),"")</f>
        <v/>
      </c>
    </row>
    <row r="887">
      <c r="A887" s="18" t="n">
        <v>2090</v>
      </c>
      <c r="B887" s="18" t="inlineStr">
        <is>
          <t>ناديه سعد عبدالفتاح محمد العجمى</t>
        </is>
      </c>
      <c r="C887" s="1" t="n">
        <v>615.1</v>
      </c>
      <c r="D887" s="1" t="n">
        <v>23</v>
      </c>
      <c r="E887" s="1" t="n">
        <v>24</v>
      </c>
      <c r="F887" s="1" t="n">
        <v>22</v>
      </c>
      <c r="G887" s="1">
        <f>C887+D887+E887+F887</f>
        <v/>
      </c>
      <c r="H887" s="1">
        <f>IF(ISNUMBER(G887),G887,"")</f>
        <v/>
      </c>
      <c r="I887" s="1">
        <f>_xlfn.RANK.EQ(H887,$H$2:$H$1031)</f>
        <v/>
      </c>
      <c r="J887" s="5" t="n">
        <v>627.85</v>
      </c>
      <c r="K887" s="5" t="n">
        <v>49</v>
      </c>
      <c r="L887" s="5" t="n">
        <v>24</v>
      </c>
      <c r="M887" s="5" t="n">
        <v>25</v>
      </c>
      <c r="N887" s="5">
        <f>J887+K887+L887+M887</f>
        <v/>
      </c>
      <c r="O887" s="5">
        <f>IF(ISNUMBER(N887),N887,"")</f>
        <v/>
      </c>
      <c r="P887" s="5">
        <f>_xlfn.RANK.EQ(O887,$O$2:$O$1031)</f>
        <v/>
      </c>
      <c r="Q887" s="9" t="n">
        <v>278</v>
      </c>
      <c r="R887" s="9" t="n">
        <v>48.5</v>
      </c>
      <c r="S887" s="9" t="n">
        <v>24</v>
      </c>
      <c r="T887" s="9" t="n">
        <v>25</v>
      </c>
      <c r="U887" s="9">
        <f>Q887+R887+S887+T887</f>
        <v/>
      </c>
      <c r="V887" s="9">
        <f>IF(ISNUMBER(U887),U887,"")</f>
        <v/>
      </c>
      <c r="W887" s="9">
        <f>_xlfn.RANK.EQ(V887,$V$2:$V$1031)</f>
        <v/>
      </c>
      <c r="X887" s="13" t="n">
        <v>1505.8833333333</v>
      </c>
      <c r="Y887" s="13" t="n">
        <v>25</v>
      </c>
      <c r="Z887" s="13" t="n">
        <v>25</v>
      </c>
      <c r="AA887" s="13" t="n">
        <v>25</v>
      </c>
      <c r="AB887" s="13">
        <f>IF(ISNUMBER(X887),X887+N(Y887)+N(Z887)+N(AA887),X887)</f>
        <v/>
      </c>
      <c r="AC887" s="13">
        <f>IF(ISNUMBER(AB887),AB887,"")</f>
        <v/>
      </c>
      <c r="AD887" s="13">
        <f>IF(ISNUMBER(AC887),_xlfn.RANK.EQ(AC887,$AC$2:$AC$1031),"")</f>
        <v/>
      </c>
      <c r="AE887" s="15">
        <f>IF(ISNUMBER(AF887),AF887/3630,"")</f>
        <v/>
      </c>
      <c r="AF887" s="14">
        <f>IFERROR(C887+D887+E887+F887+J887+K887+L887+M887+Q887+R887+S887+T887+IF(ISNUMBER(X887),X887,0)+N(Y887)+N(Z887)+N(AA887),"")</f>
        <v/>
      </c>
      <c r="AG887" s="14">
        <f>IF(ISNUMBER(AF887),AF887,"")</f>
        <v/>
      </c>
      <c r="AH887" s="14">
        <f>IF(ISNUMBER(AG887),_xlfn.RANK.EQ(AG887,$AG$2:$AG$1031),"")</f>
        <v/>
      </c>
    </row>
    <row r="888">
      <c r="A888" s="18" t="n">
        <v>2096</v>
      </c>
      <c r="B888" s="18" t="inlineStr">
        <is>
          <t>ناصر مصطفى مصطفى ابوالنور</t>
        </is>
      </c>
      <c r="C888" s="1" t="n">
        <v>412</v>
      </c>
      <c r="D888" s="1" t="n">
        <v>12</v>
      </c>
      <c r="E888" s="1" t="n">
        <v>10</v>
      </c>
      <c r="F888" s="1" t="n">
        <v>15</v>
      </c>
      <c r="G888" s="1">
        <f>C888+D888+E888+F888</f>
        <v/>
      </c>
      <c r="H888" s="1">
        <f>IF(ISNUMBER(G888),G888,"")</f>
        <v/>
      </c>
      <c r="I888" s="1">
        <f>_xlfn.RANK.EQ(H888,$H$2:$H$1031)</f>
        <v/>
      </c>
      <c r="J888" s="5" t="n">
        <v>412.75</v>
      </c>
      <c r="K888" s="5" t="n">
        <v>27</v>
      </c>
      <c r="L888" s="5" t="n">
        <v>15</v>
      </c>
      <c r="M888" s="5" t="n">
        <v>10</v>
      </c>
      <c r="N888" s="5">
        <f>J888+K888+L888+M888</f>
        <v/>
      </c>
      <c r="O888" s="5">
        <f>IF(ISNUMBER(N888),N888,"")</f>
        <v/>
      </c>
      <c r="P888" s="5">
        <f>_xlfn.RANK.EQ(O888,$O$2:$O$1031)</f>
        <v/>
      </c>
      <c r="Q888" s="9" t="n">
        <v>154</v>
      </c>
      <c r="R888" s="9" t="n">
        <v>24.5</v>
      </c>
      <c r="S888" s="9" t="n">
        <v>14</v>
      </c>
      <c r="T888" s="9" t="n">
        <v>22</v>
      </c>
      <c r="U888" s="9">
        <f>Q888+R888+S888+T888</f>
        <v/>
      </c>
      <c r="V888" s="9">
        <f>IF(ISNUMBER(U888),U888,"")</f>
        <v/>
      </c>
      <c r="W888" s="9">
        <f>_xlfn.RANK.EQ(V888,$V$2:$V$1031)</f>
        <v/>
      </c>
      <c r="X888" s="13" t="inlineStr">
        <is>
          <t>راسب</t>
        </is>
      </c>
      <c r="Y888" s="13" t="n">
        <v>20</v>
      </c>
      <c r="Z888" s="13" t="n">
        <v>16</v>
      </c>
      <c r="AA888" s="13" t="n">
        <v>15</v>
      </c>
      <c r="AB888" s="13">
        <f>IF(ISNUMBER(X888),X888+N(Y888)+N(Z888)+N(AA888),X888)</f>
        <v/>
      </c>
      <c r="AC888" s="13">
        <f>IF(ISNUMBER(AB888),AB888,"")</f>
        <v/>
      </c>
      <c r="AD888" s="13">
        <f>IF(ISNUMBER(AC888),_xlfn.RANK.EQ(AC888,$AC$2:$AC$1031),"")</f>
        <v/>
      </c>
      <c r="AE888" s="15">
        <f>IF(ISNUMBER(AF888),AF888/3630,"")</f>
        <v/>
      </c>
      <c r="AF888" s="14">
        <f>IFERROR(C888+D888+E888+F888+J888+K888+L888+M888+Q888+R888+S888+T888+IF(ISNUMBER(X888),X888,0)+N(Y888)+N(Z888)+N(AA888),"")</f>
        <v/>
      </c>
      <c r="AG888" s="14">
        <f>IF(ISNUMBER(AF888),AF888,"")</f>
        <v/>
      </c>
      <c r="AH888" s="14">
        <f>IF(ISNUMBER(AG888),_xlfn.RANK.EQ(AG888,$AG$2:$AG$1031),"")</f>
        <v/>
      </c>
    </row>
    <row r="889">
      <c r="A889" s="18" t="n">
        <v>2098</v>
      </c>
      <c r="B889" s="18" t="inlineStr">
        <is>
          <t>نانسي محمد حسين محمد محمد على</t>
        </is>
      </c>
      <c r="C889" s="1" t="n">
        <v>591.7</v>
      </c>
      <c r="D889" s="1" t="n">
        <v>25</v>
      </c>
      <c r="E889" s="1" t="n">
        <v>24</v>
      </c>
      <c r="F889" s="1" t="n">
        <v>21</v>
      </c>
      <c r="G889" s="1">
        <f>C889+D889+E889+F889</f>
        <v/>
      </c>
      <c r="H889" s="1">
        <f>IF(ISNUMBER(G889),G889,"")</f>
        <v/>
      </c>
      <c r="I889" s="1">
        <f>_xlfn.RANK.EQ(H889,$H$2:$H$1031)</f>
        <v/>
      </c>
      <c r="J889" s="5" t="n">
        <v>572.5</v>
      </c>
      <c r="K889" s="5" t="n">
        <v>44</v>
      </c>
      <c r="L889" s="5" t="n">
        <v>19</v>
      </c>
      <c r="M889" s="5" t="n">
        <v>19</v>
      </c>
      <c r="N889" s="5">
        <f>J889+K889+L889+M889</f>
        <v/>
      </c>
      <c r="O889" s="5">
        <f>IF(ISNUMBER(N889),N889,"")</f>
        <v/>
      </c>
      <c r="P889" s="5">
        <f>_xlfn.RANK.EQ(O889,$O$2:$O$1031)</f>
        <v/>
      </c>
      <c r="Q889" s="9" t="n">
        <v>229</v>
      </c>
      <c r="R889" s="9" t="n">
        <v>39.5</v>
      </c>
      <c r="S889" s="9" t="n">
        <v>22</v>
      </c>
      <c r="T889" s="9" t="n">
        <v>23</v>
      </c>
      <c r="U889" s="9">
        <f>Q889+R889+S889+T889</f>
        <v/>
      </c>
      <c r="V889" s="9">
        <f>IF(ISNUMBER(U889),U889,"")</f>
        <v/>
      </c>
      <c r="W889" s="9">
        <f>_xlfn.RANK.EQ(V889,$V$2:$V$1031)</f>
        <v/>
      </c>
      <c r="X889" s="13" t="inlineStr">
        <is>
          <t>راسب</t>
        </is>
      </c>
      <c r="Y889" s="13" t="n">
        <v>24</v>
      </c>
      <c r="Z889" s="13" t="n">
        <v>22</v>
      </c>
      <c r="AA889" s="13" t="n">
        <v>22</v>
      </c>
      <c r="AB889" s="13">
        <f>IF(ISNUMBER(X889),X889+N(Y889)+N(Z889)+N(AA889),X889)</f>
        <v/>
      </c>
      <c r="AC889" s="13">
        <f>IF(ISNUMBER(AB889),AB889,"")</f>
        <v/>
      </c>
      <c r="AD889" s="13">
        <f>IF(ISNUMBER(AC889),_xlfn.RANK.EQ(AC889,$AC$2:$AC$1031),"")</f>
        <v/>
      </c>
      <c r="AE889" s="15">
        <f>IF(ISNUMBER(AF889),AF889/3630,"")</f>
        <v/>
      </c>
      <c r="AF889" s="14">
        <f>IFERROR(C889+D889+E889+F889+J889+K889+L889+M889+Q889+R889+S889+T889+IF(ISNUMBER(X889),X889,0)+N(Y889)+N(Z889)+N(AA889),"")</f>
        <v/>
      </c>
      <c r="AG889" s="14">
        <f>IF(ISNUMBER(AF889),AF889,"")</f>
        <v/>
      </c>
      <c r="AH889" s="14">
        <f>IF(ISNUMBER(AG889),_xlfn.RANK.EQ(AG889,$AG$2:$AG$1031),"")</f>
        <v/>
      </c>
    </row>
    <row r="890">
      <c r="A890" s="18" t="n">
        <v>2099</v>
      </c>
      <c r="B890" s="18" t="inlineStr">
        <is>
          <t>نانسي محيي محمد العشري</t>
        </is>
      </c>
      <c r="C890" s="1" t="n">
        <v>601.2</v>
      </c>
      <c r="D890" s="1" t="n">
        <v>22</v>
      </c>
      <c r="E890" s="1" t="n">
        <v>23</v>
      </c>
      <c r="F890" s="1" t="n">
        <v>22</v>
      </c>
      <c r="G890" s="1">
        <f>C890+D890+E890+F890</f>
        <v/>
      </c>
      <c r="H890" s="1">
        <f>IF(ISNUMBER(G890),G890,"")</f>
        <v/>
      </c>
      <c r="I890" s="1">
        <f>_xlfn.RANK.EQ(H890,$H$2:$H$1031)</f>
        <v/>
      </c>
      <c r="J890" s="5" t="n">
        <v>600.7</v>
      </c>
      <c r="K890" s="5" t="n">
        <v>46</v>
      </c>
      <c r="L890" s="5" t="n">
        <v>24</v>
      </c>
      <c r="M890" s="5" t="n">
        <v>21</v>
      </c>
      <c r="N890" s="5">
        <f>J890+K890+L890+M890</f>
        <v/>
      </c>
      <c r="O890" s="5">
        <f>IF(ISNUMBER(N890),N890,"")</f>
        <v/>
      </c>
      <c r="P890" s="5">
        <f>_xlfn.RANK.EQ(O890,$O$2:$O$1031)</f>
        <v/>
      </c>
      <c r="Q890" s="9" t="n">
        <v>263</v>
      </c>
      <c r="R890" s="9" t="n">
        <v>43.5</v>
      </c>
      <c r="S890" s="9" t="n">
        <v>25</v>
      </c>
      <c r="T890" s="9" t="n">
        <v>25</v>
      </c>
      <c r="U890" s="9">
        <f>Q890+R890+S890+T890</f>
        <v/>
      </c>
      <c r="V890" s="9">
        <f>IF(ISNUMBER(U890),U890,"")</f>
        <v/>
      </c>
      <c r="W890" s="9">
        <f>_xlfn.RANK.EQ(V890,$V$2:$V$1031)</f>
        <v/>
      </c>
      <c r="X890" s="13" t="n">
        <v>1447.0458333333</v>
      </c>
      <c r="Y890" s="13" t="n">
        <v>25</v>
      </c>
      <c r="Z890" s="13" t="n">
        <v>25</v>
      </c>
      <c r="AA890" s="13" t="n">
        <v>25</v>
      </c>
      <c r="AB890" s="13">
        <f>IF(ISNUMBER(X890),X890+N(Y890)+N(Z890)+N(AA890),X890)</f>
        <v/>
      </c>
      <c r="AC890" s="13">
        <f>IF(ISNUMBER(AB890),AB890,"")</f>
        <v/>
      </c>
      <c r="AD890" s="13">
        <f>IF(ISNUMBER(AC890),_xlfn.RANK.EQ(AC890,$AC$2:$AC$1031),"")</f>
        <v/>
      </c>
      <c r="AE890" s="15">
        <f>IF(ISNUMBER(AF890),AF890/3630,"")</f>
        <v/>
      </c>
      <c r="AF890" s="14">
        <f>IFERROR(C890+D890+E890+F890+J890+K890+L890+M890+Q890+R890+S890+T890+IF(ISNUMBER(X890),X890,0)+N(Y890)+N(Z890)+N(AA890),"")</f>
        <v/>
      </c>
      <c r="AG890" s="14">
        <f>IF(ISNUMBER(AF890),AF890,"")</f>
        <v/>
      </c>
      <c r="AH890" s="14">
        <f>IF(ISNUMBER(AG890),_xlfn.RANK.EQ(AG890,$AG$2:$AG$1031),"")</f>
        <v/>
      </c>
    </row>
    <row r="891">
      <c r="A891" s="18" t="n">
        <v>2104</v>
      </c>
      <c r="B891" s="18" t="inlineStr">
        <is>
          <t>ندى احمد عبد الصادق ابو طالب</t>
        </is>
      </c>
      <c r="C891" s="1" t="n">
        <v>601.3</v>
      </c>
      <c r="D891" s="1" t="n">
        <v>22</v>
      </c>
      <c r="E891" s="1" t="n">
        <v>23</v>
      </c>
      <c r="F891" s="1" t="n">
        <v>22</v>
      </c>
      <c r="G891" s="1">
        <f>C891+D891+E891+F891</f>
        <v/>
      </c>
      <c r="H891" s="1">
        <f>IF(ISNUMBER(G891),G891,"")</f>
        <v/>
      </c>
      <c r="I891" s="1">
        <f>_xlfn.RANK.EQ(H891,$H$2:$H$1031)</f>
        <v/>
      </c>
      <c r="J891" s="5" t="n">
        <v>598.5</v>
      </c>
      <c r="K891" s="5" t="n">
        <v>47</v>
      </c>
      <c r="L891" s="5" t="n">
        <v>23</v>
      </c>
      <c r="M891" s="5" t="n">
        <v>22</v>
      </c>
      <c r="N891" s="5">
        <f>J891+K891+L891+M891</f>
        <v/>
      </c>
      <c r="O891" s="5">
        <f>IF(ISNUMBER(N891),N891,"")</f>
        <v/>
      </c>
      <c r="P891" s="5">
        <f>_xlfn.RANK.EQ(O891,$O$2:$O$1031)</f>
        <v/>
      </c>
      <c r="Q891" s="9" t="n">
        <v>267</v>
      </c>
      <c r="R891" s="9" t="n">
        <v>45.5</v>
      </c>
      <c r="S891" s="9" t="n">
        <v>21</v>
      </c>
      <c r="T891" s="9" t="n">
        <v>24</v>
      </c>
      <c r="U891" s="9">
        <f>Q891+R891+S891+T891</f>
        <v/>
      </c>
      <c r="V891" s="9">
        <f>IF(ISNUMBER(U891),U891,"")</f>
        <v/>
      </c>
      <c r="W891" s="9">
        <f>_xlfn.RANK.EQ(V891,$V$2:$V$1031)</f>
        <v/>
      </c>
      <c r="X891" s="13" t="n">
        <v>1445.5208333333</v>
      </c>
      <c r="Y891" s="13" t="n">
        <v>25</v>
      </c>
      <c r="Z891" s="13" t="n">
        <v>23</v>
      </c>
      <c r="AA891" s="13" t="n">
        <v>21</v>
      </c>
      <c r="AB891" s="13">
        <f>IF(ISNUMBER(X891),X891+N(Y891)+N(Z891)+N(AA891),X891)</f>
        <v/>
      </c>
      <c r="AC891" s="13">
        <f>IF(ISNUMBER(AB891),AB891,"")</f>
        <v/>
      </c>
      <c r="AD891" s="13">
        <f>IF(ISNUMBER(AC891),_xlfn.RANK.EQ(AC891,$AC$2:$AC$1031),"")</f>
        <v/>
      </c>
      <c r="AE891" s="15">
        <f>IF(ISNUMBER(AF891),AF891/3630,"")</f>
        <v/>
      </c>
      <c r="AF891" s="14">
        <f>IFERROR(C891+D891+E891+F891+J891+K891+L891+M891+Q891+R891+S891+T891+IF(ISNUMBER(X891),X891,0)+N(Y891)+N(Z891)+N(AA891),"")</f>
        <v/>
      </c>
      <c r="AG891" s="14">
        <f>IF(ISNUMBER(AF891),AF891,"")</f>
        <v/>
      </c>
      <c r="AH891" s="14">
        <f>IF(ISNUMBER(AG891),_xlfn.RANK.EQ(AG891,$AG$2:$AG$1031),"")</f>
        <v/>
      </c>
    </row>
    <row r="892">
      <c r="A892" s="18" t="n">
        <v>2106</v>
      </c>
      <c r="B892" s="18" t="inlineStr">
        <is>
          <t>ندى حسام الدين جلال مرسي محمد</t>
        </is>
      </c>
      <c r="C892" s="1" t="n">
        <v>443.9</v>
      </c>
      <c r="D892" s="1" t="n">
        <v>21</v>
      </c>
      <c r="E892" s="1" t="n">
        <v>20</v>
      </c>
      <c r="F892" s="1" t="n">
        <v>21</v>
      </c>
      <c r="G892" s="1">
        <f>C892+D892+E892+F892</f>
        <v/>
      </c>
      <c r="H892" s="1">
        <f>IF(ISNUMBER(G892),G892,"")</f>
        <v/>
      </c>
      <c r="I892" s="1">
        <f>_xlfn.RANK.EQ(H892,$H$2:$H$1031)</f>
        <v/>
      </c>
      <c r="J892" s="5" t="n">
        <v>461</v>
      </c>
      <c r="K892" s="5" t="n">
        <v>45</v>
      </c>
      <c r="L892" s="5" t="n">
        <v>19</v>
      </c>
      <c r="M892" s="5" t="n">
        <v>21</v>
      </c>
      <c r="N892" s="5">
        <f>J892+K892+L892+M892</f>
        <v/>
      </c>
      <c r="O892" s="5">
        <f>IF(ISNUMBER(N892),N892,"")</f>
        <v/>
      </c>
      <c r="P892" s="5">
        <f>_xlfn.RANK.EQ(O892,$O$2:$O$1031)</f>
        <v/>
      </c>
      <c r="Q892" s="9" t="n">
        <v>167</v>
      </c>
      <c r="R892" s="9" t="n">
        <v>37</v>
      </c>
      <c r="S892" s="9" t="n">
        <v>20</v>
      </c>
      <c r="T892" s="9" t="n">
        <v>23</v>
      </c>
      <c r="U892" s="9">
        <f>Q892+R892+S892+T892</f>
        <v/>
      </c>
      <c r="V892" s="9">
        <f>IF(ISNUMBER(U892),U892,"")</f>
        <v/>
      </c>
      <c r="W892" s="9">
        <f>_xlfn.RANK.EQ(V892,$V$2:$V$1031)</f>
        <v/>
      </c>
      <c r="X892" s="13" t="n">
        <v>1125.9833333333</v>
      </c>
      <c r="Y892" s="13" t="n">
        <v>24</v>
      </c>
      <c r="Z892" s="13" t="n">
        <v>21</v>
      </c>
      <c r="AA892" s="13" t="n">
        <v>23</v>
      </c>
      <c r="AB892" s="13">
        <f>IF(ISNUMBER(X892),X892+N(Y892)+N(Z892)+N(AA892),X892)</f>
        <v/>
      </c>
      <c r="AC892" s="13">
        <f>IF(ISNUMBER(AB892),AB892,"")</f>
        <v/>
      </c>
      <c r="AD892" s="13">
        <f>IF(ISNUMBER(AC892),_xlfn.RANK.EQ(AC892,$AC$2:$AC$1031),"")</f>
        <v/>
      </c>
      <c r="AE892" s="15">
        <f>IF(ISNUMBER(AF892),AF892/3630,"")</f>
        <v/>
      </c>
      <c r="AF892" s="14">
        <f>IFERROR(C892+D892+E892+F892+J892+K892+L892+M892+Q892+R892+S892+T892+IF(ISNUMBER(X892),X892,0)+N(Y892)+N(Z892)+N(AA892),"")</f>
        <v/>
      </c>
      <c r="AG892" s="14">
        <f>IF(ISNUMBER(AF892),AF892,"")</f>
        <v/>
      </c>
      <c r="AH892" s="14">
        <f>IF(ISNUMBER(AG892),_xlfn.RANK.EQ(AG892,$AG$2:$AG$1031),"")</f>
        <v/>
      </c>
    </row>
    <row r="893">
      <c r="A893" s="18" t="n">
        <v>2107</v>
      </c>
      <c r="B893" s="18" t="inlineStr">
        <is>
          <t>ندى شكرى مصطفى محمد ابو المكارم</t>
        </is>
      </c>
      <c r="C893" s="1" t="n">
        <v>581.9</v>
      </c>
      <c r="D893" s="1" t="n">
        <v>24</v>
      </c>
      <c r="E893" s="1" t="n">
        <v>20</v>
      </c>
      <c r="F893" s="1" t="n">
        <v>19</v>
      </c>
      <c r="G893" s="1">
        <f>C893+D893+E893+F893</f>
        <v/>
      </c>
      <c r="H893" s="1">
        <f>IF(ISNUMBER(G893),G893,"")</f>
        <v/>
      </c>
      <c r="I893" s="1">
        <f>_xlfn.RANK.EQ(H893,$H$2:$H$1031)</f>
        <v/>
      </c>
      <c r="J893" s="5" t="n">
        <v>563</v>
      </c>
      <c r="K893" s="5" t="n">
        <v>46</v>
      </c>
      <c r="L893" s="5" t="n">
        <v>22</v>
      </c>
      <c r="M893" s="5" t="n">
        <v>21</v>
      </c>
      <c r="N893" s="5">
        <f>J893+K893+L893+M893</f>
        <v/>
      </c>
      <c r="O893" s="5">
        <f>IF(ISNUMBER(N893),N893,"")</f>
        <v/>
      </c>
      <c r="P893" s="5">
        <f>_xlfn.RANK.EQ(O893,$O$2:$O$1031)</f>
        <v/>
      </c>
      <c r="Q893" s="9" t="n">
        <v>255</v>
      </c>
      <c r="R893" s="9" t="n">
        <v>42.5</v>
      </c>
      <c r="S893" s="9" t="inlineStr">
        <is>
          <t xml:space="preserve"> ب</t>
        </is>
      </c>
      <c r="T893" s="9" t="n">
        <v>2</v>
      </c>
      <c r="U893" s="9">
        <f>Q893+R893+S893+T893</f>
        <v/>
      </c>
      <c r="V893" s="9">
        <f>IF(ISNUMBER(U893),U893,"")</f>
        <v/>
      </c>
      <c r="W893" s="9">
        <f>_xlfn.RANK.EQ(V893,$V$2:$V$1031)</f>
        <v/>
      </c>
      <c r="X893" s="13" t="n">
        <v>1348.1166666667</v>
      </c>
      <c r="Y893" s="13" t="n">
        <v>25</v>
      </c>
      <c r="Z893" s="13" t="n">
        <v>24</v>
      </c>
      <c r="AA893" s="13" t="n">
        <v>19</v>
      </c>
      <c r="AB893" s="13">
        <f>IF(ISNUMBER(X893),X893+N(Y893)+N(Z893)+N(AA893),X893)</f>
        <v/>
      </c>
      <c r="AC893" s="13">
        <f>IF(ISNUMBER(AB893),AB893,"")</f>
        <v/>
      </c>
      <c r="AD893" s="13">
        <f>IF(ISNUMBER(AC893),_xlfn.RANK.EQ(AC893,$AC$2:$AC$1031),"")</f>
        <v/>
      </c>
      <c r="AE893" s="15">
        <f>IF(ISNUMBER(AF893),AF893/3630,"")</f>
        <v/>
      </c>
      <c r="AF893" s="14">
        <f>IFERROR(C893+D893+E893+F893+J893+K893+L893+M893+Q893+R893+S893+T893+IF(ISNUMBER(X893),X893,0)+N(Y893)+N(Z893)+N(AA893),"")</f>
        <v/>
      </c>
      <c r="AG893" s="14">
        <f>IF(ISNUMBER(AF893),AF893,"")</f>
        <v/>
      </c>
      <c r="AH893" s="14">
        <f>IF(ISNUMBER(AG893),_xlfn.RANK.EQ(AG893,$AG$2:$AG$1031),"")</f>
        <v/>
      </c>
    </row>
    <row r="894">
      <c r="A894" s="18" t="n">
        <v>2109</v>
      </c>
      <c r="B894" s="18" t="inlineStr">
        <is>
          <t>ندى عبد المنعم  محمد  الخولي</t>
        </is>
      </c>
      <c r="C894" s="1" t="n">
        <v>454.4</v>
      </c>
      <c r="D894" s="1" t="n">
        <v>21</v>
      </c>
      <c r="E894" s="1" t="n">
        <v>18</v>
      </c>
      <c r="F894" s="1" t="n">
        <v>18</v>
      </c>
      <c r="G894" s="1">
        <f>C894+D894+E894+F894</f>
        <v/>
      </c>
      <c r="H894" s="1">
        <f>IF(ISNUMBER(G894),G894,"")</f>
        <v/>
      </c>
      <c r="I894" s="1">
        <f>_xlfn.RANK.EQ(H894,$H$2:$H$1031)</f>
        <v/>
      </c>
      <c r="J894" s="5" t="n">
        <v>584.5</v>
      </c>
      <c r="K894" s="5" t="n">
        <v>45</v>
      </c>
      <c r="L894" s="5" t="n">
        <v>23</v>
      </c>
      <c r="M894" s="5" t="n">
        <v>17</v>
      </c>
      <c r="N894" s="5">
        <f>J894+K894+L894+M894</f>
        <v/>
      </c>
      <c r="O894" s="5">
        <f>IF(ISNUMBER(N894),N894,"")</f>
        <v/>
      </c>
      <c r="P894" s="5">
        <f>_xlfn.RANK.EQ(O894,$O$2:$O$1031)</f>
        <v/>
      </c>
      <c r="Q894" s="9" t="n">
        <v>240.5</v>
      </c>
      <c r="R894" s="9" t="n">
        <v>37.5</v>
      </c>
      <c r="S894" s="9" t="n">
        <v>24</v>
      </c>
      <c r="T894" s="9" t="n">
        <v>24</v>
      </c>
      <c r="U894" s="9">
        <f>Q894+R894+S894+T894</f>
        <v/>
      </c>
      <c r="V894" s="9">
        <f>IF(ISNUMBER(U894),U894,"")</f>
        <v/>
      </c>
      <c r="W894" s="9">
        <f>_xlfn.RANK.EQ(V894,$V$2:$V$1031)</f>
        <v/>
      </c>
      <c r="X894" s="13" t="n">
        <v>1355.725</v>
      </c>
      <c r="Y894" s="13" t="n">
        <v>25</v>
      </c>
      <c r="Z894" s="13" t="n">
        <v>23</v>
      </c>
      <c r="AA894" s="13" t="n">
        <v>22</v>
      </c>
      <c r="AB894" s="13">
        <f>IF(ISNUMBER(X894),X894+N(Y894)+N(Z894)+N(AA894),X894)</f>
        <v/>
      </c>
      <c r="AC894" s="13">
        <f>IF(ISNUMBER(AB894),AB894,"")</f>
        <v/>
      </c>
      <c r="AD894" s="13">
        <f>IF(ISNUMBER(AC894),_xlfn.RANK.EQ(AC894,$AC$2:$AC$1031),"")</f>
        <v/>
      </c>
      <c r="AE894" s="15">
        <f>IF(ISNUMBER(AF894),AF894/3630,"")</f>
        <v/>
      </c>
      <c r="AF894" s="14">
        <f>IFERROR(C894+D894+E894+F894+J894+K894+L894+M894+Q894+R894+S894+T894+IF(ISNUMBER(X894),X894,0)+N(Y894)+N(Z894)+N(AA894),"")</f>
        <v/>
      </c>
      <c r="AG894" s="14">
        <f>IF(ISNUMBER(AF894),AF894,"")</f>
        <v/>
      </c>
      <c r="AH894" s="14">
        <f>IF(ISNUMBER(AG894),_xlfn.RANK.EQ(AG894,$AG$2:$AG$1031),"")</f>
        <v/>
      </c>
    </row>
    <row r="895">
      <c r="A895" s="18" t="n">
        <v>2110</v>
      </c>
      <c r="B895" s="18" t="inlineStr">
        <is>
          <t>ندى عصام محمود ابراهيم محمد ابراهيم</t>
        </is>
      </c>
      <c r="C895" s="1" t="n">
        <v>641</v>
      </c>
      <c r="D895" s="1" t="n">
        <v>25</v>
      </c>
      <c r="E895" s="1" t="n">
        <v>25</v>
      </c>
      <c r="F895" s="1" t="n">
        <v>21</v>
      </c>
      <c r="G895" s="1">
        <f>C895+D895+E895+F895</f>
        <v/>
      </c>
      <c r="H895" s="1">
        <f>IF(ISNUMBER(G895),G895,"")</f>
        <v/>
      </c>
      <c r="I895" s="1">
        <f>_xlfn.RANK.EQ(H895,$H$2:$H$1031)</f>
        <v/>
      </c>
      <c r="J895" s="5" t="n">
        <v>630</v>
      </c>
      <c r="K895" s="5" t="n">
        <v>48</v>
      </c>
      <c r="L895" s="5" t="n">
        <v>23</v>
      </c>
      <c r="M895" s="5" t="n">
        <v>24</v>
      </c>
      <c r="N895" s="5">
        <f>J895+K895+L895+M895</f>
        <v/>
      </c>
      <c r="O895" s="5">
        <f>IF(ISNUMBER(N895),N895,"")</f>
        <v/>
      </c>
      <c r="P895" s="5">
        <f>_xlfn.RANK.EQ(O895,$O$2:$O$1031)</f>
        <v/>
      </c>
      <c r="Q895" s="9" t="n">
        <v>289</v>
      </c>
      <c r="R895" s="9" t="n">
        <v>49</v>
      </c>
      <c r="S895" s="9" t="n">
        <v>24</v>
      </c>
      <c r="T895" s="9" t="n">
        <v>25</v>
      </c>
      <c r="U895" s="9">
        <f>Q895+R895+S895+T895</f>
        <v/>
      </c>
      <c r="V895" s="9">
        <f>IF(ISNUMBER(U895),U895,"")</f>
        <v/>
      </c>
      <c r="W895" s="9">
        <f>_xlfn.RANK.EQ(V895,$V$2:$V$1031)</f>
        <v/>
      </c>
      <c r="X895" s="13" t="n">
        <v>1506.4916666667</v>
      </c>
      <c r="Y895" s="13" t="n">
        <v>25</v>
      </c>
      <c r="Z895" s="13" t="n">
        <v>25</v>
      </c>
      <c r="AA895" s="13" t="n">
        <v>24</v>
      </c>
      <c r="AB895" s="13">
        <f>IF(ISNUMBER(X895),X895+N(Y895)+N(Z895)+N(AA895),X895)</f>
        <v/>
      </c>
      <c r="AC895" s="13">
        <f>IF(ISNUMBER(AB895),AB895,"")</f>
        <v/>
      </c>
      <c r="AD895" s="13">
        <f>IF(ISNUMBER(AC895),_xlfn.RANK.EQ(AC895,$AC$2:$AC$1031),"")</f>
        <v/>
      </c>
      <c r="AE895" s="15">
        <f>IF(ISNUMBER(AF895),AF895/3630,"")</f>
        <v/>
      </c>
      <c r="AF895" s="14">
        <f>IFERROR(C895+D895+E895+F895+J895+K895+L895+M895+Q895+R895+S895+T895+IF(ISNUMBER(X895),X895,0)+N(Y895)+N(Z895)+N(AA895),"")</f>
        <v/>
      </c>
      <c r="AG895" s="14">
        <f>IF(ISNUMBER(AF895),AF895,"")</f>
        <v/>
      </c>
      <c r="AH895" s="14">
        <f>IF(ISNUMBER(AG895),_xlfn.RANK.EQ(AG895,$AG$2:$AG$1031),"")</f>
        <v/>
      </c>
    </row>
    <row r="896">
      <c r="A896" s="18" t="n">
        <v>2111</v>
      </c>
      <c r="B896" s="18" t="inlineStr">
        <is>
          <t>ندى عماد خيرت السيد محمد</t>
        </is>
      </c>
      <c r="C896" s="1" t="n">
        <v>484.1</v>
      </c>
      <c r="D896" s="1" t="n">
        <v>20</v>
      </c>
      <c r="E896" s="1" t="n">
        <v>21</v>
      </c>
      <c r="F896" s="1" t="n">
        <v>17.5</v>
      </c>
      <c r="G896" s="1">
        <f>C896+D896+E896+F896</f>
        <v/>
      </c>
      <c r="H896" s="1">
        <f>IF(ISNUMBER(G896),G896,"")</f>
        <v/>
      </c>
      <c r="I896" s="1">
        <f>_xlfn.RANK.EQ(H896,$H$2:$H$1031)</f>
        <v/>
      </c>
      <c r="J896" s="5" t="n">
        <v>521</v>
      </c>
      <c r="K896" s="5" t="n">
        <v>42</v>
      </c>
      <c r="L896" s="5" t="n">
        <v>22</v>
      </c>
      <c r="M896" s="5" t="n">
        <v>16</v>
      </c>
      <c r="N896" s="5">
        <f>J896+K896+L896+M896</f>
        <v/>
      </c>
      <c r="O896" s="5">
        <f>IF(ISNUMBER(N896),N896,"")</f>
        <v/>
      </c>
      <c r="P896" s="5">
        <f>_xlfn.RANK.EQ(O896,$O$2:$O$1031)</f>
        <v/>
      </c>
      <c r="Q896" s="9" t="n">
        <v>225.5</v>
      </c>
      <c r="R896" s="9" t="n">
        <v>42.5</v>
      </c>
      <c r="S896" s="9" t="n">
        <v>22</v>
      </c>
      <c r="T896" s="9" t="n">
        <v>23</v>
      </c>
      <c r="U896" s="9">
        <f>Q896+R896+S896+T896</f>
        <v/>
      </c>
      <c r="V896" s="9">
        <f>IF(ISNUMBER(U896),U896,"")</f>
        <v/>
      </c>
      <c r="W896" s="9">
        <f>_xlfn.RANK.EQ(V896,$V$2:$V$1031)</f>
        <v/>
      </c>
      <c r="X896" s="13" t="inlineStr">
        <is>
          <t>راسب</t>
        </is>
      </c>
      <c r="Y896" s="13" t="n">
        <v>25</v>
      </c>
      <c r="Z896" s="13" t="n">
        <v>23</v>
      </c>
      <c r="AA896" s="13" t="n">
        <v>23</v>
      </c>
      <c r="AB896" s="13">
        <f>IF(ISNUMBER(X896),X896+N(Y896)+N(Z896)+N(AA896),X896)</f>
        <v/>
      </c>
      <c r="AC896" s="13">
        <f>IF(ISNUMBER(AB896),AB896,"")</f>
        <v/>
      </c>
      <c r="AD896" s="13">
        <f>IF(ISNUMBER(AC896),_xlfn.RANK.EQ(AC896,$AC$2:$AC$1031),"")</f>
        <v/>
      </c>
      <c r="AE896" s="15">
        <f>IF(ISNUMBER(AF896),AF896/3630,"")</f>
        <v/>
      </c>
      <c r="AF896" s="14">
        <f>IFERROR(C896+D896+E896+F896+J896+K896+L896+M896+Q896+R896+S896+T896+IF(ISNUMBER(X896),X896,0)+N(Y896)+N(Z896)+N(AA896),"")</f>
        <v/>
      </c>
      <c r="AG896" s="14">
        <f>IF(ISNUMBER(AF896),AF896,"")</f>
        <v/>
      </c>
      <c r="AH896" s="14">
        <f>IF(ISNUMBER(AG896),_xlfn.RANK.EQ(AG896,$AG$2:$AG$1031),"")</f>
        <v/>
      </c>
    </row>
    <row r="897">
      <c r="A897" s="18" t="n">
        <v>2112</v>
      </c>
      <c r="B897" s="18" t="inlineStr">
        <is>
          <t>ندى ماهر نجيب على راضى</t>
        </is>
      </c>
      <c r="C897" s="1" t="n">
        <v>590.3</v>
      </c>
      <c r="D897" s="1" t="n">
        <v>23</v>
      </c>
      <c r="E897" s="1" t="n">
        <v>22</v>
      </c>
      <c r="F897" s="1" t="n">
        <v>24</v>
      </c>
      <c r="G897" s="1">
        <f>C897+D897+E897+F897</f>
        <v/>
      </c>
      <c r="H897" s="1">
        <f>IF(ISNUMBER(G897),G897,"")</f>
        <v/>
      </c>
      <c r="I897" s="1">
        <f>_xlfn.RANK.EQ(H897,$H$2:$H$1031)</f>
        <v/>
      </c>
      <c r="J897" s="5" t="n">
        <v>609.5</v>
      </c>
      <c r="K897" s="5" t="n">
        <v>47</v>
      </c>
      <c r="L897" s="5" t="n">
        <v>22</v>
      </c>
      <c r="M897" s="5" t="n">
        <v>21</v>
      </c>
      <c r="N897" s="5">
        <f>J897+K897+L897+M897</f>
        <v/>
      </c>
      <c r="O897" s="5">
        <f>IF(ISNUMBER(N897),N897,"")</f>
        <v/>
      </c>
      <c r="P897" s="5">
        <f>_xlfn.RANK.EQ(O897,$O$2:$O$1031)</f>
        <v/>
      </c>
      <c r="Q897" s="9" t="n">
        <v>280</v>
      </c>
      <c r="R897" s="9" t="n">
        <v>47</v>
      </c>
      <c r="S897" s="9" t="n">
        <v>25</v>
      </c>
      <c r="T897" s="9" t="n">
        <v>24</v>
      </c>
      <c r="U897" s="9">
        <f>Q897+R897+S897+T897</f>
        <v/>
      </c>
      <c r="V897" s="9">
        <f>IF(ISNUMBER(U897),U897,"")</f>
        <v/>
      </c>
      <c r="W897" s="9">
        <f>_xlfn.RANK.EQ(V897,$V$2:$V$1031)</f>
        <v/>
      </c>
      <c r="X897" s="13" t="n">
        <v>1533.0291666667</v>
      </c>
      <c r="Y897" s="13" t="n">
        <v>25</v>
      </c>
      <c r="Z897" s="13" t="n">
        <v>25</v>
      </c>
      <c r="AA897" s="13" t="n">
        <v>24</v>
      </c>
      <c r="AB897" s="13">
        <f>IF(ISNUMBER(X897),X897+N(Y897)+N(Z897)+N(AA897),X897)</f>
        <v/>
      </c>
      <c r="AC897" s="13">
        <f>IF(ISNUMBER(AB897),AB897,"")</f>
        <v/>
      </c>
      <c r="AD897" s="13">
        <f>IF(ISNUMBER(AC897),_xlfn.RANK.EQ(AC897,$AC$2:$AC$1031),"")</f>
        <v/>
      </c>
      <c r="AE897" s="15">
        <f>IF(ISNUMBER(AF897),AF897/3630,"")</f>
        <v/>
      </c>
      <c r="AF897" s="14">
        <f>IFERROR(C897+D897+E897+F897+J897+K897+L897+M897+Q897+R897+S897+T897+IF(ISNUMBER(X897),X897,0)+N(Y897)+N(Z897)+N(AA897),"")</f>
        <v/>
      </c>
      <c r="AG897" s="14">
        <f>IF(ISNUMBER(AF897),AF897,"")</f>
        <v/>
      </c>
      <c r="AH897" s="14">
        <f>IF(ISNUMBER(AG897),_xlfn.RANK.EQ(AG897,$AG$2:$AG$1031),"")</f>
        <v/>
      </c>
    </row>
    <row r="898">
      <c r="A898" s="18" t="n">
        <v>2113</v>
      </c>
      <c r="B898" s="18" t="inlineStr">
        <is>
          <t>ندى محمد صبري محمود  عمر</t>
        </is>
      </c>
      <c r="C898" s="1" t="n">
        <v>619</v>
      </c>
      <c r="D898" s="1" t="n">
        <v>25</v>
      </c>
      <c r="E898" s="1" t="n">
        <v>24</v>
      </c>
      <c r="F898" s="1" t="n">
        <v>24</v>
      </c>
      <c r="G898" s="1">
        <f>C898+D898+E898+F898</f>
        <v/>
      </c>
      <c r="H898" s="1">
        <f>IF(ISNUMBER(G898),G898,"")</f>
        <v/>
      </c>
      <c r="I898" s="1">
        <f>_xlfn.RANK.EQ(H898,$H$2:$H$1031)</f>
        <v/>
      </c>
      <c r="J898" s="5" t="n">
        <v>625</v>
      </c>
      <c r="K898" s="5" t="n">
        <v>48</v>
      </c>
      <c r="L898" s="5" t="n">
        <v>22</v>
      </c>
      <c r="M898" s="5" t="n">
        <v>25</v>
      </c>
      <c r="N898" s="5">
        <f>J898+K898+L898+M898</f>
        <v/>
      </c>
      <c r="O898" s="5">
        <f>IF(ISNUMBER(N898),N898,"")</f>
        <v/>
      </c>
      <c r="P898" s="5">
        <f>_xlfn.RANK.EQ(O898,$O$2:$O$1031)</f>
        <v/>
      </c>
      <c r="Q898" s="9" t="n">
        <v>273</v>
      </c>
      <c r="R898" s="9" t="n">
        <v>48.5</v>
      </c>
      <c r="S898" s="9" t="n">
        <v>24</v>
      </c>
      <c r="T898" s="9" t="n">
        <v>23</v>
      </c>
      <c r="U898" s="9">
        <f>Q898+R898+S898+T898</f>
        <v/>
      </c>
      <c r="V898" s="9">
        <f>IF(ISNUMBER(U898),U898,"")</f>
        <v/>
      </c>
      <c r="W898" s="9">
        <f>_xlfn.RANK.EQ(V898,$V$2:$V$1031)</f>
        <v/>
      </c>
      <c r="X898" s="13" t="n">
        <v>1426.3833333333</v>
      </c>
      <c r="Y898" s="13" t="n">
        <v>25</v>
      </c>
      <c r="Z898" s="13" t="n">
        <v>25</v>
      </c>
      <c r="AA898" s="13" t="n">
        <v>25</v>
      </c>
      <c r="AB898" s="13">
        <f>IF(ISNUMBER(X898),X898+N(Y898)+N(Z898)+N(AA898),X898)</f>
        <v/>
      </c>
      <c r="AC898" s="13">
        <f>IF(ISNUMBER(AB898),AB898,"")</f>
        <v/>
      </c>
      <c r="AD898" s="13">
        <f>IF(ISNUMBER(AC898),_xlfn.RANK.EQ(AC898,$AC$2:$AC$1031),"")</f>
        <v/>
      </c>
      <c r="AE898" s="15">
        <f>IF(ISNUMBER(AF898),AF898/3630,"")</f>
        <v/>
      </c>
      <c r="AF898" s="14">
        <f>IFERROR(C898+D898+E898+F898+J898+K898+L898+M898+Q898+R898+S898+T898+IF(ISNUMBER(X898),X898,0)+N(Y898)+N(Z898)+N(AA898),"")</f>
        <v/>
      </c>
      <c r="AG898" s="14">
        <f>IF(ISNUMBER(AF898),AF898,"")</f>
        <v/>
      </c>
      <c r="AH898" s="14">
        <f>IF(ISNUMBER(AG898),_xlfn.RANK.EQ(AG898,$AG$2:$AG$1031),"")</f>
        <v/>
      </c>
    </row>
    <row r="899">
      <c r="A899" s="18" t="n">
        <v>2114</v>
      </c>
      <c r="B899" s="18" t="inlineStr">
        <is>
          <t>ندى محمد فاروق أمين</t>
        </is>
      </c>
      <c r="C899" s="1" t="n">
        <v>631.6</v>
      </c>
      <c r="D899" s="1" t="n">
        <v>25</v>
      </c>
      <c r="E899" s="1" t="n">
        <v>25</v>
      </c>
      <c r="F899" s="1" t="n">
        <v>23</v>
      </c>
      <c r="G899" s="1">
        <f>C899+D899+E899+F899</f>
        <v/>
      </c>
      <c r="H899" s="1">
        <f>IF(ISNUMBER(G899),G899,"")</f>
        <v/>
      </c>
      <c r="I899" s="1">
        <f>_xlfn.RANK.EQ(H899,$H$2:$H$1031)</f>
        <v/>
      </c>
      <c r="J899" s="5" t="n">
        <v>573</v>
      </c>
      <c r="K899" s="5" t="n">
        <v>46</v>
      </c>
      <c r="L899" s="5" t="n">
        <v>24</v>
      </c>
      <c r="M899" s="5" t="n">
        <v>19</v>
      </c>
      <c r="N899" s="5">
        <f>J899+K899+L899+M899</f>
        <v/>
      </c>
      <c r="O899" s="5">
        <f>IF(ISNUMBER(N899),N899,"")</f>
        <v/>
      </c>
      <c r="P899" s="5">
        <f>_xlfn.RANK.EQ(O899,$O$2:$O$1031)</f>
        <v/>
      </c>
      <c r="Q899" s="9" t="n">
        <v>247</v>
      </c>
      <c r="R899" s="9" t="n">
        <v>47.5</v>
      </c>
      <c r="S899" s="9" t="n">
        <v>25</v>
      </c>
      <c r="T899" s="9" t="n">
        <v>24</v>
      </c>
      <c r="U899" s="9">
        <f>Q899+R899+S899+T899</f>
        <v/>
      </c>
      <c r="V899" s="9">
        <f>IF(ISNUMBER(U899),U899,"")</f>
        <v/>
      </c>
      <c r="W899" s="9">
        <f>_xlfn.RANK.EQ(V899,$V$2:$V$1031)</f>
        <v/>
      </c>
      <c r="X899" s="13" t="n">
        <v>1434.4958333333</v>
      </c>
      <c r="Y899" s="13" t="n">
        <v>25</v>
      </c>
      <c r="Z899" s="13" t="n">
        <v>23</v>
      </c>
      <c r="AA899" s="13" t="n">
        <v>25</v>
      </c>
      <c r="AB899" s="13">
        <f>IF(ISNUMBER(X899),X899+N(Y899)+N(Z899)+N(AA899),X899)</f>
        <v/>
      </c>
      <c r="AC899" s="13">
        <f>IF(ISNUMBER(AB899),AB899,"")</f>
        <v/>
      </c>
      <c r="AD899" s="13">
        <f>IF(ISNUMBER(AC899),_xlfn.RANK.EQ(AC899,$AC$2:$AC$1031),"")</f>
        <v/>
      </c>
      <c r="AE899" s="15">
        <f>IF(ISNUMBER(AF899),AF899/3630,"")</f>
        <v/>
      </c>
      <c r="AF899" s="14">
        <f>IFERROR(C899+D899+E899+F899+J899+K899+L899+M899+Q899+R899+S899+T899+IF(ISNUMBER(X899),X899,0)+N(Y899)+N(Z899)+N(AA899),"")</f>
        <v/>
      </c>
      <c r="AG899" s="14">
        <f>IF(ISNUMBER(AF899),AF899,"")</f>
        <v/>
      </c>
      <c r="AH899" s="14">
        <f>IF(ISNUMBER(AG899),_xlfn.RANK.EQ(AG899,$AG$2:$AG$1031),"")</f>
        <v/>
      </c>
    </row>
    <row r="900">
      <c r="A900" s="18" t="n">
        <v>2115</v>
      </c>
      <c r="B900" s="18" t="inlineStr">
        <is>
          <t>ندى نادر حمدى محمد علبه</t>
        </is>
      </c>
      <c r="C900" s="1" t="n">
        <v>579.4</v>
      </c>
      <c r="D900" s="1" t="n">
        <v>25</v>
      </c>
      <c r="E900" s="1" t="n">
        <v>24</v>
      </c>
      <c r="F900" s="1" t="n">
        <v>22</v>
      </c>
      <c r="G900" s="1">
        <f>C900+D900+E900+F900</f>
        <v/>
      </c>
      <c r="H900" s="1">
        <f>IF(ISNUMBER(G900),G900,"")</f>
        <v/>
      </c>
      <c r="I900" s="1">
        <f>_xlfn.RANK.EQ(H900,$H$2:$H$1031)</f>
        <v/>
      </c>
      <c r="J900" s="5" t="n">
        <v>590</v>
      </c>
      <c r="K900" s="5" t="n">
        <v>46</v>
      </c>
      <c r="L900" s="5" t="n">
        <v>21</v>
      </c>
      <c r="M900" s="5" t="n">
        <v>22</v>
      </c>
      <c r="N900" s="5">
        <f>J900+K900+L900+M900</f>
        <v/>
      </c>
      <c r="O900" s="5">
        <f>IF(ISNUMBER(N900),N900,"")</f>
        <v/>
      </c>
      <c r="P900" s="5">
        <f>_xlfn.RANK.EQ(O900,$O$2:$O$1031)</f>
        <v/>
      </c>
      <c r="Q900" s="9" t="n">
        <v>264</v>
      </c>
      <c r="R900" s="9" t="n">
        <v>46.5</v>
      </c>
      <c r="S900" s="9" t="n">
        <v>22</v>
      </c>
      <c r="T900" s="9" t="n">
        <v>25</v>
      </c>
      <c r="U900" s="9">
        <f>Q900+R900+S900+T900</f>
        <v/>
      </c>
      <c r="V900" s="9">
        <f>IF(ISNUMBER(U900),U900,"")</f>
        <v/>
      </c>
      <c r="W900" s="9">
        <f>_xlfn.RANK.EQ(V900,$V$2:$V$1031)</f>
        <v/>
      </c>
      <c r="X900" s="13" t="n">
        <v>1361.0166666667</v>
      </c>
      <c r="Y900" s="13" t="n">
        <v>25</v>
      </c>
      <c r="Z900" s="13" t="n">
        <v>24</v>
      </c>
      <c r="AA900" s="13" t="n">
        <v>24</v>
      </c>
      <c r="AB900" s="13">
        <f>IF(ISNUMBER(X900),X900+N(Y900)+N(Z900)+N(AA900),X900)</f>
        <v/>
      </c>
      <c r="AC900" s="13">
        <f>IF(ISNUMBER(AB900),AB900,"")</f>
        <v/>
      </c>
      <c r="AD900" s="13">
        <f>IF(ISNUMBER(AC900),_xlfn.RANK.EQ(AC900,$AC$2:$AC$1031),"")</f>
        <v/>
      </c>
      <c r="AE900" s="15">
        <f>IF(ISNUMBER(AF900),AF900/3630,"")</f>
        <v/>
      </c>
      <c r="AF900" s="14">
        <f>IFERROR(C900+D900+E900+F900+J900+K900+L900+M900+Q900+R900+S900+T900+IF(ISNUMBER(X900),X900,0)+N(Y900)+N(Z900)+N(AA900),"")</f>
        <v/>
      </c>
      <c r="AG900" s="14">
        <f>IF(ISNUMBER(AF900),AF900,"")</f>
        <v/>
      </c>
      <c r="AH900" s="14">
        <f>IF(ISNUMBER(AG900),_xlfn.RANK.EQ(AG900,$AG$2:$AG$1031),"")</f>
        <v/>
      </c>
    </row>
    <row r="901">
      <c r="A901" s="18" t="n">
        <v>2116</v>
      </c>
      <c r="B901" s="18" t="inlineStr">
        <is>
          <t>ندى هشام محمود خيرى  عبدالبديع</t>
        </is>
      </c>
      <c r="C901" s="1" t="n">
        <v>555.4</v>
      </c>
      <c r="D901" s="1" t="n">
        <v>20</v>
      </c>
      <c r="E901" s="1" t="n">
        <v>24</v>
      </c>
      <c r="F901" s="1" t="n">
        <v>23</v>
      </c>
      <c r="G901" s="1">
        <f>C901+D901+E901+F901</f>
        <v/>
      </c>
      <c r="H901" s="1">
        <f>IF(ISNUMBER(G901),G901,"")</f>
        <v/>
      </c>
      <c r="I901" s="1">
        <f>_xlfn.RANK.EQ(H901,$H$2:$H$1031)</f>
        <v/>
      </c>
      <c r="J901" s="5" t="n">
        <v>562.5</v>
      </c>
      <c r="K901" s="5" t="n">
        <v>44</v>
      </c>
      <c r="L901" s="5" t="n">
        <v>24</v>
      </c>
      <c r="M901" s="5" t="n">
        <v>23</v>
      </c>
      <c r="N901" s="5">
        <f>J901+K901+L901+M901</f>
        <v/>
      </c>
      <c r="O901" s="5">
        <f>IF(ISNUMBER(N901),N901,"")</f>
        <v/>
      </c>
      <c r="P901" s="5">
        <f>_xlfn.RANK.EQ(O901,$O$2:$O$1031)</f>
        <v/>
      </c>
      <c r="Q901" s="9" t="n">
        <v>253</v>
      </c>
      <c r="R901" s="9" t="n">
        <v>44</v>
      </c>
      <c r="S901" s="9" t="n">
        <v>25</v>
      </c>
      <c r="T901" s="9" t="n">
        <v>23</v>
      </c>
      <c r="U901" s="9">
        <f>Q901+R901+S901+T901</f>
        <v/>
      </c>
      <c r="V901" s="9">
        <f>IF(ISNUMBER(U901),U901,"")</f>
        <v/>
      </c>
      <c r="W901" s="9">
        <f>_xlfn.RANK.EQ(V901,$V$2:$V$1031)</f>
        <v/>
      </c>
      <c r="X901" s="13" t="n">
        <v>1403.975</v>
      </c>
      <c r="Y901" s="13" t="n">
        <v>25</v>
      </c>
      <c r="Z901" s="13" t="n">
        <v>25</v>
      </c>
      <c r="AA901" s="13" t="n">
        <v>23</v>
      </c>
      <c r="AB901" s="13">
        <f>IF(ISNUMBER(X901),X901+N(Y901)+N(Z901)+N(AA901),X901)</f>
        <v/>
      </c>
      <c r="AC901" s="13">
        <f>IF(ISNUMBER(AB901),AB901,"")</f>
        <v/>
      </c>
      <c r="AD901" s="13">
        <f>IF(ISNUMBER(AC901),_xlfn.RANK.EQ(AC901,$AC$2:$AC$1031),"")</f>
        <v/>
      </c>
      <c r="AE901" s="15">
        <f>IF(ISNUMBER(AF901),AF901/3630,"")</f>
        <v/>
      </c>
      <c r="AF901" s="14">
        <f>IFERROR(C901+D901+E901+F901+J901+K901+L901+M901+Q901+R901+S901+T901+IF(ISNUMBER(X901),X901,0)+N(Y901)+N(Z901)+N(AA901),"")</f>
        <v/>
      </c>
      <c r="AG901" s="14">
        <f>IF(ISNUMBER(AF901),AF901,"")</f>
        <v/>
      </c>
      <c r="AH901" s="14">
        <f>IF(ISNUMBER(AG901),_xlfn.RANK.EQ(AG901,$AG$2:$AG$1031),"")</f>
        <v/>
      </c>
    </row>
    <row r="902">
      <c r="A902" s="18" t="n">
        <v>2119</v>
      </c>
      <c r="B902" s="18" t="inlineStr">
        <is>
          <t>نرفانا براء محمد عبدالحافظ</t>
        </is>
      </c>
      <c r="C902" s="1" t="n">
        <v>554.6</v>
      </c>
      <c r="D902" s="1" t="n">
        <v>24</v>
      </c>
      <c r="E902" s="1" t="n">
        <v>21</v>
      </c>
      <c r="F902" s="1" t="n">
        <v>24</v>
      </c>
      <c r="G902" s="1">
        <f>C902+D902+E902+F902</f>
        <v/>
      </c>
      <c r="H902" s="1">
        <f>IF(ISNUMBER(G902),G902,"")</f>
        <v/>
      </c>
      <c r="I902" s="1">
        <f>_xlfn.RANK.EQ(H902,$H$2:$H$1031)</f>
        <v/>
      </c>
      <c r="J902" s="5" t="n">
        <v>562.35</v>
      </c>
      <c r="K902" s="5" t="n">
        <v>46</v>
      </c>
      <c r="L902" s="5" t="n">
        <v>24</v>
      </c>
      <c r="M902" s="5" t="n">
        <v>22</v>
      </c>
      <c r="N902" s="5">
        <f>J902+K902+L902+M902</f>
        <v/>
      </c>
      <c r="O902" s="5">
        <f>IF(ISNUMBER(N902),N902,"")</f>
        <v/>
      </c>
      <c r="P902" s="5">
        <f>_xlfn.RANK.EQ(O902,$O$2:$O$1031)</f>
        <v/>
      </c>
      <c r="Q902" s="9" t="n">
        <v>258</v>
      </c>
      <c r="R902" s="9" t="n">
        <v>43</v>
      </c>
      <c r="S902" s="9" t="n">
        <v>25</v>
      </c>
      <c r="T902" s="9" t="n">
        <v>25</v>
      </c>
      <c r="U902" s="9">
        <f>Q902+R902+S902+T902</f>
        <v/>
      </c>
      <c r="V902" s="9">
        <f>IF(ISNUMBER(U902),U902,"")</f>
        <v/>
      </c>
      <c r="W902" s="9">
        <f>_xlfn.RANK.EQ(V902,$V$2:$V$1031)</f>
        <v/>
      </c>
      <c r="X902" s="13" t="n">
        <v>1376.5166666667</v>
      </c>
      <c r="Y902" s="13" t="n">
        <v>24</v>
      </c>
      <c r="Z902" s="13" t="n">
        <v>25</v>
      </c>
      <c r="AA902" s="13" t="n">
        <v>24</v>
      </c>
      <c r="AB902" s="13">
        <f>IF(ISNUMBER(X902),X902+N(Y902)+N(Z902)+N(AA902),X902)</f>
        <v/>
      </c>
      <c r="AC902" s="13">
        <f>IF(ISNUMBER(AB902),AB902,"")</f>
        <v/>
      </c>
      <c r="AD902" s="13">
        <f>IF(ISNUMBER(AC902),_xlfn.RANK.EQ(AC902,$AC$2:$AC$1031),"")</f>
        <v/>
      </c>
      <c r="AE902" s="15">
        <f>IF(ISNUMBER(AF902),AF902/3630,"")</f>
        <v/>
      </c>
      <c r="AF902" s="14">
        <f>IFERROR(C902+D902+E902+F902+J902+K902+L902+M902+Q902+R902+S902+T902+IF(ISNUMBER(X902),X902,0)+N(Y902)+N(Z902)+N(AA902),"")</f>
        <v/>
      </c>
      <c r="AG902" s="14">
        <f>IF(ISNUMBER(AF902),AF902,"")</f>
        <v/>
      </c>
      <c r="AH902" s="14">
        <f>IF(ISNUMBER(AG902),_xlfn.RANK.EQ(AG902,$AG$2:$AG$1031),"")</f>
        <v/>
      </c>
    </row>
    <row r="903">
      <c r="A903" s="18" t="n">
        <v>2120</v>
      </c>
      <c r="B903" s="18" t="inlineStr">
        <is>
          <t>نرمين خالد بلال محمد زيدان</t>
        </is>
      </c>
      <c r="C903" s="1" t="n">
        <v>657.5</v>
      </c>
      <c r="D903" s="1" t="n">
        <v>25</v>
      </c>
      <c r="E903" s="1" t="n">
        <v>25</v>
      </c>
      <c r="F903" s="1" t="n">
        <v>24</v>
      </c>
      <c r="G903" s="1">
        <f>C903+D903+E903+F903</f>
        <v/>
      </c>
      <c r="H903" s="1">
        <f>IF(ISNUMBER(G903),G903,"")</f>
        <v/>
      </c>
      <c r="I903" s="1">
        <f>_xlfn.RANK.EQ(H903,$H$2:$H$1031)</f>
        <v/>
      </c>
      <c r="J903" s="5" t="n">
        <v>637.85</v>
      </c>
      <c r="K903" s="5" t="n">
        <v>47</v>
      </c>
      <c r="L903" s="5" t="n">
        <v>23</v>
      </c>
      <c r="M903" s="5" t="n">
        <v>25</v>
      </c>
      <c r="N903" s="5">
        <f>J903+K903+L903+M903</f>
        <v/>
      </c>
      <c r="O903" s="5">
        <f>IF(ISNUMBER(N903),N903,"")</f>
        <v/>
      </c>
      <c r="P903" s="5">
        <f>_xlfn.RANK.EQ(O903,$O$2:$O$1031)</f>
        <v/>
      </c>
      <c r="Q903" s="9" t="n">
        <v>287</v>
      </c>
      <c r="R903" s="9" t="n">
        <v>49</v>
      </c>
      <c r="S903" s="9" t="n">
        <v>25</v>
      </c>
      <c r="T903" s="9" t="n">
        <v>24</v>
      </c>
      <c r="U903" s="9">
        <f>Q903+R903+S903+T903</f>
        <v/>
      </c>
      <c r="V903" s="9">
        <f>IF(ISNUMBER(U903),U903,"")</f>
        <v/>
      </c>
      <c r="W903" s="9">
        <f>_xlfn.RANK.EQ(V903,$V$2:$V$1031)</f>
        <v/>
      </c>
      <c r="X903" s="13" t="n">
        <v>1546.9416666667</v>
      </c>
      <c r="Y903" s="13" t="n">
        <v>25</v>
      </c>
      <c r="Z903" s="13" t="n">
        <v>25</v>
      </c>
      <c r="AA903" s="13" t="n">
        <v>25</v>
      </c>
      <c r="AB903" s="13">
        <f>IF(ISNUMBER(X903),X903+N(Y903)+N(Z903)+N(AA903),X903)</f>
        <v/>
      </c>
      <c r="AC903" s="13">
        <f>IF(ISNUMBER(AB903),AB903,"")</f>
        <v/>
      </c>
      <c r="AD903" s="13">
        <f>IF(ISNUMBER(AC903),_xlfn.RANK.EQ(AC903,$AC$2:$AC$1031),"")</f>
        <v/>
      </c>
      <c r="AE903" s="15">
        <f>IF(ISNUMBER(AF903),AF903/3630,"")</f>
        <v/>
      </c>
      <c r="AF903" s="14">
        <f>IFERROR(C903+D903+E903+F903+J903+K903+L903+M903+Q903+R903+S903+T903+IF(ISNUMBER(X903),X903,0)+N(Y903)+N(Z903)+N(AA903),"")</f>
        <v/>
      </c>
      <c r="AG903" s="14">
        <f>IF(ISNUMBER(AF903),AF903,"")</f>
        <v/>
      </c>
      <c r="AH903" s="14">
        <f>IF(ISNUMBER(AG903),_xlfn.RANK.EQ(AG903,$AG$2:$AG$1031),"")</f>
        <v/>
      </c>
    </row>
    <row r="904">
      <c r="A904" s="18" t="n">
        <v>2121</v>
      </c>
      <c r="B904" s="18" t="inlineStr">
        <is>
          <t>نرمين ربيع على محمد</t>
        </is>
      </c>
      <c r="C904" s="1" t="n">
        <v>454.4</v>
      </c>
      <c r="D904" s="1" t="n">
        <v>22</v>
      </c>
      <c r="E904" s="1" t="n">
        <v>23</v>
      </c>
      <c r="F904" s="1" t="n">
        <v>20</v>
      </c>
      <c r="G904" s="1">
        <f>C904+D904+E904+F904</f>
        <v/>
      </c>
      <c r="H904" s="1">
        <f>IF(ISNUMBER(G904),G904,"")</f>
        <v/>
      </c>
      <c r="I904" s="1">
        <f>_xlfn.RANK.EQ(H904,$H$2:$H$1031)</f>
        <v/>
      </c>
      <c r="J904" s="5" t="n">
        <v>470.85</v>
      </c>
      <c r="K904" s="5" t="n">
        <v>31</v>
      </c>
      <c r="L904" s="5" t="n">
        <v>22</v>
      </c>
      <c r="M904" s="5" t="n">
        <v>14</v>
      </c>
      <c r="N904" s="5">
        <f>J904+K904+L904+M904</f>
        <v/>
      </c>
      <c r="O904" s="5">
        <f>IF(ISNUMBER(N904),N904,"")</f>
        <v/>
      </c>
      <c r="P904" s="5">
        <f>_xlfn.RANK.EQ(O904,$O$2:$O$1031)</f>
        <v/>
      </c>
      <c r="Q904" s="9" t="n">
        <v>153.5</v>
      </c>
      <c r="R904" s="9" t="n">
        <v>24.5</v>
      </c>
      <c r="S904" s="9" t="n">
        <v>19</v>
      </c>
      <c r="T904" s="9" t="n">
        <v>23</v>
      </c>
      <c r="U904" s="9">
        <f>Q904+R904+S904+T904</f>
        <v/>
      </c>
      <c r="V904" s="9">
        <f>IF(ISNUMBER(U904),U904,"")</f>
        <v/>
      </c>
      <c r="W904" s="9">
        <f>_xlfn.RANK.EQ(V904,$V$2:$V$1031)</f>
        <v/>
      </c>
      <c r="X904" s="13" t="inlineStr">
        <is>
          <t>غ ب</t>
        </is>
      </c>
      <c r="Y904" s="13" t="n">
        <v>25</v>
      </c>
      <c r="Z904" s="13" t="n">
        <v>23</v>
      </c>
      <c r="AA904" s="13" t="n">
        <v>20</v>
      </c>
      <c r="AB904" s="13">
        <f>IF(ISNUMBER(X904),X904+N(Y904)+N(Z904)+N(AA904),X904)</f>
        <v/>
      </c>
      <c r="AC904" s="13">
        <f>IF(ISNUMBER(AB904),AB904,"")</f>
        <v/>
      </c>
      <c r="AD904" s="13">
        <f>IF(ISNUMBER(AC904),_xlfn.RANK.EQ(AC904,$AC$2:$AC$1031),"")</f>
        <v/>
      </c>
      <c r="AE904" s="15">
        <f>IF(ISNUMBER(AF904),AF904/3630,"")</f>
        <v/>
      </c>
      <c r="AF904" s="14">
        <f>IFERROR(C904+D904+E904+F904+J904+K904+L904+M904+Q904+R904+S904+T904+IF(ISNUMBER(X904),X904,0)+N(Y904)+N(Z904)+N(AA904),"")</f>
        <v/>
      </c>
      <c r="AG904" s="14">
        <f>IF(ISNUMBER(AF904),AF904,"")</f>
        <v/>
      </c>
      <c r="AH904" s="14">
        <f>IF(ISNUMBER(AG904),_xlfn.RANK.EQ(AG904,$AG$2:$AG$1031),"")</f>
        <v/>
      </c>
    </row>
    <row r="905">
      <c r="A905" s="18" t="n">
        <v>2122</v>
      </c>
      <c r="B905" s="18" t="inlineStr">
        <is>
          <t>نسرين ناجى ابراهيم محمود عثمان</t>
        </is>
      </c>
      <c r="C905" s="1" t="n">
        <v>481.5</v>
      </c>
      <c r="D905" s="1" t="n">
        <v>23</v>
      </c>
      <c r="E905" s="1" t="n">
        <v>20</v>
      </c>
      <c r="F905" s="1" t="n">
        <v>15</v>
      </c>
      <c r="G905" s="1">
        <f>C905+D905+E905+F905</f>
        <v/>
      </c>
      <c r="H905" s="1">
        <f>IF(ISNUMBER(G905),G905,"")</f>
        <v/>
      </c>
      <c r="I905" s="1">
        <f>_xlfn.RANK.EQ(H905,$H$2:$H$1031)</f>
        <v/>
      </c>
      <c r="J905" s="5" t="n">
        <v>573.85</v>
      </c>
      <c r="K905" s="5" t="n">
        <v>38</v>
      </c>
      <c r="L905" s="5" t="n">
        <v>21</v>
      </c>
      <c r="M905" s="5" t="n">
        <v>23</v>
      </c>
      <c r="N905" s="5">
        <f>J905+K905+L905+M905</f>
        <v/>
      </c>
      <c r="O905" s="5">
        <f>IF(ISNUMBER(N905),N905,"")</f>
        <v/>
      </c>
      <c r="P905" s="5">
        <f>_xlfn.RANK.EQ(O905,$O$2:$O$1031)</f>
        <v/>
      </c>
      <c r="Q905" s="9" t="n">
        <v>266</v>
      </c>
      <c r="R905" s="9" t="n">
        <v>37.5</v>
      </c>
      <c r="S905" s="9" t="n">
        <v>23</v>
      </c>
      <c r="T905" s="9" t="n">
        <v>24</v>
      </c>
      <c r="U905" s="9">
        <f>Q905+R905+S905+T905</f>
        <v/>
      </c>
      <c r="V905" s="9">
        <f>IF(ISNUMBER(U905),U905,"")</f>
        <v/>
      </c>
      <c r="W905" s="9">
        <f>_xlfn.RANK.EQ(V905,$V$2:$V$1031)</f>
        <v/>
      </c>
      <c r="X905" s="13" t="n">
        <v>1434.675</v>
      </c>
      <c r="Y905" s="13" t="n">
        <v>23</v>
      </c>
      <c r="Z905" s="13" t="n">
        <v>21</v>
      </c>
      <c r="AA905" s="13" t="n">
        <v>21</v>
      </c>
      <c r="AB905" s="13">
        <f>IF(ISNUMBER(X905),X905+N(Y905)+N(Z905)+N(AA905),X905)</f>
        <v/>
      </c>
      <c r="AC905" s="13">
        <f>IF(ISNUMBER(AB905),AB905,"")</f>
        <v/>
      </c>
      <c r="AD905" s="13">
        <f>IF(ISNUMBER(AC905),_xlfn.RANK.EQ(AC905,$AC$2:$AC$1031),"")</f>
        <v/>
      </c>
      <c r="AE905" s="15">
        <f>IF(ISNUMBER(AF905),AF905/3630,"")</f>
        <v/>
      </c>
      <c r="AF905" s="14">
        <f>IFERROR(C905+D905+E905+F905+J905+K905+L905+M905+Q905+R905+S905+T905+IF(ISNUMBER(X905),X905,0)+N(Y905)+N(Z905)+N(AA905),"")</f>
        <v/>
      </c>
      <c r="AG905" s="14">
        <f>IF(ISNUMBER(AF905),AF905,"")</f>
        <v/>
      </c>
      <c r="AH905" s="14">
        <f>IF(ISNUMBER(AG905),_xlfn.RANK.EQ(AG905,$AG$2:$AG$1031),"")</f>
        <v/>
      </c>
    </row>
    <row r="906">
      <c r="A906" s="18" t="n">
        <v>2123</v>
      </c>
      <c r="B906" s="18" t="inlineStr">
        <is>
          <t>نسمة وليد علي محمد علي</t>
        </is>
      </c>
      <c r="C906" s="1" t="n">
        <v>593</v>
      </c>
      <c r="D906" s="1" t="n">
        <v>21</v>
      </c>
      <c r="E906" s="1" t="n">
        <v>23</v>
      </c>
      <c r="F906" s="1" t="n">
        <v>21</v>
      </c>
      <c r="G906" s="1">
        <f>C906+D906+E906+F906</f>
        <v/>
      </c>
      <c r="H906" s="1">
        <f>IF(ISNUMBER(G906),G906,"")</f>
        <v/>
      </c>
      <c r="I906" s="1">
        <f>_xlfn.RANK.EQ(H906,$H$2:$H$1031)</f>
        <v/>
      </c>
      <c r="J906" s="5" t="n">
        <v>531.85</v>
      </c>
      <c r="K906" s="5" t="n">
        <v>48</v>
      </c>
      <c r="L906" s="5" t="n">
        <v>22</v>
      </c>
      <c r="M906" s="5" t="n">
        <v>20</v>
      </c>
      <c r="N906" s="5">
        <f>J906+K906+L906+M906</f>
        <v/>
      </c>
      <c r="O906" s="5">
        <f>IF(ISNUMBER(N906),N906,"")</f>
        <v/>
      </c>
      <c r="P906" s="5">
        <f>_xlfn.RANK.EQ(O906,$O$2:$O$1031)</f>
        <v/>
      </c>
      <c r="Q906" s="9" t="n">
        <v>231</v>
      </c>
      <c r="R906" s="9" t="n">
        <v>45.5</v>
      </c>
      <c r="S906" s="9" t="n">
        <v>24</v>
      </c>
      <c r="T906" s="9" t="n">
        <v>23</v>
      </c>
      <c r="U906" s="9">
        <f>Q906+R906+S906+T906</f>
        <v/>
      </c>
      <c r="V906" s="9">
        <f>IF(ISNUMBER(U906),U906,"")</f>
        <v/>
      </c>
      <c r="W906" s="9">
        <f>_xlfn.RANK.EQ(V906,$V$2:$V$1031)</f>
        <v/>
      </c>
      <c r="X906" s="13" t="n">
        <v>1417.675</v>
      </c>
      <c r="Y906" s="13" t="n">
        <v>25</v>
      </c>
      <c r="Z906" s="13" t="n">
        <v>25</v>
      </c>
      <c r="AA906" s="13" t="n">
        <v>25</v>
      </c>
      <c r="AB906" s="13">
        <f>IF(ISNUMBER(X906),X906+N(Y906)+N(Z906)+N(AA906),X906)</f>
        <v/>
      </c>
      <c r="AC906" s="13">
        <f>IF(ISNUMBER(AB906),AB906,"")</f>
        <v/>
      </c>
      <c r="AD906" s="13">
        <f>IF(ISNUMBER(AC906),_xlfn.RANK.EQ(AC906,$AC$2:$AC$1031),"")</f>
        <v/>
      </c>
      <c r="AE906" s="15">
        <f>IF(ISNUMBER(AF906),AF906/3630,"")</f>
        <v/>
      </c>
      <c r="AF906" s="14">
        <f>IFERROR(C906+D906+E906+F906+J906+K906+L906+M906+Q906+R906+S906+T906+IF(ISNUMBER(X906),X906,0)+N(Y906)+N(Z906)+N(AA906),"")</f>
        <v/>
      </c>
      <c r="AG906" s="14">
        <f>IF(ISNUMBER(AF906),AF906,"")</f>
        <v/>
      </c>
      <c r="AH906" s="14">
        <f>IF(ISNUMBER(AG906),_xlfn.RANK.EQ(AG906,$AG$2:$AG$1031),"")</f>
        <v/>
      </c>
    </row>
    <row r="907">
      <c r="A907" s="18" t="n">
        <v>2132</v>
      </c>
      <c r="B907" s="18" t="inlineStr">
        <is>
          <t>نهى ابراهيم محمد نوبى احمد</t>
        </is>
      </c>
      <c r="C907" s="1" t="n">
        <v>553.6</v>
      </c>
      <c r="D907" s="1" t="n">
        <v>23</v>
      </c>
      <c r="E907" s="1" t="n">
        <v>23</v>
      </c>
      <c r="F907" s="1" t="n">
        <v>17</v>
      </c>
      <c r="G907" s="1">
        <f>C907+D907+E907+F907</f>
        <v/>
      </c>
      <c r="H907" s="1">
        <f>IF(ISNUMBER(G907),G907,"")</f>
        <v/>
      </c>
      <c r="I907" s="1">
        <f>_xlfn.RANK.EQ(H907,$H$2:$H$1031)</f>
        <v/>
      </c>
      <c r="J907" s="5" t="n">
        <v>540.85</v>
      </c>
      <c r="K907" s="5" t="n">
        <v>49</v>
      </c>
      <c r="L907" s="5" t="n">
        <v>20</v>
      </c>
      <c r="M907" s="5" t="n">
        <v>22</v>
      </c>
      <c r="N907" s="5">
        <f>J907+K907+L907+M907</f>
        <v/>
      </c>
      <c r="O907" s="5">
        <f>IF(ISNUMBER(N907),N907,"")</f>
        <v/>
      </c>
      <c r="P907" s="5">
        <f>_xlfn.RANK.EQ(O907,$O$2:$O$1031)</f>
        <v/>
      </c>
      <c r="Q907" s="9" t="n">
        <v>231</v>
      </c>
      <c r="R907" s="9" t="n">
        <v>42</v>
      </c>
      <c r="S907" s="9" t="n">
        <v>24</v>
      </c>
      <c r="T907" s="9" t="n">
        <v>24</v>
      </c>
      <c r="U907" s="9">
        <f>Q907+R907+S907+T907</f>
        <v/>
      </c>
      <c r="V907" s="9">
        <f>IF(ISNUMBER(U907),U907,"")</f>
        <v/>
      </c>
      <c r="W907" s="9">
        <f>_xlfn.RANK.EQ(V907,$V$2:$V$1031)</f>
        <v/>
      </c>
      <c r="X907" s="13" t="n">
        <v>1236.4166666667</v>
      </c>
      <c r="Y907" s="13" t="n">
        <v>25</v>
      </c>
      <c r="Z907" s="13" t="n">
        <v>24</v>
      </c>
      <c r="AA907" s="13" t="n">
        <v>24</v>
      </c>
      <c r="AB907" s="13">
        <f>IF(ISNUMBER(X907),X907+N(Y907)+N(Z907)+N(AA907),X907)</f>
        <v/>
      </c>
      <c r="AC907" s="13">
        <f>IF(ISNUMBER(AB907),AB907,"")</f>
        <v/>
      </c>
      <c r="AD907" s="13">
        <f>IF(ISNUMBER(AC907),_xlfn.RANK.EQ(AC907,$AC$2:$AC$1031),"")</f>
        <v/>
      </c>
      <c r="AE907" s="15">
        <f>IF(ISNUMBER(AF907),AF907/3630,"")</f>
        <v/>
      </c>
      <c r="AF907" s="14">
        <f>IFERROR(C907+D907+E907+F907+J907+K907+L907+M907+Q907+R907+S907+T907+IF(ISNUMBER(X907),X907,0)+N(Y907)+N(Z907)+N(AA907),"")</f>
        <v/>
      </c>
      <c r="AG907" s="14">
        <f>IF(ISNUMBER(AF907),AF907,"")</f>
        <v/>
      </c>
      <c r="AH907" s="14">
        <f>IF(ISNUMBER(AG907),_xlfn.RANK.EQ(AG907,$AG$2:$AG$1031),"")</f>
        <v/>
      </c>
    </row>
    <row r="908">
      <c r="A908" s="18" t="n">
        <v>2135</v>
      </c>
      <c r="B908" s="18" t="inlineStr">
        <is>
          <t>نوال شحاتة ابراهيم عبد الله بغدادى</t>
        </is>
      </c>
      <c r="C908" s="1" t="n">
        <v>622.6</v>
      </c>
      <c r="D908" s="1" t="n">
        <v>25</v>
      </c>
      <c r="E908" s="1" t="n">
        <v>23</v>
      </c>
      <c r="F908" s="1" t="n">
        <v>19</v>
      </c>
      <c r="G908" s="1">
        <f>C908+D908+E908+F908</f>
        <v/>
      </c>
      <c r="H908" s="1">
        <f>IF(ISNUMBER(G908),G908,"")</f>
        <v/>
      </c>
      <c r="I908" s="1">
        <f>_xlfn.RANK.EQ(H908,$H$2:$H$1031)</f>
        <v/>
      </c>
      <c r="J908" s="5" t="n">
        <v>623.85</v>
      </c>
      <c r="K908" s="5" t="n">
        <v>46</v>
      </c>
      <c r="L908" s="5" t="n">
        <v>23</v>
      </c>
      <c r="M908" s="5" t="n">
        <v>24</v>
      </c>
      <c r="N908" s="5">
        <f>J908+K908+L908+M908</f>
        <v/>
      </c>
      <c r="O908" s="5">
        <f>IF(ISNUMBER(N908),N908,"")</f>
        <v/>
      </c>
      <c r="P908" s="5">
        <f>_xlfn.RANK.EQ(O908,$O$2:$O$1031)</f>
        <v/>
      </c>
      <c r="Q908" s="9" t="n">
        <v>277</v>
      </c>
      <c r="R908" s="9" t="n">
        <v>45</v>
      </c>
      <c r="S908" s="9" t="n">
        <v>23</v>
      </c>
      <c r="T908" s="9" t="n">
        <v>25</v>
      </c>
      <c r="U908" s="9">
        <f>Q908+R908+S908+T908</f>
        <v/>
      </c>
      <c r="V908" s="9">
        <f>IF(ISNUMBER(U908),U908,"")</f>
        <v/>
      </c>
      <c r="W908" s="9">
        <f>_xlfn.RANK.EQ(V908,$V$2:$V$1031)</f>
        <v/>
      </c>
      <c r="X908" s="13" t="n">
        <v>1471.4541666667</v>
      </c>
      <c r="Y908" s="13" t="n">
        <v>25</v>
      </c>
      <c r="Z908" s="13" t="n">
        <v>24</v>
      </c>
      <c r="AA908" s="13" t="n">
        <v>25</v>
      </c>
      <c r="AB908" s="13">
        <f>IF(ISNUMBER(X908),X908+N(Y908)+N(Z908)+N(AA908),X908)</f>
        <v/>
      </c>
      <c r="AC908" s="13">
        <f>IF(ISNUMBER(AB908),AB908,"")</f>
        <v/>
      </c>
      <c r="AD908" s="13">
        <f>IF(ISNUMBER(AC908),_xlfn.RANK.EQ(AC908,$AC$2:$AC$1031),"")</f>
        <v/>
      </c>
      <c r="AE908" s="15">
        <f>IF(ISNUMBER(AF908),AF908/3630,"")</f>
        <v/>
      </c>
      <c r="AF908" s="14">
        <f>IFERROR(C908+D908+E908+F908+J908+K908+L908+M908+Q908+R908+S908+T908+IF(ISNUMBER(X908),X908,0)+N(Y908)+N(Z908)+N(AA908),"")</f>
        <v/>
      </c>
      <c r="AG908" s="14">
        <f>IF(ISNUMBER(AF908),AF908,"")</f>
        <v/>
      </c>
      <c r="AH908" s="14">
        <f>IF(ISNUMBER(AG908),_xlfn.RANK.EQ(AG908,$AG$2:$AG$1031),"")</f>
        <v/>
      </c>
    </row>
    <row r="909">
      <c r="A909" s="18" t="n">
        <v>2136</v>
      </c>
      <c r="B909" s="18" t="inlineStr">
        <is>
          <t>نور احمد عبد الرحمن ابراهيم</t>
        </is>
      </c>
      <c r="C909" s="1" t="n">
        <v>613</v>
      </c>
      <c r="D909" s="1" t="n">
        <v>24</v>
      </c>
      <c r="E909" s="1" t="n">
        <v>22</v>
      </c>
      <c r="F909" s="1" t="n">
        <v>19</v>
      </c>
      <c r="G909" s="1">
        <f>C909+D909+E909+F909</f>
        <v/>
      </c>
      <c r="H909" s="1">
        <f>IF(ISNUMBER(G909),G909,"")</f>
        <v/>
      </c>
      <c r="I909" s="1">
        <f>_xlfn.RANK.EQ(H909,$H$2:$H$1031)</f>
        <v/>
      </c>
      <c r="J909" s="5" t="n">
        <v>609.35</v>
      </c>
      <c r="K909" s="5" t="n">
        <v>49</v>
      </c>
      <c r="L909" s="5" t="n">
        <v>21</v>
      </c>
      <c r="M909" s="5" t="n">
        <v>24</v>
      </c>
      <c r="N909" s="5">
        <f>J909+K909+L909+M909</f>
        <v/>
      </c>
      <c r="O909" s="5">
        <f>IF(ISNUMBER(N909),N909,"")</f>
        <v/>
      </c>
      <c r="P909" s="5">
        <f>_xlfn.RANK.EQ(O909,$O$2:$O$1031)</f>
        <v/>
      </c>
      <c r="Q909" s="9" t="n">
        <v>258.5</v>
      </c>
      <c r="R909" s="9" t="n">
        <v>46</v>
      </c>
      <c r="S909" s="9" t="n">
        <v>25</v>
      </c>
      <c r="T909" s="9" t="n">
        <v>25</v>
      </c>
      <c r="U909" s="9">
        <f>Q909+R909+S909+T909</f>
        <v/>
      </c>
      <c r="V909" s="9">
        <f>IF(ISNUMBER(U909),U909,"")</f>
        <v/>
      </c>
      <c r="W909" s="9">
        <f>_xlfn.RANK.EQ(V909,$V$2:$V$1031)</f>
        <v/>
      </c>
      <c r="X909" s="13" t="n">
        <v>1532.1166666667</v>
      </c>
      <c r="Y909" s="13" t="n">
        <v>25</v>
      </c>
      <c r="Z909" s="13" t="n">
        <v>24</v>
      </c>
      <c r="AA909" s="13" t="n"/>
      <c r="AB909" s="13">
        <f>IF(ISNUMBER(X909),X909+N(Y909)+N(Z909)+N(AA909),X909)</f>
        <v/>
      </c>
      <c r="AC909" s="13">
        <f>IF(ISNUMBER(AB909),AB909,"")</f>
        <v/>
      </c>
      <c r="AD909" s="13">
        <f>IF(ISNUMBER(AC909),_xlfn.RANK.EQ(AC909,$AC$2:$AC$1031),"")</f>
        <v/>
      </c>
      <c r="AE909" s="15">
        <f>IF(ISNUMBER(AF909),AF909/3630,"")</f>
        <v/>
      </c>
      <c r="AF909" s="14">
        <f>IFERROR(C909+D909+E909+F909+J909+K909+L909+M909+Q909+R909+S909+T909+IF(ISNUMBER(X909),X909,0)+N(Y909)+N(Z909)+N(AA909),"")</f>
        <v/>
      </c>
      <c r="AG909" s="14">
        <f>IF(ISNUMBER(AF909),AF909,"")</f>
        <v/>
      </c>
      <c r="AH909" s="14">
        <f>IF(ISNUMBER(AG909),_xlfn.RANK.EQ(AG909,$AG$2:$AG$1031),"")</f>
        <v/>
      </c>
    </row>
    <row r="910">
      <c r="A910" s="18" t="n">
        <v>2138</v>
      </c>
      <c r="B910" s="18" t="inlineStr">
        <is>
          <t>نور الدين  هشام  محمد حموده</t>
        </is>
      </c>
      <c r="C910" s="1" t="n">
        <v>576.7</v>
      </c>
      <c r="D910" s="1" t="n">
        <v>23</v>
      </c>
      <c r="E910" s="1" t="n">
        <v>22</v>
      </c>
      <c r="F910" s="1" t="n">
        <v>21</v>
      </c>
      <c r="G910" s="1">
        <f>C910+D910+E910+F910</f>
        <v/>
      </c>
      <c r="H910" s="1">
        <f>IF(ISNUMBER(G910),G910,"")</f>
        <v/>
      </c>
      <c r="I910" s="1">
        <f>_xlfn.RANK.EQ(H910,$H$2:$H$1031)</f>
        <v/>
      </c>
      <c r="J910" s="5" t="n">
        <v>553.85</v>
      </c>
      <c r="K910" s="5" t="n">
        <v>40</v>
      </c>
      <c r="L910" s="5" t="n">
        <v>21</v>
      </c>
      <c r="M910" s="5" t="n">
        <v>20</v>
      </c>
      <c r="N910" s="5">
        <f>J910+K910+L910+M910</f>
        <v/>
      </c>
      <c r="O910" s="5">
        <f>IF(ISNUMBER(N910),N910,"")</f>
        <v/>
      </c>
      <c r="P910" s="5">
        <f>_xlfn.RANK.EQ(O910,$O$2:$O$1031)</f>
        <v/>
      </c>
      <c r="Q910" s="9" t="n">
        <v>235.5</v>
      </c>
      <c r="R910" s="9" t="n">
        <v>42.5</v>
      </c>
      <c r="S910" s="9" t="n">
        <v>23</v>
      </c>
      <c r="T910" s="9" t="n">
        <v>25</v>
      </c>
      <c r="U910" s="9">
        <f>Q910+R910+S910+T910</f>
        <v/>
      </c>
      <c r="V910" s="9">
        <f>IF(ISNUMBER(U910),U910,"")</f>
        <v/>
      </c>
      <c r="W910" s="9">
        <f>_xlfn.RANK.EQ(V910,$V$2:$V$1031)</f>
        <v/>
      </c>
      <c r="X910" s="13" t="n">
        <v>1450.2125</v>
      </c>
      <c r="Y910" s="13" t="n">
        <v>25</v>
      </c>
      <c r="Z910" s="13" t="n">
        <v>25</v>
      </c>
      <c r="AA910" s="13" t="n">
        <v>24</v>
      </c>
      <c r="AB910" s="13">
        <f>IF(ISNUMBER(X910),X910+N(Y910)+N(Z910)+N(AA910),X910)</f>
        <v/>
      </c>
      <c r="AC910" s="13">
        <f>IF(ISNUMBER(AB910),AB910,"")</f>
        <v/>
      </c>
      <c r="AD910" s="13">
        <f>IF(ISNUMBER(AC910),_xlfn.RANK.EQ(AC910,$AC$2:$AC$1031),"")</f>
        <v/>
      </c>
      <c r="AE910" s="15">
        <f>IF(ISNUMBER(AF910),AF910/3630,"")</f>
        <v/>
      </c>
      <c r="AF910" s="14">
        <f>IFERROR(C910+D910+E910+F910+J910+K910+L910+M910+Q910+R910+S910+T910+IF(ISNUMBER(X910),X910,0)+N(Y910)+N(Z910)+N(AA910),"")</f>
        <v/>
      </c>
      <c r="AG910" s="14">
        <f>IF(ISNUMBER(AF910),AF910,"")</f>
        <v/>
      </c>
      <c r="AH910" s="14">
        <f>IF(ISNUMBER(AG910),_xlfn.RANK.EQ(AG910,$AG$2:$AG$1031),"")</f>
        <v/>
      </c>
    </row>
    <row r="911">
      <c r="A911" s="18" t="n">
        <v>2141</v>
      </c>
      <c r="B911" s="18" t="inlineStr">
        <is>
          <t>نور الدين محمد انور نورالدين امين</t>
        </is>
      </c>
      <c r="C911" s="1" t="n">
        <v>587.7</v>
      </c>
      <c r="D911" s="1" t="n">
        <v>22</v>
      </c>
      <c r="E911" s="1" t="n">
        <v>25</v>
      </c>
      <c r="F911" s="1" t="n">
        <v>25</v>
      </c>
      <c r="G911" s="1">
        <f>C911+D911+E911+F911</f>
        <v/>
      </c>
      <c r="H911" s="1">
        <f>IF(ISNUMBER(G911),G911,"")</f>
        <v/>
      </c>
      <c r="I911" s="1">
        <f>_xlfn.RANK.EQ(H911,$H$2:$H$1031)</f>
        <v/>
      </c>
      <c r="J911" s="5" t="n">
        <v>565.5</v>
      </c>
      <c r="K911" s="5" t="n">
        <v>49</v>
      </c>
      <c r="L911" s="5" t="n">
        <v>22</v>
      </c>
      <c r="M911" s="5" t="n">
        <v>23</v>
      </c>
      <c r="N911" s="5">
        <f>J911+K911+L911+M911</f>
        <v/>
      </c>
      <c r="O911" s="5">
        <f>IF(ISNUMBER(N911),N911,"")</f>
        <v/>
      </c>
      <c r="P911" s="5">
        <f>_xlfn.RANK.EQ(O911,$O$2:$O$1031)</f>
        <v/>
      </c>
      <c r="Q911" s="9" t="n">
        <v>247.5</v>
      </c>
      <c r="R911" s="9" t="n">
        <v>49</v>
      </c>
      <c r="S911" s="9" t="n">
        <v>25</v>
      </c>
      <c r="T911" s="9" t="n">
        <v>25</v>
      </c>
      <c r="U911" s="9">
        <f>Q911+R911+S911+T911</f>
        <v/>
      </c>
      <c r="V911" s="9">
        <f>IF(ISNUMBER(U911),U911,"")</f>
        <v/>
      </c>
      <c r="W911" s="9">
        <f>_xlfn.RANK.EQ(V911,$V$2:$V$1031)</f>
        <v/>
      </c>
      <c r="X911" s="13" t="inlineStr">
        <is>
          <t>غ ب</t>
        </is>
      </c>
      <c r="Y911" s="13" t="n">
        <v>24</v>
      </c>
      <c r="Z911" s="13" t="n">
        <v>10</v>
      </c>
      <c r="AA911" s="13" t="n">
        <v>25</v>
      </c>
      <c r="AB911" s="13">
        <f>IF(ISNUMBER(X911),X911+N(Y911)+N(Z911)+N(AA911),X911)</f>
        <v/>
      </c>
      <c r="AC911" s="13">
        <f>IF(ISNUMBER(AB911),AB911,"")</f>
        <v/>
      </c>
      <c r="AD911" s="13">
        <f>IF(ISNUMBER(AC911),_xlfn.RANK.EQ(AC911,$AC$2:$AC$1031),"")</f>
        <v/>
      </c>
      <c r="AE911" s="15">
        <f>IF(ISNUMBER(AF911),AF911/3630,"")</f>
        <v/>
      </c>
      <c r="AF911" s="14">
        <f>IFERROR(C911+D911+E911+F911+J911+K911+L911+M911+Q911+R911+S911+T911+IF(ISNUMBER(X911),X911,0)+N(Y911)+N(Z911)+N(AA911),"")</f>
        <v/>
      </c>
      <c r="AG911" s="14">
        <f>IF(ISNUMBER(AF911),AF911,"")</f>
        <v/>
      </c>
      <c r="AH911" s="14">
        <f>IF(ISNUMBER(AG911),_xlfn.RANK.EQ(AG911,$AG$2:$AG$1031),"")</f>
        <v/>
      </c>
    </row>
    <row r="912">
      <c r="A912" s="18" t="n">
        <v>2142</v>
      </c>
      <c r="B912" s="18" t="inlineStr">
        <is>
          <t>نور الدين مصطفى عبدالواحد سيد</t>
        </is>
      </c>
      <c r="C912" s="1" t="n">
        <v>490</v>
      </c>
      <c r="D912" s="1" t="n">
        <v>20</v>
      </c>
      <c r="E912" s="1" t="n">
        <v>16</v>
      </c>
      <c r="F912" s="1" t="n">
        <v>19</v>
      </c>
      <c r="G912" s="1">
        <f>C912+D912+E912+F912</f>
        <v/>
      </c>
      <c r="H912" s="1">
        <f>IF(ISNUMBER(G912),G912,"")</f>
        <v/>
      </c>
      <c r="I912" s="1">
        <f>_xlfn.RANK.EQ(H912,$H$2:$H$1031)</f>
        <v/>
      </c>
      <c r="J912" s="5" t="n">
        <v>467</v>
      </c>
      <c r="K912" s="5" t="n">
        <v>40</v>
      </c>
      <c r="L912" s="5" t="n">
        <v>16</v>
      </c>
      <c r="M912" s="5" t="n">
        <v>10</v>
      </c>
      <c r="N912" s="5">
        <f>J912+K912+L912+M912</f>
        <v/>
      </c>
      <c r="O912" s="5">
        <f>IF(ISNUMBER(N912),N912,"")</f>
        <v/>
      </c>
      <c r="P912" s="5">
        <f>_xlfn.RANK.EQ(O912,$O$2:$O$1031)</f>
        <v/>
      </c>
      <c r="Q912" s="9" t="n">
        <v>184</v>
      </c>
      <c r="R912" s="9" t="n">
        <v>30.5</v>
      </c>
      <c r="S912" s="9" t="n">
        <v>20</v>
      </c>
      <c r="T912" s="9" t="n">
        <v>22</v>
      </c>
      <c r="U912" s="9">
        <f>Q912+R912+S912+T912</f>
        <v/>
      </c>
      <c r="V912" s="9">
        <f>IF(ISNUMBER(U912),U912,"")</f>
        <v/>
      </c>
      <c r="W912" s="9">
        <f>_xlfn.RANK.EQ(V912,$V$2:$V$1031)</f>
        <v/>
      </c>
      <c r="X912" s="13" t="inlineStr">
        <is>
          <t>راسب</t>
        </is>
      </c>
      <c r="Y912" s="13" t="n">
        <v>21</v>
      </c>
      <c r="Z912" s="13" t="n">
        <v>15</v>
      </c>
      <c r="AA912" s="13" t="n">
        <v>22</v>
      </c>
      <c r="AB912" s="13">
        <f>IF(ISNUMBER(X912),X912+N(Y912)+N(Z912)+N(AA912),X912)</f>
        <v/>
      </c>
      <c r="AC912" s="13">
        <f>IF(ISNUMBER(AB912),AB912,"")</f>
        <v/>
      </c>
      <c r="AD912" s="13">
        <f>IF(ISNUMBER(AC912),_xlfn.RANK.EQ(AC912,$AC$2:$AC$1031),"")</f>
        <v/>
      </c>
      <c r="AE912" s="15">
        <f>IF(ISNUMBER(AF912),AF912/3630,"")</f>
        <v/>
      </c>
      <c r="AF912" s="14">
        <f>IFERROR(C912+D912+E912+F912+J912+K912+L912+M912+Q912+R912+S912+T912+IF(ISNUMBER(X912),X912,0)+N(Y912)+N(Z912)+N(AA912),"")</f>
        <v/>
      </c>
      <c r="AG912" s="14">
        <f>IF(ISNUMBER(AF912),AF912,"")</f>
        <v/>
      </c>
      <c r="AH912" s="14">
        <f>IF(ISNUMBER(AG912),_xlfn.RANK.EQ(AG912,$AG$2:$AG$1031),"")</f>
        <v/>
      </c>
    </row>
    <row r="913">
      <c r="A913" s="18" t="n">
        <v>2145</v>
      </c>
      <c r="B913" s="18" t="inlineStr">
        <is>
          <t>نور الله السيد عبد التواب عبد الخالق</t>
        </is>
      </c>
      <c r="C913" s="1" t="n">
        <v>576.4</v>
      </c>
      <c r="D913" s="1" t="n">
        <v>25</v>
      </c>
      <c r="E913" s="1" t="n">
        <v>23</v>
      </c>
      <c r="F913" s="1" t="n">
        <v>24</v>
      </c>
      <c r="G913" s="1">
        <f>C913+D913+E913+F913</f>
        <v/>
      </c>
      <c r="H913" s="1">
        <f>IF(ISNUMBER(G913),G913,"")</f>
        <v/>
      </c>
      <c r="I913" s="1">
        <f>_xlfn.RANK.EQ(H913,$H$2:$H$1031)</f>
        <v/>
      </c>
      <c r="J913" s="5" t="n">
        <v>566.5</v>
      </c>
      <c r="K913" s="5" t="n">
        <v>46</v>
      </c>
      <c r="L913" s="5" t="n">
        <v>20</v>
      </c>
      <c r="M913" s="5" t="n">
        <v>21</v>
      </c>
      <c r="N913" s="5">
        <f>J913+K913+L913+M913</f>
        <v/>
      </c>
      <c r="O913" s="5">
        <f>IF(ISNUMBER(N913),N913,"")</f>
        <v/>
      </c>
      <c r="P913" s="5">
        <f>_xlfn.RANK.EQ(O913,$O$2:$O$1031)</f>
        <v/>
      </c>
      <c r="Q913" s="9" t="n">
        <v>221.5</v>
      </c>
      <c r="R913" s="9" t="n">
        <v>43.5</v>
      </c>
      <c r="S913" s="9" t="n">
        <v>25</v>
      </c>
      <c r="T913" s="9" t="n">
        <v>25</v>
      </c>
      <c r="U913" s="9">
        <f>Q913+R913+S913+T913</f>
        <v/>
      </c>
      <c r="V913" s="9">
        <f>IF(ISNUMBER(U913),U913,"")</f>
        <v/>
      </c>
      <c r="W913" s="9">
        <f>_xlfn.RANK.EQ(V913,$V$2:$V$1031)</f>
        <v/>
      </c>
      <c r="X913" s="13" t="n">
        <v>1359.2166666667</v>
      </c>
      <c r="Y913" s="13" t="n">
        <v>25</v>
      </c>
      <c r="Z913" s="13" t="n">
        <v>24</v>
      </c>
      <c r="AA913" s="13" t="n">
        <v>24</v>
      </c>
      <c r="AB913" s="13">
        <f>IF(ISNUMBER(X913),X913+N(Y913)+N(Z913)+N(AA913),X913)</f>
        <v/>
      </c>
      <c r="AC913" s="13">
        <f>IF(ISNUMBER(AB913),AB913,"")</f>
        <v/>
      </c>
      <c r="AD913" s="13">
        <f>IF(ISNUMBER(AC913),_xlfn.RANK.EQ(AC913,$AC$2:$AC$1031),"")</f>
        <v/>
      </c>
      <c r="AE913" s="15">
        <f>IF(ISNUMBER(AF913),AF913/3630,"")</f>
        <v/>
      </c>
      <c r="AF913" s="14">
        <f>IFERROR(C913+D913+E913+F913+J913+K913+L913+M913+Q913+R913+S913+T913+IF(ISNUMBER(X913),X913,0)+N(Y913)+N(Z913)+N(AA913),"")</f>
        <v/>
      </c>
      <c r="AG913" s="14">
        <f>IF(ISNUMBER(AF913),AF913,"")</f>
        <v/>
      </c>
      <c r="AH913" s="14">
        <f>IF(ISNUMBER(AG913),_xlfn.RANK.EQ(AG913,$AG$2:$AG$1031),"")</f>
        <v/>
      </c>
    </row>
    <row r="914">
      <c r="A914" s="18" t="n">
        <v>2146</v>
      </c>
      <c r="B914" s="18" t="inlineStr">
        <is>
          <t>نور الهدى اسلام بسيونى زيدان عيد</t>
        </is>
      </c>
      <c r="C914" s="1" t="n">
        <v>556.5</v>
      </c>
      <c r="D914" s="1" t="n">
        <v>23</v>
      </c>
      <c r="E914" s="1" t="n">
        <v>24</v>
      </c>
      <c r="F914" s="1" t="n">
        <v>20</v>
      </c>
      <c r="G914" s="1">
        <f>C914+D914+E914+F914</f>
        <v/>
      </c>
      <c r="H914" s="1">
        <f>IF(ISNUMBER(G914),G914,"")</f>
        <v/>
      </c>
      <c r="I914" s="1">
        <f>_xlfn.RANK.EQ(H914,$H$2:$H$1031)</f>
        <v/>
      </c>
      <c r="J914" s="5" t="n">
        <v>534.5</v>
      </c>
      <c r="K914" s="5" t="n">
        <v>45</v>
      </c>
      <c r="L914" s="5" t="n">
        <v>21</v>
      </c>
      <c r="M914" s="5" t="n">
        <v>20</v>
      </c>
      <c r="N914" s="5">
        <f>J914+K914+L914+M914</f>
        <v/>
      </c>
      <c r="O914" s="5">
        <f>IF(ISNUMBER(N914),N914,"")</f>
        <v/>
      </c>
      <c r="P914" s="5">
        <f>_xlfn.RANK.EQ(O914,$O$2:$O$1031)</f>
        <v/>
      </c>
      <c r="Q914" s="9" t="n">
        <v>223</v>
      </c>
      <c r="R914" s="9" t="n">
        <v>40.5</v>
      </c>
      <c r="S914" s="9" t="n">
        <v>23</v>
      </c>
      <c r="T914" s="9" t="n">
        <v>24</v>
      </c>
      <c r="U914" s="9">
        <f>Q914+R914+S914+T914</f>
        <v/>
      </c>
      <c r="V914" s="9">
        <f>IF(ISNUMBER(U914),U914,"")</f>
        <v/>
      </c>
      <c r="W914" s="9">
        <f>_xlfn.RANK.EQ(V914,$V$2:$V$1031)</f>
        <v/>
      </c>
      <c r="X914" s="13" t="n">
        <v>1286.6458333333</v>
      </c>
      <c r="Y914" s="13" t="n">
        <v>25</v>
      </c>
      <c r="Z914" s="13" t="n">
        <v>24</v>
      </c>
      <c r="AA914" s="13" t="n">
        <v>20</v>
      </c>
      <c r="AB914" s="13">
        <f>IF(ISNUMBER(X914),X914+N(Y914)+N(Z914)+N(AA914),X914)</f>
        <v/>
      </c>
      <c r="AC914" s="13">
        <f>IF(ISNUMBER(AB914),AB914,"")</f>
        <v/>
      </c>
      <c r="AD914" s="13">
        <f>IF(ISNUMBER(AC914),_xlfn.RANK.EQ(AC914,$AC$2:$AC$1031),"")</f>
        <v/>
      </c>
      <c r="AE914" s="15">
        <f>IF(ISNUMBER(AF914),AF914/3630,"")</f>
        <v/>
      </c>
      <c r="AF914" s="14">
        <f>IFERROR(C914+D914+E914+F914+J914+K914+L914+M914+Q914+R914+S914+T914+IF(ISNUMBER(X914),X914,0)+N(Y914)+N(Z914)+N(AA914),"")</f>
        <v/>
      </c>
      <c r="AG914" s="14">
        <f>IF(ISNUMBER(AF914),AF914,"")</f>
        <v/>
      </c>
      <c r="AH914" s="14">
        <f>IF(ISNUMBER(AG914),_xlfn.RANK.EQ(AG914,$AG$2:$AG$1031),"")</f>
        <v/>
      </c>
    </row>
    <row r="915">
      <c r="A915" s="18" t="n">
        <v>2147</v>
      </c>
      <c r="B915" s="18" t="inlineStr">
        <is>
          <t>نور ايهاب ابراهيم اسماعيل محمد</t>
        </is>
      </c>
      <c r="C915" s="1" t="n">
        <v>473.8</v>
      </c>
      <c r="D915" s="1" t="n">
        <v>21</v>
      </c>
      <c r="E915" s="1" t="n">
        <v>18</v>
      </c>
      <c r="F915" s="1" t="n">
        <v>14</v>
      </c>
      <c r="G915" s="1">
        <f>C915+D915+E915+F915</f>
        <v/>
      </c>
      <c r="H915" s="1">
        <f>IF(ISNUMBER(G915),G915,"")</f>
        <v/>
      </c>
      <c r="I915" s="1">
        <f>_xlfn.RANK.EQ(H915,$H$2:$H$1031)</f>
        <v/>
      </c>
      <c r="J915" s="5" t="n">
        <v>500</v>
      </c>
      <c r="K915" s="5" t="n">
        <v>42</v>
      </c>
      <c r="L915" s="5" t="n">
        <v>19</v>
      </c>
      <c r="M915" s="5" t="n">
        <v>17</v>
      </c>
      <c r="N915" s="5">
        <f>J915+K915+L915+M915</f>
        <v/>
      </c>
      <c r="O915" s="5">
        <f>IF(ISNUMBER(N915),N915,"")</f>
        <v/>
      </c>
      <c r="P915" s="5">
        <f>_xlfn.RANK.EQ(O915,$O$2:$O$1031)</f>
        <v/>
      </c>
      <c r="Q915" s="9" t="n">
        <v>221</v>
      </c>
      <c r="R915" s="9" t="n">
        <v>32.5</v>
      </c>
      <c r="S915" s="9" t="n">
        <v>22</v>
      </c>
      <c r="T915" s="9" t="n">
        <v>23</v>
      </c>
      <c r="U915" s="9">
        <f>Q915+R915+S915+T915</f>
        <v/>
      </c>
      <c r="V915" s="9">
        <f>IF(ISNUMBER(U915),U915,"")</f>
        <v/>
      </c>
      <c r="W915" s="9">
        <f>_xlfn.RANK.EQ(V915,$V$2:$V$1031)</f>
        <v/>
      </c>
      <c r="X915" s="13" t="inlineStr">
        <is>
          <t>راسب</t>
        </is>
      </c>
      <c r="Y915" s="13" t="n">
        <v>25</v>
      </c>
      <c r="Z915" s="13" t="n">
        <v>21</v>
      </c>
      <c r="AA915" s="13" t="n">
        <v>23</v>
      </c>
      <c r="AB915" s="13">
        <f>IF(ISNUMBER(X915),X915+N(Y915)+N(Z915)+N(AA915),X915)</f>
        <v/>
      </c>
      <c r="AC915" s="13">
        <f>IF(ISNUMBER(AB915),AB915,"")</f>
        <v/>
      </c>
      <c r="AD915" s="13">
        <f>IF(ISNUMBER(AC915),_xlfn.RANK.EQ(AC915,$AC$2:$AC$1031),"")</f>
        <v/>
      </c>
      <c r="AE915" s="15">
        <f>IF(ISNUMBER(AF915),AF915/3630,"")</f>
        <v/>
      </c>
      <c r="AF915" s="14">
        <f>IFERROR(C915+D915+E915+F915+J915+K915+L915+M915+Q915+R915+S915+T915+IF(ISNUMBER(X915),X915,0)+N(Y915)+N(Z915)+N(AA915),"")</f>
        <v/>
      </c>
      <c r="AG915" s="14">
        <f>IF(ISNUMBER(AF915),AF915,"")</f>
        <v/>
      </c>
      <c r="AH915" s="14">
        <f>IF(ISNUMBER(AG915),_xlfn.RANK.EQ(AG915,$AG$2:$AG$1031),"")</f>
        <v/>
      </c>
    </row>
    <row r="916">
      <c r="A916" s="18" t="n">
        <v>2150</v>
      </c>
      <c r="B916" s="18" t="inlineStr">
        <is>
          <t>نور خالد عبدالمعبود ونس</t>
        </is>
      </c>
      <c r="C916" s="1" t="n">
        <v>543.7</v>
      </c>
      <c r="D916" s="1" t="n">
        <v>25</v>
      </c>
      <c r="E916" s="1" t="n">
        <v>25</v>
      </c>
      <c r="F916" s="1" t="n">
        <v>23</v>
      </c>
      <c r="G916" s="1">
        <f>C916+D916+E916+F916</f>
        <v/>
      </c>
      <c r="H916" s="1">
        <f>IF(ISNUMBER(G916),G916,"")</f>
        <v/>
      </c>
      <c r="I916" s="1">
        <f>_xlfn.RANK.EQ(H916,$H$2:$H$1031)</f>
        <v/>
      </c>
      <c r="J916" s="5" t="n">
        <v>567.5</v>
      </c>
      <c r="K916" s="5" t="n">
        <v>48</v>
      </c>
      <c r="L916" s="5" t="n">
        <v>23</v>
      </c>
      <c r="M916" s="5" t="n">
        <v>24</v>
      </c>
      <c r="N916" s="5">
        <f>J916+K916+L916+M916</f>
        <v/>
      </c>
      <c r="O916" s="5">
        <f>IF(ISNUMBER(N916),N916,"")</f>
        <v/>
      </c>
      <c r="P916" s="5">
        <f>_xlfn.RANK.EQ(O916,$O$2:$O$1031)</f>
        <v/>
      </c>
      <c r="Q916" s="9" t="n">
        <v>240</v>
      </c>
      <c r="R916" s="9" t="n">
        <v>48.5</v>
      </c>
      <c r="S916" s="9" t="n">
        <v>25</v>
      </c>
      <c r="T916" s="9" t="n">
        <v>24</v>
      </c>
      <c r="U916" s="9">
        <f>Q916+R916+S916+T916</f>
        <v/>
      </c>
      <c r="V916" s="9">
        <f>IF(ISNUMBER(U916),U916,"")</f>
        <v/>
      </c>
      <c r="W916" s="9">
        <f>_xlfn.RANK.EQ(V916,$V$2:$V$1031)</f>
        <v/>
      </c>
      <c r="X916" s="13" t="n">
        <v>1458.0958333333</v>
      </c>
      <c r="Y916" s="13" t="n">
        <v>25</v>
      </c>
      <c r="Z916" s="13" t="n">
        <v>24</v>
      </c>
      <c r="AA916" s="13" t="n">
        <v>22</v>
      </c>
      <c r="AB916" s="13">
        <f>IF(ISNUMBER(X916),X916+N(Y916)+N(Z916)+N(AA916),X916)</f>
        <v/>
      </c>
      <c r="AC916" s="13">
        <f>IF(ISNUMBER(AB916),AB916,"")</f>
        <v/>
      </c>
      <c r="AD916" s="13">
        <f>IF(ISNUMBER(AC916),_xlfn.RANK.EQ(AC916,$AC$2:$AC$1031),"")</f>
        <v/>
      </c>
      <c r="AE916" s="15">
        <f>IF(ISNUMBER(AF916),AF916/3630,"")</f>
        <v/>
      </c>
      <c r="AF916" s="14">
        <f>IFERROR(C916+D916+E916+F916+J916+K916+L916+M916+Q916+R916+S916+T916+IF(ISNUMBER(X916),X916,0)+N(Y916)+N(Z916)+N(AA916),"")</f>
        <v/>
      </c>
      <c r="AG916" s="14">
        <f>IF(ISNUMBER(AF916),AF916,"")</f>
        <v/>
      </c>
      <c r="AH916" s="14">
        <f>IF(ISNUMBER(AG916),_xlfn.RANK.EQ(AG916,$AG$2:$AG$1031),"")</f>
        <v/>
      </c>
    </row>
    <row r="917">
      <c r="A917" s="18" t="n">
        <v>2152</v>
      </c>
      <c r="B917" s="18" t="inlineStr">
        <is>
          <t>نور ضياء الدين محمد حافظ</t>
        </is>
      </c>
      <c r="C917" s="1" t="n">
        <v>584.6</v>
      </c>
      <c r="D917" s="1" t="n">
        <v>24</v>
      </c>
      <c r="E917" s="1" t="n">
        <v>19</v>
      </c>
      <c r="F917" s="1" t="n">
        <v>21</v>
      </c>
      <c r="G917" s="1">
        <f>C917+D917+E917+F917</f>
        <v/>
      </c>
      <c r="H917" s="1">
        <f>IF(ISNUMBER(G917),G917,"")</f>
        <v/>
      </c>
      <c r="I917" s="1">
        <f>_xlfn.RANK.EQ(H917,$H$2:$H$1031)</f>
        <v/>
      </c>
      <c r="J917" s="5" t="n">
        <v>558.5</v>
      </c>
      <c r="K917" s="5" t="n">
        <v>45</v>
      </c>
      <c r="L917" s="5" t="n">
        <v>21</v>
      </c>
      <c r="M917" s="5" t="n">
        <v>22</v>
      </c>
      <c r="N917" s="5">
        <f>J917+K917+L917+M917</f>
        <v/>
      </c>
      <c r="O917" s="5">
        <f>IF(ISNUMBER(N917),N917,"")</f>
        <v/>
      </c>
      <c r="P917" s="5">
        <f>_xlfn.RANK.EQ(O917,$O$2:$O$1031)</f>
        <v/>
      </c>
      <c r="Q917" s="9" t="n">
        <v>254</v>
      </c>
      <c r="R917" s="9" t="n">
        <v>42.5</v>
      </c>
      <c r="S917" s="9" t="n">
        <v>25</v>
      </c>
      <c r="T917" s="9" t="n">
        <v>24</v>
      </c>
      <c r="U917" s="9">
        <f>Q917+R917+S917+T917</f>
        <v/>
      </c>
      <c r="V917" s="9">
        <f>IF(ISNUMBER(U917),U917,"")</f>
        <v/>
      </c>
      <c r="W917" s="9">
        <f>_xlfn.RANK.EQ(V917,$V$2:$V$1031)</f>
        <v/>
      </c>
      <c r="X917" s="13" t="n">
        <v>1346.2208333333</v>
      </c>
      <c r="Y917" s="13" t="n">
        <v>24</v>
      </c>
      <c r="Z917" s="13" t="n">
        <v>25</v>
      </c>
      <c r="AA917" s="13" t="n">
        <v>17</v>
      </c>
      <c r="AB917" s="13">
        <f>IF(ISNUMBER(X917),X917+N(Y917)+N(Z917)+N(AA917),X917)</f>
        <v/>
      </c>
      <c r="AC917" s="13">
        <f>IF(ISNUMBER(AB917),AB917,"")</f>
        <v/>
      </c>
      <c r="AD917" s="13">
        <f>IF(ISNUMBER(AC917),_xlfn.RANK.EQ(AC917,$AC$2:$AC$1031),"")</f>
        <v/>
      </c>
      <c r="AE917" s="15">
        <f>IF(ISNUMBER(AF917),AF917/3630,"")</f>
        <v/>
      </c>
      <c r="AF917" s="14">
        <f>IFERROR(C917+D917+E917+F917+J917+K917+L917+M917+Q917+R917+S917+T917+IF(ISNUMBER(X917),X917,0)+N(Y917)+N(Z917)+N(AA917),"")</f>
        <v/>
      </c>
      <c r="AG917" s="14">
        <f>IF(ISNUMBER(AF917),AF917,"")</f>
        <v/>
      </c>
      <c r="AH917" s="14">
        <f>IF(ISNUMBER(AG917),_xlfn.RANK.EQ(AG917,$AG$2:$AG$1031),"")</f>
        <v/>
      </c>
    </row>
    <row r="918">
      <c r="A918" s="18" t="n">
        <v>2154</v>
      </c>
      <c r="B918" s="18" t="inlineStr">
        <is>
          <t>نور عباس عبد الفتاح محمد شحاته</t>
        </is>
      </c>
      <c r="C918" s="1" t="n">
        <v>561.1</v>
      </c>
      <c r="D918" s="1" t="n">
        <v>24</v>
      </c>
      <c r="E918" s="1" t="n">
        <v>25</v>
      </c>
      <c r="F918" s="1" t="n">
        <v>19</v>
      </c>
      <c r="G918" s="1">
        <f>C918+D918+E918+F918</f>
        <v/>
      </c>
      <c r="H918" s="1">
        <f>IF(ISNUMBER(G918),G918,"")</f>
        <v/>
      </c>
      <c r="I918" s="1">
        <f>_xlfn.RANK.EQ(H918,$H$2:$H$1031)</f>
        <v/>
      </c>
      <c r="J918" s="5" t="n">
        <v>514.1</v>
      </c>
      <c r="K918" s="5" t="n">
        <v>47</v>
      </c>
      <c r="L918" s="5" t="n">
        <v>21</v>
      </c>
      <c r="M918" s="5" t="n">
        <v>19</v>
      </c>
      <c r="N918" s="5">
        <f>J918+K918+L918+M918</f>
        <v/>
      </c>
      <c r="O918" s="5">
        <f>IF(ISNUMBER(N918),N918,"")</f>
        <v/>
      </c>
      <c r="P918" s="5">
        <f>_xlfn.RANK.EQ(O918,$O$2:$O$1031)</f>
        <v/>
      </c>
      <c r="Q918" s="9" t="n">
        <v>230</v>
      </c>
      <c r="R918" s="9" t="n">
        <v>42.5</v>
      </c>
      <c r="S918" s="9" t="n">
        <v>24</v>
      </c>
      <c r="T918" s="9" t="n">
        <v>25</v>
      </c>
      <c r="U918" s="9">
        <f>Q918+R918+S918+T918</f>
        <v/>
      </c>
      <c r="V918" s="9">
        <f>IF(ISNUMBER(U918),U918,"")</f>
        <v/>
      </c>
      <c r="W918" s="9">
        <f>_xlfn.RANK.EQ(V918,$V$2:$V$1031)</f>
        <v/>
      </c>
      <c r="X918" s="13" t="n">
        <v>1286.3166666667</v>
      </c>
      <c r="Y918" s="13" t="n">
        <v>23</v>
      </c>
      <c r="Z918" s="13" t="n">
        <v>19</v>
      </c>
      <c r="AA918" s="13" t="n">
        <v>20</v>
      </c>
      <c r="AB918" s="13">
        <f>IF(ISNUMBER(X918),X918+N(Y918)+N(Z918)+N(AA918),X918)</f>
        <v/>
      </c>
      <c r="AC918" s="13">
        <f>IF(ISNUMBER(AB918),AB918,"")</f>
        <v/>
      </c>
      <c r="AD918" s="13">
        <f>IF(ISNUMBER(AC918),_xlfn.RANK.EQ(AC918,$AC$2:$AC$1031),"")</f>
        <v/>
      </c>
      <c r="AE918" s="15">
        <f>IF(ISNUMBER(AF918),AF918/3630,"")</f>
        <v/>
      </c>
      <c r="AF918" s="14">
        <f>IFERROR(C918+D918+E918+F918+J918+K918+L918+M918+Q918+R918+S918+T918+IF(ISNUMBER(X918),X918,0)+N(Y918)+N(Z918)+N(AA918),"")</f>
        <v/>
      </c>
      <c r="AG918" s="14">
        <f>IF(ISNUMBER(AF918),AF918,"")</f>
        <v/>
      </c>
      <c r="AH918" s="14">
        <f>IF(ISNUMBER(AG918),_xlfn.RANK.EQ(AG918,$AG$2:$AG$1031),"")</f>
        <v/>
      </c>
    </row>
    <row r="919">
      <c r="A919" s="18" t="n">
        <v>2156</v>
      </c>
      <c r="B919" s="18" t="inlineStr">
        <is>
          <t>نور محمد احمد جابر الاسكندراني</t>
        </is>
      </c>
      <c r="C919" s="1" t="n">
        <v>559.4</v>
      </c>
      <c r="D919" s="1" t="n">
        <v>24</v>
      </c>
      <c r="E919" s="1" t="n">
        <v>25</v>
      </c>
      <c r="F919" s="1" t="n">
        <v>23</v>
      </c>
      <c r="G919" s="1">
        <f>C919+D919+E919+F919</f>
        <v/>
      </c>
      <c r="H919" s="1">
        <f>IF(ISNUMBER(G919),G919,"")</f>
        <v/>
      </c>
      <c r="I919" s="1">
        <f>_xlfn.RANK.EQ(H919,$H$2:$H$1031)</f>
        <v/>
      </c>
      <c r="J919" s="5" t="n">
        <v>612.5</v>
      </c>
      <c r="K919" s="5" t="n">
        <v>45</v>
      </c>
      <c r="L919" s="5" t="n">
        <v>21</v>
      </c>
      <c r="M919" s="5" t="n">
        <v>23</v>
      </c>
      <c r="N919" s="5">
        <f>J919+K919+L919+M919</f>
        <v/>
      </c>
      <c r="O919" s="5">
        <f>IF(ISNUMBER(N919),N919,"")</f>
        <v/>
      </c>
      <c r="P919" s="5">
        <f>_xlfn.RANK.EQ(O919,$O$2:$O$1031)</f>
        <v/>
      </c>
      <c r="Q919" s="9" t="n">
        <v>243</v>
      </c>
      <c r="R919" s="9" t="n">
        <v>37.5</v>
      </c>
      <c r="S919" s="9" t="n">
        <v>24</v>
      </c>
      <c r="T919" s="9" t="n">
        <v>23</v>
      </c>
      <c r="U919" s="9">
        <f>Q919+R919+S919+T919</f>
        <v/>
      </c>
      <c r="V919" s="9">
        <f>IF(ISNUMBER(U919),U919,"")</f>
        <v/>
      </c>
      <c r="W919" s="9">
        <f>_xlfn.RANK.EQ(V919,$V$2:$V$1031)</f>
        <v/>
      </c>
      <c r="X919" s="13" t="n">
        <v>1394.8875</v>
      </c>
      <c r="Y919" s="13" t="n">
        <v>24</v>
      </c>
      <c r="Z919" s="13" t="n">
        <v>22</v>
      </c>
      <c r="AA919" s="13" t="n">
        <v>24</v>
      </c>
      <c r="AB919" s="13">
        <f>IF(ISNUMBER(X919),X919+N(Y919)+N(Z919)+N(AA919),X919)</f>
        <v/>
      </c>
      <c r="AC919" s="13">
        <f>IF(ISNUMBER(AB919),AB919,"")</f>
        <v/>
      </c>
      <c r="AD919" s="13">
        <f>IF(ISNUMBER(AC919),_xlfn.RANK.EQ(AC919,$AC$2:$AC$1031),"")</f>
        <v/>
      </c>
      <c r="AE919" s="15">
        <f>IF(ISNUMBER(AF919),AF919/3630,"")</f>
        <v/>
      </c>
      <c r="AF919" s="14">
        <f>IFERROR(C919+D919+E919+F919+J919+K919+L919+M919+Q919+R919+S919+T919+IF(ISNUMBER(X919),X919,0)+N(Y919)+N(Z919)+N(AA919),"")</f>
        <v/>
      </c>
      <c r="AG919" s="14">
        <f>IF(ISNUMBER(AF919),AF919,"")</f>
        <v/>
      </c>
      <c r="AH919" s="14">
        <f>IF(ISNUMBER(AG919),_xlfn.RANK.EQ(AG919,$AG$2:$AG$1031),"")</f>
        <v/>
      </c>
    </row>
    <row r="920">
      <c r="A920" s="18" t="n">
        <v>2157</v>
      </c>
      <c r="B920" s="18" t="inlineStr">
        <is>
          <t>نور محمد السيد مرشد سالم</t>
        </is>
      </c>
      <c r="C920" s="1" t="n">
        <v>597.7</v>
      </c>
      <c r="D920" s="1" t="n">
        <v>25</v>
      </c>
      <c r="E920" s="1" t="n">
        <v>22</v>
      </c>
      <c r="F920" s="1" t="n">
        <v>23</v>
      </c>
      <c r="G920" s="1">
        <f>C920+D920+E920+F920</f>
        <v/>
      </c>
      <c r="H920" s="1">
        <f>IF(ISNUMBER(G920),G920,"")</f>
        <v/>
      </c>
      <c r="I920" s="1">
        <f>_xlfn.RANK.EQ(H920,$H$2:$H$1031)</f>
        <v/>
      </c>
      <c r="J920" s="5" t="n">
        <v>548</v>
      </c>
      <c r="K920" s="5" t="n">
        <v>45</v>
      </c>
      <c r="L920" s="5" t="n">
        <v>22</v>
      </c>
      <c r="M920" s="5" t="n">
        <v>20</v>
      </c>
      <c r="N920" s="5">
        <f>J920+K920+L920+M920</f>
        <v/>
      </c>
      <c r="O920" s="5">
        <f>IF(ISNUMBER(N920),N920,"")</f>
        <v/>
      </c>
      <c r="P920" s="5">
        <f>_xlfn.RANK.EQ(O920,$O$2:$O$1031)</f>
        <v/>
      </c>
      <c r="Q920" s="9" t="n">
        <v>239</v>
      </c>
      <c r="R920" s="9" t="n">
        <v>45.5</v>
      </c>
      <c r="S920" s="9" t="n">
        <v>22</v>
      </c>
      <c r="T920" s="9" t="n">
        <v>25</v>
      </c>
      <c r="U920" s="9">
        <f>Q920+R920+S920+T920</f>
        <v/>
      </c>
      <c r="V920" s="9">
        <f>IF(ISNUMBER(U920),U920,"")</f>
        <v/>
      </c>
      <c r="W920" s="9">
        <f>_xlfn.RANK.EQ(V920,$V$2:$V$1031)</f>
        <v/>
      </c>
      <c r="X920" s="13" t="n">
        <v>1317.1458333333</v>
      </c>
      <c r="Y920" s="13" t="n">
        <v>25</v>
      </c>
      <c r="Z920" s="13" t="n">
        <v>23</v>
      </c>
      <c r="AA920" s="13" t="n">
        <v>24</v>
      </c>
      <c r="AB920" s="13">
        <f>IF(ISNUMBER(X920),X920+N(Y920)+N(Z920)+N(AA920),X920)</f>
        <v/>
      </c>
      <c r="AC920" s="13">
        <f>IF(ISNUMBER(AB920),AB920,"")</f>
        <v/>
      </c>
      <c r="AD920" s="13">
        <f>IF(ISNUMBER(AC920),_xlfn.RANK.EQ(AC920,$AC$2:$AC$1031),"")</f>
        <v/>
      </c>
      <c r="AE920" s="15">
        <f>IF(ISNUMBER(AF920),AF920/3630,"")</f>
        <v/>
      </c>
      <c r="AF920" s="14">
        <f>IFERROR(C920+D920+E920+F920+J920+K920+L920+M920+Q920+R920+S920+T920+IF(ISNUMBER(X920),X920,0)+N(Y920)+N(Z920)+N(AA920),"")</f>
        <v/>
      </c>
      <c r="AG920" s="14">
        <f>IF(ISNUMBER(AF920),AF920,"")</f>
        <v/>
      </c>
      <c r="AH920" s="14">
        <f>IF(ISNUMBER(AG920),_xlfn.RANK.EQ(AG920,$AG$2:$AG$1031),"")</f>
        <v/>
      </c>
    </row>
    <row r="921">
      <c r="A921" s="18" t="n">
        <v>2159</v>
      </c>
      <c r="B921" s="18" t="inlineStr">
        <is>
          <t>نور محمود عبد الحليم مبروك</t>
        </is>
      </c>
      <c r="C921" s="1" t="n">
        <v>648.5</v>
      </c>
      <c r="D921" s="1" t="n">
        <v>25</v>
      </c>
      <c r="E921" s="1" t="n">
        <v>25</v>
      </c>
      <c r="F921" s="1" t="n">
        <v>22</v>
      </c>
      <c r="G921" s="1">
        <f>C921+D921+E921+F921</f>
        <v/>
      </c>
      <c r="H921" s="1">
        <f>IF(ISNUMBER(G921),G921,"")</f>
        <v/>
      </c>
      <c r="I921" s="1">
        <f>_xlfn.RANK.EQ(H921,$H$2:$H$1031)</f>
        <v/>
      </c>
      <c r="J921" s="5" t="n">
        <v>604.5</v>
      </c>
      <c r="K921" s="5" t="n">
        <v>48</v>
      </c>
      <c r="L921" s="5" t="n">
        <v>23</v>
      </c>
      <c r="M921" s="5" t="n">
        <v>23</v>
      </c>
      <c r="N921" s="5">
        <f>J921+K921+L921+M921</f>
        <v/>
      </c>
      <c r="O921" s="5">
        <f>IF(ISNUMBER(N921),N921,"")</f>
        <v/>
      </c>
      <c r="P921" s="5">
        <f>_xlfn.RANK.EQ(O921,$O$2:$O$1031)</f>
        <v/>
      </c>
      <c r="Q921" s="9" t="n">
        <v>272.5</v>
      </c>
      <c r="R921" s="9" t="n">
        <v>48.5</v>
      </c>
      <c r="S921" s="9" t="n">
        <v>24</v>
      </c>
      <c r="T921" s="9" t="n">
        <v>25</v>
      </c>
      <c r="U921" s="9">
        <f>Q921+R921+S921+T921</f>
        <v/>
      </c>
      <c r="V921" s="9">
        <f>IF(ISNUMBER(U921),U921,"")</f>
        <v/>
      </c>
      <c r="W921" s="9">
        <f>_xlfn.RANK.EQ(V921,$V$2:$V$1031)</f>
        <v/>
      </c>
      <c r="X921" s="13" t="n">
        <v>1530.1958333333</v>
      </c>
      <c r="Y921" s="13" t="n">
        <v>25</v>
      </c>
      <c r="Z921" s="13" t="n">
        <v>25</v>
      </c>
      <c r="AA921" s="13" t="n">
        <v>24</v>
      </c>
      <c r="AB921" s="13">
        <f>IF(ISNUMBER(X921),X921+N(Y921)+N(Z921)+N(AA921),X921)</f>
        <v/>
      </c>
      <c r="AC921" s="13">
        <f>IF(ISNUMBER(AB921),AB921,"")</f>
        <v/>
      </c>
      <c r="AD921" s="13">
        <f>IF(ISNUMBER(AC921),_xlfn.RANK.EQ(AC921,$AC$2:$AC$1031),"")</f>
        <v/>
      </c>
      <c r="AE921" s="15">
        <f>IF(ISNUMBER(AF921),AF921/3630,"")</f>
        <v/>
      </c>
      <c r="AF921" s="14">
        <f>IFERROR(C921+D921+E921+F921+J921+K921+L921+M921+Q921+R921+S921+T921+IF(ISNUMBER(X921),X921,0)+N(Y921)+N(Z921)+N(AA921),"")</f>
        <v/>
      </c>
      <c r="AG921" s="14">
        <f>IF(ISNUMBER(AF921),AF921,"")</f>
        <v/>
      </c>
      <c r="AH921" s="14">
        <f>IF(ISNUMBER(AG921),_xlfn.RANK.EQ(AG921,$AG$2:$AG$1031),"")</f>
        <v/>
      </c>
    </row>
    <row r="922">
      <c r="A922" s="18" t="n">
        <v>2160</v>
      </c>
      <c r="B922" s="18" t="inlineStr">
        <is>
          <t>نور نادر حسن محمد حسني</t>
        </is>
      </c>
      <c r="C922" s="1" t="n">
        <v>597.1</v>
      </c>
      <c r="D922" s="1" t="n">
        <v>25</v>
      </c>
      <c r="E922" s="1" t="n">
        <v>22</v>
      </c>
      <c r="F922" s="1" t="n">
        <v>23</v>
      </c>
      <c r="G922" s="1">
        <f>C922+D922+E922+F922</f>
        <v/>
      </c>
      <c r="H922" s="1">
        <f>IF(ISNUMBER(G922),G922,"")</f>
        <v/>
      </c>
      <c r="I922" s="1">
        <f>_xlfn.RANK.EQ(H922,$H$2:$H$1031)</f>
        <v/>
      </c>
      <c r="J922" s="5" t="n">
        <v>588</v>
      </c>
      <c r="K922" s="5" t="n">
        <v>44</v>
      </c>
      <c r="L922" s="5" t="n">
        <v>24</v>
      </c>
      <c r="M922" s="5" t="n">
        <v>24</v>
      </c>
      <c r="N922" s="5">
        <f>J922+K922+L922+M922</f>
        <v/>
      </c>
      <c r="O922" s="5">
        <f>IF(ISNUMBER(N922),N922,"")</f>
        <v/>
      </c>
      <c r="P922" s="5">
        <f>_xlfn.RANK.EQ(O922,$O$2:$O$1031)</f>
        <v/>
      </c>
      <c r="Q922" s="9" t="n">
        <v>255</v>
      </c>
      <c r="R922" s="9" t="n">
        <v>47.5</v>
      </c>
      <c r="S922" s="9" t="n">
        <v>25</v>
      </c>
      <c r="T922" s="9" t="n">
        <v>25</v>
      </c>
      <c r="U922" s="9">
        <f>Q922+R922+S922+T922</f>
        <v/>
      </c>
      <c r="V922" s="9">
        <f>IF(ISNUMBER(U922),U922,"")</f>
        <v/>
      </c>
      <c r="W922" s="9">
        <f>_xlfn.RANK.EQ(V922,$V$2:$V$1031)</f>
        <v/>
      </c>
      <c r="X922" s="13" t="n">
        <v>1437.2041666667</v>
      </c>
      <c r="Y922" s="13" t="n">
        <v>25</v>
      </c>
      <c r="Z922" s="13" t="n">
        <v>23</v>
      </c>
      <c r="AA922" s="13" t="n">
        <v>25</v>
      </c>
      <c r="AB922" s="13">
        <f>IF(ISNUMBER(X922),X922+N(Y922)+N(Z922)+N(AA922),X922)</f>
        <v/>
      </c>
      <c r="AC922" s="13">
        <f>IF(ISNUMBER(AB922),AB922,"")</f>
        <v/>
      </c>
      <c r="AD922" s="13">
        <f>IF(ISNUMBER(AC922),_xlfn.RANK.EQ(AC922,$AC$2:$AC$1031),"")</f>
        <v/>
      </c>
      <c r="AE922" s="15">
        <f>IF(ISNUMBER(AF922),AF922/3630,"")</f>
        <v/>
      </c>
      <c r="AF922" s="14">
        <f>IFERROR(C922+D922+E922+F922+J922+K922+L922+M922+Q922+R922+S922+T922+IF(ISNUMBER(X922),X922,0)+N(Y922)+N(Z922)+N(AA922),"")</f>
        <v/>
      </c>
      <c r="AG922" s="14">
        <f>IF(ISNUMBER(AF922),AF922,"")</f>
        <v/>
      </c>
      <c r="AH922" s="14">
        <f>IF(ISNUMBER(AG922),_xlfn.RANK.EQ(AG922,$AG$2:$AG$1031),"")</f>
        <v/>
      </c>
    </row>
    <row r="923">
      <c r="A923" s="18" t="n">
        <v>2162</v>
      </c>
      <c r="B923" s="18" t="inlineStr">
        <is>
          <t>نور ياسر مصطفي جمال الدين خليل</t>
        </is>
      </c>
      <c r="C923" s="1" t="n">
        <v>440.7</v>
      </c>
      <c r="D923" s="1" t="n">
        <v>19</v>
      </c>
      <c r="E923" s="1" t="n">
        <v>22</v>
      </c>
      <c r="F923" s="1" t="n">
        <v>17</v>
      </c>
      <c r="G923" s="1">
        <f>C923+D923+E923+F923</f>
        <v/>
      </c>
      <c r="H923" s="1">
        <f>IF(ISNUMBER(G923),G923,"")</f>
        <v/>
      </c>
      <c r="I923" s="1">
        <f>_xlfn.RANK.EQ(H923,$H$2:$H$1031)</f>
        <v/>
      </c>
      <c r="J923" s="5" t="n">
        <v>544</v>
      </c>
      <c r="K923" s="5" t="n">
        <v>44</v>
      </c>
      <c r="L923" s="5" t="n">
        <v>23</v>
      </c>
      <c r="M923" s="5" t="n">
        <v>21</v>
      </c>
      <c r="N923" s="5">
        <f>J923+K923+L923+M923</f>
        <v/>
      </c>
      <c r="O923" s="5">
        <f>IF(ISNUMBER(N923),N923,"")</f>
        <v/>
      </c>
      <c r="P923" s="5">
        <f>_xlfn.RANK.EQ(O923,$O$2:$O$1031)</f>
        <v/>
      </c>
      <c r="Q923" s="9" t="n">
        <v>209</v>
      </c>
      <c r="R923" s="9" t="n">
        <v>37</v>
      </c>
      <c r="S923" s="9" t="n">
        <v>23</v>
      </c>
      <c r="T923" s="9" t="n">
        <v>24</v>
      </c>
      <c r="U923" s="9">
        <f>Q923+R923+S923+T923</f>
        <v/>
      </c>
      <c r="V923" s="9">
        <f>IF(ISNUMBER(U923),U923,"")</f>
        <v/>
      </c>
      <c r="W923" s="9">
        <f>_xlfn.RANK.EQ(V923,$V$2:$V$1031)</f>
        <v/>
      </c>
      <c r="X923" s="13" t="n">
        <v>1255.6916666667</v>
      </c>
      <c r="Y923" s="13" t="n">
        <v>23</v>
      </c>
      <c r="Z923" s="13" t="n">
        <v>23</v>
      </c>
      <c r="AA923" s="13" t="n">
        <v>21</v>
      </c>
      <c r="AB923" s="13">
        <f>IF(ISNUMBER(X923),X923+N(Y923)+N(Z923)+N(AA923),X923)</f>
        <v/>
      </c>
      <c r="AC923" s="13">
        <f>IF(ISNUMBER(AB923),AB923,"")</f>
        <v/>
      </c>
      <c r="AD923" s="13">
        <f>IF(ISNUMBER(AC923),_xlfn.RANK.EQ(AC923,$AC$2:$AC$1031),"")</f>
        <v/>
      </c>
      <c r="AE923" s="15">
        <f>IF(ISNUMBER(AF923),AF923/3630,"")</f>
        <v/>
      </c>
      <c r="AF923" s="14">
        <f>IFERROR(C923+D923+E923+F923+J923+K923+L923+M923+Q923+R923+S923+T923+IF(ISNUMBER(X923),X923,0)+N(Y923)+N(Z923)+N(AA923),"")</f>
        <v/>
      </c>
      <c r="AG923" s="14">
        <f>IF(ISNUMBER(AF923),AF923,"")</f>
        <v/>
      </c>
      <c r="AH923" s="14">
        <f>IF(ISNUMBER(AG923),_xlfn.RANK.EQ(AG923,$AG$2:$AG$1031),"")</f>
        <v/>
      </c>
    </row>
    <row r="924">
      <c r="A924" s="18" t="n">
        <v>2165</v>
      </c>
      <c r="B924" s="18" t="inlineStr">
        <is>
          <t>نورا حسن على سعد خرابه</t>
        </is>
      </c>
      <c r="C924" s="1" t="n">
        <v>601.7</v>
      </c>
      <c r="D924" s="1" t="n">
        <v>24</v>
      </c>
      <c r="E924" s="1" t="n">
        <v>23</v>
      </c>
      <c r="F924" s="1" t="n">
        <v>21</v>
      </c>
      <c r="G924" s="1">
        <f>C924+D924+E924+F924</f>
        <v/>
      </c>
      <c r="H924" s="1">
        <f>IF(ISNUMBER(G924),G924,"")</f>
        <v/>
      </c>
      <c r="I924" s="1">
        <f>_xlfn.RANK.EQ(H924,$H$2:$H$1031)</f>
        <v/>
      </c>
      <c r="J924" s="5" t="n">
        <v>596.5</v>
      </c>
      <c r="K924" s="5" t="n">
        <v>50</v>
      </c>
      <c r="L924" s="5" t="n">
        <v>22</v>
      </c>
      <c r="M924" s="5" t="n">
        <v>22</v>
      </c>
      <c r="N924" s="5">
        <f>J924+K924+L924+M924</f>
        <v/>
      </c>
      <c r="O924" s="5">
        <f>IF(ISNUMBER(N924),N924,"")</f>
        <v/>
      </c>
      <c r="P924" s="5">
        <f>_xlfn.RANK.EQ(O924,$O$2:$O$1031)</f>
        <v/>
      </c>
      <c r="Q924" s="9" t="n">
        <v>260</v>
      </c>
      <c r="R924" s="9" t="n">
        <v>48</v>
      </c>
      <c r="S924" s="9" t="n">
        <v>24</v>
      </c>
      <c r="T924" s="9" t="n">
        <v>25</v>
      </c>
      <c r="U924" s="9">
        <f>Q924+R924+S924+T924</f>
        <v/>
      </c>
      <c r="V924" s="9">
        <f>IF(ISNUMBER(U924),U924,"")</f>
        <v/>
      </c>
      <c r="W924" s="9">
        <f>_xlfn.RANK.EQ(V924,$V$2:$V$1031)</f>
        <v/>
      </c>
      <c r="X924" s="13" t="n">
        <v>1465.4875</v>
      </c>
      <c r="Y924" s="13" t="n">
        <v>25</v>
      </c>
      <c r="Z924" s="13" t="n">
        <v>25</v>
      </c>
      <c r="AA924" s="13" t="n">
        <v>23</v>
      </c>
      <c r="AB924" s="13">
        <f>IF(ISNUMBER(X924),X924+N(Y924)+N(Z924)+N(AA924),X924)</f>
        <v/>
      </c>
      <c r="AC924" s="13">
        <f>IF(ISNUMBER(AB924),AB924,"")</f>
        <v/>
      </c>
      <c r="AD924" s="13">
        <f>IF(ISNUMBER(AC924),_xlfn.RANK.EQ(AC924,$AC$2:$AC$1031),"")</f>
        <v/>
      </c>
      <c r="AE924" s="15">
        <f>IF(ISNUMBER(AF924),AF924/3630,"")</f>
        <v/>
      </c>
      <c r="AF924" s="14">
        <f>IFERROR(C924+D924+E924+F924+J924+K924+L924+M924+Q924+R924+S924+T924+IF(ISNUMBER(X924),X924,0)+N(Y924)+N(Z924)+N(AA924),"")</f>
        <v/>
      </c>
      <c r="AG924" s="14">
        <f>IF(ISNUMBER(AF924),AF924,"")</f>
        <v/>
      </c>
      <c r="AH924" s="14">
        <f>IF(ISNUMBER(AG924),_xlfn.RANK.EQ(AG924,$AG$2:$AG$1031),"")</f>
        <v/>
      </c>
    </row>
    <row r="925">
      <c r="A925" s="18" t="n">
        <v>2168</v>
      </c>
      <c r="B925" s="18" t="inlineStr">
        <is>
          <t>نوران ابراهيم عبد الشافى كامل عبد الله</t>
        </is>
      </c>
      <c r="C925" s="1" t="n">
        <v>609</v>
      </c>
      <c r="D925" s="1" t="n">
        <v>24</v>
      </c>
      <c r="E925" s="1" t="n">
        <v>22</v>
      </c>
      <c r="F925" s="1" t="n">
        <v>23</v>
      </c>
      <c r="G925" s="1">
        <f>C925+D925+E925+F925</f>
        <v/>
      </c>
      <c r="H925" s="1">
        <f>IF(ISNUMBER(G925),G925,"")</f>
        <v/>
      </c>
      <c r="I925" s="1">
        <f>_xlfn.RANK.EQ(H925,$H$2:$H$1031)</f>
        <v/>
      </c>
      <c r="J925" s="5" t="n">
        <v>577.5</v>
      </c>
      <c r="K925" s="5" t="n">
        <v>46</v>
      </c>
      <c r="L925" s="5" t="n">
        <v>23</v>
      </c>
      <c r="M925" s="5" t="n">
        <v>22</v>
      </c>
      <c r="N925" s="5">
        <f>J925+K925+L925+M925</f>
        <v/>
      </c>
      <c r="O925" s="5">
        <f>IF(ISNUMBER(N925),N925,"")</f>
        <v/>
      </c>
      <c r="P925" s="5">
        <f>_xlfn.RANK.EQ(O925,$O$2:$O$1031)</f>
        <v/>
      </c>
      <c r="Q925" s="9" t="n">
        <v>228</v>
      </c>
      <c r="R925" s="9" t="n">
        <v>45</v>
      </c>
      <c r="S925" s="9" t="n">
        <v>23</v>
      </c>
      <c r="T925" s="9" t="n">
        <v>24</v>
      </c>
      <c r="U925" s="9">
        <f>Q925+R925+S925+T925</f>
        <v/>
      </c>
      <c r="V925" s="9">
        <f>IF(ISNUMBER(U925),U925,"")</f>
        <v/>
      </c>
      <c r="W925" s="9">
        <f>_xlfn.RANK.EQ(V925,$V$2:$V$1031)</f>
        <v/>
      </c>
      <c r="X925" s="13" t="n">
        <v>1291.7666666667</v>
      </c>
      <c r="Y925" s="13" t="n">
        <v>25</v>
      </c>
      <c r="Z925" s="13" t="n">
        <v>23</v>
      </c>
      <c r="AA925" s="13" t="n">
        <v>21</v>
      </c>
      <c r="AB925" s="13">
        <f>IF(ISNUMBER(X925),X925+N(Y925)+N(Z925)+N(AA925),X925)</f>
        <v/>
      </c>
      <c r="AC925" s="13">
        <f>IF(ISNUMBER(AB925),AB925,"")</f>
        <v/>
      </c>
      <c r="AD925" s="13">
        <f>IF(ISNUMBER(AC925),_xlfn.RANK.EQ(AC925,$AC$2:$AC$1031),"")</f>
        <v/>
      </c>
      <c r="AE925" s="15">
        <f>IF(ISNUMBER(AF925),AF925/3630,"")</f>
        <v/>
      </c>
      <c r="AF925" s="14">
        <f>IFERROR(C925+D925+E925+F925+J925+K925+L925+M925+Q925+R925+S925+T925+IF(ISNUMBER(X925),X925,0)+N(Y925)+N(Z925)+N(AA925),"")</f>
        <v/>
      </c>
      <c r="AG925" s="14">
        <f>IF(ISNUMBER(AF925),AF925,"")</f>
        <v/>
      </c>
      <c r="AH925" s="14">
        <f>IF(ISNUMBER(AG925),_xlfn.RANK.EQ(AG925,$AG$2:$AG$1031),"")</f>
        <v/>
      </c>
    </row>
    <row r="926">
      <c r="A926" s="18" t="n">
        <v>2169</v>
      </c>
      <c r="B926" s="18" t="inlineStr">
        <is>
          <t>نوران احمد عبدالصمد خليل</t>
        </is>
      </c>
      <c r="C926" s="1" t="n">
        <v>453.4</v>
      </c>
      <c r="D926" s="1" t="n">
        <v>19</v>
      </c>
      <c r="E926" s="1" t="n">
        <v>23</v>
      </c>
      <c r="F926" s="1" t="n">
        <v>20</v>
      </c>
      <c r="G926" s="1">
        <f>C926+D926+E926+F926</f>
        <v/>
      </c>
      <c r="H926" s="1">
        <f>IF(ISNUMBER(G926),G926,"")</f>
        <v/>
      </c>
      <c r="I926" s="1">
        <f>_xlfn.RANK.EQ(H926,$H$2:$H$1031)</f>
        <v/>
      </c>
      <c r="J926" s="5" t="n">
        <v>425</v>
      </c>
      <c r="K926" s="5" t="n">
        <v>35</v>
      </c>
      <c r="L926" s="5" t="n">
        <v>18</v>
      </c>
      <c r="M926" s="5" t="n">
        <v>13</v>
      </c>
      <c r="N926" s="5">
        <f>J926+K926+L926+M926</f>
        <v/>
      </c>
      <c r="O926" s="5">
        <f>IF(ISNUMBER(N926),N926,"")</f>
        <v/>
      </c>
      <c r="P926" s="5">
        <f>_xlfn.RANK.EQ(O926,$O$2:$O$1031)</f>
        <v/>
      </c>
      <c r="Q926" s="9" t="n">
        <v>183</v>
      </c>
      <c r="R926" s="9" t="n">
        <v>35.5</v>
      </c>
      <c r="S926" s="9" t="n">
        <v>25</v>
      </c>
      <c r="T926" s="9" t="n">
        <v>23</v>
      </c>
      <c r="U926" s="9">
        <f>Q926+R926+S926+T926</f>
        <v/>
      </c>
      <c r="V926" s="9">
        <f>IF(ISNUMBER(U926),U926,"")</f>
        <v/>
      </c>
      <c r="W926" s="9">
        <f>_xlfn.RANK.EQ(V926,$V$2:$V$1031)</f>
        <v/>
      </c>
      <c r="X926" s="13" t="inlineStr">
        <is>
          <t>راسب</t>
        </is>
      </c>
      <c r="Y926" s="13" t="n">
        <v>22.5</v>
      </c>
      <c r="Z926" s="13" t="n">
        <v>23</v>
      </c>
      <c r="AA926" s="13" t="n">
        <v>24</v>
      </c>
      <c r="AB926" s="13">
        <f>IF(ISNUMBER(X926),X926+N(Y926)+N(Z926)+N(AA926),X926)</f>
        <v/>
      </c>
      <c r="AC926" s="13">
        <f>IF(ISNUMBER(AB926),AB926,"")</f>
        <v/>
      </c>
      <c r="AD926" s="13">
        <f>IF(ISNUMBER(AC926),_xlfn.RANK.EQ(AC926,$AC$2:$AC$1031),"")</f>
        <v/>
      </c>
      <c r="AE926" s="15">
        <f>IF(ISNUMBER(AF926),AF926/3630,"")</f>
        <v/>
      </c>
      <c r="AF926" s="14">
        <f>IFERROR(C926+D926+E926+F926+J926+K926+L926+M926+Q926+R926+S926+T926+IF(ISNUMBER(X926),X926,0)+N(Y926)+N(Z926)+N(AA926),"")</f>
        <v/>
      </c>
      <c r="AG926" s="14">
        <f>IF(ISNUMBER(AF926),AF926,"")</f>
        <v/>
      </c>
      <c r="AH926" s="14">
        <f>IF(ISNUMBER(AG926),_xlfn.RANK.EQ(AG926,$AG$2:$AG$1031),"")</f>
        <v/>
      </c>
    </row>
    <row r="927">
      <c r="A927" s="18" t="n">
        <v>2170</v>
      </c>
      <c r="B927" s="18" t="inlineStr">
        <is>
          <t>نوران انور صالح احمد على</t>
        </is>
      </c>
      <c r="C927" s="1" t="n">
        <v>581.6</v>
      </c>
      <c r="D927" s="1" t="n">
        <v>25</v>
      </c>
      <c r="E927" s="1" t="n">
        <v>25</v>
      </c>
      <c r="F927" s="1" t="n">
        <v>23</v>
      </c>
      <c r="G927" s="1">
        <f>C927+D927+E927+F927</f>
        <v/>
      </c>
      <c r="H927" s="1">
        <f>IF(ISNUMBER(G927),G927,"")</f>
        <v/>
      </c>
      <c r="I927" s="1">
        <f>_xlfn.RANK.EQ(H927,$H$2:$H$1031)</f>
        <v/>
      </c>
      <c r="J927" s="5" t="n">
        <v>578</v>
      </c>
      <c r="K927" s="5" t="n">
        <v>46</v>
      </c>
      <c r="L927" s="5" t="n">
        <v>23</v>
      </c>
      <c r="M927" s="5" t="n">
        <v>24</v>
      </c>
      <c r="N927" s="5">
        <f>J927+K927+L927+M927</f>
        <v/>
      </c>
      <c r="O927" s="5">
        <f>IF(ISNUMBER(N927),N927,"")</f>
        <v/>
      </c>
      <c r="P927" s="5">
        <f>_xlfn.RANK.EQ(O927,$O$2:$O$1031)</f>
        <v/>
      </c>
      <c r="Q927" s="9" t="n">
        <v>270</v>
      </c>
      <c r="R927" s="9" t="n">
        <v>47.5</v>
      </c>
      <c r="S927" s="9" t="n">
        <v>24</v>
      </c>
      <c r="T927" s="9" t="n">
        <v>25</v>
      </c>
      <c r="U927" s="9">
        <f>Q927+R927+S927+T927</f>
        <v/>
      </c>
      <c r="V927" s="9">
        <f>IF(ISNUMBER(U927),U927,"")</f>
        <v/>
      </c>
      <c r="W927" s="9">
        <f>_xlfn.RANK.EQ(V927,$V$2:$V$1031)</f>
        <v/>
      </c>
      <c r="X927" s="13" t="n">
        <v>1413.35</v>
      </c>
      <c r="Y927" s="13" t="n">
        <v>23.5</v>
      </c>
      <c r="Z927" s="13" t="n">
        <v>25</v>
      </c>
      <c r="AA927" s="13" t="n">
        <v>24</v>
      </c>
      <c r="AB927" s="13">
        <f>IF(ISNUMBER(X927),X927+N(Y927)+N(Z927)+N(AA927),X927)</f>
        <v/>
      </c>
      <c r="AC927" s="13">
        <f>IF(ISNUMBER(AB927),AB927,"")</f>
        <v/>
      </c>
      <c r="AD927" s="13">
        <f>IF(ISNUMBER(AC927),_xlfn.RANK.EQ(AC927,$AC$2:$AC$1031),"")</f>
        <v/>
      </c>
      <c r="AE927" s="15">
        <f>IF(ISNUMBER(AF927),AF927/3630,"")</f>
        <v/>
      </c>
      <c r="AF927" s="14">
        <f>IFERROR(C927+D927+E927+F927+J927+K927+L927+M927+Q927+R927+S927+T927+IF(ISNUMBER(X927),X927,0)+N(Y927)+N(Z927)+N(AA927),"")</f>
        <v/>
      </c>
      <c r="AG927" s="14">
        <f>IF(ISNUMBER(AF927),AF927,"")</f>
        <v/>
      </c>
      <c r="AH927" s="14">
        <f>IF(ISNUMBER(AG927),_xlfn.RANK.EQ(AG927,$AG$2:$AG$1031),"")</f>
        <v/>
      </c>
    </row>
    <row r="928">
      <c r="A928" s="18" t="n">
        <v>2171</v>
      </c>
      <c r="B928" s="18" t="inlineStr">
        <is>
          <t>نوران ايهاب عبدالمطلب اللقانى</t>
        </is>
      </c>
      <c r="C928" s="1" t="n">
        <v>588.5</v>
      </c>
      <c r="D928" s="1" t="n">
        <v>24</v>
      </c>
      <c r="E928" s="1" t="n">
        <v>23</v>
      </c>
      <c r="F928" s="1" t="n">
        <v>20</v>
      </c>
      <c r="G928" s="1">
        <f>C928+D928+E928+F928</f>
        <v/>
      </c>
      <c r="H928" s="1">
        <f>IF(ISNUMBER(G928),G928,"")</f>
        <v/>
      </c>
      <c r="I928" s="1">
        <f>_xlfn.RANK.EQ(H928,$H$2:$H$1031)</f>
        <v/>
      </c>
      <c r="J928" s="5" t="n">
        <v>602.5</v>
      </c>
      <c r="K928" s="5" t="n">
        <v>44</v>
      </c>
      <c r="L928" s="5" t="n">
        <v>23</v>
      </c>
      <c r="M928" s="5" t="n">
        <v>24</v>
      </c>
      <c r="N928" s="5">
        <f>J928+K928+L928+M928</f>
        <v/>
      </c>
      <c r="O928" s="5">
        <f>IF(ISNUMBER(N928),N928,"")</f>
        <v/>
      </c>
      <c r="P928" s="5">
        <f>_xlfn.RANK.EQ(O928,$O$2:$O$1031)</f>
        <v/>
      </c>
      <c r="Q928" s="9" t="n">
        <v>257</v>
      </c>
      <c r="R928" s="9" t="n">
        <v>42.5</v>
      </c>
      <c r="S928" s="9" t="n">
        <v>23</v>
      </c>
      <c r="T928" s="9" t="n">
        <v>23</v>
      </c>
      <c r="U928" s="9">
        <f>Q928+R928+S928+T928</f>
        <v/>
      </c>
      <c r="V928" s="9">
        <f>IF(ISNUMBER(U928),U928,"")</f>
        <v/>
      </c>
      <c r="W928" s="9">
        <f>_xlfn.RANK.EQ(V928,$V$2:$V$1031)</f>
        <v/>
      </c>
      <c r="X928" s="13" t="n">
        <v>1381.7291666667</v>
      </c>
      <c r="Y928" s="13" t="n">
        <v>23</v>
      </c>
      <c r="Z928" s="13" t="n">
        <v>25</v>
      </c>
      <c r="AA928" s="13" t="n">
        <v>24</v>
      </c>
      <c r="AB928" s="13">
        <f>IF(ISNUMBER(X928),X928+N(Y928)+N(Z928)+N(AA928),X928)</f>
        <v/>
      </c>
      <c r="AC928" s="13">
        <f>IF(ISNUMBER(AB928),AB928,"")</f>
        <v/>
      </c>
      <c r="AD928" s="13">
        <f>IF(ISNUMBER(AC928),_xlfn.RANK.EQ(AC928,$AC$2:$AC$1031),"")</f>
        <v/>
      </c>
      <c r="AE928" s="15">
        <f>IF(ISNUMBER(AF928),AF928/3630,"")</f>
        <v/>
      </c>
      <c r="AF928" s="14">
        <f>IFERROR(C928+D928+E928+F928+J928+K928+L928+M928+Q928+R928+S928+T928+IF(ISNUMBER(X928),X928,0)+N(Y928)+N(Z928)+N(AA928),"")</f>
        <v/>
      </c>
      <c r="AG928" s="14">
        <f>IF(ISNUMBER(AF928),AF928,"")</f>
        <v/>
      </c>
      <c r="AH928" s="14">
        <f>IF(ISNUMBER(AG928),_xlfn.RANK.EQ(AG928,$AG$2:$AG$1031),"")</f>
        <v/>
      </c>
    </row>
    <row r="929">
      <c r="A929" s="18" t="n">
        <v>2172</v>
      </c>
      <c r="B929" s="18" t="inlineStr">
        <is>
          <t>نوران علاء الدين على عطيه</t>
        </is>
      </c>
      <c r="C929" s="1" t="n">
        <v>544.2</v>
      </c>
      <c r="D929" s="1" t="n">
        <v>21</v>
      </c>
      <c r="E929" s="1" t="n">
        <v>22</v>
      </c>
      <c r="F929" s="1" t="n">
        <v>21</v>
      </c>
      <c r="G929" s="1">
        <f>C929+D929+E929+F929</f>
        <v/>
      </c>
      <c r="H929" s="1">
        <f>IF(ISNUMBER(G929),G929,"")</f>
        <v/>
      </c>
      <c r="I929" s="1">
        <f>_xlfn.RANK.EQ(H929,$H$2:$H$1031)</f>
        <v/>
      </c>
      <c r="J929" s="5" t="n">
        <v>513.5</v>
      </c>
      <c r="K929" s="5" t="n">
        <v>41</v>
      </c>
      <c r="L929" s="5" t="n">
        <v>22</v>
      </c>
      <c r="M929" s="5" t="n">
        <v>18</v>
      </c>
      <c r="N929" s="5">
        <f>J929+K929+L929+M929</f>
        <v/>
      </c>
      <c r="O929" s="5">
        <f>IF(ISNUMBER(N929),N929,"")</f>
        <v/>
      </c>
      <c r="P929" s="5">
        <f>_xlfn.RANK.EQ(O929,$O$2:$O$1031)</f>
        <v/>
      </c>
      <c r="Q929" s="9" t="n">
        <v>254</v>
      </c>
      <c r="R929" s="9" t="n">
        <v>44.5</v>
      </c>
      <c r="S929" s="9" t="n">
        <v>25</v>
      </c>
      <c r="T929" s="9" t="n">
        <v>24</v>
      </c>
      <c r="U929" s="9">
        <f>Q929+R929+S929+T929</f>
        <v/>
      </c>
      <c r="V929" s="9">
        <f>IF(ISNUMBER(U929),U929,"")</f>
        <v/>
      </c>
      <c r="W929" s="9">
        <f>_xlfn.RANK.EQ(V929,$V$2:$V$1031)</f>
        <v/>
      </c>
      <c r="X929" s="13" t="n">
        <v>1423.0916666667</v>
      </c>
      <c r="Y929" s="13" t="n">
        <v>24</v>
      </c>
      <c r="Z929" s="13" t="n">
        <v>24</v>
      </c>
      <c r="AA929" s="13" t="n">
        <v>24</v>
      </c>
      <c r="AB929" s="13">
        <f>IF(ISNUMBER(X929),X929+N(Y929)+N(Z929)+N(AA929),X929)</f>
        <v/>
      </c>
      <c r="AC929" s="13">
        <f>IF(ISNUMBER(AB929),AB929,"")</f>
        <v/>
      </c>
      <c r="AD929" s="13">
        <f>IF(ISNUMBER(AC929),_xlfn.RANK.EQ(AC929,$AC$2:$AC$1031),"")</f>
        <v/>
      </c>
      <c r="AE929" s="15">
        <f>IF(ISNUMBER(AF929),AF929/3630,"")</f>
        <v/>
      </c>
      <c r="AF929" s="14">
        <f>IFERROR(C929+D929+E929+F929+J929+K929+L929+M929+Q929+R929+S929+T929+IF(ISNUMBER(X929),X929,0)+N(Y929)+N(Z929)+N(AA929),"")</f>
        <v/>
      </c>
      <c r="AG929" s="14">
        <f>IF(ISNUMBER(AF929),AF929,"")</f>
        <v/>
      </c>
      <c r="AH929" s="14">
        <f>IF(ISNUMBER(AG929),_xlfn.RANK.EQ(AG929,$AG$2:$AG$1031),"")</f>
        <v/>
      </c>
    </row>
    <row r="930">
      <c r="A930" s="18" t="n">
        <v>2173</v>
      </c>
      <c r="B930" s="18" t="inlineStr">
        <is>
          <t>نوران محمد احمد عبده زايد</t>
        </is>
      </c>
      <c r="C930" s="1" t="n">
        <v>605.2</v>
      </c>
      <c r="D930" s="1" t="n">
        <v>25</v>
      </c>
      <c r="E930" s="1" t="n">
        <v>24</v>
      </c>
      <c r="F930" s="1" t="n">
        <v>21</v>
      </c>
      <c r="G930" s="1">
        <f>C930+D930+E930+F930</f>
        <v/>
      </c>
      <c r="H930" s="1">
        <f>IF(ISNUMBER(G930),G930,"")</f>
        <v/>
      </c>
      <c r="I930" s="1">
        <f>_xlfn.RANK.EQ(H930,$H$2:$H$1031)</f>
        <v/>
      </c>
      <c r="J930" s="5" t="n">
        <v>634</v>
      </c>
      <c r="K930" s="5" t="n">
        <v>47</v>
      </c>
      <c r="L930" s="5" t="n">
        <v>23</v>
      </c>
      <c r="M930" s="5" t="n">
        <v>25</v>
      </c>
      <c r="N930" s="5">
        <f>J930+K930+L930+M930</f>
        <v/>
      </c>
      <c r="O930" s="5">
        <f>IF(ISNUMBER(N930),N930,"")</f>
        <v/>
      </c>
      <c r="P930" s="5">
        <f>_xlfn.RANK.EQ(O930,$O$2:$O$1031)</f>
        <v/>
      </c>
      <c r="Q930" s="9" t="n">
        <v>274</v>
      </c>
      <c r="R930" s="9" t="n">
        <v>49</v>
      </c>
      <c r="S930" s="9" t="n">
        <v>24</v>
      </c>
      <c r="T930" s="9" t="n">
        <v>24</v>
      </c>
      <c r="U930" s="9">
        <f>Q930+R930+S930+T930</f>
        <v/>
      </c>
      <c r="V930" s="9">
        <f>IF(ISNUMBER(U930),U930,"")</f>
        <v/>
      </c>
      <c r="W930" s="9">
        <f>_xlfn.RANK.EQ(V930,$V$2:$V$1031)</f>
        <v/>
      </c>
      <c r="X930" s="13" t="n">
        <v>1546.6708333333</v>
      </c>
      <c r="Y930" s="13" t="n">
        <v>23.5</v>
      </c>
      <c r="Z930" s="13" t="n">
        <v>24</v>
      </c>
      <c r="AA930" s="13" t="n">
        <v>25</v>
      </c>
      <c r="AB930" s="13">
        <f>IF(ISNUMBER(X930),X930+N(Y930)+N(Z930)+N(AA930),X930)</f>
        <v/>
      </c>
      <c r="AC930" s="13">
        <f>IF(ISNUMBER(AB930),AB930,"")</f>
        <v/>
      </c>
      <c r="AD930" s="13">
        <f>IF(ISNUMBER(AC930),_xlfn.RANK.EQ(AC930,$AC$2:$AC$1031),"")</f>
        <v/>
      </c>
      <c r="AE930" s="15">
        <f>IF(ISNUMBER(AF930),AF930/3630,"")</f>
        <v/>
      </c>
      <c r="AF930" s="14">
        <f>IFERROR(C930+D930+E930+F930+J930+K930+L930+M930+Q930+R930+S930+T930+IF(ISNUMBER(X930),X930,0)+N(Y930)+N(Z930)+N(AA930),"")</f>
        <v/>
      </c>
      <c r="AG930" s="14">
        <f>IF(ISNUMBER(AF930),AF930,"")</f>
        <v/>
      </c>
      <c r="AH930" s="14">
        <f>IF(ISNUMBER(AG930),_xlfn.RANK.EQ(AG930,$AG$2:$AG$1031),"")</f>
        <v/>
      </c>
    </row>
    <row r="931">
      <c r="A931" s="18" t="n">
        <v>2174</v>
      </c>
      <c r="B931" s="18" t="inlineStr">
        <is>
          <t>نوران محمد الصافى محمد الصافى</t>
        </is>
      </c>
      <c r="C931" s="1" t="n">
        <v>644</v>
      </c>
      <c r="D931" s="1" t="n">
        <v>24</v>
      </c>
      <c r="E931" s="1" t="n">
        <v>25</v>
      </c>
      <c r="F931" s="1" t="n">
        <v>23</v>
      </c>
      <c r="G931" s="1">
        <f>C931+D931+E931+F931</f>
        <v/>
      </c>
      <c r="H931" s="1">
        <f>IF(ISNUMBER(G931),G931,"")</f>
        <v/>
      </c>
      <c r="I931" s="1">
        <f>_xlfn.RANK.EQ(H931,$H$2:$H$1031)</f>
        <v/>
      </c>
      <c r="J931" s="5" t="n">
        <v>610.5</v>
      </c>
      <c r="K931" s="5" t="n">
        <v>47</v>
      </c>
      <c r="L931" s="5" t="n">
        <v>25</v>
      </c>
      <c r="M931" s="5" t="n">
        <v>21</v>
      </c>
      <c r="N931" s="5">
        <f>J931+K931+L931+M931</f>
        <v/>
      </c>
      <c r="O931" s="5">
        <f>IF(ISNUMBER(N931),N931,"")</f>
        <v/>
      </c>
      <c r="P931" s="5">
        <f>_xlfn.RANK.EQ(O931,$O$2:$O$1031)</f>
        <v/>
      </c>
      <c r="Q931" s="9" t="n">
        <v>275</v>
      </c>
      <c r="R931" s="9" t="n">
        <v>48</v>
      </c>
      <c r="S931" s="9" t="n">
        <v>25</v>
      </c>
      <c r="T931" s="9" t="n">
        <v>24</v>
      </c>
      <c r="U931" s="9">
        <f>Q931+R931+S931+T931</f>
        <v/>
      </c>
      <c r="V931" s="9">
        <f>IF(ISNUMBER(U931),U931,"")</f>
        <v/>
      </c>
      <c r="W931" s="9">
        <f>_xlfn.RANK.EQ(V931,$V$2:$V$1031)</f>
        <v/>
      </c>
      <c r="X931" s="13" t="n">
        <v>1577.7291666667</v>
      </c>
      <c r="Y931" s="13" t="n">
        <v>24.5</v>
      </c>
      <c r="Z931" s="13" t="n">
        <v>25</v>
      </c>
      <c r="AA931" s="13" t="n">
        <v>25</v>
      </c>
      <c r="AB931" s="13">
        <f>IF(ISNUMBER(X931),X931+N(Y931)+N(Z931)+N(AA931),X931)</f>
        <v/>
      </c>
      <c r="AC931" s="13">
        <f>IF(ISNUMBER(AB931),AB931,"")</f>
        <v/>
      </c>
      <c r="AD931" s="13">
        <f>IF(ISNUMBER(AC931),_xlfn.RANK.EQ(AC931,$AC$2:$AC$1031),"")</f>
        <v/>
      </c>
      <c r="AE931" s="15">
        <f>IF(ISNUMBER(AF931),AF931/3630,"")</f>
        <v/>
      </c>
      <c r="AF931" s="14">
        <f>IFERROR(C931+D931+E931+F931+J931+K931+L931+M931+Q931+R931+S931+T931+IF(ISNUMBER(X931),X931,0)+N(Y931)+N(Z931)+N(AA931),"")</f>
        <v/>
      </c>
      <c r="AG931" s="14">
        <f>IF(ISNUMBER(AF931),AF931,"")</f>
        <v/>
      </c>
      <c r="AH931" s="14">
        <f>IF(ISNUMBER(AG931),_xlfn.RANK.EQ(AG931,$AG$2:$AG$1031),"")</f>
        <v/>
      </c>
    </row>
    <row r="932">
      <c r="A932" s="18" t="n">
        <v>2176</v>
      </c>
      <c r="B932" s="18" t="inlineStr">
        <is>
          <t>نورهان  علي  مصباح علي  المدبولي</t>
        </is>
      </c>
      <c r="C932" s="1" t="n">
        <v>511.2</v>
      </c>
      <c r="D932" s="1" t="n">
        <v>23</v>
      </c>
      <c r="E932" s="1" t="n">
        <v>22</v>
      </c>
      <c r="F932" s="1" t="n">
        <v>19</v>
      </c>
      <c r="G932" s="1">
        <f>C932+D932+E932+F932</f>
        <v/>
      </c>
      <c r="H932" s="1">
        <f>IF(ISNUMBER(G932),G932,"")</f>
        <v/>
      </c>
      <c r="I932" s="1">
        <f>_xlfn.RANK.EQ(H932,$H$2:$H$1031)</f>
        <v/>
      </c>
      <c r="J932" s="5" t="n">
        <v>541.5</v>
      </c>
      <c r="K932" s="5" t="n">
        <v>46</v>
      </c>
      <c r="L932" s="5" t="n">
        <v>21</v>
      </c>
      <c r="M932" s="5" t="n">
        <v>23</v>
      </c>
      <c r="N932" s="5">
        <f>J932+K932+L932+M932</f>
        <v/>
      </c>
      <c r="O932" s="5">
        <f>IF(ISNUMBER(N932),N932,"")</f>
        <v/>
      </c>
      <c r="P932" s="5">
        <f>_xlfn.RANK.EQ(O932,$O$2:$O$1031)</f>
        <v/>
      </c>
      <c r="Q932" s="9" t="n">
        <v>216</v>
      </c>
      <c r="R932" s="9" t="n">
        <v>43</v>
      </c>
      <c r="S932" s="9" t="n">
        <v>25</v>
      </c>
      <c r="T932" s="9" t="n">
        <v>23</v>
      </c>
      <c r="U932" s="9">
        <f>Q932+R932+S932+T932</f>
        <v/>
      </c>
      <c r="V932" s="9">
        <f>IF(ISNUMBER(U932),U932,"")</f>
        <v/>
      </c>
      <c r="W932" s="9">
        <f>_xlfn.RANK.EQ(V932,$V$2:$V$1031)</f>
        <v/>
      </c>
      <c r="X932" s="13" t="n">
        <v>1256.6791666667</v>
      </c>
      <c r="Y932" s="13" t="n">
        <v>24.5</v>
      </c>
      <c r="Z932" s="13" t="n">
        <v>24</v>
      </c>
      <c r="AA932" s="13" t="n">
        <v>23</v>
      </c>
      <c r="AB932" s="13">
        <f>IF(ISNUMBER(X932),X932+N(Y932)+N(Z932)+N(AA932),X932)</f>
        <v/>
      </c>
      <c r="AC932" s="13">
        <f>IF(ISNUMBER(AB932),AB932,"")</f>
        <v/>
      </c>
      <c r="AD932" s="13">
        <f>IF(ISNUMBER(AC932),_xlfn.RANK.EQ(AC932,$AC$2:$AC$1031),"")</f>
        <v/>
      </c>
      <c r="AE932" s="15">
        <f>IF(ISNUMBER(AF932),AF932/3630,"")</f>
        <v/>
      </c>
      <c r="AF932" s="14">
        <f>IFERROR(C932+D932+E932+F932+J932+K932+L932+M932+Q932+R932+S932+T932+IF(ISNUMBER(X932),X932,0)+N(Y932)+N(Z932)+N(AA932),"")</f>
        <v/>
      </c>
      <c r="AG932" s="14">
        <f>IF(ISNUMBER(AF932),AF932,"")</f>
        <v/>
      </c>
      <c r="AH932" s="14">
        <f>IF(ISNUMBER(AG932),_xlfn.RANK.EQ(AG932,$AG$2:$AG$1031),"")</f>
        <v/>
      </c>
    </row>
    <row r="933">
      <c r="A933" s="18" t="n">
        <v>2177</v>
      </c>
      <c r="B933" s="18" t="inlineStr">
        <is>
          <t>نورهان دقنوش فؤاد احمد اسماعيل</t>
        </is>
      </c>
      <c r="C933" s="1" t="n">
        <v>567.8</v>
      </c>
      <c r="D933" s="1" t="n">
        <v>23</v>
      </c>
      <c r="E933" s="1" t="n">
        <v>25</v>
      </c>
      <c r="F933" s="1" t="n">
        <v>21</v>
      </c>
      <c r="G933" s="1">
        <f>C933+D933+E933+F933</f>
        <v/>
      </c>
      <c r="H933" s="1">
        <f>IF(ISNUMBER(G933),G933,"")</f>
        <v/>
      </c>
      <c r="I933" s="1">
        <f>_xlfn.RANK.EQ(H933,$H$2:$H$1031)</f>
        <v/>
      </c>
      <c r="J933" s="5" t="n">
        <v>561</v>
      </c>
      <c r="K933" s="5" t="n">
        <v>35</v>
      </c>
      <c r="L933" s="5" t="n">
        <v>24</v>
      </c>
      <c r="M933" s="5" t="n">
        <v>22</v>
      </c>
      <c r="N933" s="5">
        <f>J933+K933+L933+M933</f>
        <v/>
      </c>
      <c r="O933" s="5">
        <f>IF(ISNUMBER(N933),N933,"")</f>
        <v/>
      </c>
      <c r="P933" s="5">
        <f>_xlfn.RANK.EQ(O933,$O$2:$O$1031)</f>
        <v/>
      </c>
      <c r="Q933" s="9" t="n">
        <v>241</v>
      </c>
      <c r="R933" s="9" t="n">
        <v>40.5</v>
      </c>
      <c r="S933" s="9" t="n">
        <v>21</v>
      </c>
      <c r="T933" s="9" t="n">
        <v>24</v>
      </c>
      <c r="U933" s="9">
        <f>Q933+R933+S933+T933</f>
        <v/>
      </c>
      <c r="V933" s="9">
        <f>IF(ISNUMBER(U933),U933,"")</f>
        <v/>
      </c>
      <c r="W933" s="9">
        <f>_xlfn.RANK.EQ(V933,$V$2:$V$1031)</f>
        <v/>
      </c>
      <c r="X933" s="13" t="n">
        <v>1329.0708333333</v>
      </c>
      <c r="Y933" s="13" t="n">
        <v>22.5</v>
      </c>
      <c r="Z933" s="13" t="n">
        <v>25</v>
      </c>
      <c r="AA933" s="13" t="n">
        <v>23</v>
      </c>
      <c r="AB933" s="13">
        <f>IF(ISNUMBER(X933),X933+N(Y933)+N(Z933)+N(AA933),X933)</f>
        <v/>
      </c>
      <c r="AC933" s="13">
        <f>IF(ISNUMBER(AB933),AB933,"")</f>
        <v/>
      </c>
      <c r="AD933" s="13">
        <f>IF(ISNUMBER(AC933),_xlfn.RANK.EQ(AC933,$AC$2:$AC$1031),"")</f>
        <v/>
      </c>
      <c r="AE933" s="15">
        <f>IF(ISNUMBER(AF933),AF933/3630,"")</f>
        <v/>
      </c>
      <c r="AF933" s="14">
        <f>IFERROR(C933+D933+E933+F933+J933+K933+L933+M933+Q933+R933+S933+T933+IF(ISNUMBER(X933),X933,0)+N(Y933)+N(Z933)+N(AA933),"")</f>
        <v/>
      </c>
      <c r="AG933" s="14">
        <f>IF(ISNUMBER(AF933),AF933,"")</f>
        <v/>
      </c>
      <c r="AH933" s="14">
        <f>IF(ISNUMBER(AG933),_xlfn.RANK.EQ(AG933,$AG$2:$AG$1031),"")</f>
        <v/>
      </c>
    </row>
    <row r="934">
      <c r="A934" s="18" t="n">
        <v>2178</v>
      </c>
      <c r="B934" s="18" t="inlineStr">
        <is>
          <t>نورهان صبري السيد محمد درويش</t>
        </is>
      </c>
      <c r="C934" s="1" t="n">
        <v>572.3</v>
      </c>
      <c r="D934" s="1" t="n">
        <v>23</v>
      </c>
      <c r="E934" s="1" t="n">
        <v>21</v>
      </c>
      <c r="F934" s="1" t="n">
        <v>17</v>
      </c>
      <c r="G934" s="1">
        <f>C934+D934+E934+F934</f>
        <v/>
      </c>
      <c r="H934" s="1">
        <f>IF(ISNUMBER(G934),G934,"")</f>
        <v/>
      </c>
      <c r="I934" s="1">
        <f>_xlfn.RANK.EQ(H934,$H$2:$H$1031)</f>
        <v/>
      </c>
      <c r="J934" s="5" t="n">
        <v>595.5</v>
      </c>
      <c r="K934" s="5" t="n">
        <v>47</v>
      </c>
      <c r="L934" s="5" t="n">
        <v>20</v>
      </c>
      <c r="M934" s="5" t="n">
        <v>21</v>
      </c>
      <c r="N934" s="5">
        <f>J934+K934+L934+M934</f>
        <v/>
      </c>
      <c r="O934" s="5">
        <f>IF(ISNUMBER(N934),N934,"")</f>
        <v/>
      </c>
      <c r="P934" s="5">
        <f>_xlfn.RANK.EQ(O934,$O$2:$O$1031)</f>
        <v/>
      </c>
      <c r="Q934" s="9" t="n">
        <v>265</v>
      </c>
      <c r="R934" s="9" t="n">
        <v>45.5</v>
      </c>
      <c r="S934" s="9" t="n">
        <v>24</v>
      </c>
      <c r="T934" s="9" t="n">
        <v>24</v>
      </c>
      <c r="U934" s="9">
        <f>Q934+R934+S934+T934</f>
        <v/>
      </c>
      <c r="V934" s="9">
        <f>IF(ISNUMBER(U934),U934,"")</f>
        <v/>
      </c>
      <c r="W934" s="9">
        <f>_xlfn.RANK.EQ(V934,$V$2:$V$1031)</f>
        <v/>
      </c>
      <c r="X934" s="13" t="n">
        <v>1523.825</v>
      </c>
      <c r="Y934" s="13" t="n">
        <v>23.5</v>
      </c>
      <c r="Z934" s="13" t="n">
        <v>23</v>
      </c>
      <c r="AA934" s="13" t="n">
        <v>23</v>
      </c>
      <c r="AB934" s="13">
        <f>IF(ISNUMBER(X934),X934+N(Y934)+N(Z934)+N(AA934),X934)</f>
        <v/>
      </c>
      <c r="AC934" s="13">
        <f>IF(ISNUMBER(AB934),AB934,"")</f>
        <v/>
      </c>
      <c r="AD934" s="13">
        <f>IF(ISNUMBER(AC934),_xlfn.RANK.EQ(AC934,$AC$2:$AC$1031),"")</f>
        <v/>
      </c>
      <c r="AE934" s="15">
        <f>IF(ISNUMBER(AF934),AF934/3630,"")</f>
        <v/>
      </c>
      <c r="AF934" s="14">
        <f>IFERROR(C934+D934+E934+F934+J934+K934+L934+M934+Q934+R934+S934+T934+IF(ISNUMBER(X934),X934,0)+N(Y934)+N(Z934)+N(AA934),"")</f>
        <v/>
      </c>
      <c r="AG934" s="14">
        <f>IF(ISNUMBER(AF934),AF934,"")</f>
        <v/>
      </c>
      <c r="AH934" s="14">
        <f>IF(ISNUMBER(AG934),_xlfn.RANK.EQ(AG934,$AG$2:$AG$1031),"")</f>
        <v/>
      </c>
    </row>
    <row r="935">
      <c r="A935" s="18" t="n">
        <v>2180</v>
      </c>
      <c r="B935" s="18" t="inlineStr">
        <is>
          <t>نورهان هاشم السيد درويش</t>
        </is>
      </c>
      <c r="C935" s="1" t="n">
        <v>527.2</v>
      </c>
      <c r="D935" s="1" t="n">
        <v>17</v>
      </c>
      <c r="E935" s="1" t="n">
        <v>21</v>
      </c>
      <c r="F935" s="1" t="n">
        <v>20</v>
      </c>
      <c r="G935" s="1">
        <f>C935+D935+E935+F935</f>
        <v/>
      </c>
      <c r="H935" s="1">
        <f>IF(ISNUMBER(G935),G935,"")</f>
        <v/>
      </c>
      <c r="I935" s="1">
        <f>_xlfn.RANK.EQ(H935,$H$2:$H$1031)</f>
        <v/>
      </c>
      <c r="J935" s="5" t="n">
        <v>540.5</v>
      </c>
      <c r="K935" s="5" t="n">
        <v>46</v>
      </c>
      <c r="L935" s="5" t="n">
        <v>21</v>
      </c>
      <c r="M935" s="5" t="n">
        <v>21</v>
      </c>
      <c r="N935" s="5">
        <f>J935+K935+L935+M935</f>
        <v/>
      </c>
      <c r="O935" s="5">
        <f>IF(ISNUMBER(N935),N935,"")</f>
        <v/>
      </c>
      <c r="P935" s="5">
        <f>_xlfn.RANK.EQ(O935,$O$2:$O$1031)</f>
        <v/>
      </c>
      <c r="Q935" s="9" t="n">
        <v>237</v>
      </c>
      <c r="R935" s="9" t="n">
        <v>44</v>
      </c>
      <c r="S935" s="9" t="n">
        <v>24</v>
      </c>
      <c r="T935" s="9" t="n">
        <v>24</v>
      </c>
      <c r="U935" s="9">
        <f>Q935+R935+S935+T935</f>
        <v/>
      </c>
      <c r="V935" s="9">
        <f>IF(ISNUMBER(U935),U935,"")</f>
        <v/>
      </c>
      <c r="W935" s="9">
        <f>_xlfn.RANK.EQ(V935,$V$2:$V$1031)</f>
        <v/>
      </c>
      <c r="X935" s="13" t="n">
        <v>1422.4416666667</v>
      </c>
      <c r="Y935" s="13" t="n">
        <v>24.5</v>
      </c>
      <c r="Z935" s="13" t="n">
        <v>24</v>
      </c>
      <c r="AA935" s="13" t="n">
        <v>22</v>
      </c>
      <c r="AB935" s="13">
        <f>IF(ISNUMBER(X935),X935+N(Y935)+N(Z935)+N(AA935),X935)</f>
        <v/>
      </c>
      <c r="AC935" s="13">
        <f>IF(ISNUMBER(AB935),AB935,"")</f>
        <v/>
      </c>
      <c r="AD935" s="13">
        <f>IF(ISNUMBER(AC935),_xlfn.RANK.EQ(AC935,$AC$2:$AC$1031),"")</f>
        <v/>
      </c>
      <c r="AE935" s="15">
        <f>IF(ISNUMBER(AF935),AF935/3630,"")</f>
        <v/>
      </c>
      <c r="AF935" s="14">
        <f>IFERROR(C935+D935+E935+F935+J935+K935+L935+M935+Q935+R935+S935+T935+IF(ISNUMBER(X935),X935,0)+N(Y935)+N(Z935)+N(AA935),"")</f>
        <v/>
      </c>
      <c r="AG935" s="14">
        <f>IF(ISNUMBER(AF935),AF935,"")</f>
        <v/>
      </c>
      <c r="AH935" s="14">
        <f>IF(ISNUMBER(AG935),_xlfn.RANK.EQ(AG935,$AG$2:$AG$1031),"")</f>
        <v/>
      </c>
    </row>
    <row r="936">
      <c r="A936" s="18" t="n">
        <v>2181</v>
      </c>
      <c r="B936" s="18" t="inlineStr">
        <is>
          <t>نورين ايمن احمد سليمان</t>
        </is>
      </c>
      <c r="C936" s="1" t="n">
        <v>623.6</v>
      </c>
      <c r="D936" s="1" t="n">
        <v>23</v>
      </c>
      <c r="E936" s="1" t="n">
        <v>24</v>
      </c>
      <c r="F936" s="1" t="n">
        <v>23</v>
      </c>
      <c r="G936" s="1">
        <f>C936+D936+E936+F936</f>
        <v/>
      </c>
      <c r="H936" s="1">
        <f>IF(ISNUMBER(G936),G936,"")</f>
        <v/>
      </c>
      <c r="I936" s="1">
        <f>_xlfn.RANK.EQ(H936,$H$2:$H$1031)</f>
        <v/>
      </c>
      <c r="J936" s="5" t="n">
        <v>602</v>
      </c>
      <c r="K936" s="5" t="n">
        <v>48</v>
      </c>
      <c r="L936" s="5" t="n">
        <v>21</v>
      </c>
      <c r="M936" s="5" t="n">
        <v>24</v>
      </c>
      <c r="N936" s="5">
        <f>J936+K936+L936+M936</f>
        <v/>
      </c>
      <c r="O936" s="5">
        <f>IF(ISNUMBER(N936),N936,"")</f>
        <v/>
      </c>
      <c r="P936" s="5">
        <f>_xlfn.RANK.EQ(O936,$O$2:$O$1031)</f>
        <v/>
      </c>
      <c r="Q936" s="9" t="n">
        <v>258</v>
      </c>
      <c r="R936" s="9" t="n">
        <v>46.5</v>
      </c>
      <c r="S936" s="9" t="n">
        <v>24</v>
      </c>
      <c r="T936" s="9" t="n">
        <v>25</v>
      </c>
      <c r="U936" s="9">
        <f>Q936+R936+S936+T936</f>
        <v/>
      </c>
      <c r="V936" s="9">
        <f>IF(ISNUMBER(U936),U936,"")</f>
        <v/>
      </c>
      <c r="W936" s="9">
        <f>_xlfn.RANK.EQ(V936,$V$2:$V$1031)</f>
        <v/>
      </c>
      <c r="X936" s="13" t="n">
        <v>1426.525</v>
      </c>
      <c r="Y936" s="13" t="n">
        <v>24.5</v>
      </c>
      <c r="Z936" s="13" t="n">
        <v>25</v>
      </c>
      <c r="AA936" s="13" t="n">
        <v>25</v>
      </c>
      <c r="AB936" s="13">
        <f>IF(ISNUMBER(X936),X936+N(Y936)+N(Z936)+N(AA936),X936)</f>
        <v/>
      </c>
      <c r="AC936" s="13">
        <f>IF(ISNUMBER(AB936),AB936,"")</f>
        <v/>
      </c>
      <c r="AD936" s="13">
        <f>IF(ISNUMBER(AC936),_xlfn.RANK.EQ(AC936,$AC$2:$AC$1031),"")</f>
        <v/>
      </c>
      <c r="AE936" s="15">
        <f>IF(ISNUMBER(AF936),AF936/3630,"")</f>
        <v/>
      </c>
      <c r="AF936" s="14">
        <f>IFERROR(C936+D936+E936+F936+J936+K936+L936+M936+Q936+R936+S936+T936+IF(ISNUMBER(X936),X936,0)+N(Y936)+N(Z936)+N(AA936),"")</f>
        <v/>
      </c>
      <c r="AG936" s="14">
        <f>IF(ISNUMBER(AF936),AF936,"")</f>
        <v/>
      </c>
      <c r="AH936" s="14">
        <f>IF(ISNUMBER(AG936),_xlfn.RANK.EQ(AG936,$AG$2:$AG$1031),"")</f>
        <v/>
      </c>
    </row>
    <row r="937">
      <c r="A937" s="18" t="n">
        <v>2182</v>
      </c>
      <c r="B937" s="18" t="inlineStr">
        <is>
          <t>نورين عاصم مجدي الكاشف</t>
        </is>
      </c>
      <c r="C937" s="1" t="n">
        <v>499.5</v>
      </c>
      <c r="D937" s="1" t="n">
        <v>23</v>
      </c>
      <c r="E937" s="1" t="n">
        <v>22</v>
      </c>
      <c r="F937" s="1" t="n">
        <v>17</v>
      </c>
      <c r="G937" s="1">
        <f>C937+D937+E937+F937</f>
        <v/>
      </c>
      <c r="H937" s="1">
        <f>IF(ISNUMBER(G937),G937,"")</f>
        <v/>
      </c>
      <c r="I937" s="1">
        <f>_xlfn.RANK.EQ(H937,$H$2:$H$1031)</f>
        <v/>
      </c>
      <c r="J937" s="5" t="n">
        <v>550.5</v>
      </c>
      <c r="K937" s="5" t="n">
        <v>37</v>
      </c>
      <c r="L937" s="5" t="n">
        <v>21</v>
      </c>
      <c r="M937" s="5" t="n">
        <v>19</v>
      </c>
      <c r="N937" s="5">
        <f>J937+K937+L937+M937</f>
        <v/>
      </c>
      <c r="O937" s="5">
        <f>IF(ISNUMBER(N937),N937,"")</f>
        <v/>
      </c>
      <c r="P937" s="5">
        <f>_xlfn.RANK.EQ(O937,$O$2:$O$1031)</f>
        <v/>
      </c>
      <c r="Q937" s="9" t="n">
        <v>218</v>
      </c>
      <c r="R937" s="9" t="n">
        <v>40.5</v>
      </c>
      <c r="S937" s="9" t="n">
        <v>23</v>
      </c>
      <c r="T937" s="9" t="n">
        <v>23</v>
      </c>
      <c r="U937" s="9">
        <f>Q937+R937+S937+T937</f>
        <v/>
      </c>
      <c r="V937" s="9">
        <f>IF(ISNUMBER(U937),U937,"")</f>
        <v/>
      </c>
      <c r="W937" s="9">
        <f>_xlfn.RANK.EQ(V937,$V$2:$V$1031)</f>
        <v/>
      </c>
      <c r="X937" s="13" t="inlineStr">
        <is>
          <t>راسب</t>
        </is>
      </c>
      <c r="Y937" s="13" t="n">
        <v>21</v>
      </c>
      <c r="Z937" s="13" t="n">
        <v>23</v>
      </c>
      <c r="AA937" s="13" t="n">
        <v>20</v>
      </c>
      <c r="AB937" s="13">
        <f>IF(ISNUMBER(X937),X937+N(Y937)+N(Z937)+N(AA937),X937)</f>
        <v/>
      </c>
      <c r="AC937" s="13">
        <f>IF(ISNUMBER(AB937),AB937,"")</f>
        <v/>
      </c>
      <c r="AD937" s="13">
        <f>IF(ISNUMBER(AC937),_xlfn.RANK.EQ(AC937,$AC$2:$AC$1031),"")</f>
        <v/>
      </c>
      <c r="AE937" s="15">
        <f>IF(ISNUMBER(AF937),AF937/3630,"")</f>
        <v/>
      </c>
      <c r="AF937" s="14">
        <f>IFERROR(C937+D937+E937+F937+J937+K937+L937+M937+Q937+R937+S937+T937+IF(ISNUMBER(X937),X937,0)+N(Y937)+N(Z937)+N(AA937),"")</f>
        <v/>
      </c>
      <c r="AG937" s="14">
        <f>IF(ISNUMBER(AF937),AF937,"")</f>
        <v/>
      </c>
      <c r="AH937" s="14">
        <f>IF(ISNUMBER(AG937),_xlfn.RANK.EQ(AG937,$AG$2:$AG$1031),"")</f>
        <v/>
      </c>
    </row>
    <row r="938">
      <c r="A938" s="18" t="n">
        <v>2183</v>
      </c>
      <c r="B938" s="18" t="inlineStr">
        <is>
          <t>نورين عماد السيد يس</t>
        </is>
      </c>
      <c r="C938" s="1" t="n">
        <v>609.8</v>
      </c>
      <c r="D938" s="1" t="n">
        <v>25</v>
      </c>
      <c r="E938" s="1" t="n">
        <v>22</v>
      </c>
      <c r="F938" s="1" t="n">
        <v>21</v>
      </c>
      <c r="G938" s="1">
        <f>C938+D938+E938+F938</f>
        <v/>
      </c>
      <c r="H938" s="1">
        <f>IF(ISNUMBER(G938),G938,"")</f>
        <v/>
      </c>
      <c r="I938" s="1">
        <f>_xlfn.RANK.EQ(H938,$H$2:$H$1031)</f>
        <v/>
      </c>
      <c r="J938" s="5" t="n">
        <v>622.5</v>
      </c>
      <c r="K938" s="5" t="n">
        <v>48</v>
      </c>
      <c r="L938" s="5" t="n">
        <v>21</v>
      </c>
      <c r="M938" s="5" t="n">
        <v>22</v>
      </c>
      <c r="N938" s="5">
        <f>J938+K938+L938+M938</f>
        <v/>
      </c>
      <c r="O938" s="5">
        <f>IF(ISNUMBER(N938),N938,"")</f>
        <v/>
      </c>
      <c r="P938" s="5">
        <f>_xlfn.RANK.EQ(O938,$O$2:$O$1031)</f>
        <v/>
      </c>
      <c r="Q938" s="9" t="n">
        <v>266</v>
      </c>
      <c r="R938" s="9" t="n">
        <v>47.5</v>
      </c>
      <c r="S938" s="9" t="n">
        <v>23</v>
      </c>
      <c r="T938" s="9" t="n">
        <v>24</v>
      </c>
      <c r="U938" s="9">
        <f>Q938+R938+S938+T938</f>
        <v/>
      </c>
      <c r="V938" s="9">
        <f>IF(ISNUMBER(U938),U938,"")</f>
        <v/>
      </c>
      <c r="W938" s="9">
        <f>_xlfn.RANK.EQ(V938,$V$2:$V$1031)</f>
        <v/>
      </c>
      <c r="X938" s="13" t="n">
        <v>1481.5083333333</v>
      </c>
      <c r="Y938" s="13" t="n">
        <v>24</v>
      </c>
      <c r="Z938" s="13" t="n">
        <v>23</v>
      </c>
      <c r="AA938" s="13" t="n">
        <v>23</v>
      </c>
      <c r="AB938" s="13">
        <f>IF(ISNUMBER(X938),X938+N(Y938)+N(Z938)+N(AA938),X938)</f>
        <v/>
      </c>
      <c r="AC938" s="13">
        <f>IF(ISNUMBER(AB938),AB938,"")</f>
        <v/>
      </c>
      <c r="AD938" s="13">
        <f>IF(ISNUMBER(AC938),_xlfn.RANK.EQ(AC938,$AC$2:$AC$1031),"")</f>
        <v/>
      </c>
      <c r="AE938" s="15">
        <f>IF(ISNUMBER(AF938),AF938/3630,"")</f>
        <v/>
      </c>
      <c r="AF938" s="14">
        <f>IFERROR(C938+D938+E938+F938+J938+K938+L938+M938+Q938+R938+S938+T938+IF(ISNUMBER(X938),X938,0)+N(Y938)+N(Z938)+N(AA938),"")</f>
        <v/>
      </c>
      <c r="AG938" s="14">
        <f>IF(ISNUMBER(AF938),AF938,"")</f>
        <v/>
      </c>
      <c r="AH938" s="14">
        <f>IF(ISNUMBER(AG938),_xlfn.RANK.EQ(AG938,$AG$2:$AG$1031),"")</f>
        <v/>
      </c>
    </row>
    <row r="939">
      <c r="A939" s="18" t="n">
        <v>2187</v>
      </c>
      <c r="B939" s="18" t="inlineStr">
        <is>
          <t>نيروز ياسر حجاج العوادلي</t>
        </is>
      </c>
      <c r="C939" s="1" t="n">
        <v>445</v>
      </c>
      <c r="D939" s="1" t="n">
        <v>18</v>
      </c>
      <c r="E939" s="1" t="n">
        <v>17</v>
      </c>
      <c r="F939" s="1" t="n">
        <v>16</v>
      </c>
      <c r="G939" s="1">
        <f>C939+D939+E939+F939</f>
        <v/>
      </c>
      <c r="H939" s="1">
        <f>IF(ISNUMBER(G939),G939,"")</f>
        <v/>
      </c>
      <c r="I939" s="1">
        <f>_xlfn.RANK.EQ(H939,$H$2:$H$1031)</f>
        <v/>
      </c>
      <c r="J939" s="5" t="n">
        <v>458.9</v>
      </c>
      <c r="K939" s="5" t="n">
        <v>45</v>
      </c>
      <c r="L939" s="5" t="n">
        <v>22</v>
      </c>
      <c r="M939" s="5" t="n">
        <v>16</v>
      </c>
      <c r="N939" s="5">
        <f>J939+K939+L939+M939</f>
        <v/>
      </c>
      <c r="O939" s="5">
        <f>IF(ISNUMBER(N939),N939,"")</f>
        <v/>
      </c>
      <c r="P939" s="5">
        <f>_xlfn.RANK.EQ(O939,$O$2:$O$1031)</f>
        <v/>
      </c>
      <c r="Q939" s="9" t="n">
        <v>208</v>
      </c>
      <c r="R939" s="9" t="n">
        <v>41</v>
      </c>
      <c r="S939" s="9" t="n">
        <v>23</v>
      </c>
      <c r="T939" s="9" t="n">
        <v>21</v>
      </c>
      <c r="U939" s="9">
        <f>Q939+R939+S939+T939</f>
        <v/>
      </c>
      <c r="V939" s="9">
        <f>IF(ISNUMBER(U939),U939,"")</f>
        <v/>
      </c>
      <c r="W939" s="9">
        <f>_xlfn.RANK.EQ(V939,$V$2:$V$1031)</f>
        <v/>
      </c>
      <c r="X939" s="13" t="inlineStr">
        <is>
          <t>راسب</t>
        </is>
      </c>
      <c r="Y939" s="13" t="n">
        <v>23</v>
      </c>
      <c r="Z939" s="13" t="n">
        <v>21</v>
      </c>
      <c r="AA939" s="13" t="n">
        <v>20</v>
      </c>
      <c r="AB939" s="13">
        <f>IF(ISNUMBER(X939),X939+N(Y939)+N(Z939)+N(AA939),X939)</f>
        <v/>
      </c>
      <c r="AC939" s="13">
        <f>IF(ISNUMBER(AB939),AB939,"")</f>
        <v/>
      </c>
      <c r="AD939" s="13">
        <f>IF(ISNUMBER(AC939),_xlfn.RANK.EQ(AC939,$AC$2:$AC$1031),"")</f>
        <v/>
      </c>
      <c r="AE939" s="15">
        <f>IF(ISNUMBER(AF939),AF939/3630,"")</f>
        <v/>
      </c>
      <c r="AF939" s="14">
        <f>IFERROR(C939+D939+E939+F939+J939+K939+L939+M939+Q939+R939+S939+T939+IF(ISNUMBER(X939),X939,0)+N(Y939)+N(Z939)+N(AA939),"")</f>
        <v/>
      </c>
      <c r="AG939" s="14">
        <f>IF(ISNUMBER(AF939),AF939,"")</f>
        <v/>
      </c>
      <c r="AH939" s="14">
        <f>IF(ISNUMBER(AG939),_xlfn.RANK.EQ(AG939,$AG$2:$AG$1031),"")</f>
        <v/>
      </c>
    </row>
    <row r="940">
      <c r="A940" s="18" t="n">
        <v>2189</v>
      </c>
      <c r="B940" s="18" t="inlineStr">
        <is>
          <t>هاجر السيد عبدالفتاح محمد</t>
        </is>
      </c>
      <c r="C940" s="1" t="n">
        <v>630.6</v>
      </c>
      <c r="D940" s="1" t="n">
        <v>24</v>
      </c>
      <c r="E940" s="1" t="n">
        <v>24</v>
      </c>
      <c r="F940" s="1" t="n">
        <v>24</v>
      </c>
      <c r="G940" s="1">
        <f>C940+D940+E940+F940</f>
        <v/>
      </c>
      <c r="H940" s="1">
        <f>IF(ISNUMBER(G940),G940,"")</f>
        <v/>
      </c>
      <c r="I940" s="1">
        <f>_xlfn.RANK.EQ(H940,$H$2:$H$1031)</f>
        <v/>
      </c>
      <c r="J940" s="5" t="n">
        <v>623</v>
      </c>
      <c r="K940" s="5" t="n">
        <v>48</v>
      </c>
      <c r="L940" s="5" t="n">
        <v>22</v>
      </c>
      <c r="M940" s="5" t="n">
        <v>23</v>
      </c>
      <c r="N940" s="5">
        <f>J940+K940+L940+M940</f>
        <v/>
      </c>
      <c r="O940" s="5">
        <f>IF(ISNUMBER(N940),N940,"")</f>
        <v/>
      </c>
      <c r="P940" s="5">
        <f>_xlfn.RANK.EQ(O940,$O$2:$O$1031)</f>
        <v/>
      </c>
      <c r="Q940" s="9" t="n">
        <v>260</v>
      </c>
      <c r="R940" s="9" t="n">
        <v>48</v>
      </c>
      <c r="S940" s="9" t="n">
        <v>25</v>
      </c>
      <c r="T940" s="9" t="n">
        <v>24</v>
      </c>
      <c r="U940" s="9">
        <f>Q940+R940+S940+T940</f>
        <v/>
      </c>
      <c r="V940" s="9">
        <f>IF(ISNUMBER(U940),U940,"")</f>
        <v/>
      </c>
      <c r="W940" s="9">
        <f>_xlfn.RANK.EQ(V940,$V$2:$V$1031)</f>
        <v/>
      </c>
      <c r="X940" s="13" t="n">
        <v>1438.5083333333</v>
      </c>
      <c r="Y940" s="13" t="n">
        <v>24.5</v>
      </c>
      <c r="Z940" s="13" t="n">
        <v>24</v>
      </c>
      <c r="AA940" s="13" t="n">
        <v>25</v>
      </c>
      <c r="AB940" s="13">
        <f>IF(ISNUMBER(X940),X940+N(Y940)+N(Z940)+N(AA940),X940)</f>
        <v/>
      </c>
      <c r="AC940" s="13">
        <f>IF(ISNUMBER(AB940),AB940,"")</f>
        <v/>
      </c>
      <c r="AD940" s="13">
        <f>IF(ISNUMBER(AC940),_xlfn.RANK.EQ(AC940,$AC$2:$AC$1031),"")</f>
        <v/>
      </c>
      <c r="AE940" s="15">
        <f>IF(ISNUMBER(AF940),AF940/3630,"")</f>
        <v/>
      </c>
      <c r="AF940" s="14">
        <f>IFERROR(C940+D940+E940+F940+J940+K940+L940+M940+Q940+R940+S940+T940+IF(ISNUMBER(X940),X940,0)+N(Y940)+N(Z940)+N(AA940),"")</f>
        <v/>
      </c>
      <c r="AG940" s="14">
        <f>IF(ISNUMBER(AF940),AF940,"")</f>
        <v/>
      </c>
      <c r="AH940" s="14">
        <f>IF(ISNUMBER(AG940),_xlfn.RANK.EQ(AG940,$AG$2:$AG$1031),"")</f>
        <v/>
      </c>
    </row>
    <row r="941">
      <c r="A941" s="18" t="n">
        <v>2190</v>
      </c>
      <c r="B941" s="18" t="inlineStr">
        <is>
          <t>هاجر ايهاب محمد الرمادي</t>
        </is>
      </c>
      <c r="C941" s="1" t="n">
        <v>543.6</v>
      </c>
      <c r="D941" s="1" t="n">
        <v>25</v>
      </c>
      <c r="E941" s="1" t="n">
        <v>25</v>
      </c>
      <c r="F941" s="1" t="n">
        <v>21</v>
      </c>
      <c r="G941" s="1">
        <f>C941+D941+E941+F941</f>
        <v/>
      </c>
      <c r="H941" s="1">
        <f>IF(ISNUMBER(G941),G941,"")</f>
        <v/>
      </c>
      <c r="I941" s="1">
        <f>_xlfn.RANK.EQ(H941,$H$2:$H$1031)</f>
        <v/>
      </c>
      <c r="J941" s="5" t="n">
        <v>608</v>
      </c>
      <c r="K941" s="5" t="n">
        <v>45</v>
      </c>
      <c r="L941" s="5" t="n">
        <v>23</v>
      </c>
      <c r="M941" s="5" t="n">
        <v>23</v>
      </c>
      <c r="N941" s="5">
        <f>J941+K941+L941+M941</f>
        <v/>
      </c>
      <c r="O941" s="5">
        <f>IF(ISNUMBER(N941),N941,"")</f>
        <v/>
      </c>
      <c r="P941" s="5">
        <f>_xlfn.RANK.EQ(O941,$O$2:$O$1031)</f>
        <v/>
      </c>
      <c r="Q941" s="9" t="n">
        <v>264.5</v>
      </c>
      <c r="R941" s="9" t="n">
        <v>48</v>
      </c>
      <c r="S941" s="9" t="n">
        <v>25</v>
      </c>
      <c r="T941" s="9" t="n">
        <v>24</v>
      </c>
      <c r="U941" s="9">
        <f>Q941+R941+S941+T941</f>
        <v/>
      </c>
      <c r="V941" s="9">
        <f>IF(ISNUMBER(U941),U941,"")</f>
        <v/>
      </c>
      <c r="W941" s="9">
        <f>_xlfn.RANK.EQ(V941,$V$2:$V$1031)</f>
        <v/>
      </c>
      <c r="X941" s="13" t="n">
        <v>1358.925</v>
      </c>
      <c r="Y941" s="13" t="n">
        <v>21.5</v>
      </c>
      <c r="Z941" s="13" t="n">
        <v>24</v>
      </c>
      <c r="AA941" s="13" t="n">
        <v>23</v>
      </c>
      <c r="AB941" s="13">
        <f>IF(ISNUMBER(X941),X941+N(Y941)+N(Z941)+N(AA941),X941)</f>
        <v/>
      </c>
      <c r="AC941" s="13">
        <f>IF(ISNUMBER(AB941),AB941,"")</f>
        <v/>
      </c>
      <c r="AD941" s="13">
        <f>IF(ISNUMBER(AC941),_xlfn.RANK.EQ(AC941,$AC$2:$AC$1031),"")</f>
        <v/>
      </c>
      <c r="AE941" s="15">
        <f>IF(ISNUMBER(AF941),AF941/3630,"")</f>
        <v/>
      </c>
      <c r="AF941" s="14">
        <f>IFERROR(C941+D941+E941+F941+J941+K941+L941+M941+Q941+R941+S941+T941+IF(ISNUMBER(X941),X941,0)+N(Y941)+N(Z941)+N(AA941),"")</f>
        <v/>
      </c>
      <c r="AG941" s="14">
        <f>IF(ISNUMBER(AF941),AF941,"")</f>
        <v/>
      </c>
      <c r="AH941" s="14">
        <f>IF(ISNUMBER(AG941),_xlfn.RANK.EQ(AG941,$AG$2:$AG$1031),"")</f>
        <v/>
      </c>
    </row>
    <row r="942">
      <c r="A942" s="18" t="n">
        <v>2191</v>
      </c>
      <c r="B942" s="18" t="inlineStr">
        <is>
          <t>هاجر حازم محمد امين</t>
        </is>
      </c>
      <c r="C942" s="1" t="n">
        <v>612.9</v>
      </c>
      <c r="D942" s="1" t="n">
        <v>23</v>
      </c>
      <c r="E942" s="1" t="n">
        <v>23</v>
      </c>
      <c r="F942" s="1" t="n">
        <v>22</v>
      </c>
      <c r="G942" s="1">
        <f>C942+D942+E942+F942</f>
        <v/>
      </c>
      <c r="H942" s="1">
        <f>IF(ISNUMBER(G942),G942,"")</f>
        <v/>
      </c>
      <c r="I942" s="1">
        <f>_xlfn.RANK.EQ(H942,$H$2:$H$1031)</f>
        <v/>
      </c>
      <c r="J942" s="5" t="n">
        <v>614.5</v>
      </c>
      <c r="K942" s="5" t="n">
        <v>47</v>
      </c>
      <c r="L942" s="5" t="n">
        <v>23</v>
      </c>
      <c r="M942" s="5" t="n">
        <v>17</v>
      </c>
      <c r="N942" s="5">
        <f>J942+K942+L942+M942</f>
        <v/>
      </c>
      <c r="O942" s="5">
        <f>IF(ISNUMBER(N942),N942,"")</f>
        <v/>
      </c>
      <c r="P942" s="5">
        <f>_xlfn.RANK.EQ(O942,$O$2:$O$1031)</f>
        <v/>
      </c>
      <c r="Q942" s="9" t="n">
        <v>264.5</v>
      </c>
      <c r="R942" s="9" t="n">
        <v>44.5</v>
      </c>
      <c r="S942" s="9" t="n">
        <v>25</v>
      </c>
      <c r="T942" s="9" t="n">
        <v>25</v>
      </c>
      <c r="U942" s="9">
        <f>Q942+R942+S942+T942</f>
        <v/>
      </c>
      <c r="V942" s="9">
        <f>IF(ISNUMBER(U942),U942,"")</f>
        <v/>
      </c>
      <c r="W942" s="9">
        <f>_xlfn.RANK.EQ(V942,$V$2:$V$1031)</f>
        <v/>
      </c>
      <c r="X942" s="13" t="n">
        <v>1462.9583333333</v>
      </c>
      <c r="Y942" s="13" t="n">
        <v>24</v>
      </c>
      <c r="Z942" s="13" t="n">
        <v>22</v>
      </c>
      <c r="AA942" s="13" t="n">
        <v>22</v>
      </c>
      <c r="AB942" s="13">
        <f>IF(ISNUMBER(X942),X942+N(Y942)+N(Z942)+N(AA942),X942)</f>
        <v/>
      </c>
      <c r="AC942" s="13">
        <f>IF(ISNUMBER(AB942),AB942,"")</f>
        <v/>
      </c>
      <c r="AD942" s="13">
        <f>IF(ISNUMBER(AC942),_xlfn.RANK.EQ(AC942,$AC$2:$AC$1031),"")</f>
        <v/>
      </c>
      <c r="AE942" s="15">
        <f>IF(ISNUMBER(AF942),AF942/3630,"")</f>
        <v/>
      </c>
      <c r="AF942" s="14">
        <f>IFERROR(C942+D942+E942+F942+J942+K942+L942+M942+Q942+R942+S942+T942+IF(ISNUMBER(X942),X942,0)+N(Y942)+N(Z942)+N(AA942),"")</f>
        <v/>
      </c>
      <c r="AG942" s="14">
        <f>IF(ISNUMBER(AF942),AF942,"")</f>
        <v/>
      </c>
      <c r="AH942" s="14">
        <f>IF(ISNUMBER(AG942),_xlfn.RANK.EQ(AG942,$AG$2:$AG$1031),"")</f>
        <v/>
      </c>
    </row>
    <row r="943">
      <c r="A943" s="18" t="n">
        <v>2193</v>
      </c>
      <c r="B943" s="18" t="inlineStr">
        <is>
          <t>هاجر عبد الهادى عبد العاطى عبد السلام</t>
        </is>
      </c>
      <c r="C943" s="1" t="n">
        <v>562.9</v>
      </c>
      <c r="D943" s="1" t="n">
        <v>22</v>
      </c>
      <c r="E943" s="1" t="n">
        <v>21</v>
      </c>
      <c r="F943" s="1" t="n">
        <v>20</v>
      </c>
      <c r="G943" s="1">
        <f>C943+D943+E943+F943</f>
        <v/>
      </c>
      <c r="H943" s="1">
        <f>IF(ISNUMBER(G943),G943,"")</f>
        <v/>
      </c>
      <c r="I943" s="1">
        <f>_xlfn.RANK.EQ(H943,$H$2:$H$1031)</f>
        <v/>
      </c>
      <c r="J943" s="5" t="n">
        <v>552.5</v>
      </c>
      <c r="K943" s="5" t="n">
        <v>47</v>
      </c>
      <c r="L943" s="5" t="n">
        <v>21</v>
      </c>
      <c r="M943" s="5" t="n">
        <v>19</v>
      </c>
      <c r="N943" s="5">
        <f>J943+K943+L943+M943</f>
        <v/>
      </c>
      <c r="O943" s="5">
        <f>IF(ISNUMBER(N943),N943,"")</f>
        <v/>
      </c>
      <c r="P943" s="5">
        <f>_xlfn.RANK.EQ(O943,$O$2:$O$1031)</f>
        <v/>
      </c>
      <c r="Q943" s="9" t="n">
        <v>248</v>
      </c>
      <c r="R943" s="9" t="n">
        <v>47</v>
      </c>
      <c r="S943" s="9" t="n">
        <v>22</v>
      </c>
      <c r="T943" s="9" t="n">
        <v>24</v>
      </c>
      <c r="U943" s="9">
        <f>Q943+R943+S943+T943</f>
        <v/>
      </c>
      <c r="V943" s="9">
        <f>IF(ISNUMBER(U943),U943,"")</f>
        <v/>
      </c>
      <c r="W943" s="9">
        <f>_xlfn.RANK.EQ(V943,$V$2:$V$1031)</f>
        <v/>
      </c>
      <c r="X943" s="13" t="n">
        <v>1409.225</v>
      </c>
      <c r="Y943" s="13" t="n">
        <v>23.5</v>
      </c>
      <c r="Z943" s="13" t="n">
        <v>24</v>
      </c>
      <c r="AA943" s="13" t="n">
        <v>24</v>
      </c>
      <c r="AB943" s="13">
        <f>IF(ISNUMBER(X943),X943+N(Y943)+N(Z943)+N(AA943),X943)</f>
        <v/>
      </c>
      <c r="AC943" s="13">
        <f>IF(ISNUMBER(AB943),AB943,"")</f>
        <v/>
      </c>
      <c r="AD943" s="13">
        <f>IF(ISNUMBER(AC943),_xlfn.RANK.EQ(AC943,$AC$2:$AC$1031),"")</f>
        <v/>
      </c>
      <c r="AE943" s="15">
        <f>IF(ISNUMBER(AF943),AF943/3630,"")</f>
        <v/>
      </c>
      <c r="AF943" s="14">
        <f>IFERROR(C943+D943+E943+F943+J943+K943+L943+M943+Q943+R943+S943+T943+IF(ISNUMBER(X943),X943,0)+N(Y943)+N(Z943)+N(AA943),"")</f>
        <v/>
      </c>
      <c r="AG943" s="14">
        <f>IF(ISNUMBER(AF943),AF943,"")</f>
        <v/>
      </c>
      <c r="AH943" s="14">
        <f>IF(ISNUMBER(AG943),_xlfn.RANK.EQ(AG943,$AG$2:$AG$1031),"")</f>
        <v/>
      </c>
    </row>
    <row r="944">
      <c r="A944" s="18" t="n">
        <v>2194</v>
      </c>
      <c r="B944" s="18" t="inlineStr">
        <is>
          <t>هاجر مجدي عبد الحميد محمد السيد جادو</t>
        </is>
      </c>
      <c r="C944" s="1" t="n">
        <v>642.1</v>
      </c>
      <c r="D944" s="1" t="n">
        <v>24</v>
      </c>
      <c r="E944" s="1" t="n">
        <v>24</v>
      </c>
      <c r="F944" s="1" t="n">
        <v>24</v>
      </c>
      <c r="G944" s="1">
        <f>C944+D944+E944+F944</f>
        <v/>
      </c>
      <c r="H944" s="1">
        <f>IF(ISNUMBER(G944),G944,"")</f>
        <v/>
      </c>
      <c r="I944" s="1">
        <f>_xlfn.RANK.EQ(H944,$H$2:$H$1031)</f>
        <v/>
      </c>
      <c r="J944" s="5" t="n">
        <v>622.5</v>
      </c>
      <c r="K944" s="5" t="n">
        <v>48</v>
      </c>
      <c r="L944" s="5" t="n">
        <v>22</v>
      </c>
      <c r="M944" s="5" t="n">
        <v>24</v>
      </c>
      <c r="N944" s="5">
        <f>J944+K944+L944+M944</f>
        <v/>
      </c>
      <c r="O944" s="5">
        <f>IF(ISNUMBER(N944),N944,"")</f>
        <v/>
      </c>
      <c r="P944" s="5">
        <f>_xlfn.RANK.EQ(O944,$O$2:$O$1031)</f>
        <v/>
      </c>
      <c r="Q944" s="9" t="n">
        <v>274</v>
      </c>
      <c r="R944" s="9" t="n">
        <v>45.5</v>
      </c>
      <c r="S944" s="9" t="n">
        <v>25</v>
      </c>
      <c r="T944" s="9" t="n">
        <v>23</v>
      </c>
      <c r="U944" s="9">
        <f>Q944+R944+S944+T944</f>
        <v/>
      </c>
      <c r="V944" s="9">
        <f>IF(ISNUMBER(U944),U944,"")</f>
        <v/>
      </c>
      <c r="W944" s="9">
        <f>_xlfn.RANK.EQ(V944,$V$2:$V$1031)</f>
        <v/>
      </c>
      <c r="X944" s="13" t="n">
        <v>1548.7416666667</v>
      </c>
      <c r="Y944" s="13" t="n">
        <v>24.5</v>
      </c>
      <c r="Z944" s="13" t="n">
        <v>25</v>
      </c>
      <c r="AA944" s="13" t="n">
        <v>24</v>
      </c>
      <c r="AB944" s="13">
        <f>IF(ISNUMBER(X944),X944+N(Y944)+N(Z944)+N(AA944),X944)</f>
        <v/>
      </c>
      <c r="AC944" s="13">
        <f>IF(ISNUMBER(AB944),AB944,"")</f>
        <v/>
      </c>
      <c r="AD944" s="13">
        <f>IF(ISNUMBER(AC944),_xlfn.RANK.EQ(AC944,$AC$2:$AC$1031),"")</f>
        <v/>
      </c>
      <c r="AE944" s="15">
        <f>IF(ISNUMBER(AF944),AF944/3630,"")</f>
        <v/>
      </c>
      <c r="AF944" s="14">
        <f>IFERROR(C944+D944+E944+F944+J944+K944+L944+M944+Q944+R944+S944+T944+IF(ISNUMBER(X944),X944,0)+N(Y944)+N(Z944)+N(AA944),"")</f>
        <v/>
      </c>
      <c r="AG944" s="14">
        <f>IF(ISNUMBER(AF944),AF944,"")</f>
        <v/>
      </c>
      <c r="AH944" s="14">
        <f>IF(ISNUMBER(AG944),_xlfn.RANK.EQ(AG944,$AG$2:$AG$1031),"")</f>
        <v/>
      </c>
    </row>
    <row r="945">
      <c r="A945" s="18" t="n">
        <v>2195</v>
      </c>
      <c r="B945" s="18" t="inlineStr">
        <is>
          <t>هاجر محمد  ابراهيم عبدالله</t>
        </is>
      </c>
      <c r="C945" s="1" t="n">
        <v>502.5</v>
      </c>
      <c r="D945" s="1" t="n">
        <v>18</v>
      </c>
      <c r="E945" s="1" t="n">
        <v>21</v>
      </c>
      <c r="F945" s="1" t="n">
        <v>21</v>
      </c>
      <c r="G945" s="1">
        <f>C945+D945+E945+F945</f>
        <v/>
      </c>
      <c r="H945" s="1">
        <f>IF(ISNUMBER(G945),G945,"")</f>
        <v/>
      </c>
      <c r="I945" s="1">
        <f>_xlfn.RANK.EQ(H945,$H$2:$H$1031)</f>
        <v/>
      </c>
      <c r="J945" s="5" t="n">
        <v>560.5</v>
      </c>
      <c r="K945" s="5" t="n">
        <v>44</v>
      </c>
      <c r="L945" s="5" t="n">
        <v>22</v>
      </c>
      <c r="M945" s="5" t="n">
        <v>19</v>
      </c>
      <c r="N945" s="5">
        <f>J945+K945+L945+M945</f>
        <v/>
      </c>
      <c r="O945" s="5">
        <f>IF(ISNUMBER(N945),N945,"")</f>
        <v/>
      </c>
      <c r="P945" s="5">
        <f>_xlfn.RANK.EQ(O945,$O$2:$O$1031)</f>
        <v/>
      </c>
      <c r="Q945" s="9" t="n">
        <v>216</v>
      </c>
      <c r="R945" s="9" t="n">
        <v>45</v>
      </c>
      <c r="S945" s="9" t="n">
        <v>23</v>
      </c>
      <c r="T945" s="9" t="n">
        <v>25</v>
      </c>
      <c r="U945" s="9">
        <f>Q945+R945+S945+T945</f>
        <v/>
      </c>
      <c r="V945" s="9">
        <f>IF(ISNUMBER(U945),U945,"")</f>
        <v/>
      </c>
      <c r="W945" s="9">
        <f>_xlfn.RANK.EQ(V945,$V$2:$V$1031)</f>
        <v/>
      </c>
      <c r="X945" s="13" t="n">
        <v>1287.7416666667</v>
      </c>
      <c r="Y945" s="13" t="n">
        <v>24</v>
      </c>
      <c r="Z945" s="13" t="n">
        <v>24</v>
      </c>
      <c r="AA945" s="13" t="n">
        <v>24</v>
      </c>
      <c r="AB945" s="13">
        <f>IF(ISNUMBER(X945),X945+N(Y945)+N(Z945)+N(AA945),X945)</f>
        <v/>
      </c>
      <c r="AC945" s="13">
        <f>IF(ISNUMBER(AB945),AB945,"")</f>
        <v/>
      </c>
      <c r="AD945" s="13">
        <f>IF(ISNUMBER(AC945),_xlfn.RANK.EQ(AC945,$AC$2:$AC$1031),"")</f>
        <v/>
      </c>
      <c r="AE945" s="15">
        <f>IF(ISNUMBER(AF945),AF945/3630,"")</f>
        <v/>
      </c>
      <c r="AF945" s="14">
        <f>IFERROR(C945+D945+E945+F945+J945+K945+L945+M945+Q945+R945+S945+T945+IF(ISNUMBER(X945),X945,0)+N(Y945)+N(Z945)+N(AA945),"")</f>
        <v/>
      </c>
      <c r="AG945" s="14">
        <f>IF(ISNUMBER(AF945),AF945,"")</f>
        <v/>
      </c>
      <c r="AH945" s="14">
        <f>IF(ISNUMBER(AG945),_xlfn.RANK.EQ(AG945,$AG$2:$AG$1031),"")</f>
        <v/>
      </c>
    </row>
    <row r="946">
      <c r="A946" s="18" t="n">
        <v>2197</v>
      </c>
      <c r="B946" s="18" t="inlineStr">
        <is>
          <t>هاجر مصطفى ابوالثنا ابوالعينين</t>
        </is>
      </c>
      <c r="C946" s="1" t="n">
        <v>502.7</v>
      </c>
      <c r="D946" s="1" t="n">
        <v>19</v>
      </c>
      <c r="E946" s="1" t="n">
        <v>23</v>
      </c>
      <c r="F946" s="1" t="n">
        <v>21</v>
      </c>
      <c r="G946" s="1">
        <f>C946+D946+E946+F946</f>
        <v/>
      </c>
      <c r="H946" s="1">
        <f>IF(ISNUMBER(G946),G946,"")</f>
        <v/>
      </c>
      <c r="I946" s="1">
        <f>_xlfn.RANK.EQ(H946,$H$2:$H$1031)</f>
        <v/>
      </c>
      <c r="J946" s="5" t="n">
        <v>476</v>
      </c>
      <c r="K946" s="5" t="n">
        <v>40</v>
      </c>
      <c r="L946" s="5" t="n">
        <v>18</v>
      </c>
      <c r="M946" s="5" t="n">
        <v>19</v>
      </c>
      <c r="N946" s="5">
        <f>J946+K946+L946+M946</f>
        <v/>
      </c>
      <c r="O946" s="5">
        <f>IF(ISNUMBER(N946),N946,"")</f>
        <v/>
      </c>
      <c r="P946" s="5">
        <f>_xlfn.RANK.EQ(O946,$O$2:$O$1031)</f>
        <v/>
      </c>
      <c r="Q946" s="9" t="n">
        <v>179</v>
      </c>
      <c r="R946" s="9" t="n">
        <v>45.5</v>
      </c>
      <c r="S946" s="9" t="n">
        <v>24</v>
      </c>
      <c r="T946" s="9" t="n">
        <v>23</v>
      </c>
      <c r="U946" s="9">
        <f>Q946+R946+S946+T946</f>
        <v/>
      </c>
      <c r="V946" s="9">
        <f>IF(ISNUMBER(U946),U946,"")</f>
        <v/>
      </c>
      <c r="W946" s="9">
        <f>_xlfn.RANK.EQ(V946,$V$2:$V$1031)</f>
        <v/>
      </c>
      <c r="X946" s="13" t="n">
        <v>1253.4166666667</v>
      </c>
      <c r="Y946" s="13" t="n">
        <v>12.5</v>
      </c>
      <c r="Z946" s="13" t="n">
        <v>25</v>
      </c>
      <c r="AA946" s="13" t="n">
        <v>23</v>
      </c>
      <c r="AB946" s="13">
        <f>IF(ISNUMBER(X946),X946+N(Y946)+N(Z946)+N(AA946),X946)</f>
        <v/>
      </c>
      <c r="AC946" s="13">
        <f>IF(ISNUMBER(AB946),AB946,"")</f>
        <v/>
      </c>
      <c r="AD946" s="13">
        <f>IF(ISNUMBER(AC946),_xlfn.RANK.EQ(AC946,$AC$2:$AC$1031),"")</f>
        <v/>
      </c>
      <c r="AE946" s="15">
        <f>IF(ISNUMBER(AF946),AF946/3630,"")</f>
        <v/>
      </c>
      <c r="AF946" s="14">
        <f>IFERROR(C946+D946+E946+F946+J946+K946+L946+M946+Q946+R946+S946+T946+IF(ISNUMBER(X946),X946,0)+N(Y946)+N(Z946)+N(AA946),"")</f>
        <v/>
      </c>
      <c r="AG946" s="14">
        <f>IF(ISNUMBER(AF946),AF946,"")</f>
        <v/>
      </c>
      <c r="AH946" s="14">
        <f>IF(ISNUMBER(AG946),_xlfn.RANK.EQ(AG946,$AG$2:$AG$1031),"")</f>
        <v/>
      </c>
    </row>
    <row r="947">
      <c r="A947" s="18" t="n">
        <v>2205</v>
      </c>
      <c r="B947" s="18" t="inlineStr">
        <is>
          <t>هانيا مجدى اسماعيل احمد محمد</t>
        </is>
      </c>
      <c r="C947" s="1" t="n">
        <v>593.2</v>
      </c>
      <c r="D947" s="1" t="n">
        <v>25</v>
      </c>
      <c r="E947" s="1" t="n">
        <v>25</v>
      </c>
      <c r="F947" s="1" t="n">
        <v>20</v>
      </c>
      <c r="G947" s="1">
        <f>C947+D947+E947+F947</f>
        <v/>
      </c>
      <c r="H947" s="1">
        <f>IF(ISNUMBER(G947),G947,"")</f>
        <v/>
      </c>
      <c r="I947" s="1">
        <f>_xlfn.RANK.EQ(H947,$H$2:$H$1031)</f>
        <v/>
      </c>
      <c r="J947" s="5" t="n">
        <v>544</v>
      </c>
      <c r="K947" s="5" t="n">
        <v>46</v>
      </c>
      <c r="L947" s="5" t="n">
        <v>22</v>
      </c>
      <c r="M947" s="5" t="n">
        <v>24</v>
      </c>
      <c r="N947" s="5">
        <f>J947+K947+L947+M947</f>
        <v/>
      </c>
      <c r="O947" s="5">
        <f>IF(ISNUMBER(N947),N947,"")</f>
        <v/>
      </c>
      <c r="P947" s="5">
        <f>_xlfn.RANK.EQ(O947,$O$2:$O$1031)</f>
        <v/>
      </c>
      <c r="Q947" s="9" t="n">
        <v>247</v>
      </c>
      <c r="R947" s="9" t="n">
        <v>47.5</v>
      </c>
      <c r="S947" s="9" t="n">
        <v>25</v>
      </c>
      <c r="T947" s="9" t="n">
        <v>25</v>
      </c>
      <c r="U947" s="9">
        <f>Q947+R947+S947+T947</f>
        <v/>
      </c>
      <c r="V947" s="9">
        <f>IF(ISNUMBER(U947),U947,"")</f>
        <v/>
      </c>
      <c r="W947" s="9">
        <f>_xlfn.RANK.EQ(V947,$V$2:$V$1031)</f>
        <v/>
      </c>
      <c r="X947" s="13" t="n">
        <v>1404.9541666667</v>
      </c>
      <c r="Y947" s="13" t="n">
        <v>23.5</v>
      </c>
      <c r="Z947" s="13" t="n">
        <v>24</v>
      </c>
      <c r="AA947" s="13" t="n">
        <v>25</v>
      </c>
      <c r="AB947" s="13">
        <f>IF(ISNUMBER(X947),X947+N(Y947)+N(Z947)+N(AA947),X947)</f>
        <v/>
      </c>
      <c r="AC947" s="13">
        <f>IF(ISNUMBER(AB947),AB947,"")</f>
        <v/>
      </c>
      <c r="AD947" s="13">
        <f>IF(ISNUMBER(AC947),_xlfn.RANK.EQ(AC947,$AC$2:$AC$1031),"")</f>
        <v/>
      </c>
      <c r="AE947" s="15">
        <f>IF(ISNUMBER(AF947),AF947/3630,"")</f>
        <v/>
      </c>
      <c r="AF947" s="14">
        <f>IFERROR(C947+D947+E947+F947+J947+K947+L947+M947+Q947+R947+S947+T947+IF(ISNUMBER(X947),X947,0)+N(Y947)+N(Z947)+N(AA947),"")</f>
        <v/>
      </c>
      <c r="AG947" s="14">
        <f>IF(ISNUMBER(AF947),AF947,"")</f>
        <v/>
      </c>
      <c r="AH947" s="14">
        <f>IF(ISNUMBER(AG947),_xlfn.RANK.EQ(AG947,$AG$2:$AG$1031),"")</f>
        <v/>
      </c>
    </row>
    <row r="948">
      <c r="A948" s="18" t="n">
        <v>2206</v>
      </c>
      <c r="B948" s="18" t="inlineStr">
        <is>
          <t>هايدى ايهاب مسعود فخر الدين</t>
        </is>
      </c>
      <c r="C948" s="1" t="n">
        <v>598.3</v>
      </c>
      <c r="D948" s="1" t="n">
        <v>25</v>
      </c>
      <c r="E948" s="1" t="n">
        <v>23</v>
      </c>
      <c r="F948" s="1" t="n">
        <v>23</v>
      </c>
      <c r="G948" s="1">
        <f>C948+D948+E948+F948</f>
        <v/>
      </c>
      <c r="H948" s="1">
        <f>IF(ISNUMBER(G948),G948,"")</f>
        <v/>
      </c>
      <c r="I948" s="1">
        <f>_xlfn.RANK.EQ(H948,$H$2:$H$1031)</f>
        <v/>
      </c>
      <c r="J948" s="5" t="n">
        <v>613</v>
      </c>
      <c r="K948" s="5" t="n">
        <v>47</v>
      </c>
      <c r="L948" s="5" t="n">
        <v>19</v>
      </c>
      <c r="M948" s="5" t="n">
        <v>25</v>
      </c>
      <c r="N948" s="5">
        <f>J948+K948+L948+M948</f>
        <v/>
      </c>
      <c r="O948" s="5">
        <f>IF(ISNUMBER(N948),N948,"")</f>
        <v/>
      </c>
      <c r="P948" s="5">
        <f>_xlfn.RANK.EQ(O948,$O$2:$O$1031)</f>
        <v/>
      </c>
      <c r="Q948" s="9" t="n">
        <v>271</v>
      </c>
      <c r="R948" s="9" t="n">
        <v>45.5</v>
      </c>
      <c r="S948" s="9" t="n">
        <v>24</v>
      </c>
      <c r="T948" s="9" t="n">
        <v>24</v>
      </c>
      <c r="U948" s="9">
        <f>Q948+R948+S948+T948</f>
        <v/>
      </c>
      <c r="V948" s="9">
        <f>IF(ISNUMBER(U948),U948,"")</f>
        <v/>
      </c>
      <c r="W948" s="9">
        <f>_xlfn.RANK.EQ(V948,$V$2:$V$1031)</f>
        <v/>
      </c>
      <c r="X948" s="13" t="n">
        <v>1426.6291666667</v>
      </c>
      <c r="Y948" s="13" t="n">
        <v>22</v>
      </c>
      <c r="Z948" s="13" t="n">
        <v>24</v>
      </c>
      <c r="AA948" s="13" t="n">
        <v>24</v>
      </c>
      <c r="AB948" s="13">
        <f>IF(ISNUMBER(X948),X948+N(Y948)+N(Z948)+N(AA948),X948)</f>
        <v/>
      </c>
      <c r="AC948" s="13">
        <f>IF(ISNUMBER(AB948),AB948,"")</f>
        <v/>
      </c>
      <c r="AD948" s="13">
        <f>IF(ISNUMBER(AC948),_xlfn.RANK.EQ(AC948,$AC$2:$AC$1031),"")</f>
        <v/>
      </c>
      <c r="AE948" s="15">
        <f>IF(ISNUMBER(AF948),AF948/3630,"")</f>
        <v/>
      </c>
      <c r="AF948" s="14">
        <f>IFERROR(C948+D948+E948+F948+J948+K948+L948+M948+Q948+R948+S948+T948+IF(ISNUMBER(X948),X948,0)+N(Y948)+N(Z948)+N(AA948),"")</f>
        <v/>
      </c>
      <c r="AG948" s="14">
        <f>IF(ISNUMBER(AF948),AF948,"")</f>
        <v/>
      </c>
      <c r="AH948" s="14">
        <f>IF(ISNUMBER(AG948),_xlfn.RANK.EQ(AG948,$AG$2:$AG$1031),"")</f>
        <v/>
      </c>
    </row>
    <row r="949">
      <c r="A949" s="18" t="n">
        <v>2207</v>
      </c>
      <c r="B949" s="18" t="inlineStr">
        <is>
          <t>هبه ابراهيم سعد عبدالحليم عبدالغني</t>
        </is>
      </c>
      <c r="C949" s="1" t="n">
        <v>557.4</v>
      </c>
      <c r="D949" s="1" t="n">
        <v>23</v>
      </c>
      <c r="E949" s="1" t="n">
        <v>23</v>
      </c>
      <c r="F949" s="1" t="n">
        <v>20</v>
      </c>
      <c r="G949" s="1">
        <f>C949+D949+E949+F949</f>
        <v/>
      </c>
      <c r="H949" s="1">
        <f>IF(ISNUMBER(G949),G949,"")</f>
        <v/>
      </c>
      <c r="I949" s="1">
        <f>_xlfn.RANK.EQ(H949,$H$2:$H$1031)</f>
        <v/>
      </c>
      <c r="J949" s="5" t="n">
        <v>556.5</v>
      </c>
      <c r="K949" s="5" t="n">
        <v>39</v>
      </c>
      <c r="L949" s="5" t="n">
        <v>21</v>
      </c>
      <c r="M949" s="5" t="n">
        <v>19</v>
      </c>
      <c r="N949" s="5">
        <f>J949+K949+L949+M949</f>
        <v/>
      </c>
      <c r="O949" s="5">
        <f>IF(ISNUMBER(N949),N949,"")</f>
        <v/>
      </c>
      <c r="P949" s="5">
        <f>_xlfn.RANK.EQ(O949,$O$2:$O$1031)</f>
        <v/>
      </c>
      <c r="Q949" s="9" t="n">
        <v>242</v>
      </c>
      <c r="R949" s="9" t="n">
        <v>42.5</v>
      </c>
      <c r="S949" s="9" t="n">
        <v>22</v>
      </c>
      <c r="T949" s="9" t="n">
        <v>22</v>
      </c>
      <c r="U949" s="9">
        <f>Q949+R949+S949+T949</f>
        <v/>
      </c>
      <c r="V949" s="9">
        <f>IF(ISNUMBER(U949),U949,"")</f>
        <v/>
      </c>
      <c r="W949" s="9">
        <f>_xlfn.RANK.EQ(V949,$V$2:$V$1031)</f>
        <v/>
      </c>
      <c r="X949" s="13" t="n">
        <v>1298.4541666667</v>
      </c>
      <c r="Y949" s="13" t="n">
        <v>22.5</v>
      </c>
      <c r="Z949" s="13" t="n">
        <v>22</v>
      </c>
      <c r="AA949" s="13" t="n">
        <v>19</v>
      </c>
      <c r="AB949" s="13">
        <f>IF(ISNUMBER(X949),X949+N(Y949)+N(Z949)+N(AA949),X949)</f>
        <v/>
      </c>
      <c r="AC949" s="13">
        <f>IF(ISNUMBER(AB949),AB949,"")</f>
        <v/>
      </c>
      <c r="AD949" s="13">
        <f>IF(ISNUMBER(AC949),_xlfn.RANK.EQ(AC949,$AC$2:$AC$1031),"")</f>
        <v/>
      </c>
      <c r="AE949" s="15">
        <f>IF(ISNUMBER(AF949),AF949/3630,"")</f>
        <v/>
      </c>
      <c r="AF949" s="14">
        <f>IFERROR(C949+D949+E949+F949+J949+K949+L949+M949+Q949+R949+S949+T949+IF(ISNUMBER(X949),X949,0)+N(Y949)+N(Z949)+N(AA949),"")</f>
        <v/>
      </c>
      <c r="AG949" s="14">
        <f>IF(ISNUMBER(AF949),AF949,"")</f>
        <v/>
      </c>
      <c r="AH949" s="14">
        <f>IF(ISNUMBER(AG949),_xlfn.RANK.EQ(AG949,$AG$2:$AG$1031),"")</f>
        <v/>
      </c>
    </row>
    <row r="950">
      <c r="A950" s="18" t="n">
        <v>2210</v>
      </c>
      <c r="B950" s="18" t="inlineStr">
        <is>
          <t>هبه اشرف محمد صلاح قطري</t>
        </is>
      </c>
      <c r="C950" s="1" t="n">
        <v>437.42</v>
      </c>
      <c r="D950" s="1" t="n">
        <v>19</v>
      </c>
      <c r="E950" s="1" t="n">
        <v>16</v>
      </c>
      <c r="F950" s="1" t="n">
        <v>17</v>
      </c>
      <c r="G950" s="1">
        <f>C950+D950+E950+F950</f>
        <v/>
      </c>
      <c r="H950" s="1">
        <f>IF(ISNUMBER(G950),G950,"")</f>
        <v/>
      </c>
      <c r="I950" s="1">
        <f>_xlfn.RANK.EQ(H950,$H$2:$H$1031)</f>
        <v/>
      </c>
      <c r="J950" s="5" t="n">
        <v>443</v>
      </c>
      <c r="K950" s="5" t="n">
        <v>36</v>
      </c>
      <c r="L950" s="5" t="n">
        <v>23</v>
      </c>
      <c r="M950" s="5" t="n">
        <v>23</v>
      </c>
      <c r="N950" s="5">
        <f>J950+K950+L950+M950</f>
        <v/>
      </c>
      <c r="O950" s="5">
        <f>IF(ISNUMBER(N950),N950,"")</f>
        <v/>
      </c>
      <c r="P950" s="5">
        <f>_xlfn.RANK.EQ(O950,$O$2:$O$1031)</f>
        <v/>
      </c>
      <c r="Q950" s="9" t="n">
        <v>187</v>
      </c>
      <c r="R950" s="9" t="n">
        <v>40</v>
      </c>
      <c r="S950" s="9" t="n">
        <v>21</v>
      </c>
      <c r="T950" s="9" t="n">
        <v>25</v>
      </c>
      <c r="U950" s="9">
        <f>Q950+R950+S950+T950</f>
        <v/>
      </c>
      <c r="V950" s="9">
        <f>IF(ISNUMBER(U950),U950,"")</f>
        <v/>
      </c>
      <c r="W950" s="9">
        <f>_xlfn.RANK.EQ(V950,$V$2:$V$1031)</f>
        <v/>
      </c>
      <c r="X950" s="13" t="inlineStr">
        <is>
          <t>راسب</t>
        </is>
      </c>
      <c r="Y950" s="13" t="n">
        <v>23.5</v>
      </c>
      <c r="Z950" s="13" t="n">
        <v>23</v>
      </c>
      <c r="AA950" s="13" t="n">
        <v>20</v>
      </c>
      <c r="AB950" s="13">
        <f>IF(ISNUMBER(X950),X950+N(Y950)+N(Z950)+N(AA950),X950)</f>
        <v/>
      </c>
      <c r="AC950" s="13">
        <f>IF(ISNUMBER(AB950),AB950,"")</f>
        <v/>
      </c>
      <c r="AD950" s="13">
        <f>IF(ISNUMBER(AC950),_xlfn.RANK.EQ(AC950,$AC$2:$AC$1031),"")</f>
        <v/>
      </c>
      <c r="AE950" s="15">
        <f>IF(ISNUMBER(AF950),AF950/3630,"")</f>
        <v/>
      </c>
      <c r="AF950" s="14">
        <f>IFERROR(C950+D950+E950+F950+J950+K950+L950+M950+Q950+R950+S950+T950+IF(ISNUMBER(X950),X950,0)+N(Y950)+N(Z950)+N(AA950),"")</f>
        <v/>
      </c>
      <c r="AG950" s="14">
        <f>IF(ISNUMBER(AF950),AF950,"")</f>
        <v/>
      </c>
      <c r="AH950" s="14">
        <f>IF(ISNUMBER(AG950),_xlfn.RANK.EQ(AG950,$AG$2:$AG$1031),"")</f>
        <v/>
      </c>
    </row>
    <row r="951">
      <c r="A951" s="18" t="n">
        <v>2215</v>
      </c>
      <c r="B951" s="18" t="inlineStr">
        <is>
          <t>هبه مقبول صقر صالح عبدالله</t>
        </is>
      </c>
      <c r="C951" s="1" t="n">
        <v>634.8</v>
      </c>
      <c r="D951" s="1" t="n">
        <v>25</v>
      </c>
      <c r="E951" s="1" t="n">
        <v>24</v>
      </c>
      <c r="F951" s="1" t="n">
        <v>23</v>
      </c>
      <c r="G951" s="1">
        <f>C951+D951+E951+F951</f>
        <v/>
      </c>
      <c r="H951" s="1">
        <f>IF(ISNUMBER(G951),G951,"")</f>
        <v/>
      </c>
      <c r="I951" s="1">
        <f>_xlfn.RANK.EQ(H951,$H$2:$H$1031)</f>
        <v/>
      </c>
      <c r="J951" s="5" t="n">
        <v>628</v>
      </c>
      <c r="K951" s="5" t="n">
        <v>47</v>
      </c>
      <c r="L951" s="5" t="n">
        <v>21</v>
      </c>
      <c r="M951" s="5" t="n">
        <v>23</v>
      </c>
      <c r="N951" s="5">
        <f>J951+K951+L951+M951</f>
        <v/>
      </c>
      <c r="O951" s="5">
        <f>IF(ISNUMBER(N951),N951,"")</f>
        <v/>
      </c>
      <c r="P951" s="5">
        <f>_xlfn.RANK.EQ(O951,$O$2:$O$1031)</f>
        <v/>
      </c>
      <c r="Q951" s="9" t="n">
        <v>282</v>
      </c>
      <c r="R951" s="9" t="n">
        <v>48.5</v>
      </c>
      <c r="S951" s="9" t="n">
        <v>24</v>
      </c>
      <c r="T951" s="9" t="n">
        <v>23.5</v>
      </c>
      <c r="U951" s="9">
        <f>Q951+R951+S951+T951</f>
        <v/>
      </c>
      <c r="V951" s="9">
        <f>IF(ISNUMBER(U951),U951,"")</f>
        <v/>
      </c>
      <c r="W951" s="9">
        <f>_xlfn.RANK.EQ(V951,$V$2:$V$1031)</f>
        <v/>
      </c>
      <c r="X951" s="13" t="n">
        <v>1526.6833333333</v>
      </c>
      <c r="Y951" s="13" t="n">
        <v>23</v>
      </c>
      <c r="Z951" s="13" t="n">
        <v>24</v>
      </c>
      <c r="AA951" s="13" t="n">
        <v>22</v>
      </c>
      <c r="AB951" s="13">
        <f>IF(ISNUMBER(X951),X951+N(Y951)+N(Z951)+N(AA951),X951)</f>
        <v/>
      </c>
      <c r="AC951" s="13">
        <f>IF(ISNUMBER(AB951),AB951,"")</f>
        <v/>
      </c>
      <c r="AD951" s="13">
        <f>IF(ISNUMBER(AC951),_xlfn.RANK.EQ(AC951,$AC$2:$AC$1031),"")</f>
        <v/>
      </c>
      <c r="AE951" s="15">
        <f>IF(ISNUMBER(AF951),AF951/3630,"")</f>
        <v/>
      </c>
      <c r="AF951" s="14">
        <f>IFERROR(C951+D951+E951+F951+J951+K951+L951+M951+Q951+R951+S951+T951+IF(ISNUMBER(X951),X951,0)+N(Y951)+N(Z951)+N(AA951),"")</f>
        <v/>
      </c>
      <c r="AG951" s="14">
        <f>IF(ISNUMBER(AF951),AF951,"")</f>
        <v/>
      </c>
      <c r="AH951" s="14">
        <f>IF(ISNUMBER(AG951),_xlfn.RANK.EQ(AG951,$AG$2:$AG$1031),"")</f>
        <v/>
      </c>
    </row>
    <row r="952">
      <c r="A952" s="18" t="n">
        <v>2216</v>
      </c>
      <c r="B952" s="18" t="inlineStr">
        <is>
          <t>هدى عبدالعزيز عبدالعزيز رمضان باشا</t>
        </is>
      </c>
      <c r="C952" s="1" t="n">
        <v>521.2</v>
      </c>
      <c r="D952" s="1" t="n">
        <v>23</v>
      </c>
      <c r="E952" s="1" t="n">
        <v>24</v>
      </c>
      <c r="F952" s="1" t="n">
        <v>21</v>
      </c>
      <c r="G952" s="1">
        <f>C952+D952+E952+F952</f>
        <v/>
      </c>
      <c r="H952" s="1">
        <f>IF(ISNUMBER(G952),G952,"")</f>
        <v/>
      </c>
      <c r="I952" s="1">
        <f>_xlfn.RANK.EQ(H952,$H$2:$H$1031)</f>
        <v/>
      </c>
      <c r="J952" s="5" t="n">
        <v>583.5</v>
      </c>
      <c r="K952" s="5" t="n">
        <v>48</v>
      </c>
      <c r="L952" s="5" t="n">
        <v>22</v>
      </c>
      <c r="M952" s="5" t="n">
        <v>23</v>
      </c>
      <c r="N952" s="5">
        <f>J952+K952+L952+M952</f>
        <v/>
      </c>
      <c r="O952" s="5">
        <f>IF(ISNUMBER(N952),N952,"")</f>
        <v/>
      </c>
      <c r="P952" s="5">
        <f>_xlfn.RANK.EQ(O952,$O$2:$O$1031)</f>
        <v/>
      </c>
      <c r="Q952" s="9" t="n">
        <v>228.5</v>
      </c>
      <c r="R952" s="9" t="n">
        <v>45.5</v>
      </c>
      <c r="S952" s="9" t="n">
        <v>24</v>
      </c>
      <c r="T952" s="9" t="n">
        <v>25</v>
      </c>
      <c r="U952" s="9">
        <f>Q952+R952+S952+T952</f>
        <v/>
      </c>
      <c r="V952" s="9">
        <f>IF(ISNUMBER(U952),U952,"")</f>
        <v/>
      </c>
      <c r="W952" s="9">
        <f>_xlfn.RANK.EQ(V952,$V$2:$V$1031)</f>
        <v/>
      </c>
      <c r="X952" s="13" t="n">
        <v>1241.1</v>
      </c>
      <c r="Y952" s="13" t="n">
        <v>22.5</v>
      </c>
      <c r="Z952" s="13" t="n">
        <v>22</v>
      </c>
      <c r="AA952" s="13" t="n">
        <v>20</v>
      </c>
      <c r="AB952" s="13">
        <f>IF(ISNUMBER(X952),X952+N(Y952)+N(Z952)+N(AA952),X952)</f>
        <v/>
      </c>
      <c r="AC952" s="13">
        <f>IF(ISNUMBER(AB952),AB952,"")</f>
        <v/>
      </c>
      <c r="AD952" s="13">
        <f>IF(ISNUMBER(AC952),_xlfn.RANK.EQ(AC952,$AC$2:$AC$1031),"")</f>
        <v/>
      </c>
      <c r="AE952" s="15">
        <f>IF(ISNUMBER(AF952),AF952/3630,"")</f>
        <v/>
      </c>
      <c r="AF952" s="14">
        <f>IFERROR(C952+D952+E952+F952+J952+K952+L952+M952+Q952+R952+S952+T952+IF(ISNUMBER(X952),X952,0)+N(Y952)+N(Z952)+N(AA952),"")</f>
        <v/>
      </c>
      <c r="AG952" s="14">
        <f>IF(ISNUMBER(AF952),AF952,"")</f>
        <v/>
      </c>
      <c r="AH952" s="14">
        <f>IF(ISNUMBER(AG952),_xlfn.RANK.EQ(AG952,$AG$2:$AG$1031),"")</f>
        <v/>
      </c>
    </row>
    <row r="953">
      <c r="A953" s="18" t="n">
        <v>2217</v>
      </c>
      <c r="B953" s="18" t="inlineStr">
        <is>
          <t>هدير مصطفي  صابر امين</t>
        </is>
      </c>
      <c r="C953" s="1" t="n">
        <v>648</v>
      </c>
      <c r="D953" s="1" t="n">
        <v>25</v>
      </c>
      <c r="E953" s="1" t="n">
        <v>25</v>
      </c>
      <c r="F953" s="1" t="n">
        <v>23</v>
      </c>
      <c r="G953" s="1">
        <f>C953+D953+E953+F953</f>
        <v/>
      </c>
      <c r="H953" s="1">
        <f>IF(ISNUMBER(G953),G953,"")</f>
        <v/>
      </c>
      <c r="I953" s="1">
        <f>_xlfn.RANK.EQ(H953,$H$2:$H$1031)</f>
        <v/>
      </c>
      <c r="J953" s="5" t="n">
        <v>627</v>
      </c>
      <c r="K953" s="5" t="n">
        <v>47</v>
      </c>
      <c r="L953" s="5" t="n">
        <v>23</v>
      </c>
      <c r="M953" s="5" t="n">
        <v>24</v>
      </c>
      <c r="N953" s="5">
        <f>J953+K953+L953+M953</f>
        <v/>
      </c>
      <c r="O953" s="5">
        <f>IF(ISNUMBER(N953),N953,"")</f>
        <v/>
      </c>
      <c r="P953" s="5">
        <f>_xlfn.RANK.EQ(O953,$O$2:$O$1031)</f>
        <v/>
      </c>
      <c r="Q953" s="9" t="n">
        <v>246</v>
      </c>
      <c r="R953" s="9" t="n">
        <v>48.5</v>
      </c>
      <c r="S953" s="9" t="n">
        <v>25</v>
      </c>
      <c r="T953" s="9" t="n">
        <v>23</v>
      </c>
      <c r="U953" s="9">
        <f>Q953+R953+S953+T953</f>
        <v/>
      </c>
      <c r="V953" s="9">
        <f>IF(ISNUMBER(U953),U953,"")</f>
        <v/>
      </c>
      <c r="W953" s="9">
        <f>_xlfn.RANK.EQ(V953,$V$2:$V$1031)</f>
        <v/>
      </c>
      <c r="X953" s="13" t="n">
        <v>1496.9666666667</v>
      </c>
      <c r="Y953" s="13" t="n">
        <v>24</v>
      </c>
      <c r="Z953" s="13" t="n">
        <v>24</v>
      </c>
      <c r="AA953" s="13" t="n">
        <v>23</v>
      </c>
      <c r="AB953" s="13">
        <f>IF(ISNUMBER(X953),X953+N(Y953)+N(Z953)+N(AA953),X953)</f>
        <v/>
      </c>
      <c r="AC953" s="13">
        <f>IF(ISNUMBER(AB953),AB953,"")</f>
        <v/>
      </c>
      <c r="AD953" s="13">
        <f>IF(ISNUMBER(AC953),_xlfn.RANK.EQ(AC953,$AC$2:$AC$1031),"")</f>
        <v/>
      </c>
      <c r="AE953" s="15">
        <f>IF(ISNUMBER(AF953),AF953/3630,"")</f>
        <v/>
      </c>
      <c r="AF953" s="14">
        <f>IFERROR(C953+D953+E953+F953+J953+K953+L953+M953+Q953+R953+S953+T953+IF(ISNUMBER(X953),X953,0)+N(Y953)+N(Z953)+N(AA953),"")</f>
        <v/>
      </c>
      <c r="AG953" s="14">
        <f>IF(ISNUMBER(AF953),AF953,"")</f>
        <v/>
      </c>
      <c r="AH953" s="14">
        <f>IF(ISNUMBER(AG953),_xlfn.RANK.EQ(AG953,$AG$2:$AG$1031),"")</f>
        <v/>
      </c>
    </row>
    <row r="954">
      <c r="A954" s="18" t="n">
        <v>2225</v>
      </c>
      <c r="B954" s="18" t="inlineStr">
        <is>
          <t>همسه محمد محمد عاطف قنبر</t>
        </is>
      </c>
      <c r="C954" s="1" t="n">
        <v>573.6</v>
      </c>
      <c r="D954" s="1" t="n">
        <v>23</v>
      </c>
      <c r="E954" s="1" t="n">
        <v>24</v>
      </c>
      <c r="F954" s="1" t="n">
        <v>22</v>
      </c>
      <c r="G954" s="1">
        <f>C954+D954+E954+F954</f>
        <v/>
      </c>
      <c r="H954" s="1">
        <f>IF(ISNUMBER(G954),G954,"")</f>
        <v/>
      </c>
      <c r="I954" s="1">
        <f>_xlfn.RANK.EQ(H954,$H$2:$H$1031)</f>
        <v/>
      </c>
      <c r="J954" s="5" t="n">
        <v>587.5</v>
      </c>
      <c r="K954" s="5" t="n">
        <v>48</v>
      </c>
      <c r="L954" s="5" t="n">
        <v>24</v>
      </c>
      <c r="M954" s="5" t="n">
        <v>22</v>
      </c>
      <c r="N954" s="5">
        <f>J954+K954+L954+M954</f>
        <v/>
      </c>
      <c r="O954" s="5">
        <f>IF(ISNUMBER(N954),N954,"")</f>
        <v/>
      </c>
      <c r="P954" s="5">
        <f>_xlfn.RANK.EQ(O954,$O$2:$O$1031)</f>
        <v/>
      </c>
      <c r="Q954" s="9" t="n">
        <v>262</v>
      </c>
      <c r="R954" s="9" t="n">
        <v>47.5</v>
      </c>
      <c r="S954" s="9" t="n">
        <v>24</v>
      </c>
      <c r="T954" s="9" t="n">
        <v>25</v>
      </c>
      <c r="U954" s="9">
        <f>Q954+R954+S954+T954</f>
        <v/>
      </c>
      <c r="V954" s="9">
        <f>IF(ISNUMBER(U954),U954,"")</f>
        <v/>
      </c>
      <c r="W954" s="9">
        <f>_xlfn.RANK.EQ(V954,$V$2:$V$1031)</f>
        <v/>
      </c>
      <c r="X954" s="13" t="n">
        <v>1460.0958333333</v>
      </c>
      <c r="Y954" s="13" t="n">
        <v>24</v>
      </c>
      <c r="Z954" s="13" t="n">
        <v>25</v>
      </c>
      <c r="AA954" s="13" t="n">
        <v>23</v>
      </c>
      <c r="AB954" s="13">
        <f>IF(ISNUMBER(X954),X954+N(Y954)+N(Z954)+N(AA954),X954)</f>
        <v/>
      </c>
      <c r="AC954" s="13">
        <f>IF(ISNUMBER(AB954),AB954,"")</f>
        <v/>
      </c>
      <c r="AD954" s="13">
        <f>IF(ISNUMBER(AC954),_xlfn.RANK.EQ(AC954,$AC$2:$AC$1031),"")</f>
        <v/>
      </c>
      <c r="AE954" s="15">
        <f>IF(ISNUMBER(AF954),AF954/3630,"")</f>
        <v/>
      </c>
      <c r="AF954" s="14">
        <f>IFERROR(C954+D954+E954+F954+J954+K954+L954+M954+Q954+R954+S954+T954+IF(ISNUMBER(X954),X954,0)+N(Y954)+N(Z954)+N(AA954),"")</f>
        <v/>
      </c>
      <c r="AG954" s="14">
        <f>IF(ISNUMBER(AF954),AF954,"")</f>
        <v/>
      </c>
      <c r="AH954" s="14">
        <f>IF(ISNUMBER(AG954),_xlfn.RANK.EQ(AG954,$AG$2:$AG$1031),"")</f>
        <v/>
      </c>
    </row>
    <row r="955">
      <c r="A955" s="18" t="n">
        <v>2227</v>
      </c>
      <c r="B955" s="18" t="inlineStr">
        <is>
          <t>هنا محمد عبد الفتاح محمد  حسن</t>
        </is>
      </c>
      <c r="C955" s="1" t="n">
        <v>562.5</v>
      </c>
      <c r="D955" s="1" t="n">
        <v>24</v>
      </c>
      <c r="E955" s="1" t="n">
        <v>25</v>
      </c>
      <c r="F955" s="1" t="n">
        <v>23</v>
      </c>
      <c r="G955" s="1">
        <f>C955+D955+E955+F955</f>
        <v/>
      </c>
      <c r="H955" s="1">
        <f>IF(ISNUMBER(G955),G955,"")</f>
        <v/>
      </c>
      <c r="I955" s="1">
        <f>_xlfn.RANK.EQ(H955,$H$2:$H$1031)</f>
        <v/>
      </c>
      <c r="J955" s="5" t="n">
        <v>590</v>
      </c>
      <c r="K955" s="5" t="n">
        <v>45</v>
      </c>
      <c r="L955" s="5" t="n">
        <v>21</v>
      </c>
      <c r="M955" s="5" t="n">
        <v>22</v>
      </c>
      <c r="N955" s="5">
        <f>J955+K955+L955+M955</f>
        <v/>
      </c>
      <c r="O955" s="5">
        <f>IF(ISNUMBER(N955),N955,"")</f>
        <v/>
      </c>
      <c r="P955" s="5">
        <f>_xlfn.RANK.EQ(O955,$O$2:$O$1031)</f>
        <v/>
      </c>
      <c r="Q955" s="9" t="n">
        <v>256</v>
      </c>
      <c r="R955" s="9" t="n">
        <v>48</v>
      </c>
      <c r="S955" s="9" t="n">
        <v>23</v>
      </c>
      <c r="T955" s="9" t="n">
        <v>25</v>
      </c>
      <c r="U955" s="9">
        <f>Q955+R955+S955+T955</f>
        <v/>
      </c>
      <c r="V955" s="9">
        <f>IF(ISNUMBER(U955),U955,"")</f>
        <v/>
      </c>
      <c r="W955" s="9">
        <f>_xlfn.RANK.EQ(V955,$V$2:$V$1031)</f>
        <v/>
      </c>
      <c r="X955" s="13" t="n">
        <v>1379.8166666667</v>
      </c>
      <c r="Y955" s="13" t="n">
        <v>20.5</v>
      </c>
      <c r="Z955" s="13" t="n">
        <v>23</v>
      </c>
      <c r="AA955" s="13" t="n">
        <v>24</v>
      </c>
      <c r="AB955" s="13">
        <f>IF(ISNUMBER(X955),X955+N(Y955)+N(Z955)+N(AA955),X955)</f>
        <v/>
      </c>
      <c r="AC955" s="13">
        <f>IF(ISNUMBER(AB955),AB955,"")</f>
        <v/>
      </c>
      <c r="AD955" s="13">
        <f>IF(ISNUMBER(AC955),_xlfn.RANK.EQ(AC955,$AC$2:$AC$1031),"")</f>
        <v/>
      </c>
      <c r="AE955" s="15">
        <f>IF(ISNUMBER(AF955),AF955/3630,"")</f>
        <v/>
      </c>
      <c r="AF955" s="14">
        <f>IFERROR(C955+D955+E955+F955+J955+K955+L955+M955+Q955+R955+S955+T955+IF(ISNUMBER(X955),X955,0)+N(Y955)+N(Z955)+N(AA955),"")</f>
        <v/>
      </c>
      <c r="AG955" s="14">
        <f>IF(ISNUMBER(AF955),AF955,"")</f>
        <v/>
      </c>
      <c r="AH955" s="14">
        <f>IF(ISNUMBER(AG955),_xlfn.RANK.EQ(AG955,$AG$2:$AG$1031),"")</f>
        <v/>
      </c>
    </row>
    <row r="956">
      <c r="A956" s="18" t="n">
        <v>2228</v>
      </c>
      <c r="B956" s="18" t="inlineStr">
        <is>
          <t>هنا محمد محمد  لولح</t>
        </is>
      </c>
      <c r="C956" s="1" t="n">
        <v>629</v>
      </c>
      <c r="D956" s="1" t="n">
        <v>24</v>
      </c>
      <c r="E956" s="1" t="n">
        <v>21</v>
      </c>
      <c r="F956" s="1" t="n">
        <v>23</v>
      </c>
      <c r="G956" s="1">
        <f>C956+D956+E956+F956</f>
        <v/>
      </c>
      <c r="H956" s="1">
        <f>IF(ISNUMBER(G956),G956,"")</f>
        <v/>
      </c>
      <c r="I956" s="1">
        <f>_xlfn.RANK.EQ(H956,$H$2:$H$1031)</f>
        <v/>
      </c>
      <c r="J956" s="5" t="n">
        <v>624</v>
      </c>
      <c r="K956" s="5" t="n">
        <v>45</v>
      </c>
      <c r="L956" s="5" t="n">
        <v>20</v>
      </c>
      <c r="M956" s="5" t="n">
        <v>21</v>
      </c>
      <c r="N956" s="5">
        <f>J956+K956+L956+M956</f>
        <v/>
      </c>
      <c r="O956" s="5">
        <f>IF(ISNUMBER(N956),N956,"")</f>
        <v/>
      </c>
      <c r="P956" s="5">
        <f>_xlfn.RANK.EQ(O956,$O$2:$O$1031)</f>
        <v/>
      </c>
      <c r="Q956" s="9" t="n">
        <v>274</v>
      </c>
      <c r="R956" s="9" t="n">
        <v>46.5</v>
      </c>
      <c r="S956" s="9" t="n">
        <v>23</v>
      </c>
      <c r="T956" s="9" t="n">
        <v>25</v>
      </c>
      <c r="U956" s="9">
        <f>Q956+R956+S956+T956</f>
        <v/>
      </c>
      <c r="V956" s="9">
        <f>IF(ISNUMBER(U956),U956,"")</f>
        <v/>
      </c>
      <c r="W956" s="9">
        <f>_xlfn.RANK.EQ(V956,$V$2:$V$1031)</f>
        <v/>
      </c>
      <c r="X956" s="13" t="n">
        <v>1493.05</v>
      </c>
      <c r="Y956" s="13" t="n">
        <v>22.5</v>
      </c>
      <c r="Z956" s="13" t="n">
        <v>23</v>
      </c>
      <c r="AA956" s="13" t="n">
        <v>24</v>
      </c>
      <c r="AB956" s="13">
        <f>IF(ISNUMBER(X956),X956+N(Y956)+N(Z956)+N(AA956),X956)</f>
        <v/>
      </c>
      <c r="AC956" s="13">
        <f>IF(ISNUMBER(AB956),AB956,"")</f>
        <v/>
      </c>
      <c r="AD956" s="13">
        <f>IF(ISNUMBER(AC956),_xlfn.RANK.EQ(AC956,$AC$2:$AC$1031),"")</f>
        <v/>
      </c>
      <c r="AE956" s="15">
        <f>IF(ISNUMBER(AF956),AF956/3630,"")</f>
        <v/>
      </c>
      <c r="AF956" s="14">
        <f>IFERROR(C956+D956+E956+F956+J956+K956+L956+M956+Q956+R956+S956+T956+IF(ISNUMBER(X956),X956,0)+N(Y956)+N(Z956)+N(AA956),"")</f>
        <v/>
      </c>
      <c r="AG956" s="14">
        <f>IF(ISNUMBER(AF956),AF956,"")</f>
        <v/>
      </c>
      <c r="AH956" s="14">
        <f>IF(ISNUMBER(AG956),_xlfn.RANK.EQ(AG956,$AG$2:$AG$1031),"")</f>
        <v/>
      </c>
    </row>
    <row r="957">
      <c r="A957" s="18" t="n">
        <v>2229</v>
      </c>
      <c r="B957" s="18" t="inlineStr">
        <is>
          <t>هناء رضا محمود عبد المقصود السنهورى</t>
        </is>
      </c>
      <c r="C957" s="1" t="n">
        <v>615.8</v>
      </c>
      <c r="D957" s="1" t="n">
        <v>24</v>
      </c>
      <c r="E957" s="1" t="n">
        <v>24</v>
      </c>
      <c r="F957" s="1" t="n">
        <v>20</v>
      </c>
      <c r="G957" s="1">
        <f>C957+D957+E957+F957</f>
        <v/>
      </c>
      <c r="H957" s="1">
        <f>IF(ISNUMBER(G957),G957,"")</f>
        <v/>
      </c>
      <c r="I957" s="1">
        <f>_xlfn.RANK.EQ(H957,$H$2:$H$1031)</f>
        <v/>
      </c>
      <c r="J957" s="5" t="n">
        <v>605</v>
      </c>
      <c r="K957" s="5" t="n">
        <v>47</v>
      </c>
      <c r="L957" s="5" t="n">
        <v>22</v>
      </c>
      <c r="M957" s="5" t="n">
        <v>23</v>
      </c>
      <c r="N957" s="5">
        <f>J957+K957+L957+M957</f>
        <v/>
      </c>
      <c r="O957" s="5">
        <f>IF(ISNUMBER(N957),N957,"")</f>
        <v/>
      </c>
      <c r="P957" s="5">
        <f>_xlfn.RANK.EQ(O957,$O$2:$O$1031)</f>
        <v/>
      </c>
      <c r="Q957" s="9" t="n">
        <v>274</v>
      </c>
      <c r="R957" s="9" t="n">
        <v>48</v>
      </c>
      <c r="S957" s="9" t="n">
        <v>23</v>
      </c>
      <c r="T957" s="9" t="n">
        <v>22</v>
      </c>
      <c r="U957" s="9">
        <f>Q957+R957+S957+T957</f>
        <v/>
      </c>
      <c r="V957" s="9">
        <f>IF(ISNUMBER(U957),U957,"")</f>
        <v/>
      </c>
      <c r="W957" s="9">
        <f>_xlfn.RANK.EQ(V957,$V$2:$V$1031)</f>
        <v/>
      </c>
      <c r="X957" s="13" t="n">
        <v>1419.9583333333</v>
      </c>
      <c r="Y957" s="13" t="n">
        <v>24.5</v>
      </c>
      <c r="Z957" s="13" t="n">
        <v>23</v>
      </c>
      <c r="AA957" s="13" t="n">
        <v>23</v>
      </c>
      <c r="AB957" s="13">
        <f>IF(ISNUMBER(X957),X957+N(Y957)+N(Z957)+N(AA957),X957)</f>
        <v/>
      </c>
      <c r="AC957" s="13">
        <f>IF(ISNUMBER(AB957),AB957,"")</f>
        <v/>
      </c>
      <c r="AD957" s="13">
        <f>IF(ISNUMBER(AC957),_xlfn.RANK.EQ(AC957,$AC$2:$AC$1031),"")</f>
        <v/>
      </c>
      <c r="AE957" s="15">
        <f>IF(ISNUMBER(AF957),AF957/3630,"")</f>
        <v/>
      </c>
      <c r="AF957" s="14">
        <f>IFERROR(C957+D957+E957+F957+J957+K957+L957+M957+Q957+R957+S957+T957+IF(ISNUMBER(X957),X957,0)+N(Y957)+N(Z957)+N(AA957),"")</f>
        <v/>
      </c>
      <c r="AG957" s="14">
        <f>IF(ISNUMBER(AF957),AF957,"")</f>
        <v/>
      </c>
      <c r="AH957" s="14">
        <f>IF(ISNUMBER(AG957),_xlfn.RANK.EQ(AG957,$AG$2:$AG$1031),"")</f>
        <v/>
      </c>
    </row>
    <row r="958">
      <c r="A958" s="18" t="n">
        <v>2230</v>
      </c>
      <c r="B958" s="18" t="inlineStr">
        <is>
          <t>هناء عبدالحليم ابراهيم احمد العشرى</t>
        </is>
      </c>
      <c r="C958" s="1" t="n">
        <v>617.4</v>
      </c>
      <c r="D958" s="1" t="n">
        <v>22</v>
      </c>
      <c r="E958" s="1" t="n">
        <v>23</v>
      </c>
      <c r="F958" s="1" t="n">
        <v>21</v>
      </c>
      <c r="G958" s="1">
        <f>C958+D958+E958+F958</f>
        <v/>
      </c>
      <c r="H958" s="1">
        <f>IF(ISNUMBER(G958),G958,"")</f>
        <v/>
      </c>
      <c r="I958" s="1">
        <f>_xlfn.RANK.EQ(H958,$H$2:$H$1031)</f>
        <v/>
      </c>
      <c r="J958" s="5" t="n">
        <v>621.9</v>
      </c>
      <c r="K958" s="5" t="n">
        <v>49</v>
      </c>
      <c r="L958" s="5" t="n">
        <v>23</v>
      </c>
      <c r="M958" s="5" t="n">
        <v>22</v>
      </c>
      <c r="N958" s="5">
        <f>J958+K958+L958+M958</f>
        <v/>
      </c>
      <c r="O958" s="5">
        <f>IF(ISNUMBER(N958),N958,"")</f>
        <v/>
      </c>
      <c r="P958" s="5">
        <f>_xlfn.RANK.EQ(O958,$O$2:$O$1031)</f>
        <v/>
      </c>
      <c r="Q958" s="9" t="n">
        <v>272</v>
      </c>
      <c r="R958" s="9" t="n">
        <v>49</v>
      </c>
      <c r="S958" s="9" t="n">
        <v>21</v>
      </c>
      <c r="T958" s="9" t="n">
        <v>24</v>
      </c>
      <c r="U958" s="9">
        <f>Q958+R958+S958+T958</f>
        <v/>
      </c>
      <c r="V958" s="9">
        <f>IF(ISNUMBER(U958),U958,"")</f>
        <v/>
      </c>
      <c r="W958" s="9">
        <f>_xlfn.RANK.EQ(V958,$V$2:$V$1031)</f>
        <v/>
      </c>
      <c r="X958" s="13" t="n">
        <v>1477.9958333333</v>
      </c>
      <c r="Y958" s="13" t="n">
        <v>24.5</v>
      </c>
      <c r="Z958" s="13" t="n">
        <v>24</v>
      </c>
      <c r="AA958" s="13" t="n">
        <v>21</v>
      </c>
      <c r="AB958" s="13">
        <f>IF(ISNUMBER(X958),X958+N(Y958)+N(Z958)+N(AA958),X958)</f>
        <v/>
      </c>
      <c r="AC958" s="13">
        <f>IF(ISNUMBER(AB958),AB958,"")</f>
        <v/>
      </c>
      <c r="AD958" s="13">
        <f>IF(ISNUMBER(AC958),_xlfn.RANK.EQ(AC958,$AC$2:$AC$1031),"")</f>
        <v/>
      </c>
      <c r="AE958" s="15">
        <f>IF(ISNUMBER(AF958),AF958/3630,"")</f>
        <v/>
      </c>
      <c r="AF958" s="14">
        <f>IFERROR(C958+D958+E958+F958+J958+K958+L958+M958+Q958+R958+S958+T958+IF(ISNUMBER(X958),X958,0)+N(Y958)+N(Z958)+N(AA958),"")</f>
        <v/>
      </c>
      <c r="AG958" s="14">
        <f>IF(ISNUMBER(AF958),AF958,"")</f>
        <v/>
      </c>
      <c r="AH958" s="14">
        <f>IF(ISNUMBER(AG958),_xlfn.RANK.EQ(AG958,$AG$2:$AG$1031),"")</f>
        <v/>
      </c>
    </row>
    <row r="959">
      <c r="A959" s="18" t="n">
        <v>2234</v>
      </c>
      <c r="B959" s="18" t="inlineStr">
        <is>
          <t>هند طارق عبد العاطي محمود الشرقاوى</t>
        </is>
      </c>
      <c r="C959" s="1" t="n">
        <v>465.9</v>
      </c>
      <c r="D959" s="1" t="n">
        <v>23</v>
      </c>
      <c r="E959" s="1" t="n">
        <v>23</v>
      </c>
      <c r="F959" s="1" t="n">
        <v>23</v>
      </c>
      <c r="G959" s="1">
        <f>C959+D959+E959+F959</f>
        <v/>
      </c>
      <c r="H959" s="1">
        <f>IF(ISNUMBER(G959),G959,"")</f>
        <v/>
      </c>
      <c r="I959" s="1">
        <f>_xlfn.RANK.EQ(H959,$H$2:$H$1031)</f>
        <v/>
      </c>
      <c r="J959" s="5" t="n">
        <v>447</v>
      </c>
      <c r="K959" s="5" t="n">
        <v>43</v>
      </c>
      <c r="L959" s="5" t="n">
        <v>24</v>
      </c>
      <c r="M959" s="5" t="n">
        <v>20</v>
      </c>
      <c r="N959" s="5">
        <f>J959+K959+L959+M959</f>
        <v/>
      </c>
      <c r="O959" s="5">
        <f>IF(ISNUMBER(N959),N959,"")</f>
        <v/>
      </c>
      <c r="P959" s="5">
        <f>_xlfn.RANK.EQ(O959,$O$2:$O$1031)</f>
        <v/>
      </c>
      <c r="Q959" s="9" t="n">
        <v>181.5</v>
      </c>
      <c r="R959" s="9" t="n">
        <v>39.5</v>
      </c>
      <c r="S959" s="9" t="n">
        <v>21</v>
      </c>
      <c r="T959" s="9" t="n">
        <v>25</v>
      </c>
      <c r="U959" s="9">
        <f>Q959+R959+S959+T959</f>
        <v/>
      </c>
      <c r="V959" s="9">
        <f>IF(ISNUMBER(U959),U959,"")</f>
        <v/>
      </c>
      <c r="W959" s="9">
        <f>_xlfn.RANK.EQ(V959,$V$2:$V$1031)</f>
        <v/>
      </c>
      <c r="X959" s="13" t="inlineStr">
        <is>
          <t>راسب</t>
        </is>
      </c>
      <c r="Y959" s="13" t="n">
        <v>24</v>
      </c>
      <c r="Z959" s="13" t="n">
        <v>24</v>
      </c>
      <c r="AA959" s="13" t="n">
        <v>21</v>
      </c>
      <c r="AB959" s="13">
        <f>IF(ISNUMBER(X959),X959+N(Y959)+N(Z959)+N(AA959),X959)</f>
        <v/>
      </c>
      <c r="AC959" s="13">
        <f>IF(ISNUMBER(AB959),AB959,"")</f>
        <v/>
      </c>
      <c r="AD959" s="13">
        <f>IF(ISNUMBER(AC959),_xlfn.RANK.EQ(AC959,$AC$2:$AC$1031),"")</f>
        <v/>
      </c>
      <c r="AE959" s="15">
        <f>IF(ISNUMBER(AF959),AF959/3630,"")</f>
        <v/>
      </c>
      <c r="AF959" s="14">
        <f>IFERROR(C959+D959+E959+F959+J959+K959+L959+M959+Q959+R959+S959+T959+IF(ISNUMBER(X959),X959,0)+N(Y959)+N(Z959)+N(AA959),"")</f>
        <v/>
      </c>
      <c r="AG959" s="14">
        <f>IF(ISNUMBER(AF959),AF959,"")</f>
        <v/>
      </c>
      <c r="AH959" s="14">
        <f>IF(ISNUMBER(AG959),_xlfn.RANK.EQ(AG959,$AG$2:$AG$1031),"")</f>
        <v/>
      </c>
    </row>
    <row r="960">
      <c r="A960" s="18" t="n">
        <v>2235</v>
      </c>
      <c r="B960" s="18" t="inlineStr">
        <is>
          <t>هند محمد صلاح طماره</t>
        </is>
      </c>
      <c r="C960" s="1" t="n">
        <v>491.4</v>
      </c>
      <c r="D960" s="1" t="n">
        <v>21</v>
      </c>
      <c r="E960" s="1" t="n">
        <v>21</v>
      </c>
      <c r="F960" s="1" t="n">
        <v>19</v>
      </c>
      <c r="G960" s="1">
        <f>C960+D960+E960+F960</f>
        <v/>
      </c>
      <c r="H960" s="1">
        <f>IF(ISNUMBER(G960),G960,"")</f>
        <v/>
      </c>
      <c r="I960" s="1">
        <f>_xlfn.RANK.EQ(H960,$H$2:$H$1031)</f>
        <v/>
      </c>
      <c r="J960" s="5" t="n">
        <v>476.25</v>
      </c>
      <c r="K960" s="5" t="n">
        <v>48</v>
      </c>
      <c r="L960" s="5" t="n">
        <v>24</v>
      </c>
      <c r="M960" s="5" t="n">
        <v>23</v>
      </c>
      <c r="N960" s="5">
        <f>J960+K960+L960+M960</f>
        <v/>
      </c>
      <c r="O960" s="5">
        <f>IF(ISNUMBER(N960),N960,"")</f>
        <v/>
      </c>
      <c r="P960" s="5">
        <f>_xlfn.RANK.EQ(O960,$O$2:$O$1031)</f>
        <v/>
      </c>
      <c r="Q960" s="9" t="n">
        <v>159.5</v>
      </c>
      <c r="R960" s="9" t="n">
        <v>48</v>
      </c>
      <c r="S960" s="9" t="n">
        <v>22</v>
      </c>
      <c r="T960" s="9" t="n">
        <v>22</v>
      </c>
      <c r="U960" s="9">
        <f>Q960+R960+S960+T960</f>
        <v/>
      </c>
      <c r="V960" s="9">
        <f>IF(ISNUMBER(U960),U960,"")</f>
        <v/>
      </c>
      <c r="W960" s="9">
        <f>_xlfn.RANK.EQ(V960,$V$2:$V$1031)</f>
        <v/>
      </c>
      <c r="X960" s="13" t="inlineStr">
        <is>
          <t>راسب</t>
        </is>
      </c>
      <c r="Y960" s="13" t="n">
        <v>24</v>
      </c>
      <c r="Z960" s="13" t="n">
        <v>23</v>
      </c>
      <c r="AA960" s="13" t="n">
        <v>22</v>
      </c>
      <c r="AB960" s="13">
        <f>IF(ISNUMBER(X960),X960+N(Y960)+N(Z960)+N(AA960),X960)</f>
        <v/>
      </c>
      <c r="AC960" s="13">
        <f>IF(ISNUMBER(AB960),AB960,"")</f>
        <v/>
      </c>
      <c r="AD960" s="13">
        <f>IF(ISNUMBER(AC960),_xlfn.RANK.EQ(AC960,$AC$2:$AC$1031),"")</f>
        <v/>
      </c>
      <c r="AE960" s="15">
        <f>IF(ISNUMBER(AF960),AF960/3630,"")</f>
        <v/>
      </c>
      <c r="AF960" s="14">
        <f>IFERROR(C960+D960+E960+F960+J960+K960+L960+M960+Q960+R960+S960+T960+IF(ISNUMBER(X960),X960,0)+N(Y960)+N(Z960)+N(AA960),"")</f>
        <v/>
      </c>
      <c r="AG960" s="14">
        <f>IF(ISNUMBER(AF960),AF960,"")</f>
        <v/>
      </c>
      <c r="AH960" s="14">
        <f>IF(ISNUMBER(AG960),_xlfn.RANK.EQ(AG960,$AG$2:$AG$1031),"")</f>
        <v/>
      </c>
    </row>
    <row r="961">
      <c r="A961" s="18" t="n">
        <v>2236</v>
      </c>
      <c r="B961" s="18" t="inlineStr">
        <is>
          <t>هند ياسر على حسن عبادى</t>
        </is>
      </c>
      <c r="C961" s="1" t="n">
        <v>465.9</v>
      </c>
      <c r="D961" s="1" t="n">
        <v>22</v>
      </c>
      <c r="E961" s="1" t="n">
        <v>17</v>
      </c>
      <c r="F961" s="1" t="n">
        <v>17</v>
      </c>
      <c r="G961" s="1">
        <f>C961+D961+E961+F961</f>
        <v/>
      </c>
      <c r="H961" s="1">
        <f>IF(ISNUMBER(G961),G961,"")</f>
        <v/>
      </c>
      <c r="I961" s="1">
        <f>_xlfn.RANK.EQ(H961,$H$2:$H$1031)</f>
        <v/>
      </c>
      <c r="J961" s="5" t="n">
        <v>506.2</v>
      </c>
      <c r="K961" s="5" t="n">
        <v>39</v>
      </c>
      <c r="L961" s="5" t="n">
        <v>14</v>
      </c>
      <c r="M961" s="5" t="n">
        <v>17</v>
      </c>
      <c r="N961" s="5">
        <f>J961+K961+L961+M961</f>
        <v/>
      </c>
      <c r="O961" s="5">
        <f>IF(ISNUMBER(N961),N961,"")</f>
        <v/>
      </c>
      <c r="P961" s="5">
        <f>_xlfn.RANK.EQ(O961,$O$2:$O$1031)</f>
        <v/>
      </c>
      <c r="Q961" s="9" t="n">
        <v>216</v>
      </c>
      <c r="R961" s="9" t="n">
        <v>36</v>
      </c>
      <c r="S961" s="9" t="n">
        <v>20</v>
      </c>
      <c r="T961" s="9" t="n">
        <v>20</v>
      </c>
      <c r="U961" s="9">
        <f>Q961+R961+S961+T961</f>
        <v/>
      </c>
      <c r="V961" s="9">
        <f>IF(ISNUMBER(U961),U961,"")</f>
        <v/>
      </c>
      <c r="W961" s="9">
        <f>_xlfn.RANK.EQ(V961,$V$2:$V$1031)</f>
        <v/>
      </c>
      <c r="X961" s="13" t="n">
        <v>1286.7041666667</v>
      </c>
      <c r="Y961" s="13" t="n">
        <v>19.5</v>
      </c>
      <c r="Z961" s="13" t="n">
        <v>22</v>
      </c>
      <c r="AA961" s="13" t="n">
        <v>21</v>
      </c>
      <c r="AB961" s="13">
        <f>IF(ISNUMBER(X961),X961+N(Y961)+N(Z961)+N(AA961),X961)</f>
        <v/>
      </c>
      <c r="AC961" s="13">
        <f>IF(ISNUMBER(AB961),AB961,"")</f>
        <v/>
      </c>
      <c r="AD961" s="13">
        <f>IF(ISNUMBER(AC961),_xlfn.RANK.EQ(AC961,$AC$2:$AC$1031),"")</f>
        <v/>
      </c>
      <c r="AE961" s="15">
        <f>IF(ISNUMBER(AF961),AF961/3630,"")</f>
        <v/>
      </c>
      <c r="AF961" s="14">
        <f>IFERROR(C961+D961+E961+F961+J961+K961+L961+M961+Q961+R961+S961+T961+IF(ISNUMBER(X961),X961,0)+N(Y961)+N(Z961)+N(AA961),"")</f>
        <v/>
      </c>
      <c r="AG961" s="14">
        <f>IF(ISNUMBER(AF961),AF961,"")</f>
        <v/>
      </c>
      <c r="AH961" s="14">
        <f>IF(ISNUMBER(AG961),_xlfn.RANK.EQ(AG961,$AG$2:$AG$1031),"")</f>
        <v/>
      </c>
    </row>
    <row r="962">
      <c r="A962" s="18" t="n">
        <v>2239</v>
      </c>
      <c r="B962" s="18" t="inlineStr">
        <is>
          <t>هيبه رحيم هيبه نصير</t>
        </is>
      </c>
      <c r="C962" s="1" t="n">
        <v>515.5</v>
      </c>
      <c r="D962" s="1" t="n">
        <v>14</v>
      </c>
      <c r="E962" s="1" t="n">
        <v>19</v>
      </c>
      <c r="F962" s="1" t="n">
        <v>19</v>
      </c>
      <c r="G962" s="1">
        <f>C962+D962+E962+F962</f>
        <v/>
      </c>
      <c r="H962" s="1">
        <f>IF(ISNUMBER(G962),G962,"")</f>
        <v/>
      </c>
      <c r="I962" s="1">
        <f>_xlfn.RANK.EQ(H962,$H$2:$H$1031)</f>
        <v/>
      </c>
      <c r="J962" s="5" t="n">
        <v>406</v>
      </c>
      <c r="K962" s="5" t="n">
        <v>38</v>
      </c>
      <c r="L962" s="5" t="n">
        <v>14</v>
      </c>
      <c r="M962" s="5" t="n">
        <v>18</v>
      </c>
      <c r="N962" s="5">
        <f>J962+K962+L962+M962</f>
        <v/>
      </c>
      <c r="O962" s="5">
        <f>IF(ISNUMBER(N962),N962,"")</f>
        <v/>
      </c>
      <c r="P962" s="5">
        <f>_xlfn.RANK.EQ(O962,$O$2:$O$1031)</f>
        <v/>
      </c>
      <c r="Q962" s="9" t="n">
        <v>145.5</v>
      </c>
      <c r="R962" s="9" t="n">
        <v>42</v>
      </c>
      <c r="S962" s="9" t="n">
        <v>21</v>
      </c>
      <c r="T962" s="9" t="n">
        <v>22</v>
      </c>
      <c r="U962" s="9">
        <f>Q962+R962+S962+T962</f>
        <v/>
      </c>
      <c r="V962" s="9">
        <f>IF(ISNUMBER(U962),U962,"")</f>
        <v/>
      </c>
      <c r="W962" s="9">
        <f>_xlfn.RANK.EQ(V962,$V$2:$V$1031)</f>
        <v/>
      </c>
      <c r="X962" s="13" t="n">
        <v>1110.7083333333</v>
      </c>
      <c r="Y962" s="13" t="n">
        <v>24.5</v>
      </c>
      <c r="Z962" s="13" t="n">
        <v>22</v>
      </c>
      <c r="AA962" s="13" t="n">
        <v>21</v>
      </c>
      <c r="AB962" s="13">
        <f>IF(ISNUMBER(X962),X962+N(Y962)+N(Z962)+N(AA962),X962)</f>
        <v/>
      </c>
      <c r="AC962" s="13">
        <f>IF(ISNUMBER(AB962),AB962,"")</f>
        <v/>
      </c>
      <c r="AD962" s="13">
        <f>IF(ISNUMBER(AC962),_xlfn.RANK.EQ(AC962,$AC$2:$AC$1031),"")</f>
        <v/>
      </c>
      <c r="AE962" s="15">
        <f>IF(ISNUMBER(AF962),AF962/3630,"")</f>
        <v/>
      </c>
      <c r="AF962" s="14">
        <f>IFERROR(C962+D962+E962+F962+J962+K962+L962+M962+Q962+R962+S962+T962+IF(ISNUMBER(X962),X962,0)+N(Y962)+N(Z962)+N(AA962),"")</f>
        <v/>
      </c>
      <c r="AG962" s="14">
        <f>IF(ISNUMBER(AF962),AF962,"")</f>
        <v/>
      </c>
      <c r="AH962" s="14">
        <f>IF(ISNUMBER(AG962),_xlfn.RANK.EQ(AG962,$AG$2:$AG$1031),"")</f>
        <v/>
      </c>
    </row>
    <row r="963">
      <c r="A963" s="18" t="n">
        <v>2247</v>
      </c>
      <c r="B963" s="18" t="inlineStr">
        <is>
          <t>وصال محمد السيد محمد السيد عوض</t>
        </is>
      </c>
      <c r="C963" s="1" t="n">
        <v>439.3</v>
      </c>
      <c r="D963" s="1" t="n">
        <v>20</v>
      </c>
      <c r="E963" s="1" t="n">
        <v>14</v>
      </c>
      <c r="F963" s="1" t="n">
        <v>17</v>
      </c>
      <c r="G963" s="1">
        <f>C963+D963+E963+F963</f>
        <v/>
      </c>
      <c r="H963" s="1">
        <f>IF(ISNUMBER(G963),G963,"")</f>
        <v/>
      </c>
      <c r="I963" s="1">
        <f>_xlfn.RANK.EQ(H963,$H$2:$H$1031)</f>
        <v/>
      </c>
      <c r="J963" s="5" t="n">
        <v>475.5</v>
      </c>
      <c r="K963" s="5" t="n">
        <v>37</v>
      </c>
      <c r="L963" s="5" t="n">
        <v>18</v>
      </c>
      <c r="M963" s="5" t="n">
        <v>11</v>
      </c>
      <c r="N963" s="5">
        <f>J963+K963+L963+M963</f>
        <v/>
      </c>
      <c r="O963" s="5">
        <f>IF(ISNUMBER(N963),N963,"")</f>
        <v/>
      </c>
      <c r="P963" s="5">
        <f>_xlfn.RANK.EQ(O963,$O$2:$O$1031)</f>
        <v/>
      </c>
      <c r="Q963" s="9" t="n">
        <v>174</v>
      </c>
      <c r="R963" s="9" t="n">
        <v>34</v>
      </c>
      <c r="S963" s="9" t="n">
        <v>16</v>
      </c>
      <c r="T963" s="9" t="n">
        <v>22</v>
      </c>
      <c r="U963" s="9">
        <f>Q963+R963+S963+T963</f>
        <v/>
      </c>
      <c r="V963" s="9">
        <f>IF(ISNUMBER(U963),U963,"")</f>
        <v/>
      </c>
      <c r="W963" s="9">
        <f>_xlfn.RANK.EQ(V963,$V$2:$V$1031)</f>
        <v/>
      </c>
      <c r="X963" s="13" t="inlineStr">
        <is>
          <t>راسب</t>
        </is>
      </c>
      <c r="Y963" s="13" t="n">
        <v>23</v>
      </c>
      <c r="Z963" s="13" t="n">
        <v>22</v>
      </c>
      <c r="AA963" s="13" t="n">
        <v>20</v>
      </c>
      <c r="AB963" s="13">
        <f>IF(ISNUMBER(X963),X963+N(Y963)+N(Z963)+N(AA963),X963)</f>
        <v/>
      </c>
      <c r="AC963" s="13">
        <f>IF(ISNUMBER(AB963),AB963,"")</f>
        <v/>
      </c>
      <c r="AD963" s="13">
        <f>IF(ISNUMBER(AC963),_xlfn.RANK.EQ(AC963,$AC$2:$AC$1031),"")</f>
        <v/>
      </c>
      <c r="AE963" s="15">
        <f>IF(ISNUMBER(AF963),AF963/3630,"")</f>
        <v/>
      </c>
      <c r="AF963" s="14">
        <f>IFERROR(C963+D963+E963+F963+J963+K963+L963+M963+Q963+R963+S963+T963+IF(ISNUMBER(X963),X963,0)+N(Y963)+N(Z963)+N(AA963),"")</f>
        <v/>
      </c>
      <c r="AG963" s="14">
        <f>IF(ISNUMBER(AF963),AF963,"")</f>
        <v/>
      </c>
      <c r="AH963" s="14">
        <f>IF(ISNUMBER(AG963),_xlfn.RANK.EQ(AG963,$AG$2:$AG$1031),"")</f>
        <v/>
      </c>
    </row>
    <row r="964">
      <c r="A964" s="18" t="n">
        <v>2253</v>
      </c>
      <c r="B964" s="18" t="inlineStr">
        <is>
          <t>وعد شريف احمد  عبداللطيف</t>
        </is>
      </c>
      <c r="C964" s="1" t="n">
        <v>555.9</v>
      </c>
      <c r="D964" s="1" t="n">
        <v>23</v>
      </c>
      <c r="E964" s="1" t="n">
        <v>18</v>
      </c>
      <c r="F964" s="1" t="n">
        <v>17</v>
      </c>
      <c r="G964" s="1">
        <f>C964+D964+E964+F964</f>
        <v/>
      </c>
      <c r="H964" s="1">
        <f>IF(ISNUMBER(G964),G964,"")</f>
        <v/>
      </c>
      <c r="I964" s="1">
        <f>_xlfn.RANK.EQ(H964,$H$2:$H$1031)</f>
        <v/>
      </c>
      <c r="J964" s="5" t="n">
        <v>562.2</v>
      </c>
      <c r="K964" s="5" t="n">
        <v>45</v>
      </c>
      <c r="L964" s="5" t="n">
        <v>19</v>
      </c>
      <c r="M964" s="5" t="n">
        <v>18</v>
      </c>
      <c r="N964" s="5">
        <f>J964+K964+L964+M964</f>
        <v/>
      </c>
      <c r="O964" s="5">
        <f>IF(ISNUMBER(N964),N964,"")</f>
        <v/>
      </c>
      <c r="P964" s="5">
        <f>_xlfn.RANK.EQ(O964,$O$2:$O$1031)</f>
        <v/>
      </c>
      <c r="Q964" s="9" t="n">
        <v>219</v>
      </c>
      <c r="R964" s="9" t="n">
        <v>45.5</v>
      </c>
      <c r="S964" s="9" t="n">
        <v>23</v>
      </c>
      <c r="T964" s="9" t="n">
        <v>25</v>
      </c>
      <c r="U964" s="9">
        <f>Q964+R964+S964+T964</f>
        <v/>
      </c>
      <c r="V964" s="9">
        <f>IF(ISNUMBER(U964),U964,"")</f>
        <v/>
      </c>
      <c r="W964" s="9">
        <f>_xlfn.RANK.EQ(V964,$V$2:$V$1031)</f>
        <v/>
      </c>
      <c r="X964" s="13" t="n">
        <v>1393.0166666667</v>
      </c>
      <c r="Y964" s="13" t="n">
        <v>22.5</v>
      </c>
      <c r="Z964" s="13" t="n">
        <v>24</v>
      </c>
      <c r="AA964" s="13" t="n">
        <v>19</v>
      </c>
      <c r="AB964" s="13">
        <f>IF(ISNUMBER(X964),X964+N(Y964)+N(Z964)+N(AA964),X964)</f>
        <v/>
      </c>
      <c r="AC964" s="13">
        <f>IF(ISNUMBER(AB964),AB964,"")</f>
        <v/>
      </c>
      <c r="AD964" s="13">
        <f>IF(ISNUMBER(AC964),_xlfn.RANK.EQ(AC964,$AC$2:$AC$1031),"")</f>
        <v/>
      </c>
      <c r="AE964" s="15">
        <f>IF(ISNUMBER(AF964),AF964/3630,"")</f>
        <v/>
      </c>
      <c r="AF964" s="14">
        <f>IFERROR(C964+D964+E964+F964+J964+K964+L964+M964+Q964+R964+S964+T964+IF(ISNUMBER(X964),X964,0)+N(Y964)+N(Z964)+N(AA964),"")</f>
        <v/>
      </c>
      <c r="AG964" s="14">
        <f>IF(ISNUMBER(AF964),AF964,"")</f>
        <v/>
      </c>
      <c r="AH964" s="14">
        <f>IF(ISNUMBER(AG964),_xlfn.RANK.EQ(AG964,$AG$2:$AG$1031),"")</f>
        <v/>
      </c>
    </row>
    <row r="965">
      <c r="A965" s="18" t="n">
        <v>2258</v>
      </c>
      <c r="B965" s="18" t="inlineStr">
        <is>
          <t>وفاء علاء محمد عبد العزيزالبتلتنى</t>
        </is>
      </c>
      <c r="C965" s="1" t="n">
        <v>582.4</v>
      </c>
      <c r="D965" s="1" t="n">
        <v>25</v>
      </c>
      <c r="E965" s="1" t="n">
        <v>24</v>
      </c>
      <c r="F965" s="1" t="n">
        <v>21</v>
      </c>
      <c r="G965" s="1">
        <f>C965+D965+E965+F965</f>
        <v/>
      </c>
      <c r="H965" s="1">
        <f>IF(ISNUMBER(G965),G965,"")</f>
        <v/>
      </c>
      <c r="I965" s="1">
        <f>_xlfn.RANK.EQ(H965,$H$2:$H$1031)</f>
        <v/>
      </c>
      <c r="J965" s="5" t="n">
        <v>602.9</v>
      </c>
      <c r="K965" s="5" t="n">
        <v>48</v>
      </c>
      <c r="L965" s="5" t="n">
        <v>23</v>
      </c>
      <c r="M965" s="5" t="n">
        <v>25</v>
      </c>
      <c r="N965" s="5">
        <f>J965+K965+L965+M965</f>
        <v/>
      </c>
      <c r="O965" s="5">
        <f>IF(ISNUMBER(N965),N965,"")</f>
        <v/>
      </c>
      <c r="P965" s="5">
        <f>_xlfn.RANK.EQ(O965,$O$2:$O$1031)</f>
        <v/>
      </c>
      <c r="Q965" s="9" t="n">
        <v>267</v>
      </c>
      <c r="R965" s="9" t="n">
        <v>47.5</v>
      </c>
      <c r="S965" s="9" t="n">
        <v>23</v>
      </c>
      <c r="T965" s="9" t="n">
        <v>24.5</v>
      </c>
      <c r="U965" s="9">
        <f>Q965+R965+S965+T965</f>
        <v/>
      </c>
      <c r="V965" s="9">
        <f>IF(ISNUMBER(U965),U965,"")</f>
        <v/>
      </c>
      <c r="W965" s="9">
        <f>_xlfn.RANK.EQ(V965,$V$2:$V$1031)</f>
        <v/>
      </c>
      <c r="X965" s="13" t="n">
        <v>1404.6833333333</v>
      </c>
      <c r="Y965" s="13" t="n">
        <v>22.5</v>
      </c>
      <c r="Z965" s="13" t="n">
        <v>23</v>
      </c>
      <c r="AA965" s="13" t="n">
        <v>25</v>
      </c>
      <c r="AB965" s="13">
        <f>IF(ISNUMBER(X965),X965+N(Y965)+N(Z965)+N(AA965),X965)</f>
        <v/>
      </c>
      <c r="AC965" s="13">
        <f>IF(ISNUMBER(AB965),AB965,"")</f>
        <v/>
      </c>
      <c r="AD965" s="13">
        <f>IF(ISNUMBER(AC965),_xlfn.RANK.EQ(AC965,$AC$2:$AC$1031),"")</f>
        <v/>
      </c>
      <c r="AE965" s="15">
        <f>IF(ISNUMBER(AF965),AF965/3630,"")</f>
        <v/>
      </c>
      <c r="AF965" s="14">
        <f>IFERROR(C965+D965+E965+F965+J965+K965+L965+M965+Q965+R965+S965+T965+IF(ISNUMBER(X965),X965,0)+N(Y965)+N(Z965)+N(AA965),"")</f>
        <v/>
      </c>
      <c r="AG965" s="14">
        <f>IF(ISNUMBER(AF965),AF965,"")</f>
        <v/>
      </c>
      <c r="AH965" s="14">
        <f>IF(ISNUMBER(AG965),_xlfn.RANK.EQ(AG965,$AG$2:$AG$1031),"")</f>
        <v/>
      </c>
    </row>
    <row r="966">
      <c r="A966" s="18" t="n">
        <v>2259</v>
      </c>
      <c r="B966" s="18" t="inlineStr">
        <is>
          <t>وفاء مجدي مرسي  خطاب</t>
        </is>
      </c>
      <c r="C966" s="1" t="n">
        <v>643.1</v>
      </c>
      <c r="D966" s="1" t="n">
        <v>23</v>
      </c>
      <c r="E966" s="1" t="n">
        <v>22</v>
      </c>
      <c r="F966" s="1" t="n">
        <v>21</v>
      </c>
      <c r="G966" s="1">
        <f>C966+D966+E966+F966</f>
        <v/>
      </c>
      <c r="H966" s="1">
        <f>IF(ISNUMBER(G966),G966,"")</f>
        <v/>
      </c>
      <c r="I966" s="1">
        <f>_xlfn.RANK.EQ(H966,$H$2:$H$1031)</f>
        <v/>
      </c>
      <c r="J966" s="5" t="n">
        <v>626.4</v>
      </c>
      <c r="K966" s="5" t="n">
        <v>48</v>
      </c>
      <c r="L966" s="5" t="n">
        <v>24</v>
      </c>
      <c r="M966" s="5" t="n">
        <v>24</v>
      </c>
      <c r="N966" s="5">
        <f>J966+K966+L966+M966</f>
        <v/>
      </c>
      <c r="O966" s="5">
        <f>IF(ISNUMBER(N966),N966,"")</f>
        <v/>
      </c>
      <c r="P966" s="5">
        <f>_xlfn.RANK.EQ(O966,$O$2:$O$1031)</f>
        <v/>
      </c>
      <c r="Q966" s="9" t="n">
        <v>287</v>
      </c>
      <c r="R966" s="9" t="n">
        <v>48.5</v>
      </c>
      <c r="S966" s="9" t="n">
        <v>23</v>
      </c>
      <c r="T966" s="9" t="n">
        <v>24</v>
      </c>
      <c r="U966" s="9">
        <f>Q966+R966+S966+T966</f>
        <v/>
      </c>
      <c r="V966" s="9">
        <f>IF(ISNUMBER(U966),U966,"")</f>
        <v/>
      </c>
      <c r="W966" s="9">
        <f>_xlfn.RANK.EQ(V966,$V$2:$V$1031)</f>
        <v/>
      </c>
      <c r="X966" s="13" t="n">
        <v>1545.8541666667</v>
      </c>
      <c r="Y966" s="13" t="n">
        <v>25</v>
      </c>
      <c r="Z966" s="13" t="n">
        <v>25</v>
      </c>
      <c r="AA966" s="13" t="n">
        <v>25</v>
      </c>
      <c r="AB966" s="13">
        <f>IF(ISNUMBER(X966),X966+N(Y966)+N(Z966)+N(AA966),X966)</f>
        <v/>
      </c>
      <c r="AC966" s="13">
        <f>IF(ISNUMBER(AB966),AB966,"")</f>
        <v/>
      </c>
      <c r="AD966" s="13">
        <f>IF(ISNUMBER(AC966),_xlfn.RANK.EQ(AC966,$AC$2:$AC$1031),"")</f>
        <v/>
      </c>
      <c r="AE966" s="15">
        <f>IF(ISNUMBER(AF966),AF966/3630,"")</f>
        <v/>
      </c>
      <c r="AF966" s="14">
        <f>IFERROR(C966+D966+E966+F966+J966+K966+L966+M966+Q966+R966+S966+T966+IF(ISNUMBER(X966),X966,0)+N(Y966)+N(Z966)+N(AA966),"")</f>
        <v/>
      </c>
      <c r="AG966" s="14">
        <f>IF(ISNUMBER(AF966),AF966,"")</f>
        <v/>
      </c>
      <c r="AH966" s="14">
        <f>IF(ISNUMBER(AG966),_xlfn.RANK.EQ(AG966,$AG$2:$AG$1031),"")</f>
        <v/>
      </c>
    </row>
    <row r="967">
      <c r="A967" s="18" t="n">
        <v>2260</v>
      </c>
      <c r="B967" s="18" t="inlineStr">
        <is>
          <t>وفاء نادر عبده محمد متولى</t>
        </is>
      </c>
      <c r="C967" s="1" t="n">
        <v>636.6</v>
      </c>
      <c r="D967" s="1" t="n">
        <v>25</v>
      </c>
      <c r="E967" s="1" t="n">
        <v>24</v>
      </c>
      <c r="F967" s="1" t="n">
        <v>24</v>
      </c>
      <c r="G967" s="1">
        <f>C967+D967+E967+F967</f>
        <v/>
      </c>
      <c r="H967" s="1">
        <f>IF(ISNUMBER(G967),G967,"")</f>
        <v/>
      </c>
      <c r="I967" s="1">
        <f>_xlfn.RANK.EQ(H967,$H$2:$H$1031)</f>
        <v/>
      </c>
      <c r="J967" s="5" t="n">
        <v>622.5</v>
      </c>
      <c r="K967" s="5" t="n">
        <v>48</v>
      </c>
      <c r="L967" s="5" t="n">
        <v>24</v>
      </c>
      <c r="M967" s="5" t="n">
        <v>23</v>
      </c>
      <c r="N967" s="5">
        <f>J967+K967+L967+M967</f>
        <v/>
      </c>
      <c r="O967" s="5">
        <f>IF(ISNUMBER(N967),N967,"")</f>
        <v/>
      </c>
      <c r="P967" s="5">
        <f>_xlfn.RANK.EQ(O967,$O$2:$O$1031)</f>
        <v/>
      </c>
      <c r="Q967" s="9" t="n">
        <v>261</v>
      </c>
      <c r="R967" s="9" t="n">
        <v>48</v>
      </c>
      <c r="S967" s="9" t="n">
        <v>24</v>
      </c>
      <c r="T967" s="9" t="n">
        <v>23.5</v>
      </c>
      <c r="U967" s="9">
        <f>Q967+R967+S967+T967</f>
        <v/>
      </c>
      <c r="V967" s="9">
        <f>IF(ISNUMBER(U967),U967,"")</f>
        <v/>
      </c>
      <c r="W967" s="9">
        <f>_xlfn.RANK.EQ(V967,$V$2:$V$1031)</f>
        <v/>
      </c>
      <c r="X967" s="13" t="n">
        <v>1465.7541666667</v>
      </c>
      <c r="Y967" s="13" t="n">
        <v>22.5</v>
      </c>
      <c r="Z967" s="13" t="n">
        <v>25</v>
      </c>
      <c r="AA967" s="13" t="n">
        <v>23</v>
      </c>
      <c r="AB967" s="13">
        <f>IF(ISNUMBER(X967),X967+N(Y967)+N(Z967)+N(AA967),X967)</f>
        <v/>
      </c>
      <c r="AC967" s="13">
        <f>IF(ISNUMBER(AB967),AB967,"")</f>
        <v/>
      </c>
      <c r="AD967" s="13">
        <f>IF(ISNUMBER(AC967),_xlfn.RANK.EQ(AC967,$AC$2:$AC$1031),"")</f>
        <v/>
      </c>
      <c r="AE967" s="15">
        <f>IF(ISNUMBER(AF967),AF967/3630,"")</f>
        <v/>
      </c>
      <c r="AF967" s="14">
        <f>IFERROR(C967+D967+E967+F967+J967+K967+L967+M967+Q967+R967+S967+T967+IF(ISNUMBER(X967),X967,0)+N(Y967)+N(Z967)+N(AA967),"")</f>
        <v/>
      </c>
      <c r="AG967" s="14">
        <f>IF(ISNUMBER(AF967),AF967,"")</f>
        <v/>
      </c>
      <c r="AH967" s="14">
        <f>IF(ISNUMBER(AG967),_xlfn.RANK.EQ(AG967,$AG$2:$AG$1031),"")</f>
        <v/>
      </c>
    </row>
    <row r="968">
      <c r="A968" s="18" t="n">
        <v>2261</v>
      </c>
      <c r="B968" s="18" t="inlineStr">
        <is>
          <t>ولاء اسامه محمد احمد القلفاط</t>
        </is>
      </c>
      <c r="C968" s="1" t="n">
        <v>471.6</v>
      </c>
      <c r="D968" s="1" t="n">
        <v>23</v>
      </c>
      <c r="E968" s="1" t="n">
        <v>22</v>
      </c>
      <c r="F968" s="1" t="n">
        <v>17</v>
      </c>
      <c r="G968" s="1">
        <f>C968+D968+E968+F968</f>
        <v/>
      </c>
      <c r="H968" s="1">
        <f>IF(ISNUMBER(G968),G968,"")</f>
        <v/>
      </c>
      <c r="I968" s="1">
        <f>_xlfn.RANK.EQ(H968,$H$2:$H$1031)</f>
        <v/>
      </c>
      <c r="J968" s="5" t="n">
        <v>530</v>
      </c>
      <c r="K968" s="5" t="n">
        <v>43</v>
      </c>
      <c r="L968" s="5" t="n">
        <v>21</v>
      </c>
      <c r="M968" s="5" t="n">
        <v>24</v>
      </c>
      <c r="N968" s="5">
        <f>J968+K968+L968+M968</f>
        <v/>
      </c>
      <c r="O968" s="5">
        <f>IF(ISNUMBER(N968),N968,"")</f>
        <v/>
      </c>
      <c r="P968" s="5">
        <f>_xlfn.RANK.EQ(O968,$O$2:$O$1031)</f>
        <v/>
      </c>
      <c r="Q968" s="9" t="n">
        <v>206</v>
      </c>
      <c r="R968" s="9" t="n">
        <v>47</v>
      </c>
      <c r="S968" s="9" t="n">
        <v>23</v>
      </c>
      <c r="T968" s="9" t="n">
        <v>24</v>
      </c>
      <c r="U968" s="9">
        <f>Q968+R968+S968+T968</f>
        <v/>
      </c>
      <c r="V968" s="9">
        <f>IF(ISNUMBER(U968),U968,"")</f>
        <v/>
      </c>
      <c r="W968" s="9">
        <f>_xlfn.RANK.EQ(V968,$V$2:$V$1031)</f>
        <v/>
      </c>
      <c r="X968" s="13" t="n">
        <v>1367.2791666667</v>
      </c>
      <c r="Y968" s="13" t="n">
        <v>24.5</v>
      </c>
      <c r="Z968" s="13" t="n">
        <v>25</v>
      </c>
      <c r="AA968" s="13" t="n">
        <v>21</v>
      </c>
      <c r="AB968" s="13">
        <f>IF(ISNUMBER(X968),X968+N(Y968)+N(Z968)+N(AA968),X968)</f>
        <v/>
      </c>
      <c r="AC968" s="13">
        <f>IF(ISNUMBER(AB968),AB968,"")</f>
        <v/>
      </c>
      <c r="AD968" s="13">
        <f>IF(ISNUMBER(AC968),_xlfn.RANK.EQ(AC968,$AC$2:$AC$1031),"")</f>
        <v/>
      </c>
      <c r="AE968" s="15">
        <f>IF(ISNUMBER(AF968),AF968/3630,"")</f>
        <v/>
      </c>
      <c r="AF968" s="14">
        <f>IFERROR(C968+D968+E968+F968+J968+K968+L968+M968+Q968+R968+S968+T968+IF(ISNUMBER(X968),X968,0)+N(Y968)+N(Z968)+N(AA968),"")</f>
        <v/>
      </c>
      <c r="AG968" s="14">
        <f>IF(ISNUMBER(AF968),AF968,"")</f>
        <v/>
      </c>
      <c r="AH968" s="14">
        <f>IF(ISNUMBER(AG968),_xlfn.RANK.EQ(AG968,$AG$2:$AG$1031),"")</f>
        <v/>
      </c>
    </row>
    <row r="969">
      <c r="A969" s="18" t="n">
        <v>2270</v>
      </c>
      <c r="B969" s="18" t="inlineStr">
        <is>
          <t>يارا احمد السيد احمد خليل العشرى</t>
        </is>
      </c>
      <c r="C969" s="1" t="n">
        <v>626.1</v>
      </c>
      <c r="D969" s="1" t="n">
        <v>25</v>
      </c>
      <c r="E969" s="1" t="n">
        <v>25</v>
      </c>
      <c r="F969" s="1" t="n">
        <v>22</v>
      </c>
      <c r="G969" s="1">
        <f>C969+D969+E969+F969</f>
        <v/>
      </c>
      <c r="H969" s="1">
        <f>IF(ISNUMBER(G969),G969,"")</f>
        <v/>
      </c>
      <c r="I969" s="1">
        <f>_xlfn.RANK.EQ(H969,$H$2:$H$1031)</f>
        <v/>
      </c>
      <c r="J969" s="5" t="n">
        <v>623</v>
      </c>
      <c r="K969" s="5" t="n">
        <v>49</v>
      </c>
      <c r="L969" s="5" t="n">
        <v>22</v>
      </c>
      <c r="M969" s="5" t="n">
        <v>24</v>
      </c>
      <c r="N969" s="5">
        <f>J969+K969+L969+M969</f>
        <v/>
      </c>
      <c r="O969" s="5">
        <f>IF(ISNUMBER(N969),N969,"")</f>
        <v/>
      </c>
      <c r="P969" s="5">
        <f>_xlfn.RANK.EQ(O969,$O$2:$O$1031)</f>
        <v/>
      </c>
      <c r="Q969" s="9" t="n">
        <v>278</v>
      </c>
      <c r="R969" s="9" t="n">
        <v>48</v>
      </c>
      <c r="S969" s="9" t="n">
        <v>25</v>
      </c>
      <c r="T969" s="9" t="n">
        <v>24.5</v>
      </c>
      <c r="U969" s="9">
        <f>Q969+R969+S969+T969</f>
        <v/>
      </c>
      <c r="V969" s="9">
        <f>IF(ISNUMBER(U969),U969,"")</f>
        <v/>
      </c>
      <c r="W969" s="9">
        <f>_xlfn.RANK.EQ(V969,$V$2:$V$1031)</f>
        <v/>
      </c>
      <c r="X969" s="13" t="n">
        <v>1494.6083333333</v>
      </c>
      <c r="Y969" s="13" t="n">
        <v>24.5</v>
      </c>
      <c r="Z969" s="13" t="n">
        <v>24</v>
      </c>
      <c r="AA969" s="13" t="n">
        <v>24</v>
      </c>
      <c r="AB969" s="13">
        <f>IF(ISNUMBER(X969),X969+N(Y969)+N(Z969)+N(AA969),X969)</f>
        <v/>
      </c>
      <c r="AC969" s="13">
        <f>IF(ISNUMBER(AB969),AB969,"")</f>
        <v/>
      </c>
      <c r="AD969" s="13">
        <f>IF(ISNUMBER(AC969),_xlfn.RANK.EQ(AC969,$AC$2:$AC$1031),"")</f>
        <v/>
      </c>
      <c r="AE969" s="15">
        <f>IF(ISNUMBER(AF969),AF969/3630,"")</f>
        <v/>
      </c>
      <c r="AF969" s="14">
        <f>IFERROR(C969+D969+E969+F969+J969+K969+L969+M969+Q969+R969+S969+T969+IF(ISNUMBER(X969),X969,0)+N(Y969)+N(Z969)+N(AA969),"")</f>
        <v/>
      </c>
      <c r="AG969" s="14">
        <f>IF(ISNUMBER(AF969),AF969,"")</f>
        <v/>
      </c>
      <c r="AH969" s="14">
        <f>IF(ISNUMBER(AG969),_xlfn.RANK.EQ(AG969,$AG$2:$AG$1031),"")</f>
        <v/>
      </c>
    </row>
    <row r="970">
      <c r="A970" s="18" t="n">
        <v>2271</v>
      </c>
      <c r="B970" s="18" t="inlineStr">
        <is>
          <t>يارا سعيد محمد عطاالله ناجي</t>
        </is>
      </c>
      <c r="C970" s="1" t="n">
        <v>612.1</v>
      </c>
      <c r="D970" s="1" t="n">
        <v>25</v>
      </c>
      <c r="E970" s="1" t="n">
        <v>23</v>
      </c>
      <c r="F970" s="1" t="n">
        <v>22</v>
      </c>
      <c r="G970" s="1">
        <f>C970+D970+E970+F970</f>
        <v/>
      </c>
      <c r="H970" s="1">
        <f>IF(ISNUMBER(G970),G970,"")</f>
        <v/>
      </c>
      <c r="I970" s="1">
        <f>_xlfn.RANK.EQ(H970,$H$2:$H$1031)</f>
        <v/>
      </c>
      <c r="J970" s="5" t="n">
        <v>586.5</v>
      </c>
      <c r="K970" s="5" t="n">
        <v>48</v>
      </c>
      <c r="L970" s="5" t="n">
        <v>22</v>
      </c>
      <c r="M970" s="5" t="n">
        <v>23</v>
      </c>
      <c r="N970" s="5">
        <f>J970+K970+L970+M970</f>
        <v/>
      </c>
      <c r="O970" s="5">
        <f>IF(ISNUMBER(N970),N970,"")</f>
        <v/>
      </c>
      <c r="P970" s="5">
        <f>_xlfn.RANK.EQ(O970,$O$2:$O$1031)</f>
        <v/>
      </c>
      <c r="Q970" s="9" t="n">
        <v>247</v>
      </c>
      <c r="R970" s="9" t="n">
        <v>46.5</v>
      </c>
      <c r="S970" s="9" t="n">
        <v>23</v>
      </c>
      <c r="T970" s="9" t="n">
        <v>24</v>
      </c>
      <c r="U970" s="9">
        <f>Q970+R970+S970+T970</f>
        <v/>
      </c>
      <c r="V970" s="9">
        <f>IF(ISNUMBER(U970),U970,"")</f>
        <v/>
      </c>
      <c r="W970" s="9">
        <f>_xlfn.RANK.EQ(V970,$V$2:$V$1031)</f>
        <v/>
      </c>
      <c r="X970" s="13" t="n">
        <v>1355.2083333333</v>
      </c>
      <c r="Y970" s="13" t="n">
        <v>23</v>
      </c>
      <c r="Z970" s="13" t="n">
        <v>25</v>
      </c>
      <c r="AA970" s="13" t="n">
        <v>24</v>
      </c>
      <c r="AB970" s="13">
        <f>IF(ISNUMBER(X970),X970+N(Y970)+N(Z970)+N(AA970),X970)</f>
        <v/>
      </c>
      <c r="AC970" s="13">
        <f>IF(ISNUMBER(AB970),AB970,"")</f>
        <v/>
      </c>
      <c r="AD970" s="13">
        <f>IF(ISNUMBER(AC970),_xlfn.RANK.EQ(AC970,$AC$2:$AC$1031),"")</f>
        <v/>
      </c>
      <c r="AE970" s="15">
        <f>IF(ISNUMBER(AF970),AF970/3630,"")</f>
        <v/>
      </c>
      <c r="AF970" s="14">
        <f>IFERROR(C970+D970+E970+F970+J970+K970+L970+M970+Q970+R970+S970+T970+IF(ISNUMBER(X970),X970,0)+N(Y970)+N(Z970)+N(AA970),"")</f>
        <v/>
      </c>
      <c r="AG970" s="14">
        <f>IF(ISNUMBER(AF970),AF970,"")</f>
        <v/>
      </c>
      <c r="AH970" s="14">
        <f>IF(ISNUMBER(AG970),_xlfn.RANK.EQ(AG970,$AG$2:$AG$1031),"")</f>
        <v/>
      </c>
    </row>
    <row r="971">
      <c r="A971" s="18" t="n">
        <v>2272</v>
      </c>
      <c r="B971" s="18" t="inlineStr">
        <is>
          <t>يارا عاطف محمد عبد الوهاب دياب</t>
        </is>
      </c>
      <c r="C971" s="1" t="n">
        <v>650.5</v>
      </c>
      <c r="D971" s="1" t="n">
        <v>25</v>
      </c>
      <c r="E971" s="1" t="n">
        <v>25</v>
      </c>
      <c r="F971" s="1" t="n">
        <v>23</v>
      </c>
      <c r="G971" s="1">
        <f>C971+D971+E971+F971</f>
        <v/>
      </c>
      <c r="H971" s="1">
        <f>IF(ISNUMBER(G971),G971,"")</f>
        <v/>
      </c>
      <c r="I971" s="1">
        <f>_xlfn.RANK.EQ(H971,$H$2:$H$1031)</f>
        <v/>
      </c>
      <c r="J971" s="5" t="n">
        <v>626.9</v>
      </c>
      <c r="K971" s="5" t="n">
        <v>50</v>
      </c>
      <c r="L971" s="5" t="n">
        <v>23</v>
      </c>
      <c r="M971" s="5" t="n">
        <v>25</v>
      </c>
      <c r="N971" s="5">
        <f>J971+K971+L971+M971</f>
        <v/>
      </c>
      <c r="O971" s="5">
        <f>IF(ISNUMBER(N971),N971,"")</f>
        <v/>
      </c>
      <c r="P971" s="5">
        <f>_xlfn.RANK.EQ(O971,$O$2:$O$1031)</f>
        <v/>
      </c>
      <c r="Q971" s="9" t="n">
        <v>281</v>
      </c>
      <c r="R971" s="9" t="n">
        <v>49</v>
      </c>
      <c r="S971" s="9" t="n">
        <v>25</v>
      </c>
      <c r="T971" s="9" t="n">
        <v>24.5</v>
      </c>
      <c r="U971" s="9">
        <f>Q971+R971+S971+T971</f>
        <v/>
      </c>
      <c r="V971" s="9">
        <f>IF(ISNUMBER(U971),U971,"")</f>
        <v/>
      </c>
      <c r="W971" s="9">
        <f>_xlfn.RANK.EQ(V971,$V$2:$V$1031)</f>
        <v/>
      </c>
      <c r="X971" s="13" t="n">
        <v>1500.0166666667</v>
      </c>
      <c r="Y971" s="13" t="n">
        <v>24.5</v>
      </c>
      <c r="Z971" s="13" t="n">
        <v>24</v>
      </c>
      <c r="AA971" s="13" t="n">
        <v>24</v>
      </c>
      <c r="AB971" s="13">
        <f>IF(ISNUMBER(X971),X971+N(Y971)+N(Z971)+N(AA971),X971)</f>
        <v/>
      </c>
      <c r="AC971" s="13">
        <f>IF(ISNUMBER(AB971),AB971,"")</f>
        <v/>
      </c>
      <c r="AD971" s="13">
        <f>IF(ISNUMBER(AC971),_xlfn.RANK.EQ(AC971,$AC$2:$AC$1031),"")</f>
        <v/>
      </c>
      <c r="AE971" s="15">
        <f>IF(ISNUMBER(AF971),AF971/3630,"")</f>
        <v/>
      </c>
      <c r="AF971" s="14">
        <f>IFERROR(C971+D971+E971+F971+J971+K971+L971+M971+Q971+R971+S971+T971+IF(ISNUMBER(X971),X971,0)+N(Y971)+N(Z971)+N(AA971),"")</f>
        <v/>
      </c>
      <c r="AG971" s="14">
        <f>IF(ISNUMBER(AF971),AF971,"")</f>
        <v/>
      </c>
      <c r="AH971" s="14">
        <f>IF(ISNUMBER(AG971),_xlfn.RANK.EQ(AG971,$AG$2:$AG$1031),"")</f>
        <v/>
      </c>
    </row>
    <row r="972">
      <c r="A972" s="18" t="n">
        <v>2273</v>
      </c>
      <c r="B972" s="18" t="inlineStr">
        <is>
          <t>يارا محمد السيد سعيد طبيخه</t>
        </is>
      </c>
      <c r="C972" s="1" t="n">
        <v>537.4</v>
      </c>
      <c r="D972" s="1" t="n">
        <v>24</v>
      </c>
      <c r="E972" s="1" t="n">
        <v>22</v>
      </c>
      <c r="F972" s="1" t="n">
        <v>23</v>
      </c>
      <c r="G972" s="1">
        <f>C972+D972+E972+F972</f>
        <v/>
      </c>
      <c r="H972" s="1">
        <f>IF(ISNUMBER(G972),G972,"")</f>
        <v/>
      </c>
      <c r="I972" s="1">
        <f>_xlfn.RANK.EQ(H972,$H$2:$H$1031)</f>
        <v/>
      </c>
      <c r="J972" s="5" t="n">
        <v>512.9</v>
      </c>
      <c r="K972" s="5" t="n">
        <v>46</v>
      </c>
      <c r="L972" s="5" t="n">
        <v>21</v>
      </c>
      <c r="M972" s="5" t="n">
        <v>19</v>
      </c>
      <c r="N972" s="5">
        <f>J972+K972+L972+M972</f>
        <v/>
      </c>
      <c r="O972" s="5">
        <f>IF(ISNUMBER(N972),N972,"")</f>
        <v/>
      </c>
      <c r="P972" s="5">
        <f>_xlfn.RANK.EQ(O972,$O$2:$O$1031)</f>
        <v/>
      </c>
      <c r="Q972" s="9" t="n">
        <v>222</v>
      </c>
      <c r="R972" s="9" t="n">
        <v>38.5</v>
      </c>
      <c r="S972" s="9" t="n">
        <v>24</v>
      </c>
      <c r="T972" s="9" t="n">
        <v>24</v>
      </c>
      <c r="U972" s="9">
        <f>Q972+R972+S972+T972</f>
        <v/>
      </c>
      <c r="V972" s="9">
        <f>IF(ISNUMBER(U972),U972,"")</f>
        <v/>
      </c>
      <c r="W972" s="9">
        <f>_xlfn.RANK.EQ(V972,$V$2:$V$1031)</f>
        <v/>
      </c>
      <c r="X972" s="13" t="n">
        <v>1275.6416666667</v>
      </c>
      <c r="Y972" s="13" t="n">
        <v>25</v>
      </c>
      <c r="Z972" s="13" t="n">
        <v>15</v>
      </c>
      <c r="AA972" s="13" t="n">
        <v>22</v>
      </c>
      <c r="AB972" s="13">
        <f>IF(ISNUMBER(X972),X972+N(Y972)+N(Z972)+N(AA972),X972)</f>
        <v/>
      </c>
      <c r="AC972" s="13">
        <f>IF(ISNUMBER(AB972),AB972,"")</f>
        <v/>
      </c>
      <c r="AD972" s="13">
        <f>IF(ISNUMBER(AC972),_xlfn.RANK.EQ(AC972,$AC$2:$AC$1031),"")</f>
        <v/>
      </c>
      <c r="AE972" s="15">
        <f>IF(ISNUMBER(AF972),AF972/3630,"")</f>
        <v/>
      </c>
      <c r="AF972" s="14">
        <f>IFERROR(C972+D972+E972+F972+J972+K972+L972+M972+Q972+R972+S972+T972+IF(ISNUMBER(X972),X972,0)+N(Y972)+N(Z972)+N(AA972),"")</f>
        <v/>
      </c>
      <c r="AG972" s="14">
        <f>IF(ISNUMBER(AF972),AF972,"")</f>
        <v/>
      </c>
      <c r="AH972" s="14">
        <f>IF(ISNUMBER(AG972),_xlfn.RANK.EQ(AG972,$AG$2:$AG$1031),"")</f>
        <v/>
      </c>
    </row>
    <row r="973">
      <c r="A973" s="18" t="n">
        <v>2274</v>
      </c>
      <c r="B973" s="18" t="inlineStr">
        <is>
          <t>يارا محمد بدوي شرقاوي بدوي</t>
        </is>
      </c>
      <c r="C973" s="1" t="n">
        <v>605.9</v>
      </c>
      <c r="D973" s="1" t="n">
        <v>25</v>
      </c>
      <c r="E973" s="1" t="n">
        <v>24</v>
      </c>
      <c r="F973" s="1" t="n">
        <v>23</v>
      </c>
      <c r="G973" s="1">
        <f>C973+D973+E973+F973</f>
        <v/>
      </c>
      <c r="H973" s="1">
        <f>IF(ISNUMBER(G973),G973,"")</f>
        <v/>
      </c>
      <c r="I973" s="1">
        <f>_xlfn.RANK.EQ(H973,$H$2:$H$1031)</f>
        <v/>
      </c>
      <c r="J973" s="5" t="n">
        <v>606.5</v>
      </c>
      <c r="K973" s="5" t="n">
        <v>45</v>
      </c>
      <c r="L973" s="5" t="n">
        <v>23</v>
      </c>
      <c r="M973" s="5" t="n">
        <v>24</v>
      </c>
      <c r="N973" s="5">
        <f>J973+K973+L973+M973</f>
        <v/>
      </c>
      <c r="O973" s="5">
        <f>IF(ISNUMBER(N973),N973,"")</f>
        <v/>
      </c>
      <c r="P973" s="5">
        <f>_xlfn.RANK.EQ(O973,$O$2:$O$1031)</f>
        <v/>
      </c>
      <c r="Q973" s="9" t="n">
        <v>268</v>
      </c>
      <c r="R973" s="9" t="n">
        <v>43.5</v>
      </c>
      <c r="S973" s="9" t="n">
        <v>24</v>
      </c>
      <c r="T973" s="9" t="n">
        <v>23</v>
      </c>
      <c r="U973" s="9">
        <f>Q973+R973+S973+T973</f>
        <v/>
      </c>
      <c r="V973" s="9">
        <f>IF(ISNUMBER(U973),U973,"")</f>
        <v/>
      </c>
      <c r="W973" s="9">
        <f>_xlfn.RANK.EQ(V973,$V$2:$V$1031)</f>
        <v/>
      </c>
      <c r="X973" s="13" t="n">
        <v>1466.3958333333</v>
      </c>
      <c r="Y973" s="13" t="n">
        <v>25</v>
      </c>
      <c r="Z973" s="13" t="n">
        <v>24</v>
      </c>
      <c r="AA973" s="13" t="n">
        <v>24</v>
      </c>
      <c r="AB973" s="13">
        <f>IF(ISNUMBER(X973),X973+N(Y973)+N(Z973)+N(AA973),X973)</f>
        <v/>
      </c>
      <c r="AC973" s="13">
        <f>IF(ISNUMBER(AB973),AB973,"")</f>
        <v/>
      </c>
      <c r="AD973" s="13">
        <f>IF(ISNUMBER(AC973),_xlfn.RANK.EQ(AC973,$AC$2:$AC$1031),"")</f>
        <v/>
      </c>
      <c r="AE973" s="15">
        <f>IF(ISNUMBER(AF973),AF973/3630,"")</f>
        <v/>
      </c>
      <c r="AF973" s="14">
        <f>IFERROR(C973+D973+E973+F973+J973+K973+L973+M973+Q973+R973+S973+T973+IF(ISNUMBER(X973),X973,0)+N(Y973)+N(Z973)+N(AA973),"")</f>
        <v/>
      </c>
      <c r="AG973" s="14">
        <f>IF(ISNUMBER(AF973),AF973,"")</f>
        <v/>
      </c>
      <c r="AH973" s="14">
        <f>IF(ISNUMBER(AG973),_xlfn.RANK.EQ(AG973,$AG$2:$AG$1031),"")</f>
        <v/>
      </c>
    </row>
    <row r="974">
      <c r="A974" s="18" t="n">
        <v>2275</v>
      </c>
      <c r="B974" s="18" t="inlineStr">
        <is>
          <t>يارا منتصر عبد الفتاح محمد</t>
        </is>
      </c>
      <c r="C974" s="1" t="n">
        <v>530.1</v>
      </c>
      <c r="D974" s="1" t="n">
        <v>20</v>
      </c>
      <c r="E974" s="1" t="n">
        <v>21</v>
      </c>
      <c r="F974" s="1" t="n">
        <v>21</v>
      </c>
      <c r="G974" s="1">
        <f>C974+D974+E974+F974</f>
        <v/>
      </c>
      <c r="H974" s="1">
        <f>IF(ISNUMBER(G974),G974,"")</f>
        <v/>
      </c>
      <c r="I974" s="1">
        <f>_xlfn.RANK.EQ(H974,$H$2:$H$1031)</f>
        <v/>
      </c>
      <c r="J974" s="5" t="n">
        <v>498.5</v>
      </c>
      <c r="K974" s="5" t="n">
        <v>45</v>
      </c>
      <c r="L974" s="5" t="n">
        <v>23</v>
      </c>
      <c r="M974" s="5" t="n">
        <v>20</v>
      </c>
      <c r="N974" s="5">
        <f>J974+K974+L974+M974</f>
        <v/>
      </c>
      <c r="O974" s="5">
        <f>IF(ISNUMBER(N974),N974,"")</f>
        <v/>
      </c>
      <c r="P974" s="5">
        <f>_xlfn.RANK.EQ(O974,$O$2:$O$1031)</f>
        <v/>
      </c>
      <c r="Q974" s="9" t="n">
        <v>180</v>
      </c>
      <c r="R974" s="9" t="n">
        <v>42.5</v>
      </c>
      <c r="S974" s="9" t="n">
        <v>20</v>
      </c>
      <c r="T974" s="9" t="n">
        <v>21</v>
      </c>
      <c r="U974" s="9">
        <f>Q974+R974+S974+T974</f>
        <v/>
      </c>
      <c r="V974" s="9">
        <f>IF(ISNUMBER(U974),U974,"")</f>
        <v/>
      </c>
      <c r="W974" s="9">
        <f>_xlfn.RANK.EQ(V974,$V$2:$V$1031)</f>
        <v/>
      </c>
      <c r="X974" s="13" t="n">
        <v>1203.1833333333</v>
      </c>
      <c r="Y974" s="13" t="n">
        <v>24.5</v>
      </c>
      <c r="Z974" s="13" t="n">
        <v>25</v>
      </c>
      <c r="AA974" s="13" t="n">
        <v>22</v>
      </c>
      <c r="AB974" s="13">
        <f>IF(ISNUMBER(X974),X974+N(Y974)+N(Z974)+N(AA974),X974)</f>
        <v/>
      </c>
      <c r="AC974" s="13">
        <f>IF(ISNUMBER(AB974),AB974,"")</f>
        <v/>
      </c>
      <c r="AD974" s="13">
        <f>IF(ISNUMBER(AC974),_xlfn.RANK.EQ(AC974,$AC$2:$AC$1031),"")</f>
        <v/>
      </c>
      <c r="AE974" s="15">
        <f>IF(ISNUMBER(AF974),AF974/3630,"")</f>
        <v/>
      </c>
      <c r="AF974" s="14">
        <f>IFERROR(C974+D974+E974+F974+J974+K974+L974+M974+Q974+R974+S974+T974+IF(ISNUMBER(X974),X974,0)+N(Y974)+N(Z974)+N(AA974),"")</f>
        <v/>
      </c>
      <c r="AG974" s="14">
        <f>IF(ISNUMBER(AF974),AF974,"")</f>
        <v/>
      </c>
      <c r="AH974" s="14">
        <f>IF(ISNUMBER(AG974),_xlfn.RANK.EQ(AG974,$AG$2:$AG$1031),"")</f>
        <v/>
      </c>
    </row>
    <row r="975">
      <c r="A975" s="18" t="n">
        <v>2276</v>
      </c>
      <c r="B975" s="18" t="inlineStr">
        <is>
          <t>ياسمين حامد عبد اللطيف</t>
        </is>
      </c>
      <c r="C975" s="1" t="n">
        <v>602.2</v>
      </c>
      <c r="D975" s="1" t="n">
        <v>23</v>
      </c>
      <c r="E975" s="1" t="n">
        <v>23</v>
      </c>
      <c r="F975" s="1" t="n">
        <v>23</v>
      </c>
      <c r="G975" s="1">
        <f>C975+D975+E975+F975</f>
        <v/>
      </c>
      <c r="H975" s="1">
        <f>IF(ISNUMBER(G975),G975,"")</f>
        <v/>
      </c>
      <c r="I975" s="1">
        <f>_xlfn.RANK.EQ(H975,$H$2:$H$1031)</f>
        <v/>
      </c>
      <c r="J975" s="5" t="n">
        <v>601.5</v>
      </c>
      <c r="K975" s="5" t="n">
        <v>46</v>
      </c>
      <c r="L975" s="5" t="n">
        <v>22</v>
      </c>
      <c r="M975" s="5" t="n">
        <v>23</v>
      </c>
      <c r="N975" s="5">
        <f>J975+K975+L975+M975</f>
        <v/>
      </c>
      <c r="O975" s="5">
        <f>IF(ISNUMBER(N975),N975,"")</f>
        <v/>
      </c>
      <c r="P975" s="5">
        <f>_xlfn.RANK.EQ(O975,$O$2:$O$1031)</f>
        <v/>
      </c>
      <c r="Q975" s="9" t="n">
        <v>263</v>
      </c>
      <c r="R975" s="9" t="n">
        <v>44</v>
      </c>
      <c r="S975" s="9" t="n">
        <v>25</v>
      </c>
      <c r="T975" s="9" t="n">
        <v>25</v>
      </c>
      <c r="U975" s="9">
        <f>Q975+R975+S975+T975</f>
        <v/>
      </c>
      <c r="V975" s="9">
        <f>IF(ISNUMBER(U975),U975,"")</f>
        <v/>
      </c>
      <c r="W975" s="9">
        <f>_xlfn.RANK.EQ(V975,$V$2:$V$1031)</f>
        <v/>
      </c>
      <c r="X975" s="13" t="n">
        <v>1441.35</v>
      </c>
      <c r="Y975" s="13" t="n">
        <v>23</v>
      </c>
      <c r="Z975" s="13" t="n">
        <v>22</v>
      </c>
      <c r="AA975" s="13" t="n">
        <v>22</v>
      </c>
      <c r="AB975" s="13">
        <f>IF(ISNUMBER(X975),X975+N(Y975)+N(Z975)+N(AA975),X975)</f>
        <v/>
      </c>
      <c r="AC975" s="13">
        <f>IF(ISNUMBER(AB975),AB975,"")</f>
        <v/>
      </c>
      <c r="AD975" s="13">
        <f>IF(ISNUMBER(AC975),_xlfn.RANK.EQ(AC975,$AC$2:$AC$1031),"")</f>
        <v/>
      </c>
      <c r="AE975" s="15">
        <f>IF(ISNUMBER(AF975),AF975/3630,"")</f>
        <v/>
      </c>
      <c r="AF975" s="14">
        <f>IFERROR(C975+D975+E975+F975+J975+K975+L975+M975+Q975+R975+S975+T975+IF(ISNUMBER(X975),X975,0)+N(Y975)+N(Z975)+N(AA975),"")</f>
        <v/>
      </c>
      <c r="AG975" s="14">
        <f>IF(ISNUMBER(AF975),AF975,"")</f>
        <v/>
      </c>
      <c r="AH975" s="14">
        <f>IF(ISNUMBER(AG975),_xlfn.RANK.EQ(AG975,$AG$2:$AG$1031),"")</f>
        <v/>
      </c>
    </row>
    <row r="976">
      <c r="A976" s="18" t="n">
        <v>2278</v>
      </c>
      <c r="B976" s="18" t="inlineStr">
        <is>
          <t>ياسمين عماد محمد بهنسي</t>
        </is>
      </c>
      <c r="C976" s="1" t="n">
        <v>589.9</v>
      </c>
      <c r="D976" s="1" t="n">
        <v>24</v>
      </c>
      <c r="E976" s="1" t="n">
        <v>23</v>
      </c>
      <c r="F976" s="1" t="n">
        <v>20</v>
      </c>
      <c r="G976" s="1">
        <f>C976+D976+E976+F976</f>
        <v/>
      </c>
      <c r="H976" s="1">
        <f>IF(ISNUMBER(G976),G976,"")</f>
        <v/>
      </c>
      <c r="I976" s="1">
        <f>_xlfn.RANK.EQ(H976,$H$2:$H$1031)</f>
        <v/>
      </c>
      <c r="J976" s="5" t="n">
        <v>553</v>
      </c>
      <c r="K976" s="5" t="n">
        <v>46</v>
      </c>
      <c r="L976" s="5" t="n">
        <v>23</v>
      </c>
      <c r="M976" s="5" t="n">
        <v>23</v>
      </c>
      <c r="N976" s="5">
        <f>J976+K976+L976+M976</f>
        <v/>
      </c>
      <c r="O976" s="5">
        <f>IF(ISNUMBER(N976),N976,"")</f>
        <v/>
      </c>
      <c r="P976" s="5">
        <f>_xlfn.RANK.EQ(O976,$O$2:$O$1031)</f>
        <v/>
      </c>
      <c r="Q976" s="9" t="n">
        <v>237</v>
      </c>
      <c r="R976" s="9" t="n">
        <v>44</v>
      </c>
      <c r="S976" s="9" t="n">
        <v>21</v>
      </c>
      <c r="T976" s="9" t="n">
        <v>24</v>
      </c>
      <c r="U976" s="9">
        <f>Q976+R976+S976+T976</f>
        <v/>
      </c>
      <c r="V976" s="9">
        <f>IF(ISNUMBER(U976),U976,"")</f>
        <v/>
      </c>
      <c r="W976" s="9">
        <f>_xlfn.RANK.EQ(V976,$V$2:$V$1031)</f>
        <v/>
      </c>
      <c r="X976" s="13" t="inlineStr">
        <is>
          <t>غ ب</t>
        </is>
      </c>
      <c r="Y976" s="13" t="n">
        <v>24.5</v>
      </c>
      <c r="Z976" s="13" t="n">
        <v>23</v>
      </c>
      <c r="AA976" s="13" t="n">
        <v>21</v>
      </c>
      <c r="AB976" s="13">
        <f>IF(ISNUMBER(X976),X976+N(Y976)+N(Z976)+N(AA976),X976)</f>
        <v/>
      </c>
      <c r="AC976" s="13">
        <f>IF(ISNUMBER(AB976),AB976,"")</f>
        <v/>
      </c>
      <c r="AD976" s="13">
        <f>IF(ISNUMBER(AC976),_xlfn.RANK.EQ(AC976,$AC$2:$AC$1031),"")</f>
        <v/>
      </c>
      <c r="AE976" s="15">
        <f>IF(ISNUMBER(AF976),AF976/3630,"")</f>
        <v/>
      </c>
      <c r="AF976" s="14">
        <f>IFERROR(C976+D976+E976+F976+J976+K976+L976+M976+Q976+R976+S976+T976+IF(ISNUMBER(X976),X976,0)+N(Y976)+N(Z976)+N(AA976),"")</f>
        <v/>
      </c>
      <c r="AG976" s="14">
        <f>IF(ISNUMBER(AF976),AF976,"")</f>
        <v/>
      </c>
      <c r="AH976" s="14">
        <f>IF(ISNUMBER(AG976),_xlfn.RANK.EQ(AG976,$AG$2:$AG$1031),"")</f>
        <v/>
      </c>
    </row>
    <row r="977">
      <c r="A977" s="18" t="n">
        <v>2279</v>
      </c>
      <c r="B977" s="18" t="inlineStr">
        <is>
          <t>ياسمين محمد عبد الفتاح محمد</t>
        </is>
      </c>
      <c r="C977" s="1" t="n">
        <v>548.2</v>
      </c>
      <c r="D977" s="1" t="n">
        <v>22</v>
      </c>
      <c r="E977" s="1" t="n">
        <v>19</v>
      </c>
      <c r="F977" s="1" t="n">
        <v>21</v>
      </c>
      <c r="G977" s="1">
        <f>C977+D977+E977+F977</f>
        <v/>
      </c>
      <c r="H977" s="1">
        <f>IF(ISNUMBER(G977),G977,"")</f>
        <v/>
      </c>
      <c r="I977" s="1">
        <f>_xlfn.RANK.EQ(H977,$H$2:$H$1031)</f>
        <v/>
      </c>
      <c r="J977" s="5" t="n">
        <v>436</v>
      </c>
      <c r="K977" s="5" t="n">
        <v>45</v>
      </c>
      <c r="L977" s="5" t="n">
        <v>19</v>
      </c>
      <c r="M977" s="5" t="n">
        <v>17</v>
      </c>
      <c r="N977" s="5">
        <f>J977+K977+L977+M977</f>
        <v/>
      </c>
      <c r="O977" s="5">
        <f>IF(ISNUMBER(N977),N977,"")</f>
        <v/>
      </c>
      <c r="P977" s="5">
        <f>_xlfn.RANK.EQ(O977,$O$2:$O$1031)</f>
        <v/>
      </c>
      <c r="Q977" s="9" t="n">
        <v>180</v>
      </c>
      <c r="R977" s="9" t="n">
        <v>37.5</v>
      </c>
      <c r="S977" s="9" t="n">
        <v>21</v>
      </c>
      <c r="T977" s="9" t="n">
        <v>21</v>
      </c>
      <c r="U977" s="9">
        <f>Q977+R977+S977+T977</f>
        <v/>
      </c>
      <c r="V977" s="9">
        <f>IF(ISNUMBER(U977),U977,"")</f>
        <v/>
      </c>
      <c r="W977" s="9">
        <f>_xlfn.RANK.EQ(V977,$V$2:$V$1031)</f>
        <v/>
      </c>
      <c r="X977" s="13" t="n">
        <v>1191.6625</v>
      </c>
      <c r="Y977" s="13" t="n">
        <v>22.5</v>
      </c>
      <c r="Z977" s="13" t="n">
        <v>21</v>
      </c>
      <c r="AA977" s="13" t="n">
        <v>20</v>
      </c>
      <c r="AB977" s="13">
        <f>IF(ISNUMBER(X977),X977+N(Y977)+N(Z977)+N(AA977),X977)</f>
        <v/>
      </c>
      <c r="AC977" s="13">
        <f>IF(ISNUMBER(AB977),AB977,"")</f>
        <v/>
      </c>
      <c r="AD977" s="13">
        <f>IF(ISNUMBER(AC977),_xlfn.RANK.EQ(AC977,$AC$2:$AC$1031),"")</f>
        <v/>
      </c>
      <c r="AE977" s="15">
        <f>IF(ISNUMBER(AF977),AF977/3630,"")</f>
        <v/>
      </c>
      <c r="AF977" s="14">
        <f>IFERROR(C977+D977+E977+F977+J977+K977+L977+M977+Q977+R977+S977+T977+IF(ISNUMBER(X977),X977,0)+N(Y977)+N(Z977)+N(AA977),"")</f>
        <v/>
      </c>
      <c r="AG977" s="14">
        <f>IF(ISNUMBER(AF977),AF977,"")</f>
        <v/>
      </c>
      <c r="AH977" s="14">
        <f>IF(ISNUMBER(AG977),_xlfn.RANK.EQ(AG977,$AG$2:$AG$1031),"")</f>
        <v/>
      </c>
    </row>
    <row r="978">
      <c r="A978" s="18" t="n">
        <v>2280</v>
      </c>
      <c r="B978" s="18" t="inlineStr">
        <is>
          <t>ياسمين محمد عبدالقادر محمد سالم</t>
        </is>
      </c>
      <c r="C978" s="1" t="n">
        <v>593.8</v>
      </c>
      <c r="D978" s="1" t="n">
        <v>23</v>
      </c>
      <c r="E978" s="1" t="n">
        <v>25</v>
      </c>
      <c r="F978" s="1" t="n">
        <v>20</v>
      </c>
      <c r="G978" s="1">
        <f>C978+D978+E978+F978</f>
        <v/>
      </c>
      <c r="H978" s="1">
        <f>IF(ISNUMBER(G978),G978,"")</f>
        <v/>
      </c>
      <c r="I978" s="1">
        <f>_xlfn.RANK.EQ(H978,$H$2:$H$1031)</f>
        <v/>
      </c>
      <c r="J978" s="5" t="n">
        <v>602</v>
      </c>
      <c r="K978" s="5" t="n">
        <v>42</v>
      </c>
      <c r="L978" s="5" t="n">
        <v>23</v>
      </c>
      <c r="M978" s="5" t="n">
        <v>20</v>
      </c>
      <c r="N978" s="5">
        <f>J978+K978+L978+M978</f>
        <v/>
      </c>
      <c r="O978" s="5">
        <f>IF(ISNUMBER(N978),N978,"")</f>
        <v/>
      </c>
      <c r="P978" s="5">
        <f>_xlfn.RANK.EQ(O978,$O$2:$O$1031)</f>
        <v/>
      </c>
      <c r="Q978" s="9" t="n">
        <v>256</v>
      </c>
      <c r="R978" s="9" t="n">
        <v>48</v>
      </c>
      <c r="S978" s="9" t="n">
        <v>25</v>
      </c>
      <c r="T978" s="9" t="n">
        <v>22</v>
      </c>
      <c r="U978" s="9">
        <f>Q978+R978+S978+T978</f>
        <v/>
      </c>
      <c r="V978" s="9">
        <f>IF(ISNUMBER(U978),U978,"")</f>
        <v/>
      </c>
      <c r="W978" s="9">
        <f>_xlfn.RANK.EQ(V978,$V$2:$V$1031)</f>
        <v/>
      </c>
      <c r="X978" s="13" t="n">
        <v>1470.8791666667</v>
      </c>
      <c r="Y978" s="13" t="n">
        <v>25</v>
      </c>
      <c r="Z978" s="13" t="n">
        <v>25</v>
      </c>
      <c r="AA978" s="13" t="n">
        <v>25</v>
      </c>
      <c r="AB978" s="13">
        <f>IF(ISNUMBER(X978),X978+N(Y978)+N(Z978)+N(AA978),X978)</f>
        <v/>
      </c>
      <c r="AC978" s="13">
        <f>IF(ISNUMBER(AB978),AB978,"")</f>
        <v/>
      </c>
      <c r="AD978" s="13">
        <f>IF(ISNUMBER(AC978),_xlfn.RANK.EQ(AC978,$AC$2:$AC$1031),"")</f>
        <v/>
      </c>
      <c r="AE978" s="15">
        <f>IF(ISNUMBER(AF978),AF978/3630,"")</f>
        <v/>
      </c>
      <c r="AF978" s="14">
        <f>IFERROR(C978+D978+E978+F978+J978+K978+L978+M978+Q978+R978+S978+T978+IF(ISNUMBER(X978),X978,0)+N(Y978)+N(Z978)+N(AA978),"")</f>
        <v/>
      </c>
      <c r="AG978" s="14">
        <f>IF(ISNUMBER(AF978),AF978,"")</f>
        <v/>
      </c>
      <c r="AH978" s="14">
        <f>IF(ISNUMBER(AG978),_xlfn.RANK.EQ(AG978,$AG$2:$AG$1031),"")</f>
        <v/>
      </c>
    </row>
    <row r="979">
      <c r="A979" s="18" t="n">
        <v>2281</v>
      </c>
      <c r="B979" s="18" t="inlineStr">
        <is>
          <t>ياسمين محمود حسين  محمد الجوهرى</t>
        </is>
      </c>
      <c r="C979" s="1" t="n">
        <v>653.1</v>
      </c>
      <c r="D979" s="1" t="n">
        <v>25</v>
      </c>
      <c r="E979" s="1" t="n">
        <v>25</v>
      </c>
      <c r="F979" s="1" t="n">
        <v>24</v>
      </c>
      <c r="G979" s="1">
        <f>C979+D979+E979+F979</f>
        <v/>
      </c>
      <c r="H979" s="1">
        <f>IF(ISNUMBER(G979),G979,"")</f>
        <v/>
      </c>
      <c r="I979" s="1">
        <f>_xlfn.RANK.EQ(H979,$H$2:$H$1031)</f>
        <v/>
      </c>
      <c r="J979" s="5" t="n">
        <v>637</v>
      </c>
      <c r="K979" s="5" t="n">
        <v>48</v>
      </c>
      <c r="L979" s="5" t="n">
        <v>23</v>
      </c>
      <c r="M979" s="5" t="n">
        <v>25</v>
      </c>
      <c r="N979" s="5">
        <f>J979+K979+L979+M979</f>
        <v/>
      </c>
      <c r="O979" s="5">
        <f>IF(ISNUMBER(N979),N979,"")</f>
        <v/>
      </c>
      <c r="P979" s="5">
        <f>_xlfn.RANK.EQ(O979,$O$2:$O$1031)</f>
        <v/>
      </c>
      <c r="Q979" s="9" t="n">
        <v>287</v>
      </c>
      <c r="R979" s="9" t="n">
        <v>48.5</v>
      </c>
      <c r="S979" s="9" t="n">
        <v>25</v>
      </c>
      <c r="T979" s="9" t="n">
        <v>25</v>
      </c>
      <c r="U979" s="9">
        <f>Q979+R979+S979+T979</f>
        <v/>
      </c>
      <c r="V979" s="9">
        <f>IF(ISNUMBER(U979),U979,"")</f>
        <v/>
      </c>
      <c r="W979" s="9">
        <f>_xlfn.RANK.EQ(V979,$V$2:$V$1031)</f>
        <v/>
      </c>
      <c r="X979" s="13" t="n">
        <v>1554.9125</v>
      </c>
      <c r="Y979" s="13" t="n">
        <v>25</v>
      </c>
      <c r="Z979" s="13" t="n">
        <v>24</v>
      </c>
      <c r="AA979" s="13" t="n">
        <v>24</v>
      </c>
      <c r="AB979" s="13">
        <f>IF(ISNUMBER(X979),X979+N(Y979)+N(Z979)+N(AA979),X979)</f>
        <v/>
      </c>
      <c r="AC979" s="13">
        <f>IF(ISNUMBER(AB979),AB979,"")</f>
        <v/>
      </c>
      <c r="AD979" s="13">
        <f>IF(ISNUMBER(AC979),_xlfn.RANK.EQ(AC979,$AC$2:$AC$1031),"")</f>
        <v/>
      </c>
      <c r="AE979" s="15">
        <f>IF(ISNUMBER(AF979),AF979/3630,"")</f>
        <v/>
      </c>
      <c r="AF979" s="14">
        <f>IFERROR(C979+D979+E979+F979+J979+K979+L979+M979+Q979+R979+S979+T979+IF(ISNUMBER(X979),X979,0)+N(Y979)+N(Z979)+N(AA979),"")</f>
        <v/>
      </c>
      <c r="AG979" s="14">
        <f>IF(ISNUMBER(AF979),AF979,"")</f>
        <v/>
      </c>
      <c r="AH979" s="14">
        <f>IF(ISNUMBER(AG979),_xlfn.RANK.EQ(AG979,$AG$2:$AG$1031),"")</f>
        <v/>
      </c>
    </row>
    <row r="980">
      <c r="A980" s="18" t="n">
        <v>2282</v>
      </c>
      <c r="B980" s="18" t="inlineStr">
        <is>
          <t>ياسمين ياسر محمد الشويخ</t>
        </is>
      </c>
      <c r="C980" s="1" t="n">
        <v>503.5</v>
      </c>
      <c r="D980" s="1" t="n">
        <v>25</v>
      </c>
      <c r="E980" s="1" t="n">
        <v>22</v>
      </c>
      <c r="F980" s="1" t="n">
        <v>23</v>
      </c>
      <c r="G980" s="1">
        <f>C980+D980+E980+F980</f>
        <v/>
      </c>
      <c r="H980" s="1">
        <f>IF(ISNUMBER(G980),G980,"")</f>
        <v/>
      </c>
      <c r="I980" s="1">
        <f>_xlfn.RANK.EQ(H980,$H$2:$H$1031)</f>
        <v/>
      </c>
      <c r="J980" s="5" t="n">
        <v>500</v>
      </c>
      <c r="K980" s="5" t="n">
        <v>44</v>
      </c>
      <c r="L980" s="5" t="n">
        <v>22</v>
      </c>
      <c r="M980" s="5" t="n">
        <v>22</v>
      </c>
      <c r="N980" s="5">
        <f>J980+K980+L980+M980</f>
        <v/>
      </c>
      <c r="O980" s="5">
        <f>IF(ISNUMBER(N980),N980,"")</f>
        <v/>
      </c>
      <c r="P980" s="5">
        <f>_xlfn.RANK.EQ(O980,$O$2:$O$1031)</f>
        <v/>
      </c>
      <c r="Q980" s="9" t="n">
        <v>233</v>
      </c>
      <c r="R980" s="9" t="n">
        <v>43</v>
      </c>
      <c r="S980" s="9" t="n">
        <v>24</v>
      </c>
      <c r="T980" s="9" t="n">
        <v>25</v>
      </c>
      <c r="U980" s="9">
        <f>Q980+R980+S980+T980</f>
        <v/>
      </c>
      <c r="V980" s="9">
        <f>IF(ISNUMBER(U980),U980,"")</f>
        <v/>
      </c>
      <c r="W980" s="9">
        <f>_xlfn.RANK.EQ(V980,$V$2:$V$1031)</f>
        <v/>
      </c>
      <c r="X980" s="13" t="inlineStr">
        <is>
          <t>راسب</t>
        </is>
      </c>
      <c r="Y980" s="13" t="n">
        <v>25</v>
      </c>
      <c r="Z980" s="13" t="n">
        <v>25</v>
      </c>
      <c r="AA980" s="13" t="n">
        <v>22</v>
      </c>
      <c r="AB980" s="13">
        <f>IF(ISNUMBER(X980),X980+N(Y980)+N(Z980)+N(AA980),X980)</f>
        <v/>
      </c>
      <c r="AC980" s="13">
        <f>IF(ISNUMBER(AB980),AB980,"")</f>
        <v/>
      </c>
      <c r="AD980" s="13">
        <f>IF(ISNUMBER(AC980),_xlfn.RANK.EQ(AC980,$AC$2:$AC$1031),"")</f>
        <v/>
      </c>
      <c r="AE980" s="15">
        <f>IF(ISNUMBER(AF980),AF980/3630,"")</f>
        <v/>
      </c>
      <c r="AF980" s="14">
        <f>IFERROR(C980+D980+E980+F980+J980+K980+L980+M980+Q980+R980+S980+T980+IF(ISNUMBER(X980),X980,0)+N(Y980)+N(Z980)+N(AA980),"")</f>
        <v/>
      </c>
      <c r="AG980" s="14">
        <f>IF(ISNUMBER(AF980),AF980,"")</f>
        <v/>
      </c>
      <c r="AH980" s="14">
        <f>IF(ISNUMBER(AG980),_xlfn.RANK.EQ(AG980,$AG$2:$AG$1031),"")</f>
        <v/>
      </c>
    </row>
    <row r="981">
      <c r="A981" s="18" t="n">
        <v>2283</v>
      </c>
      <c r="B981" s="18" t="inlineStr">
        <is>
          <t>ياسمينا احمد  مجدي الجلاد</t>
        </is>
      </c>
      <c r="C981" s="1" t="n">
        <v>637.9</v>
      </c>
      <c r="D981" s="1" t="n">
        <v>24</v>
      </c>
      <c r="E981" s="1" t="n">
        <v>22</v>
      </c>
      <c r="F981" s="1" t="n">
        <v>25</v>
      </c>
      <c r="G981" s="1">
        <f>C981+D981+E981+F981</f>
        <v/>
      </c>
      <c r="H981" s="1">
        <f>IF(ISNUMBER(G981),G981,"")</f>
        <v/>
      </c>
      <c r="I981" s="1">
        <f>_xlfn.RANK.EQ(H981,$H$2:$H$1031)</f>
        <v/>
      </c>
      <c r="J981" s="5" t="n">
        <v>608</v>
      </c>
      <c r="K981" s="5" t="n">
        <v>49</v>
      </c>
      <c r="L981" s="5" t="n">
        <v>23</v>
      </c>
      <c r="M981" s="5" t="n">
        <v>23</v>
      </c>
      <c r="N981" s="5">
        <f>J981+K981+L981+M981</f>
        <v/>
      </c>
      <c r="O981" s="5">
        <f>IF(ISNUMBER(N981),N981,"")</f>
        <v/>
      </c>
      <c r="P981" s="5">
        <f>_xlfn.RANK.EQ(O981,$O$2:$O$1031)</f>
        <v/>
      </c>
      <c r="Q981" s="9" t="n">
        <v>246</v>
      </c>
      <c r="R981" s="9" t="n">
        <v>45.5</v>
      </c>
      <c r="S981" s="9" t="n">
        <v>25</v>
      </c>
      <c r="T981" s="9" t="n">
        <v>25</v>
      </c>
      <c r="U981" s="9">
        <f>Q981+R981+S981+T981</f>
        <v/>
      </c>
      <c r="V981" s="9">
        <f>IF(ISNUMBER(U981),U981,"")</f>
        <v/>
      </c>
      <c r="W981" s="9">
        <f>_xlfn.RANK.EQ(V981,$V$2:$V$1031)</f>
        <v/>
      </c>
      <c r="X981" s="13" t="n">
        <v>1384.1875</v>
      </c>
      <c r="Y981" s="13" t="n">
        <v>25</v>
      </c>
      <c r="Z981" s="13" t="n">
        <v>24</v>
      </c>
      <c r="AA981" s="13" t="n">
        <v>24</v>
      </c>
      <c r="AB981" s="13">
        <f>IF(ISNUMBER(X981),X981+N(Y981)+N(Z981)+N(AA981),X981)</f>
        <v/>
      </c>
      <c r="AC981" s="13">
        <f>IF(ISNUMBER(AB981),AB981,"")</f>
        <v/>
      </c>
      <c r="AD981" s="13">
        <f>IF(ISNUMBER(AC981),_xlfn.RANK.EQ(AC981,$AC$2:$AC$1031),"")</f>
        <v/>
      </c>
      <c r="AE981" s="15">
        <f>IF(ISNUMBER(AF981),AF981/3630,"")</f>
        <v/>
      </c>
      <c r="AF981" s="14">
        <f>IFERROR(C981+D981+E981+F981+J981+K981+L981+M981+Q981+R981+S981+T981+IF(ISNUMBER(X981),X981,0)+N(Y981)+N(Z981)+N(AA981),"")</f>
        <v/>
      </c>
      <c r="AG981" s="14">
        <f>IF(ISNUMBER(AF981),AF981,"")</f>
        <v/>
      </c>
      <c r="AH981" s="14">
        <f>IF(ISNUMBER(AG981),_xlfn.RANK.EQ(AG981,$AG$2:$AG$1031),"")</f>
        <v/>
      </c>
    </row>
    <row r="982">
      <c r="A982" s="18" t="n">
        <v>2284</v>
      </c>
      <c r="B982" s="18" t="inlineStr">
        <is>
          <t>ياسمينا السيد أحمد عياد</t>
        </is>
      </c>
      <c r="C982" s="1" t="n">
        <v>561.2</v>
      </c>
      <c r="D982" s="1" t="n">
        <v>22</v>
      </c>
      <c r="E982" s="1" t="n">
        <v>22</v>
      </c>
      <c r="F982" s="1" t="n">
        <v>20</v>
      </c>
      <c r="G982" s="1">
        <f>C982+D982+E982+F982</f>
        <v/>
      </c>
      <c r="H982" s="1">
        <f>IF(ISNUMBER(G982),G982,"")</f>
        <v/>
      </c>
      <c r="I982" s="1">
        <f>_xlfn.RANK.EQ(H982,$H$2:$H$1031)</f>
        <v/>
      </c>
      <c r="J982" s="5" t="n">
        <v>531.5</v>
      </c>
      <c r="K982" s="5" t="n">
        <v>43</v>
      </c>
      <c r="L982" s="5" t="n">
        <v>23</v>
      </c>
      <c r="M982" s="5" t="n">
        <v>19</v>
      </c>
      <c r="N982" s="5">
        <f>J982+K982+L982+M982</f>
        <v/>
      </c>
      <c r="O982" s="5">
        <f>IF(ISNUMBER(N982),N982,"")</f>
        <v/>
      </c>
      <c r="P982" s="5">
        <f>_xlfn.RANK.EQ(O982,$O$2:$O$1031)</f>
        <v/>
      </c>
      <c r="Q982" s="9" t="n">
        <v>240</v>
      </c>
      <c r="R982" s="9" t="n">
        <v>40.5</v>
      </c>
      <c r="S982" s="9" t="n">
        <v>24</v>
      </c>
      <c r="T982" s="9" t="n">
        <v>25</v>
      </c>
      <c r="U982" s="9">
        <f>Q982+R982+S982+T982</f>
        <v/>
      </c>
      <c r="V982" s="9">
        <f>IF(ISNUMBER(U982),U982,"")</f>
        <v/>
      </c>
      <c r="W982" s="9">
        <f>_xlfn.RANK.EQ(V982,$V$2:$V$1031)</f>
        <v/>
      </c>
      <c r="X982" s="13" t="n">
        <v>1308.4041666667</v>
      </c>
      <c r="Y982" s="13" t="n">
        <v>22</v>
      </c>
      <c r="Z982" s="13" t="n">
        <v>23</v>
      </c>
      <c r="AA982" s="13" t="n">
        <v>21</v>
      </c>
      <c r="AB982" s="13">
        <f>IF(ISNUMBER(X982),X982+N(Y982)+N(Z982)+N(AA982),X982)</f>
        <v/>
      </c>
      <c r="AC982" s="13">
        <f>IF(ISNUMBER(AB982),AB982,"")</f>
        <v/>
      </c>
      <c r="AD982" s="13">
        <f>IF(ISNUMBER(AC982),_xlfn.RANK.EQ(AC982,$AC$2:$AC$1031),"")</f>
        <v/>
      </c>
      <c r="AE982" s="15">
        <f>IF(ISNUMBER(AF982),AF982/3630,"")</f>
        <v/>
      </c>
      <c r="AF982" s="14">
        <f>IFERROR(C982+D982+E982+F982+J982+K982+L982+M982+Q982+R982+S982+T982+IF(ISNUMBER(X982),X982,0)+N(Y982)+N(Z982)+N(AA982),"")</f>
        <v/>
      </c>
      <c r="AG982" s="14">
        <f>IF(ISNUMBER(AF982),AF982,"")</f>
        <v/>
      </c>
      <c r="AH982" s="14">
        <f>IF(ISNUMBER(AG982),_xlfn.RANK.EQ(AG982,$AG$2:$AG$1031),"")</f>
        <v/>
      </c>
    </row>
    <row r="983">
      <c r="A983" s="18" t="n">
        <v>2285</v>
      </c>
      <c r="B983" s="18" t="inlineStr">
        <is>
          <t>ياسين احمد عبدالعزيز القادوم</t>
        </is>
      </c>
      <c r="C983" s="1" t="n">
        <v>545.7</v>
      </c>
      <c r="D983" s="1" t="n">
        <v>25</v>
      </c>
      <c r="E983" s="1" t="n">
        <v>19</v>
      </c>
      <c r="F983" s="1" t="n">
        <v>21</v>
      </c>
      <c r="G983" s="1">
        <f>C983+D983+E983+F983</f>
        <v/>
      </c>
      <c r="H983" s="1">
        <f>IF(ISNUMBER(G983),G983,"")</f>
        <v/>
      </c>
      <c r="I983" s="1">
        <f>_xlfn.RANK.EQ(H983,$H$2:$H$1031)</f>
        <v/>
      </c>
      <c r="J983" s="5" t="n">
        <v>548</v>
      </c>
      <c r="K983" s="5" t="n">
        <v>42</v>
      </c>
      <c r="L983" s="5" t="n">
        <v>17</v>
      </c>
      <c r="M983" s="5" t="n">
        <v>21</v>
      </c>
      <c r="N983" s="5">
        <f>J983+K983+L983+M983</f>
        <v/>
      </c>
      <c r="O983" s="5">
        <f>IF(ISNUMBER(N983),N983,"")</f>
        <v/>
      </c>
      <c r="P983" s="5">
        <f>_xlfn.RANK.EQ(O983,$O$2:$O$1031)</f>
        <v/>
      </c>
      <c r="Q983" s="9" t="n">
        <v>202</v>
      </c>
      <c r="R983" s="9" t="n">
        <v>37</v>
      </c>
      <c r="S983" s="9" t="n">
        <v>18</v>
      </c>
      <c r="T983" s="9" t="n">
        <v>25</v>
      </c>
      <c r="U983" s="9">
        <f>Q983+R983+S983+T983</f>
        <v/>
      </c>
      <c r="V983" s="9">
        <f>IF(ISNUMBER(U983),U983,"")</f>
        <v/>
      </c>
      <c r="W983" s="9">
        <f>_xlfn.RANK.EQ(V983,$V$2:$V$1031)</f>
        <v/>
      </c>
      <c r="X983" s="13" t="n">
        <v>1319.8416666667</v>
      </c>
      <c r="Y983" s="13" t="n">
        <v>24.5</v>
      </c>
      <c r="Z983" s="13" t="n">
        <v>17</v>
      </c>
      <c r="AA983" s="13" t="n">
        <v>24</v>
      </c>
      <c r="AB983" s="13">
        <f>IF(ISNUMBER(X983),X983+N(Y983)+N(Z983)+N(AA983),X983)</f>
        <v/>
      </c>
      <c r="AC983" s="13">
        <f>IF(ISNUMBER(AB983),AB983,"")</f>
        <v/>
      </c>
      <c r="AD983" s="13">
        <f>IF(ISNUMBER(AC983),_xlfn.RANK.EQ(AC983,$AC$2:$AC$1031),"")</f>
        <v/>
      </c>
      <c r="AE983" s="15">
        <f>IF(ISNUMBER(AF983),AF983/3630,"")</f>
        <v/>
      </c>
      <c r="AF983" s="14">
        <f>IFERROR(C983+D983+E983+F983+J983+K983+L983+M983+Q983+R983+S983+T983+IF(ISNUMBER(X983),X983,0)+N(Y983)+N(Z983)+N(AA983),"")</f>
        <v/>
      </c>
      <c r="AG983" s="14">
        <f>IF(ISNUMBER(AF983),AF983,"")</f>
        <v/>
      </c>
      <c r="AH983" s="14">
        <f>IF(ISNUMBER(AG983),_xlfn.RANK.EQ(AG983,$AG$2:$AG$1031),"")</f>
        <v/>
      </c>
    </row>
    <row r="984">
      <c r="A984" s="18" t="n">
        <v>2286</v>
      </c>
      <c r="B984" s="18" t="inlineStr">
        <is>
          <t>ياسين صبرى شحاته محمد عطالله</t>
        </is>
      </c>
      <c r="C984" s="1" t="n">
        <v>543.9</v>
      </c>
      <c r="D984" s="1" t="n">
        <v>25</v>
      </c>
      <c r="E984" s="1" t="n">
        <v>20</v>
      </c>
      <c r="F984" s="1" t="n">
        <v>20</v>
      </c>
      <c r="G984" s="1">
        <f>C984+D984+E984+F984</f>
        <v/>
      </c>
      <c r="H984" s="1">
        <f>IF(ISNUMBER(G984),G984,"")</f>
        <v/>
      </c>
      <c r="I984" s="1">
        <f>_xlfn.RANK.EQ(H984,$H$2:$H$1031)</f>
        <v/>
      </c>
      <c r="J984" s="5" t="n">
        <v>492.5</v>
      </c>
      <c r="K984" s="5" t="n">
        <v>43</v>
      </c>
      <c r="L984" s="5" t="n">
        <v>21</v>
      </c>
      <c r="M984" s="5" t="n">
        <v>21</v>
      </c>
      <c r="N984" s="5">
        <f>J984+K984+L984+M984</f>
        <v/>
      </c>
      <c r="O984" s="5">
        <f>IF(ISNUMBER(N984),N984,"")</f>
        <v/>
      </c>
      <c r="P984" s="5">
        <f>_xlfn.RANK.EQ(O984,$O$2:$O$1031)</f>
        <v/>
      </c>
      <c r="Q984" s="9" t="n">
        <v>216</v>
      </c>
      <c r="R984" s="9" t="n">
        <v>43</v>
      </c>
      <c r="S984" s="9" t="n">
        <v>21</v>
      </c>
      <c r="T984" s="9" t="n">
        <v>24.5</v>
      </c>
      <c r="U984" s="9">
        <f>Q984+R984+S984+T984</f>
        <v/>
      </c>
      <c r="V984" s="9">
        <f>IF(ISNUMBER(U984),U984,"")</f>
        <v/>
      </c>
      <c r="W984" s="9">
        <f>_xlfn.RANK.EQ(V984,$V$2:$V$1031)</f>
        <v/>
      </c>
      <c r="X984" s="13" t="n">
        <v>1350.6791666667</v>
      </c>
      <c r="Y984" s="13" t="n">
        <v>24.5</v>
      </c>
      <c r="Z984" s="13" t="n">
        <v>25</v>
      </c>
      <c r="AA984" s="13" t="n">
        <v>19</v>
      </c>
      <c r="AB984" s="13">
        <f>IF(ISNUMBER(X984),X984+N(Y984)+N(Z984)+N(AA984),X984)</f>
        <v/>
      </c>
      <c r="AC984" s="13">
        <f>IF(ISNUMBER(AB984),AB984,"")</f>
        <v/>
      </c>
      <c r="AD984" s="13">
        <f>IF(ISNUMBER(AC984),_xlfn.RANK.EQ(AC984,$AC$2:$AC$1031),"")</f>
        <v/>
      </c>
      <c r="AE984" s="15">
        <f>IF(ISNUMBER(AF984),AF984/3630,"")</f>
        <v/>
      </c>
      <c r="AF984" s="14">
        <f>IFERROR(C984+D984+E984+F984+J984+K984+L984+M984+Q984+R984+S984+T984+IF(ISNUMBER(X984),X984,0)+N(Y984)+N(Z984)+N(AA984),"")</f>
        <v/>
      </c>
      <c r="AG984" s="14">
        <f>IF(ISNUMBER(AF984),AF984,"")</f>
        <v/>
      </c>
      <c r="AH984" s="14">
        <f>IF(ISNUMBER(AG984),_xlfn.RANK.EQ(AG984,$AG$2:$AG$1031),"")</f>
        <v/>
      </c>
    </row>
    <row r="985">
      <c r="A985" s="18" t="n">
        <v>2287</v>
      </c>
      <c r="B985" s="18" t="inlineStr">
        <is>
          <t>ياسين عبد الناصر عوض محمد مطاوع</t>
        </is>
      </c>
      <c r="C985" s="1" t="n">
        <v>592.7</v>
      </c>
      <c r="D985" s="1" t="n">
        <v>17</v>
      </c>
      <c r="E985" s="1" t="n">
        <v>19</v>
      </c>
      <c r="F985" s="1" t="n">
        <v>22</v>
      </c>
      <c r="G985" s="1">
        <f>C985+D985+E985+F985</f>
        <v/>
      </c>
      <c r="H985" s="1">
        <f>IF(ISNUMBER(G985),G985,"")</f>
        <v/>
      </c>
      <c r="I985" s="1">
        <f>_xlfn.RANK.EQ(H985,$H$2:$H$1031)</f>
        <v/>
      </c>
      <c r="J985" s="5" t="n">
        <v>617</v>
      </c>
      <c r="K985" s="5" t="n">
        <v>44</v>
      </c>
      <c r="L985" s="5" t="n">
        <v>23</v>
      </c>
      <c r="M985" s="5" t="n">
        <v>23</v>
      </c>
      <c r="N985" s="5">
        <f>J985+K985+L985+M985</f>
        <v/>
      </c>
      <c r="O985" s="5">
        <f>IF(ISNUMBER(N985),N985,"")</f>
        <v/>
      </c>
      <c r="P985" s="5">
        <f>_xlfn.RANK.EQ(O985,$O$2:$O$1031)</f>
        <v/>
      </c>
      <c r="Q985" s="9" t="n">
        <v>257</v>
      </c>
      <c r="R985" s="9" t="n">
        <v>42</v>
      </c>
      <c r="S985" s="9" t="n">
        <v>24</v>
      </c>
      <c r="T985" s="9" t="n">
        <v>24</v>
      </c>
      <c r="U985" s="9">
        <f>Q985+R985+S985+T985</f>
        <v/>
      </c>
      <c r="V985" s="9">
        <f>IF(ISNUMBER(U985),U985,"")</f>
        <v/>
      </c>
      <c r="W985" s="9">
        <f>_xlfn.RANK.EQ(V985,$V$2:$V$1031)</f>
        <v/>
      </c>
      <c r="X985" s="13" t="n">
        <v>1488.6875</v>
      </c>
      <c r="Y985" s="13" t="n">
        <v>24.5</v>
      </c>
      <c r="Z985" s="13" t="n">
        <v>24</v>
      </c>
      <c r="AA985" s="13" t="n">
        <v>23</v>
      </c>
      <c r="AB985" s="13">
        <f>IF(ISNUMBER(X985),X985+N(Y985)+N(Z985)+N(AA985),X985)</f>
        <v/>
      </c>
      <c r="AC985" s="13">
        <f>IF(ISNUMBER(AB985),AB985,"")</f>
        <v/>
      </c>
      <c r="AD985" s="13">
        <f>IF(ISNUMBER(AC985),_xlfn.RANK.EQ(AC985,$AC$2:$AC$1031),"")</f>
        <v/>
      </c>
      <c r="AE985" s="15">
        <f>IF(ISNUMBER(AF985),AF985/3630,"")</f>
        <v/>
      </c>
      <c r="AF985" s="14">
        <f>IFERROR(C985+D985+E985+F985+J985+K985+L985+M985+Q985+R985+S985+T985+IF(ISNUMBER(X985),X985,0)+N(Y985)+N(Z985)+N(AA985),"")</f>
        <v/>
      </c>
      <c r="AG985" s="14">
        <f>IF(ISNUMBER(AF985),AF985,"")</f>
        <v/>
      </c>
      <c r="AH985" s="14">
        <f>IF(ISNUMBER(AG985),_xlfn.RANK.EQ(AG985,$AG$2:$AG$1031),"")</f>
        <v/>
      </c>
    </row>
    <row r="986">
      <c r="A986" s="18" t="n">
        <v>2288</v>
      </c>
      <c r="B986" s="18" t="inlineStr">
        <is>
          <t>يحيي احمد محمد مصطفي جمعة</t>
        </is>
      </c>
      <c r="C986" s="1" t="n">
        <v>627.8</v>
      </c>
      <c r="D986" s="1" t="n">
        <v>22</v>
      </c>
      <c r="E986" s="1" t="n">
        <v>21</v>
      </c>
      <c r="F986" s="1" t="n">
        <v>23</v>
      </c>
      <c r="G986" s="1">
        <f>C986+D986+E986+F986</f>
        <v/>
      </c>
      <c r="H986" s="1">
        <f>IF(ISNUMBER(G986),G986,"")</f>
        <v/>
      </c>
      <c r="I986" s="1">
        <f>_xlfn.RANK.EQ(H986,$H$2:$H$1031)</f>
        <v/>
      </c>
      <c r="J986" s="5" t="n">
        <v>621.5</v>
      </c>
      <c r="K986" s="5" t="n">
        <v>48</v>
      </c>
      <c r="L986" s="5" t="n">
        <v>20</v>
      </c>
      <c r="M986" s="5" t="n">
        <v>22</v>
      </c>
      <c r="N986" s="5">
        <f>J986+K986+L986+M986</f>
        <v/>
      </c>
      <c r="O986" s="5">
        <f>IF(ISNUMBER(N986),N986,"")</f>
        <v/>
      </c>
      <c r="P986" s="5">
        <f>_xlfn.RANK.EQ(O986,$O$2:$O$1031)</f>
        <v/>
      </c>
      <c r="Q986" s="9" t="n">
        <v>273</v>
      </c>
      <c r="R986" s="9" t="n">
        <v>43.5</v>
      </c>
      <c r="S986" s="9" t="n">
        <v>24</v>
      </c>
      <c r="T986" s="9" t="n">
        <v>23</v>
      </c>
      <c r="U986" s="9">
        <f>Q986+R986+S986+T986</f>
        <v/>
      </c>
      <c r="V986" s="9">
        <f>IF(ISNUMBER(U986),U986,"")</f>
        <v/>
      </c>
      <c r="W986" s="9">
        <f>_xlfn.RANK.EQ(V986,$V$2:$V$1031)</f>
        <v/>
      </c>
      <c r="X986" s="13" t="n">
        <v>1503.675</v>
      </c>
      <c r="Y986" s="13" t="n">
        <v>25</v>
      </c>
      <c r="Z986" s="13" t="n">
        <v>24</v>
      </c>
      <c r="AA986" s="13" t="n">
        <v>24</v>
      </c>
      <c r="AB986" s="13">
        <f>IF(ISNUMBER(X986),X986+N(Y986)+N(Z986)+N(AA986),X986)</f>
        <v/>
      </c>
      <c r="AC986" s="13">
        <f>IF(ISNUMBER(AB986),AB986,"")</f>
        <v/>
      </c>
      <c r="AD986" s="13">
        <f>IF(ISNUMBER(AC986),_xlfn.RANK.EQ(AC986,$AC$2:$AC$1031),"")</f>
        <v/>
      </c>
      <c r="AE986" s="15">
        <f>IF(ISNUMBER(AF986),AF986/3630,"")</f>
        <v/>
      </c>
      <c r="AF986" s="14">
        <f>IFERROR(C986+D986+E986+F986+J986+K986+L986+M986+Q986+R986+S986+T986+IF(ISNUMBER(X986),X986,0)+N(Y986)+N(Z986)+N(AA986),"")</f>
        <v/>
      </c>
      <c r="AG986" s="14">
        <f>IF(ISNUMBER(AF986),AF986,"")</f>
        <v/>
      </c>
      <c r="AH986" s="14">
        <f>IF(ISNUMBER(AG986),_xlfn.RANK.EQ(AG986,$AG$2:$AG$1031),"")</f>
        <v/>
      </c>
    </row>
    <row r="987">
      <c r="A987" s="18" t="n">
        <v>2293</v>
      </c>
      <c r="B987" s="18" t="inlineStr">
        <is>
          <t>يحيي محمد ابراهيم يوسف</t>
        </is>
      </c>
      <c r="C987" s="1" t="n">
        <v>532.2</v>
      </c>
      <c r="D987" s="1" t="n">
        <v>21</v>
      </c>
      <c r="E987" s="1" t="n">
        <v>17</v>
      </c>
      <c r="F987" s="1" t="n">
        <v>22</v>
      </c>
      <c r="G987" s="1">
        <f>C987+D987+E987+F987</f>
        <v/>
      </c>
      <c r="H987" s="1">
        <f>IF(ISNUMBER(G987),G987,"")</f>
        <v/>
      </c>
      <c r="I987" s="1">
        <f>_xlfn.RANK.EQ(H987,$H$2:$H$1031)</f>
        <v/>
      </c>
      <c r="J987" s="5" t="n">
        <v>498.5</v>
      </c>
      <c r="K987" s="5" t="n">
        <v>38</v>
      </c>
      <c r="L987" s="5" t="n">
        <v>18</v>
      </c>
      <c r="M987" s="5" t="n">
        <v>16</v>
      </c>
      <c r="N987" s="5">
        <f>J987+K987+L987+M987</f>
        <v/>
      </c>
      <c r="O987" s="5">
        <f>IF(ISNUMBER(N987),N987,"")</f>
        <v/>
      </c>
      <c r="P987" s="5">
        <f>_xlfn.RANK.EQ(O987,$O$2:$O$1031)</f>
        <v/>
      </c>
      <c r="Q987" s="9" t="n">
        <v>193</v>
      </c>
      <c r="R987" s="9" t="n">
        <v>34.5</v>
      </c>
      <c r="S987" s="9" t="n">
        <v>22</v>
      </c>
      <c r="T987" s="9" t="n">
        <v>19</v>
      </c>
      <c r="U987" s="9">
        <f>Q987+R987+S987+T987</f>
        <v/>
      </c>
      <c r="V987" s="9">
        <f>IF(ISNUMBER(U987),U987,"")</f>
        <v/>
      </c>
      <c r="W987" s="9">
        <f>_xlfn.RANK.EQ(V987,$V$2:$V$1031)</f>
        <v/>
      </c>
      <c r="X987" s="13" t="inlineStr">
        <is>
          <t>راسب</t>
        </is>
      </c>
      <c r="Y987" s="13" t="n">
        <v>19.5</v>
      </c>
      <c r="Z987" s="13" t="n">
        <v>19</v>
      </c>
      <c r="AA987" s="13" t="n">
        <v>22</v>
      </c>
      <c r="AB987" s="13">
        <f>IF(ISNUMBER(X987),X987+N(Y987)+N(Z987)+N(AA987),X987)</f>
        <v/>
      </c>
      <c r="AC987" s="13">
        <f>IF(ISNUMBER(AB987),AB987,"")</f>
        <v/>
      </c>
      <c r="AD987" s="13">
        <f>IF(ISNUMBER(AC987),_xlfn.RANK.EQ(AC987,$AC$2:$AC$1031),"")</f>
        <v/>
      </c>
      <c r="AE987" s="15">
        <f>IF(ISNUMBER(AF987),AF987/3630,"")</f>
        <v/>
      </c>
      <c r="AF987" s="14">
        <f>IFERROR(C987+D987+E987+F987+J987+K987+L987+M987+Q987+R987+S987+T987+IF(ISNUMBER(X987),X987,0)+N(Y987)+N(Z987)+N(AA987),"")</f>
        <v/>
      </c>
      <c r="AG987" s="14">
        <f>IF(ISNUMBER(AF987),AF987,"")</f>
        <v/>
      </c>
      <c r="AH987" s="14">
        <f>IF(ISNUMBER(AG987),_xlfn.RANK.EQ(AG987,$AG$2:$AG$1031),"")</f>
        <v/>
      </c>
    </row>
    <row r="988">
      <c r="A988" s="18" t="n">
        <v>2294</v>
      </c>
      <c r="B988" s="18" t="inlineStr">
        <is>
          <t>يحيي محمد نصر احمد السيد عامر</t>
        </is>
      </c>
      <c r="C988" s="1" t="n">
        <v>654.6</v>
      </c>
      <c r="D988" s="1" t="n">
        <v>25</v>
      </c>
      <c r="E988" s="1" t="n">
        <v>25</v>
      </c>
      <c r="F988" s="1" t="n">
        <v>24</v>
      </c>
      <c r="G988" s="1">
        <f>C988+D988+E988+F988</f>
        <v/>
      </c>
      <c r="H988" s="1">
        <f>IF(ISNUMBER(G988),G988,"")</f>
        <v/>
      </c>
      <c r="I988" s="1">
        <f>_xlfn.RANK.EQ(H988,$H$2:$H$1031)</f>
        <v/>
      </c>
      <c r="J988" s="5" t="n">
        <v>635</v>
      </c>
      <c r="K988" s="5" t="n">
        <v>48</v>
      </c>
      <c r="L988" s="5" t="n">
        <v>23</v>
      </c>
      <c r="M988" s="5" t="n">
        <v>24</v>
      </c>
      <c r="N988" s="5">
        <f>J988+K988+L988+M988</f>
        <v/>
      </c>
      <c r="O988" s="5">
        <f>IF(ISNUMBER(N988),N988,"")</f>
        <v/>
      </c>
      <c r="P988" s="5">
        <f>_xlfn.RANK.EQ(O988,$O$2:$O$1031)</f>
        <v/>
      </c>
      <c r="Q988" s="9" t="n">
        <v>273</v>
      </c>
      <c r="R988" s="9" t="n">
        <v>48.5</v>
      </c>
      <c r="S988" s="9" t="n">
        <v>25</v>
      </c>
      <c r="T988" s="9" t="n">
        <v>25</v>
      </c>
      <c r="U988" s="9">
        <f>Q988+R988+S988+T988</f>
        <v/>
      </c>
      <c r="V988" s="9">
        <f>IF(ISNUMBER(U988),U988,"")</f>
        <v/>
      </c>
      <c r="W988" s="9">
        <f>_xlfn.RANK.EQ(V988,$V$2:$V$1031)</f>
        <v/>
      </c>
      <c r="X988" s="13" t="n">
        <v>1359.9708333333</v>
      </c>
      <c r="Y988" s="13" t="n">
        <v>23.5</v>
      </c>
      <c r="Z988" s="13" t="n">
        <v>24</v>
      </c>
      <c r="AA988" s="13" t="n">
        <v>25</v>
      </c>
      <c r="AB988" s="13">
        <f>IF(ISNUMBER(X988),X988+N(Y988)+N(Z988)+N(AA988),X988)</f>
        <v/>
      </c>
      <c r="AC988" s="13">
        <f>IF(ISNUMBER(AB988),AB988,"")</f>
        <v/>
      </c>
      <c r="AD988" s="13">
        <f>IF(ISNUMBER(AC988),_xlfn.RANK.EQ(AC988,$AC$2:$AC$1031),"")</f>
        <v/>
      </c>
      <c r="AE988" s="15">
        <f>IF(ISNUMBER(AF988),AF988/3630,"")</f>
        <v/>
      </c>
      <c r="AF988" s="14">
        <f>IFERROR(C988+D988+E988+F988+J988+K988+L988+M988+Q988+R988+S988+T988+IF(ISNUMBER(X988),X988,0)+N(Y988)+N(Z988)+N(AA988),"")</f>
        <v/>
      </c>
      <c r="AG988" s="14">
        <f>IF(ISNUMBER(AF988),AF988,"")</f>
        <v/>
      </c>
      <c r="AH988" s="14">
        <f>IF(ISNUMBER(AG988),_xlfn.RANK.EQ(AG988,$AG$2:$AG$1031),"")</f>
        <v/>
      </c>
    </row>
    <row r="989">
      <c r="A989" s="18" t="n">
        <v>2295</v>
      </c>
      <c r="B989" s="18" t="inlineStr">
        <is>
          <t>يحيي وليد صلاح الدين  احمد</t>
        </is>
      </c>
      <c r="C989" s="1" t="n">
        <v>529.9</v>
      </c>
      <c r="D989" s="1" t="n">
        <v>13</v>
      </c>
      <c r="E989" s="1" t="n">
        <v>22</v>
      </c>
      <c r="F989" s="1" t="n">
        <v>19</v>
      </c>
      <c r="G989" s="1">
        <f>C989+D989+E989+F989</f>
        <v/>
      </c>
      <c r="H989" s="1">
        <f>IF(ISNUMBER(G989),G989,"")</f>
        <v/>
      </c>
      <c r="I989" s="1">
        <f>_xlfn.RANK.EQ(H989,$H$2:$H$1031)</f>
        <v/>
      </c>
      <c r="J989" s="5" t="n">
        <v>520</v>
      </c>
      <c r="K989" s="5" t="n">
        <v>43</v>
      </c>
      <c r="L989" s="5" t="n">
        <v>18</v>
      </c>
      <c r="M989" s="5" t="n">
        <v>16</v>
      </c>
      <c r="N989" s="5">
        <f>J989+K989+L989+M989</f>
        <v/>
      </c>
      <c r="O989" s="5">
        <f>IF(ISNUMBER(N989),N989,"")</f>
        <v/>
      </c>
      <c r="P989" s="5">
        <f>_xlfn.RANK.EQ(O989,$O$2:$O$1031)</f>
        <v/>
      </c>
      <c r="Q989" s="9" t="n">
        <v>220</v>
      </c>
      <c r="R989" s="9" t="n">
        <v>39.5</v>
      </c>
      <c r="S989" s="9" t="n">
        <v>21</v>
      </c>
      <c r="T989" s="9" t="n">
        <v>24</v>
      </c>
      <c r="U989" s="9">
        <f>Q989+R989+S989+T989</f>
        <v/>
      </c>
      <c r="V989" s="9">
        <f>IF(ISNUMBER(U989),U989,"")</f>
        <v/>
      </c>
      <c r="W989" s="9">
        <f>_xlfn.RANK.EQ(V989,$V$2:$V$1031)</f>
        <v/>
      </c>
      <c r="X989" s="13" t="n">
        <v>1309.0416666667</v>
      </c>
      <c r="Y989" s="13" t="n">
        <v>20</v>
      </c>
      <c r="Z989" s="13" t="n">
        <v>18</v>
      </c>
      <c r="AA989" s="13" t="n">
        <v>16</v>
      </c>
      <c r="AB989" s="13">
        <f>IF(ISNUMBER(X989),X989+N(Y989)+N(Z989)+N(AA989),X989)</f>
        <v/>
      </c>
      <c r="AC989" s="13">
        <f>IF(ISNUMBER(AB989),AB989,"")</f>
        <v/>
      </c>
      <c r="AD989" s="13">
        <f>IF(ISNUMBER(AC989),_xlfn.RANK.EQ(AC989,$AC$2:$AC$1031),"")</f>
        <v/>
      </c>
      <c r="AE989" s="15">
        <f>IF(ISNUMBER(AF989),AF989/3630,"")</f>
        <v/>
      </c>
      <c r="AF989" s="14">
        <f>IFERROR(C989+D989+E989+F989+J989+K989+L989+M989+Q989+R989+S989+T989+IF(ISNUMBER(X989),X989,0)+N(Y989)+N(Z989)+N(AA989),"")</f>
        <v/>
      </c>
      <c r="AG989" s="14">
        <f>IF(ISNUMBER(AF989),AF989,"")</f>
        <v/>
      </c>
      <c r="AH989" s="14">
        <f>IF(ISNUMBER(AG989),_xlfn.RANK.EQ(AG989,$AG$2:$AG$1031),"")</f>
        <v/>
      </c>
    </row>
    <row r="990">
      <c r="A990" s="18" t="n">
        <v>2307</v>
      </c>
      <c r="B990" s="18" t="inlineStr">
        <is>
          <t>يسر محمد محمد عبد العزيز رزق الشربينى</t>
        </is>
      </c>
      <c r="C990" s="1" t="n">
        <v>651.8</v>
      </c>
      <c r="D990" s="1" t="n">
        <v>24</v>
      </c>
      <c r="E990" s="1" t="n">
        <v>25</v>
      </c>
      <c r="F990" s="1" t="n">
        <v>24</v>
      </c>
      <c r="G990" s="1">
        <f>C990+D990+E990+F990</f>
        <v/>
      </c>
      <c r="H990" s="1">
        <f>IF(ISNUMBER(G990),G990,"")</f>
        <v/>
      </c>
      <c r="I990" s="1">
        <f>_xlfn.RANK.EQ(H990,$H$2:$H$1031)</f>
        <v/>
      </c>
      <c r="J990" s="5" t="n">
        <v>639</v>
      </c>
      <c r="K990" s="5" t="n">
        <v>50</v>
      </c>
      <c r="L990" s="5" t="n">
        <v>24</v>
      </c>
      <c r="M990" s="5" t="n">
        <v>25</v>
      </c>
      <c r="N990" s="5">
        <f>J990+K990+L990+M990</f>
        <v/>
      </c>
      <c r="O990" s="5">
        <f>IF(ISNUMBER(N990),N990,"")</f>
        <v/>
      </c>
      <c r="P990" s="5">
        <f>_xlfn.RANK.EQ(O990,$O$2:$O$1031)</f>
        <v/>
      </c>
      <c r="Q990" s="9" t="n">
        <v>294</v>
      </c>
      <c r="R990" s="9" t="n">
        <v>50</v>
      </c>
      <c r="S990" s="9" t="n">
        <v>25</v>
      </c>
      <c r="T990" s="9" t="n">
        <v>24.5</v>
      </c>
      <c r="U990" s="9">
        <f>Q990+R990+S990+T990</f>
        <v/>
      </c>
      <c r="V990" s="9">
        <f>IF(ISNUMBER(U990),U990,"")</f>
        <v/>
      </c>
      <c r="W990" s="9">
        <f>_xlfn.RANK.EQ(V990,$V$2:$V$1031)</f>
        <v/>
      </c>
      <c r="X990" s="13" t="n">
        <v>1596.7083333333</v>
      </c>
      <c r="Y990" s="13" t="n">
        <v>25</v>
      </c>
      <c r="Z990" s="13" t="n">
        <v>25</v>
      </c>
      <c r="AA990" s="13" t="n">
        <v>25</v>
      </c>
      <c r="AB990" s="13">
        <f>IF(ISNUMBER(X990),X990+N(Y990)+N(Z990)+N(AA990),X990)</f>
        <v/>
      </c>
      <c r="AC990" s="13">
        <f>IF(ISNUMBER(AB990),AB990,"")</f>
        <v/>
      </c>
      <c r="AD990" s="13">
        <f>IF(ISNUMBER(AC990),_xlfn.RANK.EQ(AC990,$AC$2:$AC$1031),"")</f>
        <v/>
      </c>
      <c r="AE990" s="15">
        <f>IF(ISNUMBER(AF990),AF990/3630,"")</f>
        <v/>
      </c>
      <c r="AF990" s="14">
        <f>IFERROR(C990+D990+E990+F990+J990+K990+L990+M990+Q990+R990+S990+T990+IF(ISNUMBER(X990),X990,0)+N(Y990)+N(Z990)+N(AA990),"")</f>
        <v/>
      </c>
      <c r="AG990" s="14">
        <f>IF(ISNUMBER(AF990),AF990,"")</f>
        <v/>
      </c>
      <c r="AH990" s="14">
        <f>IF(ISNUMBER(AG990),_xlfn.RANK.EQ(AG990,$AG$2:$AG$1031),"")</f>
        <v/>
      </c>
    </row>
    <row r="991">
      <c r="A991" s="18" t="n">
        <v>2308</v>
      </c>
      <c r="B991" s="18" t="inlineStr">
        <is>
          <t>يسر ياسر جمعه امين جمعه سالم</t>
        </is>
      </c>
      <c r="C991" s="1" t="n">
        <v>629.5</v>
      </c>
      <c r="D991" s="1" t="n">
        <v>25</v>
      </c>
      <c r="E991" s="1" t="n">
        <v>21</v>
      </c>
      <c r="F991" s="1" t="n">
        <v>21</v>
      </c>
      <c r="G991" s="1">
        <f>C991+D991+E991+F991</f>
        <v/>
      </c>
      <c r="H991" s="1">
        <f>IF(ISNUMBER(G991),G991,"")</f>
        <v/>
      </c>
      <c r="I991" s="1">
        <f>_xlfn.RANK.EQ(H991,$H$2:$H$1031)</f>
        <v/>
      </c>
      <c r="J991" s="5" t="n">
        <v>623.5</v>
      </c>
      <c r="K991" s="5" t="n">
        <v>46</v>
      </c>
      <c r="L991" s="5" t="n">
        <v>23</v>
      </c>
      <c r="M991" s="5" t="n">
        <v>24</v>
      </c>
      <c r="N991" s="5">
        <f>J991+K991+L991+M991</f>
        <v/>
      </c>
      <c r="O991" s="5">
        <f>IF(ISNUMBER(N991),N991,"")</f>
        <v/>
      </c>
      <c r="P991" s="5">
        <f>_xlfn.RANK.EQ(O991,$O$2:$O$1031)</f>
        <v/>
      </c>
      <c r="Q991" s="9" t="n">
        <v>273</v>
      </c>
      <c r="R991" s="9" t="n">
        <v>47.5</v>
      </c>
      <c r="S991" s="9" t="n">
        <v>23</v>
      </c>
      <c r="T991" s="9" t="n">
        <v>24.5</v>
      </c>
      <c r="U991" s="9">
        <f>Q991+R991+S991+T991</f>
        <v/>
      </c>
      <c r="V991" s="9">
        <f>IF(ISNUMBER(U991),U991,"")</f>
        <v/>
      </c>
      <c r="W991" s="9">
        <f>_xlfn.RANK.EQ(V991,$V$2:$V$1031)</f>
        <v/>
      </c>
      <c r="X991" s="13" t="n">
        <v>1474.9916666667</v>
      </c>
      <c r="Y991" s="13" t="n">
        <v>25</v>
      </c>
      <c r="Z991" s="13" t="n">
        <v>25</v>
      </c>
      <c r="AA991" s="13" t="n">
        <v>22</v>
      </c>
      <c r="AB991" s="13">
        <f>IF(ISNUMBER(X991),X991+N(Y991)+N(Z991)+N(AA991),X991)</f>
        <v/>
      </c>
      <c r="AC991" s="13">
        <f>IF(ISNUMBER(AB991),AB991,"")</f>
        <v/>
      </c>
      <c r="AD991" s="13">
        <f>IF(ISNUMBER(AC991),_xlfn.RANK.EQ(AC991,$AC$2:$AC$1031),"")</f>
        <v/>
      </c>
      <c r="AE991" s="15">
        <f>IF(ISNUMBER(AF991),AF991/3630,"")</f>
        <v/>
      </c>
      <c r="AF991" s="14">
        <f>IFERROR(C991+D991+E991+F991+J991+K991+L991+M991+Q991+R991+S991+T991+IF(ISNUMBER(X991),X991,0)+N(Y991)+N(Z991)+N(AA991),"")</f>
        <v/>
      </c>
      <c r="AG991" s="14">
        <f>IF(ISNUMBER(AF991),AF991,"")</f>
        <v/>
      </c>
      <c r="AH991" s="14">
        <f>IF(ISNUMBER(AG991),_xlfn.RANK.EQ(AG991,$AG$2:$AG$1031),"")</f>
        <v/>
      </c>
    </row>
    <row r="992">
      <c r="A992" s="18" t="n">
        <v>2312</v>
      </c>
      <c r="B992" s="18" t="inlineStr">
        <is>
          <t>يمنى امين حسن عبد الغنى زيتون</t>
        </is>
      </c>
      <c r="C992" s="1" t="n">
        <v>558.7</v>
      </c>
      <c r="D992" s="1" t="n">
        <v>25</v>
      </c>
      <c r="E992" s="1" t="n">
        <v>24</v>
      </c>
      <c r="F992" s="1" t="n">
        <v>23</v>
      </c>
      <c r="G992" s="1">
        <f>C992+D992+E992+F992</f>
        <v/>
      </c>
      <c r="H992" s="1">
        <f>IF(ISNUMBER(G992),G992,"")</f>
        <v/>
      </c>
      <c r="I992" s="1">
        <f>_xlfn.RANK.EQ(H992,$H$2:$H$1031)</f>
        <v/>
      </c>
      <c r="J992" s="5" t="n">
        <v>547</v>
      </c>
      <c r="K992" s="5" t="n">
        <v>45</v>
      </c>
      <c r="L992" s="5" t="n">
        <v>18</v>
      </c>
      <c r="M992" s="5" t="n">
        <v>19</v>
      </c>
      <c r="N992" s="5">
        <f>J992+K992+L992+M992</f>
        <v/>
      </c>
      <c r="O992" s="5">
        <f>IF(ISNUMBER(N992),N992,"")</f>
        <v/>
      </c>
      <c r="P992" s="5">
        <f>_xlfn.RANK.EQ(O992,$O$2:$O$1031)</f>
        <v/>
      </c>
      <c r="Q992" s="9" t="n">
        <v>209</v>
      </c>
      <c r="R992" s="9" t="n">
        <v>45</v>
      </c>
      <c r="S992" s="9" t="n">
        <v>22</v>
      </c>
      <c r="T992" s="9" t="n">
        <v>23.5</v>
      </c>
      <c r="U992" s="9">
        <f>Q992+R992+S992+T992</f>
        <v/>
      </c>
      <c r="V992" s="9">
        <f>IF(ISNUMBER(U992),U992,"")</f>
        <v/>
      </c>
      <c r="W992" s="9">
        <f>_xlfn.RANK.EQ(V992,$V$2:$V$1031)</f>
        <v/>
      </c>
      <c r="X992" s="13" t="n">
        <v>1190.5083333333</v>
      </c>
      <c r="Y992" s="13" t="n">
        <v>22.5</v>
      </c>
      <c r="Z992" s="13" t="n">
        <v>10</v>
      </c>
      <c r="AA992" s="13" t="n">
        <v>17</v>
      </c>
      <c r="AB992" s="13">
        <f>IF(ISNUMBER(X992),X992+N(Y992)+N(Z992)+N(AA992),X992)</f>
        <v/>
      </c>
      <c r="AC992" s="13">
        <f>IF(ISNUMBER(AB992),AB992,"")</f>
        <v/>
      </c>
      <c r="AD992" s="13">
        <f>IF(ISNUMBER(AC992),_xlfn.RANK.EQ(AC992,$AC$2:$AC$1031),"")</f>
        <v/>
      </c>
      <c r="AE992" s="15">
        <f>IF(ISNUMBER(AF992),AF992/3630,"")</f>
        <v/>
      </c>
      <c r="AF992" s="14">
        <f>IFERROR(C992+D992+E992+F992+J992+K992+L992+M992+Q992+R992+S992+T992+IF(ISNUMBER(X992),X992,0)+N(Y992)+N(Z992)+N(AA992),"")</f>
        <v/>
      </c>
      <c r="AG992" s="14">
        <f>IF(ISNUMBER(AF992),AF992,"")</f>
        <v/>
      </c>
      <c r="AH992" s="14">
        <f>IF(ISNUMBER(AG992),_xlfn.RANK.EQ(AG992,$AG$2:$AG$1031),"")</f>
        <v/>
      </c>
    </row>
    <row r="993">
      <c r="A993" s="18" t="n">
        <v>2315</v>
      </c>
      <c r="B993" s="18" t="inlineStr">
        <is>
          <t>يمنى محمد أحمد محمد فتح الله ناصر</t>
        </is>
      </c>
      <c r="C993" s="1" t="n">
        <v>511</v>
      </c>
      <c r="D993" s="1" t="n">
        <v>24</v>
      </c>
      <c r="E993" s="1" t="n">
        <v>25</v>
      </c>
      <c r="F993" s="1" t="n">
        <v>21</v>
      </c>
      <c r="G993" s="1">
        <f>C993+D993+E993+F993</f>
        <v/>
      </c>
      <c r="H993" s="1">
        <f>IF(ISNUMBER(G993),G993,"")</f>
        <v/>
      </c>
      <c r="I993" s="1">
        <f>_xlfn.RANK.EQ(H993,$H$2:$H$1031)</f>
        <v/>
      </c>
      <c r="J993" s="5" t="n">
        <v>477.83</v>
      </c>
      <c r="K993" s="5" t="n">
        <v>28</v>
      </c>
      <c r="L993" s="5" t="n">
        <v>17</v>
      </c>
      <c r="M993" s="5" t="n">
        <v>19</v>
      </c>
      <c r="N993" s="5">
        <f>J993+K993+L993+M993</f>
        <v/>
      </c>
      <c r="O993" s="5">
        <f>IF(ISNUMBER(N993),N993,"")</f>
        <v/>
      </c>
      <c r="P993" s="5">
        <f>_xlfn.RANK.EQ(O993,$O$2:$O$1031)</f>
        <v/>
      </c>
      <c r="Q993" s="9" t="n">
        <v>137</v>
      </c>
      <c r="R993" s="9" t="n">
        <v>38.5</v>
      </c>
      <c r="S993" s="9" t="n">
        <v>23</v>
      </c>
      <c r="T993" s="9" t="n">
        <v>23</v>
      </c>
      <c r="U993" s="9">
        <f>Q993+R993+S993+T993</f>
        <v/>
      </c>
      <c r="V993" s="9">
        <f>IF(ISNUMBER(U993),U993,"")</f>
        <v/>
      </c>
      <c r="W993" s="9">
        <f>_xlfn.RANK.EQ(V993,$V$2:$V$1031)</f>
        <v/>
      </c>
      <c r="X993" s="13" t="inlineStr">
        <is>
          <t>راسب</t>
        </is>
      </c>
      <c r="Y993" s="13" t="n">
        <v>19</v>
      </c>
      <c r="Z993" s="13" t="n">
        <v>20</v>
      </c>
      <c r="AA993" s="13" t="n">
        <v>23</v>
      </c>
      <c r="AB993" s="13">
        <f>IF(ISNUMBER(X993),X993+N(Y993)+N(Z993)+N(AA993),X993)</f>
        <v/>
      </c>
      <c r="AC993" s="13">
        <f>IF(ISNUMBER(AB993),AB993,"")</f>
        <v/>
      </c>
      <c r="AD993" s="13">
        <f>IF(ISNUMBER(AC993),_xlfn.RANK.EQ(AC993,$AC$2:$AC$1031),"")</f>
        <v/>
      </c>
      <c r="AE993" s="15">
        <f>IF(ISNUMBER(AF993),AF993/3630,"")</f>
        <v/>
      </c>
      <c r="AF993" s="14">
        <f>IFERROR(C993+D993+E993+F993+J993+K993+L993+M993+Q993+R993+S993+T993+IF(ISNUMBER(X993),X993,0)+N(Y993)+N(Z993)+N(AA993),"")</f>
        <v/>
      </c>
      <c r="AG993" s="14">
        <f>IF(ISNUMBER(AF993),AF993,"")</f>
        <v/>
      </c>
      <c r="AH993" s="14">
        <f>IF(ISNUMBER(AG993),_xlfn.RANK.EQ(AG993,$AG$2:$AG$1031),"")</f>
        <v/>
      </c>
    </row>
    <row r="994">
      <c r="A994" s="18" t="n">
        <v>2317</v>
      </c>
      <c r="B994" s="18" t="inlineStr">
        <is>
          <t>يمنى محمد محمد غطاس</t>
        </is>
      </c>
      <c r="C994" s="1" t="n">
        <v>593.5</v>
      </c>
      <c r="D994" s="1" t="n">
        <v>25</v>
      </c>
      <c r="E994" s="1" t="n">
        <v>24</v>
      </c>
      <c r="F994" s="1" t="n">
        <v>23</v>
      </c>
      <c r="G994" s="1">
        <f>C994+D994+E994+F994</f>
        <v/>
      </c>
      <c r="H994" s="1">
        <f>IF(ISNUMBER(G994),G994,"")</f>
        <v/>
      </c>
      <c r="I994" s="1">
        <f>_xlfn.RANK.EQ(H994,$H$2:$H$1031)</f>
        <v/>
      </c>
      <c r="J994" s="5" t="n">
        <v>606</v>
      </c>
      <c r="K994" s="5" t="n">
        <v>46</v>
      </c>
      <c r="L994" s="5" t="n">
        <v>23</v>
      </c>
      <c r="M994" s="5" t="n">
        <v>22</v>
      </c>
      <c r="N994" s="5">
        <f>J994+K994+L994+M994</f>
        <v/>
      </c>
      <c r="O994" s="5">
        <f>IF(ISNUMBER(N994),N994,"")</f>
        <v/>
      </c>
      <c r="P994" s="5">
        <f>_xlfn.RANK.EQ(O994,$O$2:$O$1031)</f>
        <v/>
      </c>
      <c r="Q994" s="9" t="n">
        <v>257</v>
      </c>
      <c r="R994" s="9" t="n">
        <v>47</v>
      </c>
      <c r="S994" s="9" t="n">
        <v>24</v>
      </c>
      <c r="T994" s="9" t="n">
        <v>24.5</v>
      </c>
      <c r="U994" s="9">
        <f>Q994+R994+S994+T994</f>
        <v/>
      </c>
      <c r="V994" s="9">
        <f>IF(ISNUMBER(U994),U994,"")</f>
        <v/>
      </c>
      <c r="W994" s="9">
        <f>_xlfn.RANK.EQ(V994,$V$2:$V$1031)</f>
        <v/>
      </c>
      <c r="X994" s="13" t="n">
        <v>1477.2541666667</v>
      </c>
      <c r="Y994" s="13" t="n">
        <v>22.5</v>
      </c>
      <c r="Z994" s="13" t="n">
        <v>23</v>
      </c>
      <c r="AA994" s="13" t="n">
        <v>25</v>
      </c>
      <c r="AB994" s="13">
        <f>IF(ISNUMBER(X994),X994+N(Y994)+N(Z994)+N(AA994),X994)</f>
        <v/>
      </c>
      <c r="AC994" s="13">
        <f>IF(ISNUMBER(AB994),AB994,"")</f>
        <v/>
      </c>
      <c r="AD994" s="13">
        <f>IF(ISNUMBER(AC994),_xlfn.RANK.EQ(AC994,$AC$2:$AC$1031),"")</f>
        <v/>
      </c>
      <c r="AE994" s="15">
        <f>IF(ISNUMBER(AF994),AF994/3630,"")</f>
        <v/>
      </c>
      <c r="AF994" s="14">
        <f>IFERROR(C994+D994+E994+F994+J994+K994+L994+M994+Q994+R994+S994+T994+IF(ISNUMBER(X994),X994,0)+N(Y994)+N(Z994)+N(AA994),"")</f>
        <v/>
      </c>
      <c r="AG994" s="14">
        <f>IF(ISNUMBER(AF994),AF994,"")</f>
        <v/>
      </c>
      <c r="AH994" s="14">
        <f>IF(ISNUMBER(AG994),_xlfn.RANK.EQ(AG994,$AG$2:$AG$1031),"")</f>
        <v/>
      </c>
    </row>
    <row r="995">
      <c r="A995" s="18" t="n">
        <v>2319</v>
      </c>
      <c r="B995" s="18" t="inlineStr">
        <is>
          <t>يوستينا وائل اسحق سليمان</t>
        </is>
      </c>
      <c r="C995" s="1" t="n">
        <v>660.5</v>
      </c>
      <c r="D995" s="1" t="n">
        <v>25</v>
      </c>
      <c r="E995" s="1" t="n">
        <v>25</v>
      </c>
      <c r="F995" s="1" t="n">
        <v>24</v>
      </c>
      <c r="G995" s="1">
        <f>C995+D995+E995+F995</f>
        <v/>
      </c>
      <c r="H995" s="1">
        <f>IF(ISNUMBER(G995),G995,"")</f>
        <v/>
      </c>
      <c r="I995" s="1">
        <f>_xlfn.RANK.EQ(H995,$H$2:$H$1031)</f>
        <v/>
      </c>
      <c r="J995" s="5" t="n">
        <v>643.5</v>
      </c>
      <c r="K995" s="5" t="n">
        <v>47</v>
      </c>
      <c r="L995" s="5" t="n">
        <v>25</v>
      </c>
      <c r="M995" s="5" t="n">
        <v>25</v>
      </c>
      <c r="N995" s="5">
        <f>J995+K995+L995+M995</f>
        <v/>
      </c>
      <c r="O995" s="5">
        <f>IF(ISNUMBER(N995),N995,"")</f>
        <v/>
      </c>
      <c r="P995" s="5">
        <f>_xlfn.RANK.EQ(O995,$O$2:$O$1031)</f>
        <v/>
      </c>
      <c r="Q995" s="9" t="n">
        <v>292</v>
      </c>
      <c r="R995" s="9" t="n">
        <v>48.5</v>
      </c>
      <c r="S995" s="9" t="n">
        <v>25</v>
      </c>
      <c r="T995" s="9" t="n">
        <v>24.5</v>
      </c>
      <c r="U995" s="9">
        <f>Q995+R995+S995+T995</f>
        <v/>
      </c>
      <c r="V995" s="9">
        <f>IF(ISNUMBER(U995),U995,"")</f>
        <v/>
      </c>
      <c r="W995" s="9">
        <f>_xlfn.RANK.EQ(V995,$V$2:$V$1031)</f>
        <v/>
      </c>
      <c r="X995" s="13" t="n">
        <v>1577.025</v>
      </c>
      <c r="Y995" s="13" t="n">
        <v>25</v>
      </c>
      <c r="Z995" s="13" t="n">
        <v>24</v>
      </c>
      <c r="AA995" s="13" t="n">
        <v>25</v>
      </c>
      <c r="AB995" s="13">
        <f>IF(ISNUMBER(X995),X995+N(Y995)+N(Z995)+N(AA995),X995)</f>
        <v/>
      </c>
      <c r="AC995" s="13">
        <f>IF(ISNUMBER(AB995),AB995,"")</f>
        <v/>
      </c>
      <c r="AD995" s="13">
        <f>IF(ISNUMBER(AC995),_xlfn.RANK.EQ(AC995,$AC$2:$AC$1031),"")</f>
        <v/>
      </c>
      <c r="AE995" s="15">
        <f>IF(ISNUMBER(AF995),AF995/3630,"")</f>
        <v/>
      </c>
      <c r="AF995" s="14">
        <f>IFERROR(C995+D995+E995+F995+J995+K995+L995+M995+Q995+R995+S995+T995+IF(ISNUMBER(X995),X995,0)+N(Y995)+N(Z995)+N(AA995),"")</f>
        <v/>
      </c>
      <c r="AG995" s="14">
        <f>IF(ISNUMBER(AF995),AF995,"")</f>
        <v/>
      </c>
      <c r="AH995" s="14">
        <f>IF(ISNUMBER(AG995),_xlfn.RANK.EQ(AG995,$AG$2:$AG$1031),"")</f>
        <v/>
      </c>
    </row>
    <row r="996">
      <c r="A996" s="18" t="n">
        <v>2320</v>
      </c>
      <c r="B996" s="18" t="inlineStr">
        <is>
          <t>يوسف ابراهيم عبده ابراهيم عوده</t>
        </is>
      </c>
      <c r="C996" s="1" t="n">
        <v>511.4</v>
      </c>
      <c r="D996" s="1" t="n">
        <v>23</v>
      </c>
      <c r="E996" s="1" t="n">
        <v>20</v>
      </c>
      <c r="F996" s="1" t="n">
        <v>21</v>
      </c>
      <c r="G996" s="1">
        <f>C996+D996+E996+F996</f>
        <v/>
      </c>
      <c r="H996" s="1">
        <f>IF(ISNUMBER(G996),G996,"")</f>
        <v/>
      </c>
      <c r="I996" s="1">
        <f>_xlfn.RANK.EQ(H996,$H$2:$H$1031)</f>
        <v/>
      </c>
      <c r="J996" s="5" t="n">
        <v>573</v>
      </c>
      <c r="K996" s="5" t="n">
        <v>49</v>
      </c>
      <c r="L996" s="5" t="n">
        <v>21</v>
      </c>
      <c r="M996" s="5" t="n">
        <v>20</v>
      </c>
      <c r="N996" s="5">
        <f>J996+K996+L996+M996</f>
        <v/>
      </c>
      <c r="O996" s="5">
        <f>IF(ISNUMBER(N996),N996,"")</f>
        <v/>
      </c>
      <c r="P996" s="5">
        <f>_xlfn.RANK.EQ(O996,$O$2:$O$1031)</f>
        <v/>
      </c>
      <c r="Q996" s="9" t="n">
        <v>254</v>
      </c>
      <c r="R996" s="9" t="n">
        <v>45.5</v>
      </c>
      <c r="S996" s="9" t="n">
        <v>21</v>
      </c>
      <c r="T996" s="9" t="n">
        <v>24</v>
      </c>
      <c r="U996" s="9">
        <f>Q996+R996+S996+T996</f>
        <v/>
      </c>
      <c r="V996" s="9">
        <f>IF(ISNUMBER(U996),U996,"")</f>
        <v/>
      </c>
      <c r="W996" s="9">
        <f>_xlfn.RANK.EQ(V996,$V$2:$V$1031)</f>
        <v/>
      </c>
      <c r="X996" s="13" t="n">
        <v>1328.4708333333</v>
      </c>
      <c r="Y996" s="13" t="n">
        <v>21</v>
      </c>
      <c r="Z996" s="13" t="n">
        <v>22</v>
      </c>
      <c r="AA996" s="13" t="n">
        <v>20</v>
      </c>
      <c r="AB996" s="13">
        <f>IF(ISNUMBER(X996),X996+N(Y996)+N(Z996)+N(AA996),X996)</f>
        <v/>
      </c>
      <c r="AC996" s="13">
        <f>IF(ISNUMBER(AB996),AB996,"")</f>
        <v/>
      </c>
      <c r="AD996" s="13">
        <f>IF(ISNUMBER(AC996),_xlfn.RANK.EQ(AC996,$AC$2:$AC$1031),"")</f>
        <v/>
      </c>
      <c r="AE996" s="15">
        <f>IF(ISNUMBER(AF996),AF996/3630,"")</f>
        <v/>
      </c>
      <c r="AF996" s="14">
        <f>IFERROR(C996+D996+E996+F996+J996+K996+L996+M996+Q996+R996+S996+T996+IF(ISNUMBER(X996),X996,0)+N(Y996)+N(Z996)+N(AA996),"")</f>
        <v/>
      </c>
      <c r="AG996" s="14">
        <f>IF(ISNUMBER(AF996),AF996,"")</f>
        <v/>
      </c>
      <c r="AH996" s="14">
        <f>IF(ISNUMBER(AG996),_xlfn.RANK.EQ(AG996,$AG$2:$AG$1031),"")</f>
        <v/>
      </c>
    </row>
    <row r="997">
      <c r="A997" s="18" t="n">
        <v>2321</v>
      </c>
      <c r="B997" s="18" t="inlineStr">
        <is>
          <t>يوسف ابراهيم فتحى عبد الفتاح</t>
        </is>
      </c>
      <c r="C997" s="1" t="n">
        <v>499.5</v>
      </c>
      <c r="D997" s="1" t="n">
        <v>23</v>
      </c>
      <c r="E997" s="1" t="n">
        <v>22</v>
      </c>
      <c r="F997" s="1" t="n">
        <v>19</v>
      </c>
      <c r="G997" s="1">
        <f>C997+D997+E997+F997</f>
        <v/>
      </c>
      <c r="H997" s="1">
        <f>IF(ISNUMBER(G997),G997,"")</f>
        <v/>
      </c>
      <c r="I997" s="1">
        <f>_xlfn.RANK.EQ(H997,$H$2:$H$1031)</f>
        <v/>
      </c>
      <c r="J997" s="5" t="n">
        <v>526</v>
      </c>
      <c r="K997" s="5" t="n">
        <v>46</v>
      </c>
      <c r="L997" s="5" t="n">
        <v>19</v>
      </c>
      <c r="M997" s="5" t="n">
        <v>19</v>
      </c>
      <c r="N997" s="5">
        <f>J997+K997+L997+M997</f>
        <v/>
      </c>
      <c r="O997" s="5">
        <f>IF(ISNUMBER(N997),N997,"")</f>
        <v/>
      </c>
      <c r="P997" s="5">
        <f>_xlfn.RANK.EQ(O997,$O$2:$O$1031)</f>
        <v/>
      </c>
      <c r="Q997" s="9" t="n">
        <v>243</v>
      </c>
      <c r="R997" s="9" t="n">
        <v>46</v>
      </c>
      <c r="S997" s="9" t="n">
        <v>23</v>
      </c>
      <c r="T997" s="9" t="n">
        <v>25</v>
      </c>
      <c r="U997" s="9">
        <f>Q997+R997+S997+T997</f>
        <v/>
      </c>
      <c r="V997" s="9">
        <f>IF(ISNUMBER(U997),U997,"")</f>
        <v/>
      </c>
      <c r="W997" s="9">
        <f>_xlfn.RANK.EQ(V997,$V$2:$V$1031)</f>
        <v/>
      </c>
      <c r="X997" s="13" t="n">
        <v>1285.4625</v>
      </c>
      <c r="Y997" s="13" t="n">
        <v>24</v>
      </c>
      <c r="Z997" s="13" t="n">
        <v>23</v>
      </c>
      <c r="AA997" s="13" t="n">
        <v>20</v>
      </c>
      <c r="AB997" s="13">
        <f>IF(ISNUMBER(X997),X997+N(Y997)+N(Z997)+N(AA997),X997)</f>
        <v/>
      </c>
      <c r="AC997" s="13">
        <f>IF(ISNUMBER(AB997),AB997,"")</f>
        <v/>
      </c>
      <c r="AD997" s="13">
        <f>IF(ISNUMBER(AC997),_xlfn.RANK.EQ(AC997,$AC$2:$AC$1031),"")</f>
        <v/>
      </c>
      <c r="AE997" s="15">
        <f>IF(ISNUMBER(AF997),AF997/3630,"")</f>
        <v/>
      </c>
      <c r="AF997" s="14">
        <f>IFERROR(C997+D997+E997+F997+J997+K997+L997+M997+Q997+R997+S997+T997+IF(ISNUMBER(X997),X997,0)+N(Y997)+N(Z997)+N(AA997),"")</f>
        <v/>
      </c>
      <c r="AG997" s="14">
        <f>IF(ISNUMBER(AF997),AF997,"")</f>
        <v/>
      </c>
      <c r="AH997" s="14">
        <f>IF(ISNUMBER(AG997),_xlfn.RANK.EQ(AG997,$AG$2:$AG$1031),"")</f>
        <v/>
      </c>
    </row>
    <row r="998">
      <c r="A998" s="18" t="n">
        <v>2324</v>
      </c>
      <c r="B998" s="18" t="inlineStr">
        <is>
          <t>يوسف ابراهيم محمود عبيد الله</t>
        </is>
      </c>
      <c r="C998" s="1" t="n">
        <v>485.8</v>
      </c>
      <c r="D998" s="1" t="n">
        <v>22</v>
      </c>
      <c r="E998" s="1" t="n">
        <v>23</v>
      </c>
      <c r="F998" s="1" t="n">
        <v>22</v>
      </c>
      <c r="G998" s="1">
        <f>C998+D998+E998+F998</f>
        <v/>
      </c>
      <c r="H998" s="1">
        <f>IF(ISNUMBER(G998),G998,"")</f>
        <v/>
      </c>
      <c r="I998" s="1">
        <f>_xlfn.RANK.EQ(H998,$H$2:$H$1031)</f>
        <v/>
      </c>
      <c r="J998" s="5" t="n">
        <v>426.5</v>
      </c>
      <c r="K998" s="5" t="n">
        <v>37</v>
      </c>
      <c r="L998" s="5" t="n">
        <v>20</v>
      </c>
      <c r="M998" s="5" t="n">
        <v>22</v>
      </c>
      <c r="N998" s="5">
        <f>J998+K998+L998+M998</f>
        <v/>
      </c>
      <c r="O998" s="5">
        <f>IF(ISNUMBER(N998),N998,"")</f>
        <v/>
      </c>
      <c r="P998" s="5">
        <f>_xlfn.RANK.EQ(O998,$O$2:$O$1031)</f>
        <v/>
      </c>
      <c r="Q998" s="9" t="n">
        <v>170.5</v>
      </c>
      <c r="R998" s="9" t="n">
        <v>45.5</v>
      </c>
      <c r="S998" s="9" t="n">
        <v>22</v>
      </c>
      <c r="T998" s="9" t="n">
        <v>23</v>
      </c>
      <c r="U998" s="9">
        <f>Q998+R998+S998+T998</f>
        <v/>
      </c>
      <c r="V998" s="9">
        <f>IF(ISNUMBER(U998),U998,"")</f>
        <v/>
      </c>
      <c r="W998" s="9">
        <f>_xlfn.RANK.EQ(V998,$V$2:$V$1031)</f>
        <v/>
      </c>
      <c r="X998" s="13" t="n">
        <v>1068.0833333333</v>
      </c>
      <c r="Y998" s="13" t="n">
        <v>22.5</v>
      </c>
      <c r="Z998" s="13" t="n">
        <v>22</v>
      </c>
      <c r="AA998" s="13" t="n">
        <v>23</v>
      </c>
      <c r="AB998" s="13">
        <f>IF(ISNUMBER(X998),X998+N(Y998)+N(Z998)+N(AA998),X998)</f>
        <v/>
      </c>
      <c r="AC998" s="13">
        <f>IF(ISNUMBER(AB998),AB998,"")</f>
        <v/>
      </c>
      <c r="AD998" s="13">
        <f>IF(ISNUMBER(AC998),_xlfn.RANK.EQ(AC998,$AC$2:$AC$1031),"")</f>
        <v/>
      </c>
      <c r="AE998" s="15">
        <f>IF(ISNUMBER(AF998),AF998/3630,"")</f>
        <v/>
      </c>
      <c r="AF998" s="14">
        <f>IFERROR(C998+D998+E998+F998+J998+K998+L998+M998+Q998+R998+S998+T998+IF(ISNUMBER(X998),X998,0)+N(Y998)+N(Z998)+N(AA998),"")</f>
        <v/>
      </c>
      <c r="AG998" s="14">
        <f>IF(ISNUMBER(AF998),AF998,"")</f>
        <v/>
      </c>
      <c r="AH998" s="14">
        <f>IF(ISNUMBER(AG998),_xlfn.RANK.EQ(AG998,$AG$2:$AG$1031),"")</f>
        <v/>
      </c>
    </row>
    <row r="999">
      <c r="A999" s="18" t="n">
        <v>2325</v>
      </c>
      <c r="B999" s="18" t="inlineStr">
        <is>
          <t>يوسف ابراهيم محمود فرو</t>
        </is>
      </c>
      <c r="C999" s="1" t="n">
        <v>416.5</v>
      </c>
      <c r="D999" s="1" t="n">
        <v>21</v>
      </c>
      <c r="E999" s="1" t="n">
        <v>20</v>
      </c>
      <c r="F999" s="1" t="n">
        <v>18</v>
      </c>
      <c r="G999" s="1">
        <f>C999+D999+E999+F999</f>
        <v/>
      </c>
      <c r="H999" s="1">
        <f>IF(ISNUMBER(G999),G999,"")</f>
        <v/>
      </c>
      <c r="I999" s="1">
        <f>_xlfn.RANK.EQ(H999,$H$2:$H$1031)</f>
        <v/>
      </c>
      <c r="J999" s="5" t="n">
        <v>401</v>
      </c>
      <c r="K999" s="5" t="n">
        <v>40</v>
      </c>
      <c r="L999" s="5" t="n">
        <v>20</v>
      </c>
      <c r="M999" s="5" t="n">
        <v>18</v>
      </c>
      <c r="N999" s="5">
        <f>J999+K999+L999+M999</f>
        <v/>
      </c>
      <c r="O999" s="5">
        <f>IF(ISNUMBER(N999),N999,"")</f>
        <v/>
      </c>
      <c r="P999" s="5">
        <f>_xlfn.RANK.EQ(O999,$O$2:$O$1031)</f>
        <v/>
      </c>
      <c r="Q999" s="9" t="n">
        <v>130</v>
      </c>
      <c r="R999" s="9" t="n">
        <v>36</v>
      </c>
      <c r="S999" s="9" t="n">
        <v>24</v>
      </c>
      <c r="T999" s="9" t="n">
        <v>24</v>
      </c>
      <c r="U999" s="9">
        <f>Q999+R999+S999+T999</f>
        <v/>
      </c>
      <c r="V999" s="9">
        <f>IF(ISNUMBER(U999),U999,"")</f>
        <v/>
      </c>
      <c r="W999" s="9">
        <f>_xlfn.RANK.EQ(V999,$V$2:$V$1031)</f>
        <v/>
      </c>
      <c r="X999" s="13" t="inlineStr">
        <is>
          <t>راسب</t>
        </is>
      </c>
      <c r="Y999" s="13" t="n">
        <v>23.5</v>
      </c>
      <c r="Z999" s="13" t="n">
        <v>18</v>
      </c>
      <c r="AA999" s="13" t="n">
        <v>20</v>
      </c>
      <c r="AB999" s="13">
        <f>IF(ISNUMBER(X999),X999+N(Y999)+N(Z999)+N(AA999),X999)</f>
        <v/>
      </c>
      <c r="AC999" s="13">
        <f>IF(ISNUMBER(AB999),AB999,"")</f>
        <v/>
      </c>
      <c r="AD999" s="13">
        <f>IF(ISNUMBER(AC999),_xlfn.RANK.EQ(AC999,$AC$2:$AC$1031),"")</f>
        <v/>
      </c>
      <c r="AE999" s="15">
        <f>IF(ISNUMBER(AF999),AF999/3630,"")</f>
        <v/>
      </c>
      <c r="AF999" s="14">
        <f>IFERROR(C999+D999+E999+F999+J999+K999+L999+M999+Q999+R999+S999+T999+IF(ISNUMBER(X999),X999,0)+N(Y999)+N(Z999)+N(AA999),"")</f>
        <v/>
      </c>
      <c r="AG999" s="14">
        <f>IF(ISNUMBER(AF999),AF999,"")</f>
        <v/>
      </c>
      <c r="AH999" s="14">
        <f>IF(ISNUMBER(AG999),_xlfn.RANK.EQ(AG999,$AG$2:$AG$1031),"")</f>
        <v/>
      </c>
    </row>
    <row r="1000">
      <c r="A1000" s="18" t="n">
        <v>2326</v>
      </c>
      <c r="B1000" s="18" t="inlineStr">
        <is>
          <t>يوسف احمد طاهر عبد الكريم</t>
        </is>
      </c>
      <c r="C1000" s="1" t="n">
        <v>616.4</v>
      </c>
      <c r="D1000" s="1" t="n">
        <v>23</v>
      </c>
      <c r="E1000" s="1" t="n">
        <v>23</v>
      </c>
      <c r="F1000" s="1" t="n">
        <v>23</v>
      </c>
      <c r="G1000" s="1">
        <f>C1000+D1000+E1000+F1000</f>
        <v/>
      </c>
      <c r="H1000" s="1">
        <f>IF(ISNUMBER(G1000),G1000,"")</f>
        <v/>
      </c>
      <c r="I1000" s="1">
        <f>_xlfn.RANK.EQ(H1000,$H$2:$H$1031)</f>
        <v/>
      </c>
      <c r="J1000" s="5" t="n">
        <v>614</v>
      </c>
      <c r="K1000" s="5" t="n">
        <v>47</v>
      </c>
      <c r="L1000" s="5" t="n">
        <v>21</v>
      </c>
      <c r="M1000" s="5" t="n">
        <v>24</v>
      </c>
      <c r="N1000" s="5">
        <f>J1000+K1000+L1000+M1000</f>
        <v/>
      </c>
      <c r="O1000" s="5">
        <f>IF(ISNUMBER(N1000),N1000,"")</f>
        <v/>
      </c>
      <c r="P1000" s="5">
        <f>_xlfn.RANK.EQ(O1000,$O$2:$O$1031)</f>
        <v/>
      </c>
      <c r="Q1000" s="9" t="n">
        <v>260</v>
      </c>
      <c r="R1000" s="9" t="n">
        <v>47.5</v>
      </c>
      <c r="S1000" s="9" t="n">
        <v>22</v>
      </c>
      <c r="T1000" s="9" t="n">
        <v>18</v>
      </c>
      <c r="U1000" s="9">
        <f>Q1000+R1000+S1000+T1000</f>
        <v/>
      </c>
      <c r="V1000" s="9">
        <f>IF(ISNUMBER(U1000),U1000,"")</f>
        <v/>
      </c>
      <c r="W1000" s="9">
        <f>_xlfn.RANK.EQ(V1000,$V$2:$V$1031)</f>
        <v/>
      </c>
      <c r="X1000" s="13" t="n">
        <v>1446.225</v>
      </c>
      <c r="Y1000" s="13" t="n">
        <v>22.5</v>
      </c>
      <c r="Z1000" s="13" t="n">
        <v>25</v>
      </c>
      <c r="AA1000" s="13" t="n">
        <v>24</v>
      </c>
      <c r="AB1000" s="13">
        <f>IF(ISNUMBER(X1000),X1000+N(Y1000)+N(Z1000)+N(AA1000),X1000)</f>
        <v/>
      </c>
      <c r="AC1000" s="13">
        <f>IF(ISNUMBER(AB1000),AB1000,"")</f>
        <v/>
      </c>
      <c r="AD1000" s="13">
        <f>IF(ISNUMBER(AC1000),_xlfn.RANK.EQ(AC1000,$AC$2:$AC$1031),"")</f>
        <v/>
      </c>
      <c r="AE1000" s="15">
        <f>IF(ISNUMBER(AF1000),AF1000/3630,"")</f>
        <v/>
      </c>
      <c r="AF1000" s="14">
        <f>IFERROR(C1000+D1000+E1000+F1000+J1000+K1000+L1000+M1000+Q1000+R1000+S1000+T1000+IF(ISNUMBER(X1000),X1000,0)+N(Y1000)+N(Z1000)+N(AA1000),"")</f>
        <v/>
      </c>
      <c r="AG1000" s="14">
        <f>IF(ISNUMBER(AF1000),AF1000,"")</f>
        <v/>
      </c>
      <c r="AH1000" s="14">
        <f>IF(ISNUMBER(AG1000),_xlfn.RANK.EQ(AG1000,$AG$2:$AG$1031),"")</f>
        <v/>
      </c>
    </row>
    <row r="1001">
      <c r="A1001" s="18" t="n">
        <v>2327</v>
      </c>
      <c r="B1001" s="18" t="inlineStr">
        <is>
          <t>يوسف احمد فاروق خطاب</t>
        </is>
      </c>
      <c r="C1001" s="1" t="n">
        <v>410</v>
      </c>
      <c r="D1001" s="1" t="n">
        <v>7</v>
      </c>
      <c r="E1001" s="1" t="n">
        <v>8</v>
      </c>
      <c r="F1001" s="1" t="n">
        <v>16</v>
      </c>
      <c r="G1001" s="1">
        <f>C1001+D1001+E1001+F1001</f>
        <v/>
      </c>
      <c r="H1001" s="1">
        <f>IF(ISNUMBER(G1001),G1001,"")</f>
        <v/>
      </c>
      <c r="I1001" s="1">
        <f>_xlfn.RANK.EQ(H1001,$H$2:$H$1031)</f>
        <v/>
      </c>
      <c r="J1001" s="5" t="n">
        <v>436</v>
      </c>
      <c r="K1001" s="5" t="n">
        <v>20</v>
      </c>
      <c r="L1001" s="5" t="n">
        <v>10</v>
      </c>
      <c r="M1001" s="5" t="n">
        <v>8</v>
      </c>
      <c r="N1001" s="5">
        <f>J1001+K1001+L1001+M1001</f>
        <v/>
      </c>
      <c r="O1001" s="5">
        <f>IF(ISNUMBER(N1001),N1001,"")</f>
        <v/>
      </c>
      <c r="P1001" s="5">
        <f>_xlfn.RANK.EQ(O1001,$O$2:$O$1031)</f>
        <v/>
      </c>
      <c r="Q1001" s="9" t="n">
        <v>223</v>
      </c>
      <c r="R1001" s="9" t="n">
        <v>28</v>
      </c>
      <c r="S1001" s="9" t="n">
        <v>12</v>
      </c>
      <c r="T1001" s="9" t="n">
        <v>19</v>
      </c>
      <c r="U1001" s="9">
        <f>Q1001+R1001+S1001+T1001</f>
        <v/>
      </c>
      <c r="V1001" s="9">
        <f>IF(ISNUMBER(U1001),U1001,"")</f>
        <v/>
      </c>
      <c r="W1001" s="9">
        <f>_xlfn.RANK.EQ(V1001,$V$2:$V$1031)</f>
        <v/>
      </c>
      <c r="X1001" s="13" t="inlineStr">
        <is>
          <t>راسب</t>
        </is>
      </c>
      <c r="Y1001" s="13" t="n">
        <v>12.5</v>
      </c>
      <c r="Z1001" s="13" t="n">
        <v>1</v>
      </c>
      <c r="AA1001" s="13" t="n"/>
      <c r="AB1001" s="13">
        <f>IF(ISNUMBER(X1001),X1001+N(Y1001)+N(Z1001)+N(AA1001),X1001)</f>
        <v/>
      </c>
      <c r="AC1001" s="13">
        <f>IF(ISNUMBER(AB1001),AB1001,"")</f>
        <v/>
      </c>
      <c r="AD1001" s="13">
        <f>IF(ISNUMBER(AC1001),_xlfn.RANK.EQ(AC1001,$AC$2:$AC$1031),"")</f>
        <v/>
      </c>
      <c r="AE1001" s="15">
        <f>IF(ISNUMBER(AF1001),AF1001/3630,"")</f>
        <v/>
      </c>
      <c r="AF1001" s="14">
        <f>IFERROR(C1001+D1001+E1001+F1001+J1001+K1001+L1001+M1001+Q1001+R1001+S1001+T1001+IF(ISNUMBER(X1001),X1001,0)+N(Y1001)+N(Z1001)+N(AA1001),"")</f>
        <v/>
      </c>
      <c r="AG1001" s="14">
        <f>IF(ISNUMBER(AF1001),AF1001,"")</f>
        <v/>
      </c>
      <c r="AH1001" s="14">
        <f>IF(ISNUMBER(AG1001),_xlfn.RANK.EQ(AG1001,$AG$2:$AG$1031),"")</f>
        <v/>
      </c>
    </row>
    <row r="1002">
      <c r="A1002" s="18" t="n">
        <v>2328</v>
      </c>
      <c r="B1002" s="18" t="inlineStr">
        <is>
          <t>يوسف احمد محمد  عبدالفتاح خيرالله</t>
        </is>
      </c>
      <c r="C1002" s="1" t="n">
        <v>548.4</v>
      </c>
      <c r="D1002" s="1" t="n">
        <v>25</v>
      </c>
      <c r="E1002" s="1" t="n">
        <v>20</v>
      </c>
      <c r="F1002" s="1" t="n">
        <v>21</v>
      </c>
      <c r="G1002" s="1">
        <f>C1002+D1002+E1002+F1002</f>
        <v/>
      </c>
      <c r="H1002" s="1">
        <f>IF(ISNUMBER(G1002),G1002,"")</f>
        <v/>
      </c>
      <c r="I1002" s="1">
        <f>_xlfn.RANK.EQ(H1002,$H$2:$H$1031)</f>
        <v/>
      </c>
      <c r="J1002" s="5" t="n">
        <v>550</v>
      </c>
      <c r="K1002" s="5" t="n">
        <v>42</v>
      </c>
      <c r="L1002" s="5" t="n">
        <v>23</v>
      </c>
      <c r="M1002" s="5" t="n">
        <v>20</v>
      </c>
      <c r="N1002" s="5">
        <f>J1002+K1002+L1002+M1002</f>
        <v/>
      </c>
      <c r="O1002" s="5">
        <f>IF(ISNUMBER(N1002),N1002,"")</f>
        <v/>
      </c>
      <c r="P1002" s="5">
        <f>_xlfn.RANK.EQ(O1002,$O$2:$O$1031)</f>
        <v/>
      </c>
      <c r="Q1002" s="9" t="n">
        <v>224</v>
      </c>
      <c r="R1002" s="9" t="n">
        <v>43.5</v>
      </c>
      <c r="S1002" s="9" t="n">
        <v>22</v>
      </c>
      <c r="T1002" s="9" t="n">
        <v>23.5</v>
      </c>
      <c r="U1002" s="9">
        <f>Q1002+R1002+S1002+T1002</f>
        <v/>
      </c>
      <c r="V1002" s="9">
        <f>IF(ISNUMBER(U1002),U1002,"")</f>
        <v/>
      </c>
      <c r="W1002" s="9">
        <f>_xlfn.RANK.EQ(V1002,$V$2:$V$1031)</f>
        <v/>
      </c>
      <c r="X1002" s="13" t="n">
        <v>1284.9416666667</v>
      </c>
      <c r="Y1002" s="13" t="n">
        <v>21</v>
      </c>
      <c r="Z1002" s="13" t="n">
        <v>22.5</v>
      </c>
      <c r="AA1002" s="13" t="n">
        <v>24</v>
      </c>
      <c r="AB1002" s="13">
        <f>IF(ISNUMBER(X1002),X1002+N(Y1002)+N(Z1002)+N(AA1002),X1002)</f>
        <v/>
      </c>
      <c r="AC1002" s="13">
        <f>IF(ISNUMBER(AB1002),AB1002,"")</f>
        <v/>
      </c>
      <c r="AD1002" s="13">
        <f>IF(ISNUMBER(AC1002),_xlfn.RANK.EQ(AC1002,$AC$2:$AC$1031),"")</f>
        <v/>
      </c>
      <c r="AE1002" s="15">
        <f>IF(ISNUMBER(AF1002),AF1002/3630,"")</f>
        <v/>
      </c>
      <c r="AF1002" s="14">
        <f>IFERROR(C1002+D1002+E1002+F1002+J1002+K1002+L1002+M1002+Q1002+R1002+S1002+T1002+IF(ISNUMBER(X1002),X1002,0)+N(Y1002)+N(Z1002)+N(AA1002),"")</f>
        <v/>
      </c>
      <c r="AG1002" s="14">
        <f>IF(ISNUMBER(AF1002),AF1002,"")</f>
        <v/>
      </c>
      <c r="AH1002" s="14">
        <f>IF(ISNUMBER(AG1002),_xlfn.RANK.EQ(AG1002,$AG$2:$AG$1031),"")</f>
        <v/>
      </c>
    </row>
    <row r="1003">
      <c r="A1003" s="18" t="n">
        <v>2330</v>
      </c>
      <c r="B1003" s="18" t="inlineStr">
        <is>
          <t>يوسف امير محمد حسن</t>
        </is>
      </c>
      <c r="C1003" s="1" t="n">
        <v>606.2</v>
      </c>
      <c r="D1003" s="1" t="n">
        <v>25</v>
      </c>
      <c r="E1003" s="1" t="n">
        <v>23</v>
      </c>
      <c r="F1003" s="1" t="n">
        <v>19</v>
      </c>
      <c r="G1003" s="1">
        <f>C1003+D1003+E1003+F1003</f>
        <v/>
      </c>
      <c r="H1003" s="1">
        <f>IF(ISNUMBER(G1003),G1003,"")</f>
        <v/>
      </c>
      <c r="I1003" s="1">
        <f>_xlfn.RANK.EQ(H1003,$H$2:$H$1031)</f>
        <v/>
      </c>
      <c r="J1003" s="5" t="n">
        <v>591</v>
      </c>
      <c r="K1003" s="5" t="n">
        <v>42</v>
      </c>
      <c r="L1003" s="5" t="n">
        <v>21</v>
      </c>
      <c r="M1003" s="5" t="n">
        <v>19</v>
      </c>
      <c r="N1003" s="5">
        <f>J1003+K1003+L1003+M1003</f>
        <v/>
      </c>
      <c r="O1003" s="5">
        <f>IF(ISNUMBER(N1003),N1003,"")</f>
        <v/>
      </c>
      <c r="P1003" s="5">
        <f>_xlfn.RANK.EQ(O1003,$O$2:$O$1031)</f>
        <v/>
      </c>
      <c r="Q1003" s="9" t="n">
        <v>240</v>
      </c>
      <c r="R1003" s="9" t="n">
        <v>43.5</v>
      </c>
      <c r="S1003" s="9" t="n">
        <v>22</v>
      </c>
      <c r="T1003" s="9" t="n">
        <v>24</v>
      </c>
      <c r="U1003" s="9">
        <f>Q1003+R1003+S1003+T1003</f>
        <v/>
      </c>
      <c r="V1003" s="9">
        <f>IF(ISNUMBER(U1003),U1003,"")</f>
        <v/>
      </c>
      <c r="W1003" s="9">
        <f>_xlfn.RANK.EQ(V1003,$V$2:$V$1031)</f>
        <v/>
      </c>
      <c r="X1003" s="13" t="n">
        <v>1367.6583333333</v>
      </c>
      <c r="Y1003" s="13" t="n">
        <v>24.5</v>
      </c>
      <c r="Z1003" s="13" t="n">
        <v>23</v>
      </c>
      <c r="AA1003" s="13" t="n">
        <v>21</v>
      </c>
      <c r="AB1003" s="13">
        <f>IF(ISNUMBER(X1003),X1003+N(Y1003)+N(Z1003)+N(AA1003),X1003)</f>
        <v/>
      </c>
      <c r="AC1003" s="13">
        <f>IF(ISNUMBER(AB1003),AB1003,"")</f>
        <v/>
      </c>
      <c r="AD1003" s="13">
        <f>IF(ISNUMBER(AC1003),_xlfn.RANK.EQ(AC1003,$AC$2:$AC$1031),"")</f>
        <v/>
      </c>
      <c r="AE1003" s="15">
        <f>IF(ISNUMBER(AF1003),AF1003/3630,"")</f>
        <v/>
      </c>
      <c r="AF1003" s="14">
        <f>IFERROR(C1003+D1003+E1003+F1003+J1003+K1003+L1003+M1003+Q1003+R1003+S1003+T1003+IF(ISNUMBER(X1003),X1003,0)+N(Y1003)+N(Z1003)+N(AA1003),"")</f>
        <v/>
      </c>
      <c r="AG1003" s="14">
        <f>IF(ISNUMBER(AF1003),AF1003,"")</f>
        <v/>
      </c>
      <c r="AH1003" s="14">
        <f>IF(ISNUMBER(AG1003),_xlfn.RANK.EQ(AG1003,$AG$2:$AG$1031),"")</f>
        <v/>
      </c>
    </row>
    <row r="1004">
      <c r="A1004" s="18" t="n">
        <v>2331</v>
      </c>
      <c r="B1004" s="18" t="inlineStr">
        <is>
          <t>يوسف امين عبد الرازق يوسف</t>
        </is>
      </c>
      <c r="C1004" s="1" t="n">
        <v>663.1</v>
      </c>
      <c r="D1004" s="1" t="n">
        <v>25</v>
      </c>
      <c r="E1004" s="1" t="n">
        <v>24</v>
      </c>
      <c r="F1004" s="1" t="n">
        <v>24</v>
      </c>
      <c r="G1004" s="1">
        <f>C1004+D1004+E1004+F1004</f>
        <v/>
      </c>
      <c r="H1004" s="1">
        <f>IF(ISNUMBER(G1004),G1004,"")</f>
        <v/>
      </c>
      <c r="I1004" s="1">
        <f>_xlfn.RANK.EQ(H1004,$H$2:$H$1031)</f>
        <v/>
      </c>
      <c r="J1004" s="5" t="n">
        <v>644</v>
      </c>
      <c r="K1004" s="5" t="n">
        <v>49</v>
      </c>
      <c r="L1004" s="5" t="n">
        <v>22</v>
      </c>
      <c r="M1004" s="5" t="n">
        <v>25</v>
      </c>
      <c r="N1004" s="5">
        <f>J1004+K1004+L1004+M1004</f>
        <v/>
      </c>
      <c r="O1004" s="5">
        <f>IF(ISNUMBER(N1004),N1004,"")</f>
        <v/>
      </c>
      <c r="P1004" s="5">
        <f>_xlfn.RANK.EQ(O1004,$O$2:$O$1031)</f>
        <v/>
      </c>
      <c r="Q1004" s="9" t="n">
        <v>293</v>
      </c>
      <c r="R1004" s="9" t="n">
        <v>50</v>
      </c>
      <c r="S1004" s="9" t="n">
        <v>25</v>
      </c>
      <c r="T1004" s="9" t="n">
        <v>25</v>
      </c>
      <c r="U1004" s="9">
        <f>Q1004+R1004+S1004+T1004</f>
        <v/>
      </c>
      <c r="V1004" s="9">
        <f>IF(ISNUMBER(U1004),U1004,"")</f>
        <v/>
      </c>
      <c r="W1004" s="9">
        <f>_xlfn.RANK.EQ(V1004,$V$2:$V$1031)</f>
        <v/>
      </c>
      <c r="X1004" s="13" t="n">
        <v>1576.3583333333</v>
      </c>
      <c r="Y1004" s="13" t="n">
        <v>22.5</v>
      </c>
      <c r="Z1004" s="13" t="n">
        <v>25</v>
      </c>
      <c r="AA1004" s="13" t="n">
        <v>25</v>
      </c>
      <c r="AB1004" s="13">
        <f>IF(ISNUMBER(X1004),X1004+N(Y1004)+N(Z1004)+N(AA1004),X1004)</f>
        <v/>
      </c>
      <c r="AC1004" s="13">
        <f>IF(ISNUMBER(AB1004),AB1004,"")</f>
        <v/>
      </c>
      <c r="AD1004" s="13">
        <f>IF(ISNUMBER(AC1004),_xlfn.RANK.EQ(AC1004,$AC$2:$AC$1031),"")</f>
        <v/>
      </c>
      <c r="AE1004" s="15">
        <f>IF(ISNUMBER(AF1004),AF1004/3630,"")</f>
        <v/>
      </c>
      <c r="AF1004" s="14">
        <f>IFERROR(C1004+D1004+E1004+F1004+J1004+K1004+L1004+M1004+Q1004+R1004+S1004+T1004+IF(ISNUMBER(X1004),X1004,0)+N(Y1004)+N(Z1004)+N(AA1004),"")</f>
        <v/>
      </c>
      <c r="AG1004" s="14">
        <f>IF(ISNUMBER(AF1004),AF1004,"")</f>
        <v/>
      </c>
      <c r="AH1004" s="14">
        <f>IF(ISNUMBER(AG1004),_xlfn.RANK.EQ(AG1004,$AG$2:$AG$1031),"")</f>
        <v/>
      </c>
    </row>
    <row r="1005">
      <c r="A1005" s="18" t="n">
        <v>2332</v>
      </c>
      <c r="B1005" s="18" t="inlineStr">
        <is>
          <t>يوسف انور محمد عبدالهادي</t>
        </is>
      </c>
      <c r="C1005" s="1" t="n">
        <v>637.1</v>
      </c>
      <c r="D1005" s="1" t="n">
        <v>25</v>
      </c>
      <c r="E1005" s="1" t="n">
        <v>24</v>
      </c>
      <c r="F1005" s="1" t="n">
        <v>21</v>
      </c>
      <c r="G1005" s="1">
        <f>C1005+D1005+E1005+F1005</f>
        <v/>
      </c>
      <c r="H1005" s="1">
        <f>IF(ISNUMBER(G1005),G1005,"")</f>
        <v/>
      </c>
      <c r="I1005" s="1">
        <f>_xlfn.RANK.EQ(H1005,$H$2:$H$1031)</f>
        <v/>
      </c>
      <c r="J1005" s="5" t="n">
        <v>470</v>
      </c>
      <c r="K1005" s="5" t="n">
        <v>42</v>
      </c>
      <c r="L1005" s="5" t="n">
        <v>20</v>
      </c>
      <c r="M1005" s="5" t="n">
        <v>20</v>
      </c>
      <c r="N1005" s="5">
        <f>J1005+K1005+L1005+M1005</f>
        <v/>
      </c>
      <c r="O1005" s="5">
        <f>IF(ISNUMBER(N1005),N1005,"")</f>
        <v/>
      </c>
      <c r="P1005" s="5">
        <f>_xlfn.RANK.EQ(O1005,$O$2:$O$1031)</f>
        <v/>
      </c>
      <c r="Q1005" s="9" t="n">
        <v>275</v>
      </c>
      <c r="R1005" s="9" t="n">
        <v>48.5</v>
      </c>
      <c r="S1005" s="9" t="n">
        <v>24</v>
      </c>
      <c r="T1005" s="9" t="n">
        <v>24</v>
      </c>
      <c r="U1005" s="9">
        <f>Q1005+R1005+S1005+T1005</f>
        <v/>
      </c>
      <c r="V1005" s="9">
        <f>IF(ISNUMBER(U1005),U1005,"")</f>
        <v/>
      </c>
      <c r="W1005" s="9">
        <f>_xlfn.RANK.EQ(V1005,$V$2:$V$1031)</f>
        <v/>
      </c>
      <c r="X1005" s="13" t="n">
        <v>1397.6041666667</v>
      </c>
      <c r="Y1005" s="13" t="n">
        <v>23.5</v>
      </c>
      <c r="Z1005" s="13" t="n">
        <v>24</v>
      </c>
      <c r="AA1005" s="13" t="n">
        <v>24</v>
      </c>
      <c r="AB1005" s="13">
        <f>IF(ISNUMBER(X1005),X1005+N(Y1005)+N(Z1005)+N(AA1005),X1005)</f>
        <v/>
      </c>
      <c r="AC1005" s="13">
        <f>IF(ISNUMBER(AB1005),AB1005,"")</f>
        <v/>
      </c>
      <c r="AD1005" s="13">
        <f>IF(ISNUMBER(AC1005),_xlfn.RANK.EQ(AC1005,$AC$2:$AC$1031),"")</f>
        <v/>
      </c>
      <c r="AE1005" s="15">
        <f>IF(ISNUMBER(AF1005),AF1005/3630,"")</f>
        <v/>
      </c>
      <c r="AF1005" s="14">
        <f>IFERROR(C1005+D1005+E1005+F1005+J1005+K1005+L1005+M1005+Q1005+R1005+S1005+T1005+IF(ISNUMBER(X1005),X1005,0)+N(Y1005)+N(Z1005)+N(AA1005),"")</f>
        <v/>
      </c>
      <c r="AG1005" s="14">
        <f>IF(ISNUMBER(AF1005),AF1005,"")</f>
        <v/>
      </c>
      <c r="AH1005" s="14">
        <f>IF(ISNUMBER(AG1005),_xlfn.RANK.EQ(AG1005,$AG$2:$AG$1031),"")</f>
        <v/>
      </c>
    </row>
    <row r="1006">
      <c r="A1006" s="18" t="n">
        <v>2333</v>
      </c>
      <c r="B1006" s="18" t="inlineStr">
        <is>
          <t>يوسف ايهاب محروس يوسف</t>
        </is>
      </c>
      <c r="C1006" s="1" t="n">
        <v>492.1</v>
      </c>
      <c r="D1006" s="1" t="n">
        <v>22</v>
      </c>
      <c r="E1006" s="1" t="n">
        <v>23</v>
      </c>
      <c r="F1006" s="1" t="n">
        <v>19</v>
      </c>
      <c r="G1006" s="1">
        <f>C1006+D1006+E1006+F1006</f>
        <v/>
      </c>
      <c r="H1006" s="1">
        <f>IF(ISNUMBER(G1006),G1006,"")</f>
        <v/>
      </c>
      <c r="I1006" s="1">
        <f>_xlfn.RANK.EQ(H1006,$H$2:$H$1031)</f>
        <v/>
      </c>
      <c r="J1006" s="5" t="n">
        <v>591.96</v>
      </c>
      <c r="K1006" s="5" t="n">
        <v>49</v>
      </c>
      <c r="L1006" s="5" t="n">
        <v>23</v>
      </c>
      <c r="M1006" s="5" t="n">
        <v>21</v>
      </c>
      <c r="N1006" s="5">
        <f>J1006+K1006+L1006+M1006</f>
        <v/>
      </c>
      <c r="O1006" s="5">
        <f>IF(ISNUMBER(N1006),N1006,"")</f>
        <v/>
      </c>
      <c r="P1006" s="5">
        <f>_xlfn.RANK.EQ(O1006,$O$2:$O$1031)</f>
        <v/>
      </c>
      <c r="Q1006" s="9" t="n">
        <v>258</v>
      </c>
      <c r="R1006" s="9" t="n">
        <v>46.5</v>
      </c>
      <c r="S1006" s="9" t="n">
        <v>20</v>
      </c>
      <c r="T1006" s="9" t="n">
        <v>24</v>
      </c>
      <c r="U1006" s="9">
        <f>Q1006+R1006+S1006+T1006</f>
        <v/>
      </c>
      <c r="V1006" s="9">
        <f>IF(ISNUMBER(U1006),U1006,"")</f>
        <v/>
      </c>
      <c r="W1006" s="9">
        <f>_xlfn.RANK.EQ(V1006,$V$2:$V$1031)</f>
        <v/>
      </c>
      <c r="X1006" s="13" t="n">
        <v>1186.3833333333</v>
      </c>
      <c r="Y1006" s="13" t="n">
        <v>19.5</v>
      </c>
      <c r="Z1006" s="13" t="n">
        <v>15</v>
      </c>
      <c r="AA1006" s="13" t="n">
        <v>20</v>
      </c>
      <c r="AB1006" s="13">
        <f>IF(ISNUMBER(X1006),X1006+N(Y1006)+N(Z1006)+N(AA1006),X1006)</f>
        <v/>
      </c>
      <c r="AC1006" s="13">
        <f>IF(ISNUMBER(AB1006),AB1006,"")</f>
        <v/>
      </c>
      <c r="AD1006" s="13">
        <f>IF(ISNUMBER(AC1006),_xlfn.RANK.EQ(AC1006,$AC$2:$AC$1031),"")</f>
        <v/>
      </c>
      <c r="AE1006" s="15">
        <f>IF(ISNUMBER(AF1006),AF1006/3630,"")</f>
        <v/>
      </c>
      <c r="AF1006" s="14">
        <f>IFERROR(C1006+D1006+E1006+F1006+J1006+K1006+L1006+M1006+Q1006+R1006+S1006+T1006+IF(ISNUMBER(X1006),X1006,0)+N(Y1006)+N(Z1006)+N(AA1006),"")</f>
        <v/>
      </c>
      <c r="AG1006" s="14">
        <f>IF(ISNUMBER(AF1006),AF1006,"")</f>
        <v/>
      </c>
      <c r="AH1006" s="14">
        <f>IF(ISNUMBER(AG1006),_xlfn.RANK.EQ(AG1006,$AG$2:$AG$1031),"")</f>
        <v/>
      </c>
    </row>
    <row r="1007">
      <c r="A1007" s="18" t="n">
        <v>2334</v>
      </c>
      <c r="B1007" s="18" t="inlineStr">
        <is>
          <t>يوسف حمدى فتح الله ابو عمر</t>
        </is>
      </c>
      <c r="C1007" s="1" t="n">
        <v>579.7</v>
      </c>
      <c r="D1007" s="1" t="n">
        <v>25</v>
      </c>
      <c r="E1007" s="1" t="n">
        <v>21</v>
      </c>
      <c r="F1007" s="1" t="n">
        <v>19</v>
      </c>
      <c r="G1007" s="1">
        <f>C1007+D1007+E1007+F1007</f>
        <v/>
      </c>
      <c r="H1007" s="1">
        <f>IF(ISNUMBER(G1007),G1007,"")</f>
        <v/>
      </c>
      <c r="I1007" s="1">
        <f>_xlfn.RANK.EQ(H1007,$H$2:$H$1031)</f>
        <v/>
      </c>
      <c r="J1007" s="5" t="n">
        <v>593.5</v>
      </c>
      <c r="K1007" s="5" t="n">
        <v>48</v>
      </c>
      <c r="L1007" s="5" t="n">
        <v>23</v>
      </c>
      <c r="M1007" s="5" t="n">
        <v>21</v>
      </c>
      <c r="N1007" s="5">
        <f>J1007+K1007+L1007+M1007</f>
        <v/>
      </c>
      <c r="O1007" s="5">
        <f>IF(ISNUMBER(N1007),N1007,"")</f>
        <v/>
      </c>
      <c r="P1007" s="5">
        <f>_xlfn.RANK.EQ(O1007,$O$2:$O$1031)</f>
        <v/>
      </c>
      <c r="Q1007" s="9" t="n">
        <v>216</v>
      </c>
      <c r="R1007" s="9" t="n">
        <v>34</v>
      </c>
      <c r="S1007" s="9" t="n">
        <v>23</v>
      </c>
      <c r="T1007" s="9" t="n">
        <v>23</v>
      </c>
      <c r="U1007" s="9">
        <f>Q1007+R1007+S1007+T1007</f>
        <v/>
      </c>
      <c r="V1007" s="9">
        <f>IF(ISNUMBER(U1007),U1007,"")</f>
        <v/>
      </c>
      <c r="W1007" s="9">
        <f>_xlfn.RANK.EQ(V1007,$V$2:$V$1031)</f>
        <v/>
      </c>
      <c r="X1007" s="13" t="n">
        <v>1071.225</v>
      </c>
      <c r="Y1007" s="13" t="n">
        <v>23.5</v>
      </c>
      <c r="Z1007" s="13" t="n">
        <v>17</v>
      </c>
      <c r="AA1007" s="13" t="n">
        <v>22</v>
      </c>
      <c r="AB1007" s="13">
        <f>IF(ISNUMBER(X1007),X1007+N(Y1007)+N(Z1007)+N(AA1007),X1007)</f>
        <v/>
      </c>
      <c r="AC1007" s="13">
        <f>IF(ISNUMBER(AB1007),AB1007,"")</f>
        <v/>
      </c>
      <c r="AD1007" s="13">
        <f>IF(ISNUMBER(AC1007),_xlfn.RANK.EQ(AC1007,$AC$2:$AC$1031),"")</f>
        <v/>
      </c>
      <c r="AE1007" s="15">
        <f>IF(ISNUMBER(AF1007),AF1007/3630,"")</f>
        <v/>
      </c>
      <c r="AF1007" s="14">
        <f>IFERROR(C1007+D1007+E1007+F1007+J1007+K1007+L1007+M1007+Q1007+R1007+S1007+T1007+IF(ISNUMBER(X1007),X1007,0)+N(Y1007)+N(Z1007)+N(AA1007),"")</f>
        <v/>
      </c>
      <c r="AG1007" s="14">
        <f>IF(ISNUMBER(AF1007),AF1007,"")</f>
        <v/>
      </c>
      <c r="AH1007" s="14">
        <f>IF(ISNUMBER(AG1007),_xlfn.RANK.EQ(AG1007,$AG$2:$AG$1031),"")</f>
        <v/>
      </c>
    </row>
    <row r="1008">
      <c r="A1008" s="18" t="n">
        <v>2335</v>
      </c>
      <c r="B1008" s="18" t="inlineStr">
        <is>
          <t>يوسف خالد فاروق ابوالنجا</t>
        </is>
      </c>
      <c r="C1008" s="1" t="n">
        <v>571.6</v>
      </c>
      <c r="D1008" s="1" t="n">
        <v>19</v>
      </c>
      <c r="E1008" s="1" t="n">
        <v>22</v>
      </c>
      <c r="F1008" s="1" t="n">
        <v>20</v>
      </c>
      <c r="G1008" s="1">
        <f>C1008+D1008+E1008+F1008</f>
        <v/>
      </c>
      <c r="H1008" s="1">
        <f>IF(ISNUMBER(G1008),G1008,"")</f>
        <v/>
      </c>
      <c r="I1008" s="1">
        <f>_xlfn.RANK.EQ(H1008,$H$2:$H$1031)</f>
        <v/>
      </c>
      <c r="J1008" s="5" t="n">
        <v>526</v>
      </c>
      <c r="K1008" s="5" t="n">
        <v>45</v>
      </c>
      <c r="L1008" s="5" t="n">
        <v>20</v>
      </c>
      <c r="M1008" s="5" t="n">
        <v>19</v>
      </c>
      <c r="N1008" s="5">
        <f>J1008+K1008+L1008+M1008</f>
        <v/>
      </c>
      <c r="O1008" s="5">
        <f>IF(ISNUMBER(N1008),N1008,"")</f>
        <v/>
      </c>
      <c r="P1008" s="5">
        <f>_xlfn.RANK.EQ(O1008,$O$2:$O$1031)</f>
        <v/>
      </c>
      <c r="Q1008" s="9" t="n">
        <v>207</v>
      </c>
      <c r="R1008" s="9" t="n">
        <v>40.5</v>
      </c>
      <c r="S1008" s="9" t="n">
        <v>23</v>
      </c>
      <c r="T1008" s="9" t="n">
        <v>25</v>
      </c>
      <c r="U1008" s="9">
        <f>Q1008+R1008+S1008+T1008</f>
        <v/>
      </c>
      <c r="V1008" s="9">
        <f>IF(ISNUMBER(U1008),U1008,"")</f>
        <v/>
      </c>
      <c r="W1008" s="9">
        <f>_xlfn.RANK.EQ(V1008,$V$2:$V$1031)</f>
        <v/>
      </c>
      <c r="X1008" s="13" t="n">
        <v>1357.4833333333</v>
      </c>
      <c r="Y1008" s="13" t="n">
        <v>23.5</v>
      </c>
      <c r="Z1008" s="13" t="n">
        <v>20.5</v>
      </c>
      <c r="AA1008" s="13" t="n">
        <v>19</v>
      </c>
      <c r="AB1008" s="13">
        <f>IF(ISNUMBER(X1008),X1008+N(Y1008)+N(Z1008)+N(AA1008),X1008)</f>
        <v/>
      </c>
      <c r="AC1008" s="13">
        <f>IF(ISNUMBER(AB1008),AB1008,"")</f>
        <v/>
      </c>
      <c r="AD1008" s="13">
        <f>IF(ISNUMBER(AC1008),_xlfn.RANK.EQ(AC1008,$AC$2:$AC$1031),"")</f>
        <v/>
      </c>
      <c r="AE1008" s="15">
        <f>IF(ISNUMBER(AF1008),AF1008/3630,"")</f>
        <v/>
      </c>
      <c r="AF1008" s="14">
        <f>IFERROR(C1008+D1008+E1008+F1008+J1008+K1008+L1008+M1008+Q1008+R1008+S1008+T1008+IF(ISNUMBER(X1008),X1008,0)+N(Y1008)+N(Z1008)+N(AA1008),"")</f>
        <v/>
      </c>
      <c r="AG1008" s="14">
        <f>IF(ISNUMBER(AF1008),AF1008,"")</f>
        <v/>
      </c>
      <c r="AH1008" s="14">
        <f>IF(ISNUMBER(AG1008),_xlfn.RANK.EQ(AG1008,$AG$2:$AG$1031),"")</f>
        <v/>
      </c>
    </row>
    <row r="1009">
      <c r="A1009" s="18" t="n">
        <v>2336</v>
      </c>
      <c r="B1009" s="18" t="inlineStr">
        <is>
          <t>يوسف خليل حسن ابراهيم خليل</t>
        </is>
      </c>
      <c r="C1009" s="1" t="n">
        <v>535.2</v>
      </c>
      <c r="D1009" s="1" t="n">
        <v>24</v>
      </c>
      <c r="E1009" s="1" t="n">
        <v>25</v>
      </c>
      <c r="F1009" s="1" t="n">
        <v>24</v>
      </c>
      <c r="G1009" s="1">
        <f>C1009+D1009+E1009+F1009</f>
        <v/>
      </c>
      <c r="H1009" s="1">
        <f>IF(ISNUMBER(G1009),G1009,"")</f>
        <v/>
      </c>
      <c r="I1009" s="1">
        <f>_xlfn.RANK.EQ(H1009,$H$2:$H$1031)</f>
        <v/>
      </c>
      <c r="J1009" s="5" t="n">
        <v>464.5</v>
      </c>
      <c r="K1009" s="5" t="n">
        <v>40</v>
      </c>
      <c r="L1009" s="5" t="n">
        <v>22</v>
      </c>
      <c r="M1009" s="5" t="n">
        <v>22</v>
      </c>
      <c r="N1009" s="5">
        <f>J1009+K1009+L1009+M1009</f>
        <v/>
      </c>
      <c r="O1009" s="5">
        <f>IF(ISNUMBER(N1009),N1009,"")</f>
        <v/>
      </c>
      <c r="P1009" s="5">
        <f>_xlfn.RANK.EQ(O1009,$O$2:$O$1031)</f>
        <v/>
      </c>
      <c r="Q1009" s="9" t="n">
        <v>231</v>
      </c>
      <c r="R1009" s="9" t="n">
        <v>48</v>
      </c>
      <c r="S1009" s="9" t="n">
        <v>22</v>
      </c>
      <c r="T1009" s="9" t="n">
        <v>23.5</v>
      </c>
      <c r="U1009" s="9">
        <f>Q1009+R1009+S1009+T1009</f>
        <v/>
      </c>
      <c r="V1009" s="9">
        <f>IF(ISNUMBER(U1009),U1009,"")</f>
        <v/>
      </c>
      <c r="W1009" s="9">
        <f>_xlfn.RANK.EQ(V1009,$V$2:$V$1031)</f>
        <v/>
      </c>
      <c r="X1009" s="13" t="n">
        <v>1233.1083333333</v>
      </c>
      <c r="Y1009" s="13" t="n">
        <v>24</v>
      </c>
      <c r="Z1009" s="13" t="n">
        <v>20.5</v>
      </c>
      <c r="AA1009" s="13" t="n">
        <v>19</v>
      </c>
      <c r="AB1009" s="13">
        <f>IF(ISNUMBER(X1009),X1009+N(Y1009)+N(Z1009)+N(AA1009),X1009)</f>
        <v/>
      </c>
      <c r="AC1009" s="13">
        <f>IF(ISNUMBER(AB1009),AB1009,"")</f>
        <v/>
      </c>
      <c r="AD1009" s="13">
        <f>IF(ISNUMBER(AC1009),_xlfn.RANK.EQ(AC1009,$AC$2:$AC$1031),"")</f>
        <v/>
      </c>
      <c r="AE1009" s="15">
        <f>IF(ISNUMBER(AF1009),AF1009/3630,"")</f>
        <v/>
      </c>
      <c r="AF1009" s="14">
        <f>IFERROR(C1009+D1009+E1009+F1009+J1009+K1009+L1009+M1009+Q1009+R1009+S1009+T1009+IF(ISNUMBER(X1009),X1009,0)+N(Y1009)+N(Z1009)+N(AA1009),"")</f>
        <v/>
      </c>
      <c r="AG1009" s="14">
        <f>IF(ISNUMBER(AF1009),AF1009,"")</f>
        <v/>
      </c>
      <c r="AH1009" s="14">
        <f>IF(ISNUMBER(AG1009),_xlfn.RANK.EQ(AG1009,$AG$2:$AG$1031),"")</f>
        <v/>
      </c>
    </row>
    <row r="1010">
      <c r="A1010" s="18" t="n">
        <v>2338</v>
      </c>
      <c r="B1010" s="18" t="inlineStr">
        <is>
          <t>يوسف زكريا عاشور ابوسنه</t>
        </is>
      </c>
      <c r="C1010" s="1" t="n">
        <v>510.8</v>
      </c>
      <c r="D1010" s="1" t="n">
        <v>21</v>
      </c>
      <c r="E1010" s="1" t="n">
        <v>21</v>
      </c>
      <c r="F1010" s="1" t="n">
        <v>20</v>
      </c>
      <c r="G1010" s="1">
        <f>C1010+D1010+E1010+F1010</f>
        <v/>
      </c>
      <c r="H1010" s="1">
        <f>IF(ISNUMBER(G1010),G1010,"")</f>
        <v/>
      </c>
      <c r="I1010" s="1">
        <f>_xlfn.RANK.EQ(H1010,$H$2:$H$1031)</f>
        <v/>
      </c>
      <c r="J1010" s="5" t="n">
        <v>539</v>
      </c>
      <c r="K1010" s="5" t="n">
        <v>42</v>
      </c>
      <c r="L1010" s="5" t="n">
        <v>19</v>
      </c>
      <c r="M1010" s="5" t="n">
        <v>13</v>
      </c>
      <c r="N1010" s="5">
        <f>J1010+K1010+L1010+M1010</f>
        <v/>
      </c>
      <c r="O1010" s="5">
        <f>IF(ISNUMBER(N1010),N1010,"")</f>
        <v/>
      </c>
      <c r="P1010" s="5">
        <f>_xlfn.RANK.EQ(O1010,$O$2:$O$1031)</f>
        <v/>
      </c>
      <c r="Q1010" s="9" t="n">
        <v>211</v>
      </c>
      <c r="R1010" s="9" t="n">
        <v>33.5</v>
      </c>
      <c r="S1010" s="9" t="n">
        <v>20</v>
      </c>
      <c r="T1010" s="9" t="n">
        <v>23</v>
      </c>
      <c r="U1010" s="9">
        <f>Q1010+R1010+S1010+T1010</f>
        <v/>
      </c>
      <c r="V1010" s="9">
        <f>IF(ISNUMBER(U1010),U1010,"")</f>
        <v/>
      </c>
      <c r="W1010" s="9">
        <f>_xlfn.RANK.EQ(V1010,$V$2:$V$1031)</f>
        <v/>
      </c>
      <c r="X1010" s="13" t="n">
        <v>1157.0166666667</v>
      </c>
      <c r="Y1010" s="13" t="n">
        <v>20.5</v>
      </c>
      <c r="Z1010" s="13" t="n">
        <v>21</v>
      </c>
      <c r="AA1010" s="13" t="n">
        <v>20</v>
      </c>
      <c r="AB1010" s="13">
        <f>IF(ISNUMBER(X1010),X1010+N(Y1010)+N(Z1010)+N(AA1010),X1010)</f>
        <v/>
      </c>
      <c r="AC1010" s="13">
        <f>IF(ISNUMBER(AB1010),AB1010,"")</f>
        <v/>
      </c>
      <c r="AD1010" s="13">
        <f>IF(ISNUMBER(AC1010),_xlfn.RANK.EQ(AC1010,$AC$2:$AC$1031),"")</f>
        <v/>
      </c>
      <c r="AE1010" s="15">
        <f>IF(ISNUMBER(AF1010),AF1010/3630,"")</f>
        <v/>
      </c>
      <c r="AF1010" s="14">
        <f>IFERROR(C1010+D1010+E1010+F1010+J1010+K1010+L1010+M1010+Q1010+R1010+S1010+T1010+IF(ISNUMBER(X1010),X1010,0)+N(Y1010)+N(Z1010)+N(AA1010),"")</f>
        <v/>
      </c>
      <c r="AG1010" s="14">
        <f>IF(ISNUMBER(AF1010),AF1010,"")</f>
        <v/>
      </c>
      <c r="AH1010" s="14">
        <f>IF(ISNUMBER(AG1010),_xlfn.RANK.EQ(AG1010,$AG$2:$AG$1031),"")</f>
        <v/>
      </c>
    </row>
    <row r="1011">
      <c r="A1011" s="18" t="n">
        <v>2341</v>
      </c>
      <c r="B1011" s="18" t="inlineStr">
        <is>
          <t>يوسف سيد عبد المحسن عمار</t>
        </is>
      </c>
      <c r="C1011" s="1" t="n">
        <v>627.9</v>
      </c>
      <c r="D1011" s="1" t="n">
        <v>23</v>
      </c>
      <c r="E1011" s="1" t="n">
        <v>24</v>
      </c>
      <c r="F1011" s="1" t="n">
        <v>24</v>
      </c>
      <c r="G1011" s="1">
        <f>C1011+D1011+E1011+F1011</f>
        <v/>
      </c>
      <c r="H1011" s="1">
        <f>IF(ISNUMBER(G1011),G1011,"")</f>
        <v/>
      </c>
      <c r="I1011" s="1">
        <f>_xlfn.RANK.EQ(H1011,$H$2:$H$1031)</f>
        <v/>
      </c>
      <c r="J1011" s="5" t="n">
        <v>602</v>
      </c>
      <c r="K1011" s="5" t="n">
        <v>49</v>
      </c>
      <c r="L1011" s="5" t="n">
        <v>21</v>
      </c>
      <c r="M1011" s="5" t="n">
        <v>24</v>
      </c>
      <c r="N1011" s="5">
        <f>J1011+K1011+L1011+M1011</f>
        <v/>
      </c>
      <c r="O1011" s="5">
        <f>IF(ISNUMBER(N1011),N1011,"")</f>
        <v/>
      </c>
      <c r="P1011" s="5">
        <f>_xlfn.RANK.EQ(O1011,$O$2:$O$1031)</f>
        <v/>
      </c>
      <c r="Q1011" s="9" t="n">
        <v>259</v>
      </c>
      <c r="R1011" s="9" t="n">
        <v>44</v>
      </c>
      <c r="S1011" s="9" t="n">
        <v>24</v>
      </c>
      <c r="T1011" s="9" t="n">
        <v>24</v>
      </c>
      <c r="U1011" s="9">
        <f>Q1011+R1011+S1011+T1011</f>
        <v/>
      </c>
      <c r="V1011" s="9">
        <f>IF(ISNUMBER(U1011),U1011,"")</f>
        <v/>
      </c>
      <c r="W1011" s="9">
        <f>_xlfn.RANK.EQ(V1011,$V$2:$V$1031)</f>
        <v/>
      </c>
      <c r="X1011" s="13" t="n">
        <v>1295.375</v>
      </c>
      <c r="Y1011" s="13" t="n">
        <v>21</v>
      </c>
      <c r="Z1011" s="13" t="n">
        <v>20</v>
      </c>
      <c r="AA1011" s="13" t="n">
        <v>25</v>
      </c>
      <c r="AB1011" s="13">
        <f>IF(ISNUMBER(X1011),X1011+N(Y1011)+N(Z1011)+N(AA1011),X1011)</f>
        <v/>
      </c>
      <c r="AC1011" s="13">
        <f>IF(ISNUMBER(AB1011),AB1011,"")</f>
        <v/>
      </c>
      <c r="AD1011" s="13">
        <f>IF(ISNUMBER(AC1011),_xlfn.RANK.EQ(AC1011,$AC$2:$AC$1031),"")</f>
        <v/>
      </c>
      <c r="AE1011" s="15">
        <f>IF(ISNUMBER(AF1011),AF1011/3630,"")</f>
        <v/>
      </c>
      <c r="AF1011" s="14">
        <f>IFERROR(C1011+D1011+E1011+F1011+J1011+K1011+L1011+M1011+Q1011+R1011+S1011+T1011+IF(ISNUMBER(X1011),X1011,0)+N(Y1011)+N(Z1011)+N(AA1011),"")</f>
        <v/>
      </c>
      <c r="AG1011" s="14">
        <f>IF(ISNUMBER(AF1011),AF1011,"")</f>
        <v/>
      </c>
      <c r="AH1011" s="14">
        <f>IF(ISNUMBER(AG1011),_xlfn.RANK.EQ(AG1011,$AG$2:$AG$1031),"")</f>
        <v/>
      </c>
    </row>
    <row r="1012">
      <c r="A1012" s="18" t="n">
        <v>2342</v>
      </c>
      <c r="B1012" s="18" t="inlineStr">
        <is>
          <t>يوسف شعبان عبدالمعطى حسن</t>
        </is>
      </c>
      <c r="C1012" s="1" t="n">
        <v>521.9</v>
      </c>
      <c r="D1012" s="1" t="n">
        <v>18</v>
      </c>
      <c r="E1012" s="1" t="n">
        <v>20</v>
      </c>
      <c r="F1012" s="1" t="n">
        <v>20</v>
      </c>
      <c r="G1012" s="1">
        <f>C1012+D1012+E1012+F1012</f>
        <v/>
      </c>
      <c r="H1012" s="1">
        <f>IF(ISNUMBER(G1012),G1012,"")</f>
        <v/>
      </c>
      <c r="I1012" s="1">
        <f>_xlfn.RANK.EQ(H1012,$H$2:$H$1031)</f>
        <v/>
      </c>
      <c r="J1012" s="5" t="n">
        <v>578</v>
      </c>
      <c r="K1012" s="5" t="n">
        <v>45</v>
      </c>
      <c r="L1012" s="5" t="n">
        <v>22</v>
      </c>
      <c r="M1012" s="5" t="n">
        <v>20</v>
      </c>
      <c r="N1012" s="5">
        <f>J1012+K1012+L1012+M1012</f>
        <v/>
      </c>
      <c r="O1012" s="5">
        <f>IF(ISNUMBER(N1012),N1012,"")</f>
        <v/>
      </c>
      <c r="P1012" s="5">
        <f>_xlfn.RANK.EQ(O1012,$O$2:$O$1031)</f>
        <v/>
      </c>
      <c r="Q1012" s="9" t="n">
        <v>248</v>
      </c>
      <c r="R1012" s="9" t="n">
        <v>44</v>
      </c>
      <c r="S1012" s="9" t="n">
        <v>21</v>
      </c>
      <c r="T1012" s="9" t="n">
        <v>23</v>
      </c>
      <c r="U1012" s="9">
        <f>Q1012+R1012+S1012+T1012</f>
        <v/>
      </c>
      <c r="V1012" s="9">
        <f>IF(ISNUMBER(U1012),U1012,"")</f>
        <v/>
      </c>
      <c r="W1012" s="9">
        <f>_xlfn.RANK.EQ(V1012,$V$2:$V$1031)</f>
        <v/>
      </c>
      <c r="X1012" s="13" t="n">
        <v>1264.85</v>
      </c>
      <c r="Y1012" s="13" t="n">
        <v>18</v>
      </c>
      <c r="Z1012" s="13" t="n">
        <v>16</v>
      </c>
      <c r="AA1012" s="13" t="n">
        <v>19</v>
      </c>
      <c r="AB1012" s="13">
        <f>IF(ISNUMBER(X1012),X1012+N(Y1012)+N(Z1012)+N(AA1012),X1012)</f>
        <v/>
      </c>
      <c r="AC1012" s="13">
        <f>IF(ISNUMBER(AB1012),AB1012,"")</f>
        <v/>
      </c>
      <c r="AD1012" s="13">
        <f>IF(ISNUMBER(AC1012),_xlfn.RANK.EQ(AC1012,$AC$2:$AC$1031),"")</f>
        <v/>
      </c>
      <c r="AE1012" s="15">
        <f>IF(ISNUMBER(AF1012),AF1012/3630,"")</f>
        <v/>
      </c>
      <c r="AF1012" s="14">
        <f>IFERROR(C1012+D1012+E1012+F1012+J1012+K1012+L1012+M1012+Q1012+R1012+S1012+T1012+IF(ISNUMBER(X1012),X1012,0)+N(Y1012)+N(Z1012)+N(AA1012),"")</f>
        <v/>
      </c>
      <c r="AG1012" s="14">
        <f>IF(ISNUMBER(AF1012),AF1012,"")</f>
        <v/>
      </c>
      <c r="AH1012" s="14">
        <f>IF(ISNUMBER(AG1012),_xlfn.RANK.EQ(AG1012,$AG$2:$AG$1031),"")</f>
        <v/>
      </c>
    </row>
    <row r="1013">
      <c r="A1013" s="18" t="n">
        <v>2344</v>
      </c>
      <c r="B1013" s="18" t="inlineStr">
        <is>
          <t>يوسف عبد الله محمد سعيد</t>
        </is>
      </c>
      <c r="C1013" s="1" t="n">
        <v>579.7</v>
      </c>
      <c r="D1013" s="1" t="n">
        <v>22</v>
      </c>
      <c r="E1013" s="1" t="n">
        <v>25</v>
      </c>
      <c r="F1013" s="1" t="n">
        <v>21</v>
      </c>
      <c r="G1013" s="1">
        <f>C1013+D1013+E1013+F1013</f>
        <v/>
      </c>
      <c r="H1013" s="1">
        <f>IF(ISNUMBER(G1013),G1013,"")</f>
        <v/>
      </c>
      <c r="I1013" s="1">
        <f>_xlfn.RANK.EQ(H1013,$H$2:$H$1031)</f>
        <v/>
      </c>
      <c r="J1013" s="5" t="n">
        <v>601</v>
      </c>
      <c r="K1013" s="5" t="n">
        <v>47</v>
      </c>
      <c r="L1013" s="5" t="n">
        <v>21</v>
      </c>
      <c r="M1013" s="5" t="n">
        <v>25</v>
      </c>
      <c r="N1013" s="5">
        <f>J1013+K1013+L1013+M1013</f>
        <v/>
      </c>
      <c r="O1013" s="5">
        <f>IF(ISNUMBER(N1013),N1013,"")</f>
        <v/>
      </c>
      <c r="P1013" s="5">
        <f>_xlfn.RANK.EQ(O1013,$O$2:$O$1031)</f>
        <v/>
      </c>
      <c r="Q1013" s="9" t="n">
        <v>257</v>
      </c>
      <c r="R1013" s="9" t="n">
        <v>48</v>
      </c>
      <c r="S1013" s="9" t="n">
        <v>25</v>
      </c>
      <c r="T1013" s="9" t="n">
        <v>24</v>
      </c>
      <c r="U1013" s="9">
        <f>Q1013+R1013+S1013+T1013</f>
        <v/>
      </c>
      <c r="V1013" s="9">
        <f>IF(ISNUMBER(U1013),U1013,"")</f>
        <v/>
      </c>
      <c r="W1013" s="9">
        <f>_xlfn.RANK.EQ(V1013,$V$2:$V$1031)</f>
        <v/>
      </c>
      <c r="X1013" s="13" t="n">
        <v>1443.5958333333</v>
      </c>
      <c r="Y1013" s="13" t="n">
        <v>23.5</v>
      </c>
      <c r="Z1013" s="13" t="n">
        <v>24.5</v>
      </c>
      <c r="AA1013" s="13" t="n">
        <v>23</v>
      </c>
      <c r="AB1013" s="13">
        <f>IF(ISNUMBER(X1013),X1013+N(Y1013)+N(Z1013)+N(AA1013),X1013)</f>
        <v/>
      </c>
      <c r="AC1013" s="13">
        <f>IF(ISNUMBER(AB1013),AB1013,"")</f>
        <v/>
      </c>
      <c r="AD1013" s="13">
        <f>IF(ISNUMBER(AC1013),_xlfn.RANK.EQ(AC1013,$AC$2:$AC$1031),"")</f>
        <v/>
      </c>
      <c r="AE1013" s="15">
        <f>IF(ISNUMBER(AF1013),AF1013/3630,"")</f>
        <v/>
      </c>
      <c r="AF1013" s="14">
        <f>IFERROR(C1013+D1013+E1013+F1013+J1013+K1013+L1013+M1013+Q1013+R1013+S1013+T1013+IF(ISNUMBER(X1013),X1013,0)+N(Y1013)+N(Z1013)+N(AA1013),"")</f>
        <v/>
      </c>
      <c r="AG1013" s="14">
        <f>IF(ISNUMBER(AF1013),AF1013,"")</f>
        <v/>
      </c>
      <c r="AH1013" s="14">
        <f>IF(ISNUMBER(AG1013),_xlfn.RANK.EQ(AG1013,$AG$2:$AG$1031),"")</f>
        <v/>
      </c>
    </row>
    <row r="1014">
      <c r="A1014" s="18" t="n">
        <v>2345</v>
      </c>
      <c r="B1014" s="18" t="inlineStr">
        <is>
          <t>يوسف عبداللاه محمد السيد زنباع</t>
        </is>
      </c>
      <c r="C1014" s="1" t="n">
        <v>654.5</v>
      </c>
      <c r="D1014" s="1" t="n">
        <v>24</v>
      </c>
      <c r="E1014" s="1" t="n">
        <v>25</v>
      </c>
      <c r="F1014" s="1" t="n">
        <v>24</v>
      </c>
      <c r="G1014" s="1">
        <f>C1014+D1014+E1014+F1014</f>
        <v/>
      </c>
      <c r="H1014" s="1">
        <f>IF(ISNUMBER(G1014),G1014,"")</f>
        <v/>
      </c>
      <c r="I1014" s="1">
        <f>_xlfn.RANK.EQ(H1014,$H$2:$H$1031)</f>
        <v/>
      </c>
      <c r="J1014" s="5" t="n">
        <v>642</v>
      </c>
      <c r="K1014" s="5" t="n">
        <v>48</v>
      </c>
      <c r="L1014" s="5" t="n">
        <v>23</v>
      </c>
      <c r="M1014" s="5" t="n">
        <v>23</v>
      </c>
      <c r="N1014" s="5">
        <f>J1014+K1014+L1014+M1014</f>
        <v/>
      </c>
      <c r="O1014" s="5">
        <f>IF(ISNUMBER(N1014),N1014,"")</f>
        <v/>
      </c>
      <c r="P1014" s="5">
        <f>_xlfn.RANK.EQ(O1014,$O$2:$O$1031)</f>
        <v/>
      </c>
      <c r="Q1014" s="9" t="n">
        <v>284</v>
      </c>
      <c r="R1014" s="9" t="n">
        <v>49</v>
      </c>
      <c r="S1014" s="9" t="n">
        <v>25</v>
      </c>
      <c r="T1014" s="9" t="n">
        <v>25</v>
      </c>
      <c r="U1014" s="9">
        <f>Q1014+R1014+S1014+T1014</f>
        <v/>
      </c>
      <c r="V1014" s="9">
        <f>IF(ISNUMBER(U1014),U1014,"")</f>
        <v/>
      </c>
      <c r="W1014" s="9">
        <f>_xlfn.RANK.EQ(V1014,$V$2:$V$1031)</f>
        <v/>
      </c>
      <c r="X1014" s="13" t="n">
        <v>1526.9291666667</v>
      </c>
      <c r="Y1014" s="13" t="n">
        <v>22</v>
      </c>
      <c r="Z1014" s="13" t="n">
        <v>24.5</v>
      </c>
      <c r="AA1014" s="13" t="n">
        <v>25</v>
      </c>
      <c r="AB1014" s="13">
        <f>IF(ISNUMBER(X1014),X1014+N(Y1014)+N(Z1014)+N(AA1014),X1014)</f>
        <v/>
      </c>
      <c r="AC1014" s="13">
        <f>IF(ISNUMBER(AB1014),AB1014,"")</f>
        <v/>
      </c>
      <c r="AD1014" s="13">
        <f>IF(ISNUMBER(AC1014),_xlfn.RANK.EQ(AC1014,$AC$2:$AC$1031),"")</f>
        <v/>
      </c>
      <c r="AE1014" s="15">
        <f>IF(ISNUMBER(AF1014),AF1014/3630,"")</f>
        <v/>
      </c>
      <c r="AF1014" s="14">
        <f>IFERROR(C1014+D1014+E1014+F1014+J1014+K1014+L1014+M1014+Q1014+R1014+S1014+T1014+IF(ISNUMBER(X1014),X1014,0)+N(Y1014)+N(Z1014)+N(AA1014),"")</f>
        <v/>
      </c>
      <c r="AG1014" s="14">
        <f>IF(ISNUMBER(AF1014),AF1014,"")</f>
        <v/>
      </c>
      <c r="AH1014" s="14">
        <f>IF(ISNUMBER(AG1014),_xlfn.RANK.EQ(AG1014,$AG$2:$AG$1031),"")</f>
        <v/>
      </c>
    </row>
    <row r="1015">
      <c r="A1015" s="18" t="n">
        <v>2346</v>
      </c>
      <c r="B1015" s="18" t="inlineStr">
        <is>
          <t>يوسف علاء محمد فوزي الشرقاوي</t>
        </is>
      </c>
      <c r="C1015" s="1" t="n">
        <v>654</v>
      </c>
      <c r="D1015" s="1" t="n">
        <v>25</v>
      </c>
      <c r="E1015" s="1" t="n">
        <v>25</v>
      </c>
      <c r="F1015" s="1" t="n">
        <v>21</v>
      </c>
      <c r="G1015" s="1">
        <f>C1015+D1015+E1015+F1015</f>
        <v/>
      </c>
      <c r="H1015" s="1">
        <f>IF(ISNUMBER(G1015),G1015,"")</f>
        <v/>
      </c>
      <c r="I1015" s="1">
        <f>_xlfn.RANK.EQ(H1015,$H$2:$H$1031)</f>
        <v/>
      </c>
      <c r="J1015" s="5" t="n">
        <v>636</v>
      </c>
      <c r="K1015" s="5" t="n">
        <v>47</v>
      </c>
      <c r="L1015" s="5" t="n">
        <v>24</v>
      </c>
      <c r="M1015" s="5" t="n">
        <v>21</v>
      </c>
      <c r="N1015" s="5">
        <f>J1015+K1015+L1015+M1015</f>
        <v/>
      </c>
      <c r="O1015" s="5">
        <f>IF(ISNUMBER(N1015),N1015,"")</f>
        <v/>
      </c>
      <c r="P1015" s="5">
        <f>_xlfn.RANK.EQ(O1015,$O$2:$O$1031)</f>
        <v/>
      </c>
      <c r="Q1015" s="9" t="n">
        <v>267</v>
      </c>
      <c r="R1015" s="9" t="n">
        <v>50</v>
      </c>
      <c r="S1015" s="9" t="n">
        <v>23</v>
      </c>
      <c r="T1015" s="9" t="n">
        <v>23.5</v>
      </c>
      <c r="U1015" s="9">
        <f>Q1015+R1015+S1015+T1015</f>
        <v/>
      </c>
      <c r="V1015" s="9">
        <f>IF(ISNUMBER(U1015),U1015,"")</f>
        <v/>
      </c>
      <c r="W1015" s="9">
        <f>_xlfn.RANK.EQ(V1015,$V$2:$V$1031)</f>
        <v/>
      </c>
      <c r="X1015" s="13" t="n">
        <v>1475.7333333333</v>
      </c>
      <c r="Y1015" s="13" t="n">
        <v>23.5</v>
      </c>
      <c r="Z1015" s="13" t="n">
        <v>23.5</v>
      </c>
      <c r="AA1015" s="13" t="n">
        <v>24</v>
      </c>
      <c r="AB1015" s="13">
        <f>IF(ISNUMBER(X1015),X1015+N(Y1015)+N(Z1015)+N(AA1015),X1015)</f>
        <v/>
      </c>
      <c r="AC1015" s="13">
        <f>IF(ISNUMBER(AB1015),AB1015,"")</f>
        <v/>
      </c>
      <c r="AD1015" s="13">
        <f>IF(ISNUMBER(AC1015),_xlfn.RANK.EQ(AC1015,$AC$2:$AC$1031),"")</f>
        <v/>
      </c>
      <c r="AE1015" s="15">
        <f>IF(ISNUMBER(AF1015),AF1015/3630,"")</f>
        <v/>
      </c>
      <c r="AF1015" s="14">
        <f>IFERROR(C1015+D1015+E1015+F1015+J1015+K1015+L1015+M1015+Q1015+R1015+S1015+T1015+IF(ISNUMBER(X1015),X1015,0)+N(Y1015)+N(Z1015)+N(AA1015),"")</f>
        <v/>
      </c>
      <c r="AG1015" s="14">
        <f>IF(ISNUMBER(AF1015),AF1015,"")</f>
        <v/>
      </c>
      <c r="AH1015" s="14">
        <f>IF(ISNUMBER(AG1015),_xlfn.RANK.EQ(AG1015,$AG$2:$AG$1031),"")</f>
        <v/>
      </c>
    </row>
    <row r="1016">
      <c r="A1016" s="18" t="n">
        <v>2347</v>
      </c>
      <c r="B1016" s="18" t="inlineStr">
        <is>
          <t>يوسف عمرو  حمدى  الجوهرى</t>
        </is>
      </c>
      <c r="C1016" s="1" t="n">
        <v>554.5</v>
      </c>
      <c r="D1016" s="1" t="n">
        <v>22</v>
      </c>
      <c r="E1016" s="1" t="n">
        <v>24</v>
      </c>
      <c r="F1016" s="1" t="n">
        <v>20</v>
      </c>
      <c r="G1016" s="1">
        <f>C1016+D1016+E1016+F1016</f>
        <v/>
      </c>
      <c r="H1016" s="1">
        <f>IF(ISNUMBER(G1016),G1016,"")</f>
        <v/>
      </c>
      <c r="I1016" s="1">
        <f>_xlfn.RANK.EQ(H1016,$H$2:$H$1031)</f>
        <v/>
      </c>
      <c r="J1016" s="5" t="n">
        <v>547.5</v>
      </c>
      <c r="K1016" s="5" t="n">
        <v>48</v>
      </c>
      <c r="L1016" s="5" t="n">
        <v>20</v>
      </c>
      <c r="M1016" s="5" t="n">
        <v>22</v>
      </c>
      <c r="N1016" s="5">
        <f>J1016+K1016+L1016+M1016</f>
        <v/>
      </c>
      <c r="O1016" s="5">
        <f>IF(ISNUMBER(N1016),N1016,"")</f>
        <v/>
      </c>
      <c r="P1016" s="5">
        <f>_xlfn.RANK.EQ(O1016,$O$2:$O$1031)</f>
        <v/>
      </c>
      <c r="Q1016" s="9" t="n">
        <v>237</v>
      </c>
      <c r="R1016" s="9" t="n">
        <v>41</v>
      </c>
      <c r="S1016" s="9" t="n">
        <v>23</v>
      </c>
      <c r="T1016" s="9" t="n">
        <v>23.5</v>
      </c>
      <c r="U1016" s="9">
        <f>Q1016+R1016+S1016+T1016</f>
        <v/>
      </c>
      <c r="V1016" s="9">
        <f>IF(ISNUMBER(U1016),U1016,"")</f>
        <v/>
      </c>
      <c r="W1016" s="9">
        <f>_xlfn.RANK.EQ(V1016,$V$2:$V$1031)</f>
        <v/>
      </c>
      <c r="X1016" s="13" t="n">
        <v>1252.6041666667</v>
      </c>
      <c r="Y1016" s="13" t="n">
        <v>24</v>
      </c>
      <c r="Z1016" s="13" t="n">
        <v>19</v>
      </c>
      <c r="AA1016" s="13" t="n">
        <v>23</v>
      </c>
      <c r="AB1016" s="13">
        <f>IF(ISNUMBER(X1016),X1016+N(Y1016)+N(Z1016)+N(AA1016),X1016)</f>
        <v/>
      </c>
      <c r="AC1016" s="13">
        <f>IF(ISNUMBER(AB1016),AB1016,"")</f>
        <v/>
      </c>
      <c r="AD1016" s="13">
        <f>IF(ISNUMBER(AC1016),_xlfn.RANK.EQ(AC1016,$AC$2:$AC$1031),"")</f>
        <v/>
      </c>
      <c r="AE1016" s="15">
        <f>IF(ISNUMBER(AF1016),AF1016/3630,"")</f>
        <v/>
      </c>
      <c r="AF1016" s="14">
        <f>IFERROR(C1016+D1016+E1016+F1016+J1016+K1016+L1016+M1016+Q1016+R1016+S1016+T1016+IF(ISNUMBER(X1016),X1016,0)+N(Y1016)+N(Z1016)+N(AA1016),"")</f>
        <v/>
      </c>
      <c r="AG1016" s="14">
        <f>IF(ISNUMBER(AF1016),AF1016,"")</f>
        <v/>
      </c>
      <c r="AH1016" s="14">
        <f>IF(ISNUMBER(AG1016),_xlfn.RANK.EQ(AG1016,$AG$2:$AG$1031),"")</f>
        <v/>
      </c>
    </row>
    <row r="1017">
      <c r="A1017" s="18" t="n">
        <v>2349</v>
      </c>
      <c r="B1017" s="18" t="inlineStr">
        <is>
          <t>يوسف محمد أحمد غراب</t>
        </is>
      </c>
      <c r="C1017" s="1" t="n">
        <v>617.5</v>
      </c>
      <c r="D1017" s="1" t="n">
        <v>21</v>
      </c>
      <c r="E1017" s="1" t="n">
        <v>20</v>
      </c>
      <c r="F1017" s="1" t="n">
        <v>21</v>
      </c>
      <c r="G1017" s="1">
        <f>C1017+D1017+E1017+F1017</f>
        <v/>
      </c>
      <c r="H1017" s="1">
        <f>IF(ISNUMBER(G1017),G1017,"")</f>
        <v/>
      </c>
      <c r="I1017" s="1">
        <f>_xlfn.RANK.EQ(H1017,$H$2:$H$1031)</f>
        <v/>
      </c>
      <c r="J1017" s="5" t="n">
        <v>597</v>
      </c>
      <c r="K1017" s="5" t="n">
        <v>46</v>
      </c>
      <c r="L1017" s="5" t="n">
        <v>22</v>
      </c>
      <c r="M1017" s="5" t="n">
        <v>19</v>
      </c>
      <c r="N1017" s="5">
        <f>J1017+K1017+L1017+M1017</f>
        <v/>
      </c>
      <c r="O1017" s="5">
        <f>IF(ISNUMBER(N1017),N1017,"")</f>
        <v/>
      </c>
      <c r="P1017" s="5">
        <f>_xlfn.RANK.EQ(O1017,$O$2:$O$1031)</f>
        <v/>
      </c>
      <c r="Q1017" s="9" t="n">
        <v>254</v>
      </c>
      <c r="R1017" s="9" t="n">
        <v>43.5</v>
      </c>
      <c r="S1017" s="9" t="n">
        <v>23</v>
      </c>
      <c r="T1017" s="9" t="n">
        <v>22</v>
      </c>
      <c r="U1017" s="9">
        <f>Q1017+R1017+S1017+T1017</f>
        <v/>
      </c>
      <c r="V1017" s="9">
        <f>IF(ISNUMBER(U1017),U1017,"")</f>
        <v/>
      </c>
      <c r="W1017" s="9">
        <f>_xlfn.RANK.EQ(V1017,$V$2:$V$1031)</f>
        <v/>
      </c>
      <c r="X1017" s="13" t="n">
        <v>1420.7208333333</v>
      </c>
      <c r="Y1017" s="13" t="n">
        <v>21.5</v>
      </c>
      <c r="Z1017" s="13" t="n">
        <v>24</v>
      </c>
      <c r="AA1017" s="13" t="n">
        <v>23</v>
      </c>
      <c r="AB1017" s="13">
        <f>IF(ISNUMBER(X1017),X1017+N(Y1017)+N(Z1017)+N(AA1017),X1017)</f>
        <v/>
      </c>
      <c r="AC1017" s="13">
        <f>IF(ISNUMBER(AB1017),AB1017,"")</f>
        <v/>
      </c>
      <c r="AD1017" s="13">
        <f>IF(ISNUMBER(AC1017),_xlfn.RANK.EQ(AC1017,$AC$2:$AC$1031),"")</f>
        <v/>
      </c>
      <c r="AE1017" s="15">
        <f>IF(ISNUMBER(AF1017),AF1017/3630,"")</f>
        <v/>
      </c>
      <c r="AF1017" s="14">
        <f>IFERROR(C1017+D1017+E1017+F1017+J1017+K1017+L1017+M1017+Q1017+R1017+S1017+T1017+IF(ISNUMBER(X1017),X1017,0)+N(Y1017)+N(Z1017)+N(AA1017),"")</f>
        <v/>
      </c>
      <c r="AG1017" s="14">
        <f>IF(ISNUMBER(AF1017),AF1017,"")</f>
        <v/>
      </c>
      <c r="AH1017" s="14">
        <f>IF(ISNUMBER(AG1017),_xlfn.RANK.EQ(AG1017,$AG$2:$AG$1031),"")</f>
        <v/>
      </c>
    </row>
    <row r="1018">
      <c r="A1018" s="18" t="n">
        <v>2350</v>
      </c>
      <c r="B1018" s="18" t="inlineStr">
        <is>
          <t>يوسف محمد احمد محمد</t>
        </is>
      </c>
      <c r="C1018" s="1" t="n">
        <v>620.3</v>
      </c>
      <c r="D1018" s="1" t="n">
        <v>25</v>
      </c>
      <c r="E1018" s="1" t="n">
        <v>23</v>
      </c>
      <c r="F1018" s="1" t="n">
        <v>23</v>
      </c>
      <c r="G1018" s="1">
        <f>C1018+D1018+E1018+F1018</f>
        <v/>
      </c>
      <c r="H1018" s="1">
        <f>IF(ISNUMBER(G1018),G1018,"")</f>
        <v/>
      </c>
      <c r="I1018" s="1">
        <f>_xlfn.RANK.EQ(H1018,$H$2:$H$1031)</f>
        <v/>
      </c>
      <c r="J1018" s="5" t="n">
        <v>626</v>
      </c>
      <c r="K1018" s="5" t="n">
        <v>47</v>
      </c>
      <c r="L1018" s="5" t="n">
        <v>22</v>
      </c>
      <c r="M1018" s="5" t="n">
        <v>21</v>
      </c>
      <c r="N1018" s="5">
        <f>J1018+K1018+L1018+M1018</f>
        <v/>
      </c>
      <c r="O1018" s="5">
        <f>IF(ISNUMBER(N1018),N1018,"")</f>
        <v/>
      </c>
      <c r="P1018" s="5">
        <f>_xlfn.RANK.EQ(O1018,$O$2:$O$1031)</f>
        <v/>
      </c>
      <c r="Q1018" s="9" t="n">
        <v>263</v>
      </c>
      <c r="R1018" s="9" t="n">
        <v>44.5</v>
      </c>
      <c r="S1018" s="9" t="n">
        <v>22</v>
      </c>
      <c r="T1018" s="9" t="n">
        <v>24</v>
      </c>
      <c r="U1018" s="9">
        <f>Q1018+R1018+S1018+T1018</f>
        <v/>
      </c>
      <c r="V1018" s="9">
        <f>IF(ISNUMBER(U1018),U1018,"")</f>
        <v/>
      </c>
      <c r="W1018" s="9">
        <f>_xlfn.RANK.EQ(V1018,$V$2:$V$1031)</f>
        <v/>
      </c>
      <c r="X1018" s="13" t="n">
        <v>1471.7208333333</v>
      </c>
      <c r="Y1018" s="13" t="n">
        <v>24</v>
      </c>
      <c r="Z1018" s="13" t="n">
        <v>20</v>
      </c>
      <c r="AA1018" s="13" t="n">
        <v>25</v>
      </c>
      <c r="AB1018" s="13">
        <f>IF(ISNUMBER(X1018),X1018+N(Y1018)+N(Z1018)+N(AA1018),X1018)</f>
        <v/>
      </c>
      <c r="AC1018" s="13">
        <f>IF(ISNUMBER(AB1018),AB1018,"")</f>
        <v/>
      </c>
      <c r="AD1018" s="13">
        <f>IF(ISNUMBER(AC1018),_xlfn.RANK.EQ(AC1018,$AC$2:$AC$1031),"")</f>
        <v/>
      </c>
      <c r="AE1018" s="15">
        <f>IF(ISNUMBER(AF1018),AF1018/3630,"")</f>
        <v/>
      </c>
      <c r="AF1018" s="14">
        <f>IFERROR(C1018+D1018+E1018+F1018+J1018+K1018+L1018+M1018+Q1018+R1018+S1018+T1018+IF(ISNUMBER(X1018),X1018,0)+N(Y1018)+N(Z1018)+N(AA1018),"")</f>
        <v/>
      </c>
      <c r="AG1018" s="14">
        <f>IF(ISNUMBER(AF1018),AF1018,"")</f>
        <v/>
      </c>
      <c r="AH1018" s="14">
        <f>IF(ISNUMBER(AG1018),_xlfn.RANK.EQ(AG1018,$AG$2:$AG$1031),"")</f>
        <v/>
      </c>
    </row>
    <row r="1019">
      <c r="A1019" s="18" t="n">
        <v>2351</v>
      </c>
      <c r="B1019" s="18" t="inlineStr">
        <is>
          <t>يوسف محمد السيد محمد السيد</t>
        </is>
      </c>
      <c r="C1019" s="1" t="n">
        <v>645.5</v>
      </c>
      <c r="D1019" s="1" t="n">
        <v>25</v>
      </c>
      <c r="E1019" s="1" t="n">
        <v>25</v>
      </c>
      <c r="F1019" s="1" t="n">
        <v>25</v>
      </c>
      <c r="G1019" s="1">
        <f>C1019+D1019+E1019+F1019</f>
        <v/>
      </c>
      <c r="H1019" s="1">
        <f>IF(ISNUMBER(G1019),G1019,"")</f>
        <v/>
      </c>
      <c r="I1019" s="1">
        <f>_xlfn.RANK.EQ(H1019,$H$2:$H$1031)</f>
        <v/>
      </c>
      <c r="J1019" s="5" t="n">
        <v>614</v>
      </c>
      <c r="K1019" s="5" t="n">
        <v>48</v>
      </c>
      <c r="L1019" s="5" t="n">
        <v>21</v>
      </c>
      <c r="M1019" s="5" t="n">
        <v>23</v>
      </c>
      <c r="N1019" s="5">
        <f>J1019+K1019+L1019+M1019</f>
        <v/>
      </c>
      <c r="O1019" s="5">
        <f>IF(ISNUMBER(N1019),N1019,"")</f>
        <v/>
      </c>
      <c r="P1019" s="5">
        <f>_xlfn.RANK.EQ(O1019,$O$2:$O$1031)</f>
        <v/>
      </c>
      <c r="Q1019" s="9" t="n">
        <v>275</v>
      </c>
      <c r="R1019" s="9" t="n">
        <v>46.5</v>
      </c>
      <c r="S1019" s="9" t="n">
        <v>23</v>
      </c>
      <c r="T1019" s="9" t="n">
        <v>24</v>
      </c>
      <c r="U1019" s="9">
        <f>Q1019+R1019+S1019+T1019</f>
        <v/>
      </c>
      <c r="V1019" s="9">
        <f>IF(ISNUMBER(U1019),U1019,"")</f>
        <v/>
      </c>
      <c r="W1019" s="9">
        <f>_xlfn.RANK.EQ(V1019,$V$2:$V$1031)</f>
        <v/>
      </c>
      <c r="X1019" s="13" t="n">
        <v>1484.5875</v>
      </c>
      <c r="Y1019" s="13" t="n">
        <v>24</v>
      </c>
      <c r="Z1019" s="13" t="n">
        <v>23.5</v>
      </c>
      <c r="AA1019" s="13" t="n">
        <v>23</v>
      </c>
      <c r="AB1019" s="13">
        <f>IF(ISNUMBER(X1019),X1019+N(Y1019)+N(Z1019)+N(AA1019),X1019)</f>
        <v/>
      </c>
      <c r="AC1019" s="13">
        <f>IF(ISNUMBER(AB1019),AB1019,"")</f>
        <v/>
      </c>
      <c r="AD1019" s="13">
        <f>IF(ISNUMBER(AC1019),_xlfn.RANK.EQ(AC1019,$AC$2:$AC$1031),"")</f>
        <v/>
      </c>
      <c r="AE1019" s="15">
        <f>IF(ISNUMBER(AF1019),AF1019/3630,"")</f>
        <v/>
      </c>
      <c r="AF1019" s="14">
        <f>IFERROR(C1019+D1019+E1019+F1019+J1019+K1019+L1019+M1019+Q1019+R1019+S1019+T1019+IF(ISNUMBER(X1019),X1019,0)+N(Y1019)+N(Z1019)+N(AA1019),"")</f>
        <v/>
      </c>
      <c r="AG1019" s="14">
        <f>IF(ISNUMBER(AF1019),AF1019,"")</f>
        <v/>
      </c>
      <c r="AH1019" s="14">
        <f>IF(ISNUMBER(AG1019),_xlfn.RANK.EQ(AG1019,$AG$2:$AG$1031),"")</f>
        <v/>
      </c>
    </row>
    <row r="1020">
      <c r="A1020" s="18" t="n">
        <v>2352</v>
      </c>
      <c r="B1020" s="18" t="inlineStr">
        <is>
          <t>يوسف محمد جابر علي الشافعي</t>
        </is>
      </c>
      <c r="C1020" s="1" t="n">
        <v>511.8</v>
      </c>
      <c r="D1020" s="1" t="n">
        <v>21</v>
      </c>
      <c r="E1020" s="1" t="n">
        <v>23</v>
      </c>
      <c r="F1020" s="1" t="n">
        <v>22</v>
      </c>
      <c r="G1020" s="1">
        <f>C1020+D1020+E1020+F1020</f>
        <v/>
      </c>
      <c r="H1020" s="1">
        <f>IF(ISNUMBER(G1020),G1020,"")</f>
        <v/>
      </c>
      <c r="I1020" s="1">
        <f>_xlfn.RANK.EQ(H1020,$H$2:$H$1031)</f>
        <v/>
      </c>
      <c r="J1020" s="5" t="n">
        <v>501.9</v>
      </c>
      <c r="K1020" s="5" t="n">
        <v>45</v>
      </c>
      <c r="L1020" s="5" t="n">
        <v>20</v>
      </c>
      <c r="M1020" s="5" t="n">
        <v>18</v>
      </c>
      <c r="N1020" s="5">
        <f>J1020+K1020+L1020+M1020</f>
        <v/>
      </c>
      <c r="O1020" s="5">
        <f>IF(ISNUMBER(N1020),N1020,"")</f>
        <v/>
      </c>
      <c r="P1020" s="5">
        <f>_xlfn.RANK.EQ(O1020,$O$2:$O$1031)</f>
        <v/>
      </c>
      <c r="Q1020" s="9" t="n">
        <v>223</v>
      </c>
      <c r="R1020" s="9" t="n">
        <v>46.5</v>
      </c>
      <c r="S1020" s="9" t="n">
        <v>22</v>
      </c>
      <c r="T1020" s="9" t="n">
        <v>23.5</v>
      </c>
      <c r="U1020" s="9">
        <f>Q1020+R1020+S1020+T1020</f>
        <v/>
      </c>
      <c r="V1020" s="9">
        <f>IF(ISNUMBER(U1020),U1020,"")</f>
        <v/>
      </c>
      <c r="W1020" s="9">
        <f>_xlfn.RANK.EQ(V1020,$V$2:$V$1031)</f>
        <v/>
      </c>
      <c r="X1020" s="13" t="n">
        <v>1368.5666666667</v>
      </c>
      <c r="Y1020" s="13" t="n">
        <v>23</v>
      </c>
      <c r="Z1020" s="13" t="n">
        <v>24.5</v>
      </c>
      <c r="AA1020" s="13" t="n">
        <v>23</v>
      </c>
      <c r="AB1020" s="13">
        <f>IF(ISNUMBER(X1020),X1020+N(Y1020)+N(Z1020)+N(AA1020),X1020)</f>
        <v/>
      </c>
      <c r="AC1020" s="13">
        <f>IF(ISNUMBER(AB1020),AB1020,"")</f>
        <v/>
      </c>
      <c r="AD1020" s="13">
        <f>IF(ISNUMBER(AC1020),_xlfn.RANK.EQ(AC1020,$AC$2:$AC$1031),"")</f>
        <v/>
      </c>
      <c r="AE1020" s="15">
        <f>IF(ISNUMBER(AF1020),AF1020/3630,"")</f>
        <v/>
      </c>
      <c r="AF1020" s="14">
        <f>IFERROR(C1020+D1020+E1020+F1020+J1020+K1020+L1020+M1020+Q1020+R1020+S1020+T1020+IF(ISNUMBER(X1020),X1020,0)+N(Y1020)+N(Z1020)+N(AA1020),"")</f>
        <v/>
      </c>
      <c r="AG1020" s="14">
        <f>IF(ISNUMBER(AF1020),AF1020,"")</f>
        <v/>
      </c>
      <c r="AH1020" s="14">
        <f>IF(ISNUMBER(AG1020),_xlfn.RANK.EQ(AG1020,$AG$2:$AG$1031),"")</f>
        <v/>
      </c>
    </row>
    <row r="1021">
      <c r="A1021" s="18" t="n">
        <v>2353</v>
      </c>
      <c r="B1021" s="18" t="inlineStr">
        <is>
          <t>يوسف محمد حسن عبدالقوي</t>
        </is>
      </c>
      <c r="C1021" s="1" t="n">
        <v>414</v>
      </c>
      <c r="D1021" s="1" t="n">
        <v>11</v>
      </c>
      <c r="E1021" s="1" t="n">
        <v>24</v>
      </c>
      <c r="F1021" s="1" t="n">
        <v>20</v>
      </c>
      <c r="G1021" s="1">
        <f>C1021+D1021+E1021+F1021</f>
        <v/>
      </c>
      <c r="H1021" s="1">
        <f>IF(ISNUMBER(G1021),G1021,"")</f>
        <v/>
      </c>
      <c r="I1021" s="1">
        <f>_xlfn.RANK.EQ(H1021,$H$2:$H$1031)</f>
        <v/>
      </c>
      <c r="J1021" s="5" t="n">
        <v>549.4</v>
      </c>
      <c r="K1021" s="5" t="n">
        <v>45</v>
      </c>
      <c r="L1021" s="5" t="n">
        <v>22</v>
      </c>
      <c r="M1021" s="5" t="n">
        <v>19</v>
      </c>
      <c r="N1021" s="5">
        <f>J1021+K1021+L1021+M1021</f>
        <v/>
      </c>
      <c r="O1021" s="5">
        <f>IF(ISNUMBER(N1021),N1021,"")</f>
        <v/>
      </c>
      <c r="P1021" s="5">
        <f>_xlfn.RANK.EQ(O1021,$O$2:$O$1031)</f>
        <v/>
      </c>
      <c r="Q1021" s="9" t="n">
        <v>233</v>
      </c>
      <c r="R1021" s="9" t="n">
        <v>45.5</v>
      </c>
      <c r="S1021" s="9" t="n">
        <v>24</v>
      </c>
      <c r="T1021" s="9" t="n">
        <v>23.5</v>
      </c>
      <c r="U1021" s="9">
        <f>Q1021+R1021+S1021+T1021</f>
        <v/>
      </c>
      <c r="V1021" s="9">
        <f>IF(ISNUMBER(U1021),U1021,"")</f>
        <v/>
      </c>
      <c r="W1021" s="9">
        <f>_xlfn.RANK.EQ(V1021,$V$2:$V$1031)</f>
        <v/>
      </c>
      <c r="X1021" s="13" t="inlineStr">
        <is>
          <t>راسب</t>
        </is>
      </c>
      <c r="Y1021" s="13" t="n">
        <v>24</v>
      </c>
      <c r="Z1021" s="13" t="n">
        <v>24</v>
      </c>
      <c r="AA1021" s="13" t="n">
        <v>22</v>
      </c>
      <c r="AB1021" s="13">
        <f>IF(ISNUMBER(X1021),X1021+N(Y1021)+N(Z1021)+N(AA1021),X1021)</f>
        <v/>
      </c>
      <c r="AC1021" s="13">
        <f>IF(ISNUMBER(AB1021),AB1021,"")</f>
        <v/>
      </c>
      <c r="AD1021" s="13">
        <f>IF(ISNUMBER(AC1021),_xlfn.RANK.EQ(AC1021,$AC$2:$AC$1031),"")</f>
        <v/>
      </c>
      <c r="AE1021" s="15">
        <f>IF(ISNUMBER(AF1021),AF1021/3630,"")</f>
        <v/>
      </c>
      <c r="AF1021" s="14">
        <f>IFERROR(C1021+D1021+E1021+F1021+J1021+K1021+L1021+M1021+Q1021+R1021+S1021+T1021+IF(ISNUMBER(X1021),X1021,0)+N(Y1021)+N(Z1021)+N(AA1021),"")</f>
        <v/>
      </c>
      <c r="AG1021" s="14">
        <f>IF(ISNUMBER(AF1021),AF1021,"")</f>
        <v/>
      </c>
      <c r="AH1021" s="14">
        <f>IF(ISNUMBER(AG1021),_xlfn.RANK.EQ(AG1021,$AG$2:$AG$1031),"")</f>
        <v/>
      </c>
    </row>
    <row r="1022">
      <c r="A1022" s="18" t="n">
        <v>2354</v>
      </c>
      <c r="B1022" s="18" t="inlineStr">
        <is>
          <t>يوسف محمد خميس أحمد</t>
        </is>
      </c>
      <c r="C1022" s="1" t="n">
        <v>562.9</v>
      </c>
      <c r="D1022" s="1" t="n">
        <v>25</v>
      </c>
      <c r="E1022" s="1" t="n">
        <v>24</v>
      </c>
      <c r="F1022" s="1" t="n">
        <v>19</v>
      </c>
      <c r="G1022" s="1">
        <f>C1022+D1022+E1022+F1022</f>
        <v/>
      </c>
      <c r="H1022" s="1">
        <f>IF(ISNUMBER(G1022),G1022,"")</f>
        <v/>
      </c>
      <c r="I1022" s="1">
        <f>_xlfn.RANK.EQ(H1022,$H$2:$H$1031)</f>
        <v/>
      </c>
      <c r="J1022" s="5" t="n">
        <v>566</v>
      </c>
      <c r="K1022" s="5" t="n">
        <v>41</v>
      </c>
      <c r="L1022" s="5" t="n">
        <v>19</v>
      </c>
      <c r="M1022" s="5" t="n">
        <v>25</v>
      </c>
      <c r="N1022" s="5">
        <f>J1022+K1022+L1022+M1022</f>
        <v/>
      </c>
      <c r="O1022" s="5">
        <f>IF(ISNUMBER(N1022),N1022,"")</f>
        <v/>
      </c>
      <c r="P1022" s="5">
        <f>_xlfn.RANK.EQ(O1022,$O$2:$O$1031)</f>
        <v/>
      </c>
      <c r="Q1022" s="9" t="n">
        <v>233</v>
      </c>
      <c r="R1022" s="9" t="n">
        <v>46.5</v>
      </c>
      <c r="S1022" s="9" t="n">
        <v>25</v>
      </c>
      <c r="T1022" s="9" t="n">
        <v>24.5</v>
      </c>
      <c r="U1022" s="9">
        <f>Q1022+R1022+S1022+T1022</f>
        <v/>
      </c>
      <c r="V1022" s="9">
        <f>IF(ISNUMBER(U1022),U1022,"")</f>
        <v/>
      </c>
      <c r="W1022" s="9">
        <f>_xlfn.RANK.EQ(V1022,$V$2:$V$1031)</f>
        <v/>
      </c>
      <c r="X1022" s="13" t="n">
        <v>1376.725</v>
      </c>
      <c r="Y1022" s="13" t="n">
        <v>24</v>
      </c>
      <c r="Z1022" s="13" t="n">
        <v>23.5</v>
      </c>
      <c r="AA1022" s="13" t="n">
        <v>23</v>
      </c>
      <c r="AB1022" s="13">
        <f>IF(ISNUMBER(X1022),X1022+N(Y1022)+N(Z1022)+N(AA1022),X1022)</f>
        <v/>
      </c>
      <c r="AC1022" s="13">
        <f>IF(ISNUMBER(AB1022),AB1022,"")</f>
        <v/>
      </c>
      <c r="AD1022" s="13">
        <f>IF(ISNUMBER(AC1022),_xlfn.RANK.EQ(AC1022,$AC$2:$AC$1031),"")</f>
        <v/>
      </c>
      <c r="AE1022" s="15">
        <f>IF(ISNUMBER(AF1022),AF1022/3630,"")</f>
        <v/>
      </c>
      <c r="AF1022" s="14">
        <f>IFERROR(C1022+D1022+E1022+F1022+J1022+K1022+L1022+M1022+Q1022+R1022+S1022+T1022+IF(ISNUMBER(X1022),X1022,0)+N(Y1022)+N(Z1022)+N(AA1022),"")</f>
        <v/>
      </c>
      <c r="AG1022" s="14">
        <f>IF(ISNUMBER(AF1022),AF1022,"")</f>
        <v/>
      </c>
      <c r="AH1022" s="14">
        <f>IF(ISNUMBER(AG1022),_xlfn.RANK.EQ(AG1022,$AG$2:$AG$1031),"")</f>
        <v/>
      </c>
    </row>
    <row r="1023">
      <c r="A1023" s="18" t="n">
        <v>2355</v>
      </c>
      <c r="B1023" s="18" t="inlineStr">
        <is>
          <t>يوسف محمد عبدالعزيز محمد</t>
        </is>
      </c>
      <c r="C1023" s="1" t="n">
        <v>619</v>
      </c>
      <c r="D1023" s="1" t="n">
        <v>23</v>
      </c>
      <c r="E1023" s="1" t="n">
        <v>25</v>
      </c>
      <c r="F1023" s="1" t="n">
        <v>24</v>
      </c>
      <c r="G1023" s="1">
        <f>C1023+D1023+E1023+F1023</f>
        <v/>
      </c>
      <c r="H1023" s="1">
        <f>IF(ISNUMBER(G1023),G1023,"")</f>
        <v/>
      </c>
      <c r="I1023" s="1">
        <f>_xlfn.RANK.EQ(H1023,$H$2:$H$1031)</f>
        <v/>
      </c>
      <c r="J1023" s="5" t="n">
        <v>623</v>
      </c>
      <c r="K1023" s="5" t="n">
        <v>47</v>
      </c>
      <c r="L1023" s="5" t="n">
        <v>24</v>
      </c>
      <c r="M1023" s="5" t="n">
        <v>23</v>
      </c>
      <c r="N1023" s="5">
        <f>J1023+K1023+L1023+M1023</f>
        <v/>
      </c>
      <c r="O1023" s="5">
        <f>IF(ISNUMBER(N1023),N1023,"")</f>
        <v/>
      </c>
      <c r="P1023" s="5">
        <f>_xlfn.RANK.EQ(O1023,$O$2:$O$1031)</f>
        <v/>
      </c>
      <c r="Q1023" s="9" t="n">
        <v>278</v>
      </c>
      <c r="R1023" s="9" t="n">
        <v>48</v>
      </c>
      <c r="S1023" s="9" t="n">
        <v>25</v>
      </c>
      <c r="T1023" s="9" t="n">
        <v>24</v>
      </c>
      <c r="U1023" s="9">
        <f>Q1023+R1023+S1023+T1023</f>
        <v/>
      </c>
      <c r="V1023" s="9">
        <f>IF(ISNUMBER(U1023),U1023,"")</f>
        <v/>
      </c>
      <c r="W1023" s="9">
        <f>_xlfn.RANK.EQ(V1023,$V$2:$V$1031)</f>
        <v/>
      </c>
      <c r="X1023" s="13" t="n">
        <v>1572.9166666667</v>
      </c>
      <c r="Y1023" s="13" t="n">
        <v>25</v>
      </c>
      <c r="Z1023" s="13" t="n">
        <v>25</v>
      </c>
      <c r="AA1023" s="13" t="n">
        <v>25</v>
      </c>
      <c r="AB1023" s="13">
        <f>IF(ISNUMBER(X1023),X1023+N(Y1023)+N(Z1023)+N(AA1023),X1023)</f>
        <v/>
      </c>
      <c r="AC1023" s="13">
        <f>IF(ISNUMBER(AB1023),AB1023,"")</f>
        <v/>
      </c>
      <c r="AD1023" s="13">
        <f>IF(ISNUMBER(AC1023),_xlfn.RANK.EQ(AC1023,$AC$2:$AC$1031),"")</f>
        <v/>
      </c>
      <c r="AE1023" s="15">
        <f>IF(ISNUMBER(AF1023),AF1023/3630,"")</f>
        <v/>
      </c>
      <c r="AF1023" s="14">
        <f>IFERROR(C1023+D1023+E1023+F1023+J1023+K1023+L1023+M1023+Q1023+R1023+S1023+T1023+IF(ISNUMBER(X1023),X1023,0)+N(Y1023)+N(Z1023)+N(AA1023),"")</f>
        <v/>
      </c>
      <c r="AG1023" s="14">
        <f>IF(ISNUMBER(AF1023),AF1023,"")</f>
        <v/>
      </c>
      <c r="AH1023" s="14">
        <f>IF(ISNUMBER(AG1023),_xlfn.RANK.EQ(AG1023,$AG$2:$AG$1031),"")</f>
        <v/>
      </c>
    </row>
    <row r="1024">
      <c r="A1024" s="18" t="n">
        <v>2356</v>
      </c>
      <c r="B1024" s="18" t="inlineStr">
        <is>
          <t>يوسف محمد فوزي فرحات</t>
        </is>
      </c>
      <c r="C1024" s="1" t="n">
        <v>416</v>
      </c>
      <c r="D1024" s="1" t="n">
        <v>12</v>
      </c>
      <c r="E1024" s="1" t="n">
        <v>14</v>
      </c>
      <c r="F1024" s="1" t="n">
        <v>15</v>
      </c>
      <c r="G1024" s="1">
        <f>C1024+D1024+E1024+F1024</f>
        <v/>
      </c>
      <c r="H1024" s="1">
        <f>IF(ISNUMBER(G1024),G1024,"")</f>
        <v/>
      </c>
      <c r="I1024" s="1">
        <f>_xlfn.RANK.EQ(H1024,$H$2:$H$1031)</f>
        <v/>
      </c>
      <c r="J1024" s="5" t="n">
        <v>390</v>
      </c>
      <c r="K1024" s="5" t="n">
        <v>32</v>
      </c>
      <c r="L1024" s="5" t="n">
        <v>15</v>
      </c>
      <c r="M1024" s="5" t="n">
        <v>14</v>
      </c>
      <c r="N1024" s="5">
        <f>J1024+K1024+L1024+M1024</f>
        <v/>
      </c>
      <c r="O1024" s="5">
        <f>IF(ISNUMBER(N1024),N1024,"")</f>
        <v/>
      </c>
      <c r="P1024" s="5">
        <f>_xlfn.RANK.EQ(O1024,$O$2:$O$1031)</f>
        <v/>
      </c>
      <c r="Q1024" s="9" t="n">
        <v>107</v>
      </c>
      <c r="R1024" s="9" t="n">
        <v>17</v>
      </c>
      <c r="S1024" s="9" t="n"/>
      <c r="T1024" s="9" t="n"/>
      <c r="U1024" s="9">
        <f>Q1024+R1024+S1024+T1024</f>
        <v/>
      </c>
      <c r="V1024" s="9">
        <f>IF(ISNUMBER(U1024),U1024,"")</f>
        <v/>
      </c>
      <c r="W1024" s="9">
        <f>_xlfn.RANK.EQ(V1024,$V$2:$V$1031)</f>
        <v/>
      </c>
      <c r="X1024" s="13" t="inlineStr">
        <is>
          <t>غ</t>
        </is>
      </c>
      <c r="Y1024" s="13" t="inlineStr">
        <is>
          <t>غ</t>
        </is>
      </c>
      <c r="Z1024" s="13" t="inlineStr">
        <is>
          <t>غ</t>
        </is>
      </c>
      <c r="AA1024" s="13" t="inlineStr">
        <is>
          <t>غ</t>
        </is>
      </c>
      <c r="AB1024" s="13">
        <f>IF(ISNUMBER(X1024),X1024+N(Y1024)+N(Z1024)+N(AA1024),X1024)</f>
        <v/>
      </c>
      <c r="AC1024" s="13">
        <f>IF(ISNUMBER(AB1024),AB1024,"")</f>
        <v/>
      </c>
      <c r="AD1024" s="13">
        <f>IF(ISNUMBER(AC1024),_xlfn.RANK.EQ(AC1024,$AC$2:$AC$1031),"")</f>
        <v/>
      </c>
      <c r="AE1024" s="15">
        <f>IF(ISNUMBER(AF1024),AF1024/3630,"")</f>
        <v/>
      </c>
      <c r="AF1024" s="14">
        <f>IFERROR(C1024+D1024+E1024+F1024+J1024+K1024+L1024+M1024+Q1024+R1024+S1024+T1024+IF(ISNUMBER(X1024),X1024,0)+N(Y1024)+N(Z1024)+N(AA1024),"")</f>
        <v/>
      </c>
      <c r="AG1024" s="14">
        <f>IF(ISNUMBER(AF1024),AF1024,"")</f>
        <v/>
      </c>
      <c r="AH1024" s="14">
        <f>IF(ISNUMBER(AG1024),_xlfn.RANK.EQ(AG1024,$AG$2:$AG$1031),"")</f>
        <v/>
      </c>
    </row>
    <row r="1025">
      <c r="A1025" s="18" t="n">
        <v>2358</v>
      </c>
      <c r="B1025" s="18" t="inlineStr">
        <is>
          <t>يوسف محمد وليد احمد</t>
        </is>
      </c>
      <c r="C1025" s="1" t="n">
        <v>643.5</v>
      </c>
      <c r="D1025" s="1" t="n">
        <v>22</v>
      </c>
      <c r="E1025" s="1" t="n">
        <v>25</v>
      </c>
      <c r="F1025" s="1" t="n">
        <v>23</v>
      </c>
      <c r="G1025" s="1">
        <f>C1025+D1025+E1025+F1025</f>
        <v/>
      </c>
      <c r="H1025" s="1">
        <f>IF(ISNUMBER(G1025),G1025,"")</f>
        <v/>
      </c>
      <c r="I1025" s="1">
        <f>_xlfn.RANK.EQ(H1025,$H$2:$H$1031)</f>
        <v/>
      </c>
      <c r="J1025" s="5" t="n">
        <v>636</v>
      </c>
      <c r="K1025" s="5" t="n">
        <v>50</v>
      </c>
      <c r="L1025" s="5" t="n">
        <v>22</v>
      </c>
      <c r="M1025" s="5" t="n">
        <v>25</v>
      </c>
      <c r="N1025" s="5">
        <f>J1025+K1025+L1025+M1025</f>
        <v/>
      </c>
      <c r="O1025" s="5">
        <f>IF(ISNUMBER(N1025),N1025,"")</f>
        <v/>
      </c>
      <c r="P1025" s="5">
        <f>_xlfn.RANK.EQ(O1025,$O$2:$O$1031)</f>
        <v/>
      </c>
      <c r="Q1025" s="9" t="n">
        <v>281</v>
      </c>
      <c r="R1025" s="9" t="n">
        <v>48.5</v>
      </c>
      <c r="S1025" s="9" t="n">
        <v>25</v>
      </c>
      <c r="T1025" s="9" t="n">
        <v>25</v>
      </c>
      <c r="U1025" s="9">
        <f>Q1025+R1025+S1025+T1025</f>
        <v/>
      </c>
      <c r="V1025" s="9">
        <f>IF(ISNUMBER(U1025),U1025,"")</f>
        <v/>
      </c>
      <c r="W1025" s="9">
        <f>_xlfn.RANK.EQ(V1025,$V$2:$V$1031)</f>
        <v/>
      </c>
      <c r="X1025" s="13" t="n">
        <v>1555.9208333333</v>
      </c>
      <c r="Y1025" s="13" t="n">
        <v>25</v>
      </c>
      <c r="Z1025" s="13" t="n">
        <v>25</v>
      </c>
      <c r="AA1025" s="13" t="n">
        <v>25</v>
      </c>
      <c r="AB1025" s="13">
        <f>IF(ISNUMBER(X1025),X1025+N(Y1025)+N(Z1025)+N(AA1025),X1025)</f>
        <v/>
      </c>
      <c r="AC1025" s="13">
        <f>IF(ISNUMBER(AB1025),AB1025,"")</f>
        <v/>
      </c>
      <c r="AD1025" s="13">
        <f>IF(ISNUMBER(AC1025),_xlfn.RANK.EQ(AC1025,$AC$2:$AC$1031),"")</f>
        <v/>
      </c>
      <c r="AE1025" s="15">
        <f>IF(ISNUMBER(AF1025),AF1025/3630,"")</f>
        <v/>
      </c>
      <c r="AF1025" s="14">
        <f>IFERROR(C1025+D1025+E1025+F1025+J1025+K1025+L1025+M1025+Q1025+R1025+S1025+T1025+IF(ISNUMBER(X1025),X1025,0)+N(Y1025)+N(Z1025)+N(AA1025),"")</f>
        <v/>
      </c>
      <c r="AG1025" s="14">
        <f>IF(ISNUMBER(AF1025),AF1025,"")</f>
        <v/>
      </c>
      <c r="AH1025" s="14">
        <f>IF(ISNUMBER(AG1025),_xlfn.RANK.EQ(AG1025,$AG$2:$AG$1031),"")</f>
        <v/>
      </c>
    </row>
    <row r="1026">
      <c r="A1026" s="18" t="n">
        <v>2365</v>
      </c>
      <c r="B1026" s="18" t="inlineStr">
        <is>
          <t>يوسف هشام محمد على الملاح</t>
        </is>
      </c>
      <c r="C1026" s="1" t="n">
        <v>606.8</v>
      </c>
      <c r="D1026" s="1" t="n">
        <v>25</v>
      </c>
      <c r="E1026" s="1" t="n">
        <v>20</v>
      </c>
      <c r="F1026" s="1" t="n">
        <v>23</v>
      </c>
      <c r="G1026" s="1">
        <f>C1026+D1026+E1026+F1026</f>
        <v/>
      </c>
      <c r="H1026" s="1">
        <f>IF(ISNUMBER(G1026),G1026,"")</f>
        <v/>
      </c>
      <c r="I1026" s="1">
        <f>_xlfn.RANK.EQ(H1026,$H$2:$H$1031)</f>
        <v/>
      </c>
      <c r="J1026" s="5" t="n">
        <v>608.5</v>
      </c>
      <c r="K1026" s="5" t="n">
        <v>47</v>
      </c>
      <c r="L1026" s="5" t="n">
        <v>22</v>
      </c>
      <c r="M1026" s="5" t="n">
        <v>23</v>
      </c>
      <c r="N1026" s="5">
        <f>J1026+K1026+L1026+M1026</f>
        <v/>
      </c>
      <c r="O1026" s="5">
        <f>IF(ISNUMBER(N1026),N1026,"")</f>
        <v/>
      </c>
      <c r="P1026" s="5">
        <f>_xlfn.RANK.EQ(O1026,$O$2:$O$1031)</f>
        <v/>
      </c>
      <c r="Q1026" s="9" t="n">
        <v>259</v>
      </c>
      <c r="R1026" s="9" t="n">
        <v>44</v>
      </c>
      <c r="S1026" s="9" t="n">
        <v>23</v>
      </c>
      <c r="T1026" s="9" t="n">
        <v>24</v>
      </c>
      <c r="U1026" s="9">
        <f>Q1026+R1026+S1026+T1026</f>
        <v/>
      </c>
      <c r="V1026" s="9">
        <f>IF(ISNUMBER(U1026),U1026,"")</f>
        <v/>
      </c>
      <c r="W1026" s="9">
        <f>_xlfn.RANK.EQ(V1026,$V$2:$V$1031)</f>
        <v/>
      </c>
      <c r="X1026" s="13" t="n">
        <v>1423.8458333333</v>
      </c>
      <c r="Y1026" s="13" t="n">
        <v>23.5</v>
      </c>
      <c r="Z1026" s="13" t="n">
        <v>24</v>
      </c>
      <c r="AA1026" s="13" t="n">
        <v>25</v>
      </c>
      <c r="AB1026" s="13">
        <f>IF(ISNUMBER(X1026),X1026+N(Y1026)+N(Z1026)+N(AA1026),X1026)</f>
        <v/>
      </c>
      <c r="AC1026" s="13">
        <f>IF(ISNUMBER(AB1026),AB1026,"")</f>
        <v/>
      </c>
      <c r="AD1026" s="13">
        <f>IF(ISNUMBER(AC1026),_xlfn.RANK.EQ(AC1026,$AC$2:$AC$1031),"")</f>
        <v/>
      </c>
      <c r="AE1026" s="15">
        <f>IF(ISNUMBER(AF1026),AF1026/3630,"")</f>
        <v/>
      </c>
      <c r="AF1026" s="14">
        <f>IFERROR(C1026+D1026+E1026+F1026+J1026+K1026+L1026+M1026+Q1026+R1026+S1026+T1026+IF(ISNUMBER(X1026),X1026,0)+N(Y1026)+N(Z1026)+N(AA1026),"")</f>
        <v/>
      </c>
      <c r="AG1026" s="14">
        <f>IF(ISNUMBER(AF1026),AF1026,"")</f>
        <v/>
      </c>
      <c r="AH1026" s="14">
        <f>IF(ISNUMBER(AG1026),_xlfn.RANK.EQ(AG1026,$AG$2:$AG$1031),"")</f>
        <v/>
      </c>
    </row>
    <row r="1027">
      <c r="A1027" s="18" t="n">
        <v>2457</v>
      </c>
      <c r="B1027" s="18" t="inlineStr">
        <is>
          <t>هشام السيد فتحي مرسي حسين</t>
        </is>
      </c>
      <c r="C1027" s="1" t="n">
        <v>646.5</v>
      </c>
      <c r="D1027" s="1" t="n">
        <v>25</v>
      </c>
      <c r="E1027" s="1" t="n">
        <v>25</v>
      </c>
      <c r="F1027" s="1" t="n">
        <v>24</v>
      </c>
      <c r="G1027" s="1">
        <f>C1027+D1027+E1027+F1027</f>
        <v/>
      </c>
      <c r="H1027" s="1">
        <f>IF(ISNUMBER(G1027),G1027,"")</f>
        <v/>
      </c>
      <c r="I1027" s="1">
        <f>_xlfn.RANK.EQ(H1027,$H$2:$H$1031)</f>
        <v/>
      </c>
      <c r="J1027" s="5" t="n">
        <v>626</v>
      </c>
      <c r="K1027" s="5" t="n">
        <v>49</v>
      </c>
      <c r="L1027" s="5" t="n">
        <v>23</v>
      </c>
      <c r="M1027" s="5" t="n">
        <v>24</v>
      </c>
      <c r="N1027" s="5">
        <f>J1027+K1027+L1027+M1027</f>
        <v/>
      </c>
      <c r="O1027" s="5">
        <f>IF(ISNUMBER(N1027),N1027,"")</f>
        <v/>
      </c>
      <c r="P1027" s="5">
        <f>_xlfn.RANK.EQ(O1027,$O$2:$O$1031)</f>
        <v/>
      </c>
      <c r="Q1027" s="9" t="n">
        <v>282</v>
      </c>
      <c r="R1027" s="9" t="n">
        <v>49</v>
      </c>
      <c r="S1027" s="9" t="n">
        <v>25</v>
      </c>
      <c r="T1027" s="9" t="n">
        <v>25</v>
      </c>
      <c r="U1027" s="9">
        <f>Q1027+R1027+S1027+T1027</f>
        <v/>
      </c>
      <c r="V1027" s="9">
        <f>IF(ISNUMBER(U1027),U1027,"")</f>
        <v/>
      </c>
      <c r="W1027" s="9">
        <f>_xlfn.RANK.EQ(V1027,$V$2:$V$1031)</f>
        <v/>
      </c>
      <c r="X1027" s="13" t="n">
        <v>1554.9541666667</v>
      </c>
      <c r="Y1027" s="13" t="n">
        <v>23.5</v>
      </c>
      <c r="Z1027" s="13" t="n">
        <v>25</v>
      </c>
      <c r="AA1027" s="13" t="n">
        <v>24</v>
      </c>
      <c r="AB1027" s="13">
        <f>IF(ISNUMBER(X1027),X1027+N(Y1027)+N(Z1027)+N(AA1027),X1027)</f>
        <v/>
      </c>
      <c r="AC1027" s="13">
        <f>IF(ISNUMBER(AB1027),AB1027,"")</f>
        <v/>
      </c>
      <c r="AD1027" s="13">
        <f>IF(ISNUMBER(AC1027),_xlfn.RANK.EQ(AC1027,$AC$2:$AC$1031),"")</f>
        <v/>
      </c>
      <c r="AE1027" s="15">
        <f>IF(ISNUMBER(AF1027),AF1027/3630,"")</f>
        <v/>
      </c>
      <c r="AF1027" s="14">
        <f>IFERROR(C1027+D1027+E1027+F1027+J1027+K1027+L1027+M1027+Q1027+R1027+S1027+T1027+IF(ISNUMBER(X1027),X1027,0)+N(Y1027)+N(Z1027)+N(AA1027),"")</f>
        <v/>
      </c>
      <c r="AG1027" s="14">
        <f>IF(ISNUMBER(AF1027),AF1027,"")</f>
        <v/>
      </c>
      <c r="AH1027" s="14">
        <f>IF(ISNUMBER(AG1027),_xlfn.RANK.EQ(AG1027,$AG$2:$AG$1031),"")</f>
        <v/>
      </c>
    </row>
    <row r="1028">
      <c r="A1028" s="18" t="n">
        <v>2458</v>
      </c>
      <c r="B1028" s="18" t="inlineStr">
        <is>
          <t>بسنت عبد المنعم سلام الصافي</t>
        </is>
      </c>
      <c r="C1028" s="1" t="n">
        <v>627.8</v>
      </c>
      <c r="D1028" s="1" t="n">
        <v>24</v>
      </c>
      <c r="E1028" s="1" t="n">
        <v>25</v>
      </c>
      <c r="F1028" s="1" t="n">
        <v>23</v>
      </c>
      <c r="G1028" s="1">
        <f>C1028+D1028+E1028+F1028</f>
        <v/>
      </c>
      <c r="H1028" s="1">
        <f>IF(ISNUMBER(G1028),G1028,"")</f>
        <v/>
      </c>
      <c r="I1028" s="1">
        <f>_xlfn.RANK.EQ(H1028,$H$2:$H$1031)</f>
        <v/>
      </c>
      <c r="J1028" s="5" t="n">
        <v>620.5</v>
      </c>
      <c r="K1028" s="5" t="n">
        <v>46</v>
      </c>
      <c r="L1028" s="5" t="n">
        <v>20</v>
      </c>
      <c r="M1028" s="5" t="n">
        <v>24</v>
      </c>
      <c r="N1028" s="5">
        <f>J1028+K1028+L1028+M1028</f>
        <v/>
      </c>
      <c r="O1028" s="5">
        <f>IF(ISNUMBER(N1028),N1028,"")</f>
        <v/>
      </c>
      <c r="P1028" s="5">
        <f>_xlfn.RANK.EQ(O1028,$O$2:$O$1031)</f>
        <v/>
      </c>
      <c r="Q1028" s="9" t="n">
        <v>281</v>
      </c>
      <c r="R1028" s="9" t="n">
        <v>43</v>
      </c>
      <c r="S1028" s="9" t="n">
        <v>24</v>
      </c>
      <c r="T1028" s="9" t="n">
        <v>24</v>
      </c>
      <c r="U1028" s="9">
        <f>Q1028+R1028+S1028+T1028</f>
        <v/>
      </c>
      <c r="V1028" s="9">
        <f>IF(ISNUMBER(U1028),U1028,"")</f>
        <v/>
      </c>
      <c r="W1028" s="9">
        <f>_xlfn.RANK.EQ(V1028,$V$2:$V$1031)</f>
        <v/>
      </c>
      <c r="X1028" s="13" t="n">
        <v>1510.525</v>
      </c>
      <c r="Y1028" s="13" t="n">
        <v>23.5</v>
      </c>
      <c r="Z1028" s="13" t="n">
        <v>25</v>
      </c>
      <c r="AA1028" s="13" t="n">
        <v>24</v>
      </c>
      <c r="AB1028" s="13">
        <f>IF(ISNUMBER(X1028),X1028+N(Y1028)+N(Z1028)+N(AA1028),X1028)</f>
        <v/>
      </c>
      <c r="AC1028" s="13">
        <f>IF(ISNUMBER(AB1028),AB1028,"")</f>
        <v/>
      </c>
      <c r="AD1028" s="13">
        <f>IF(ISNUMBER(AC1028),_xlfn.RANK.EQ(AC1028,$AC$2:$AC$1031),"")</f>
        <v/>
      </c>
      <c r="AE1028" s="15">
        <f>IF(ISNUMBER(AF1028),AF1028/3630,"")</f>
        <v/>
      </c>
      <c r="AF1028" s="14">
        <f>IFERROR(C1028+D1028+E1028+F1028+J1028+K1028+L1028+M1028+Q1028+R1028+S1028+T1028+IF(ISNUMBER(X1028),X1028,0)+N(Y1028)+N(Z1028)+N(AA1028),"")</f>
        <v/>
      </c>
      <c r="AG1028" s="14">
        <f>IF(ISNUMBER(AF1028),AF1028,"")</f>
        <v/>
      </c>
      <c r="AH1028" s="14">
        <f>IF(ISNUMBER(AG1028),_xlfn.RANK.EQ(AG1028,$AG$2:$AG$1031),"")</f>
        <v/>
      </c>
    </row>
    <row r="1029">
      <c r="A1029" s="18" t="n">
        <v>2520</v>
      </c>
      <c r="B1029" s="18" t="inlineStr">
        <is>
          <t>نور الدين محمد عبد الفتاح عبد الحليم</t>
        </is>
      </c>
      <c r="C1029" s="1" t="n">
        <v>486.3</v>
      </c>
      <c r="D1029" s="1" t="n">
        <v>21</v>
      </c>
      <c r="E1029" s="1" t="n">
        <v>19</v>
      </c>
      <c r="F1029" s="1" t="n">
        <v>20</v>
      </c>
      <c r="G1029" s="1">
        <f>C1029+D1029+E1029+F1029</f>
        <v/>
      </c>
      <c r="H1029" s="1">
        <f>IF(ISNUMBER(G1029),G1029,"")</f>
        <v/>
      </c>
      <c r="I1029" s="1">
        <f>_xlfn.RANK.EQ(H1029,$H$2:$H$1031)</f>
        <v/>
      </c>
      <c r="J1029" s="5" t="n">
        <v>422</v>
      </c>
      <c r="K1029" s="5" t="n">
        <v>40</v>
      </c>
      <c r="L1029" s="5" t="n">
        <v>19</v>
      </c>
      <c r="M1029" s="5" t="n">
        <v>20</v>
      </c>
      <c r="N1029" s="5">
        <f>J1029+K1029+L1029+M1029</f>
        <v/>
      </c>
      <c r="O1029" s="5">
        <f>IF(ISNUMBER(N1029),N1029,"")</f>
        <v/>
      </c>
      <c r="P1029" s="5">
        <f>_xlfn.RANK.EQ(O1029,$O$2:$O$1031)</f>
        <v/>
      </c>
      <c r="Q1029" s="9" t="n">
        <v>216</v>
      </c>
      <c r="R1029" s="9" t="n">
        <v>43</v>
      </c>
      <c r="S1029" s="9" t="n">
        <v>25</v>
      </c>
      <c r="T1029" s="9" t="n">
        <v>23.5</v>
      </c>
      <c r="U1029" s="9">
        <f>Q1029+R1029+S1029+T1029</f>
        <v/>
      </c>
      <c r="V1029" s="9">
        <f>IF(ISNUMBER(U1029),U1029,"")</f>
        <v/>
      </c>
      <c r="W1029" s="9">
        <f>_xlfn.RANK.EQ(V1029,$V$2:$V$1031)</f>
        <v/>
      </c>
      <c r="X1029" s="13" t="inlineStr">
        <is>
          <t>راسب</t>
        </is>
      </c>
      <c r="Y1029" s="13" t="n">
        <v>21.5</v>
      </c>
      <c r="Z1029" s="13" t="n">
        <v>23</v>
      </c>
      <c r="AA1029" s="13" t="n">
        <v>24</v>
      </c>
      <c r="AB1029" s="13">
        <f>IF(ISNUMBER(X1029),X1029+N(Y1029)+N(Z1029)+N(AA1029),X1029)</f>
        <v/>
      </c>
      <c r="AC1029" s="13">
        <f>IF(ISNUMBER(AB1029),AB1029,"")</f>
        <v/>
      </c>
      <c r="AD1029" s="13">
        <f>IF(ISNUMBER(AC1029),_xlfn.RANK.EQ(AC1029,$AC$2:$AC$1031),"")</f>
        <v/>
      </c>
      <c r="AE1029" s="15">
        <f>IF(ISNUMBER(AF1029),AF1029/3630,"")</f>
        <v/>
      </c>
      <c r="AF1029" s="14">
        <f>IFERROR(C1029+D1029+E1029+F1029+J1029+K1029+L1029+M1029+Q1029+R1029+S1029+T1029+IF(ISNUMBER(X1029),X1029,0)+N(Y1029)+N(Z1029)+N(AA1029),"")</f>
        <v/>
      </c>
      <c r="AG1029" s="14">
        <f>IF(ISNUMBER(AF1029),AF1029,"")</f>
        <v/>
      </c>
      <c r="AH1029" s="14">
        <f>IF(ISNUMBER(AG1029),_xlfn.RANK.EQ(AG1029,$AG$2:$AG$1031),"")</f>
        <v/>
      </c>
    </row>
    <row r="1030">
      <c r="A1030" s="18" t="n">
        <v>2545</v>
      </c>
      <c r="B1030" s="18" t="inlineStr">
        <is>
          <t>احمد محمد رفعت ابراهيم بسيوني</t>
        </is>
      </c>
      <c r="C1030" s="1" t="n">
        <v>495.3</v>
      </c>
      <c r="D1030" s="1" t="n">
        <v>24</v>
      </c>
      <c r="E1030" s="1" t="n">
        <v>24</v>
      </c>
      <c r="F1030" s="1" t="n">
        <v>22</v>
      </c>
      <c r="G1030" s="1">
        <f>C1030+D1030+E1030+F1030</f>
        <v/>
      </c>
      <c r="H1030" s="1">
        <f>IF(ISNUMBER(G1030),G1030,"")</f>
        <v/>
      </c>
      <c r="I1030" s="1">
        <f>_xlfn.RANK.EQ(H1030,$H$2:$H$1031)</f>
        <v/>
      </c>
      <c r="J1030" s="5" t="n">
        <v>561</v>
      </c>
      <c r="K1030" s="5" t="n">
        <v>47</v>
      </c>
      <c r="L1030" s="5" t="n">
        <v>22</v>
      </c>
      <c r="M1030" s="5" t="n">
        <v>19</v>
      </c>
      <c r="N1030" s="5">
        <f>J1030+K1030+L1030+M1030</f>
        <v/>
      </c>
      <c r="O1030" s="5">
        <f>IF(ISNUMBER(N1030),N1030,"")</f>
        <v/>
      </c>
      <c r="P1030" s="5">
        <f>_xlfn.RANK.EQ(O1030,$O$2:$O$1031)</f>
        <v/>
      </c>
      <c r="Q1030" s="9" t="n">
        <v>230</v>
      </c>
      <c r="R1030" s="9" t="n">
        <v>43</v>
      </c>
      <c r="S1030" s="9" t="n">
        <v>23</v>
      </c>
      <c r="T1030" s="9" t="n">
        <v>23</v>
      </c>
      <c r="U1030" s="9">
        <f>Q1030+R1030+S1030+T1030</f>
        <v/>
      </c>
      <c r="V1030" s="9">
        <f>IF(ISNUMBER(U1030),U1030,"")</f>
        <v/>
      </c>
      <c r="W1030" s="9">
        <f>_xlfn.RANK.EQ(V1030,$V$2:$V$1031)</f>
        <v/>
      </c>
      <c r="X1030" s="13" t="n">
        <v>1270.8125</v>
      </c>
      <c r="Y1030" s="13" t="n">
        <v>23.5</v>
      </c>
      <c r="Z1030" s="13" t="n">
        <v>10</v>
      </c>
      <c r="AA1030" s="13" t="n">
        <v>25</v>
      </c>
      <c r="AB1030" s="13">
        <f>IF(ISNUMBER(X1030),X1030+N(Y1030)+N(Z1030)+N(AA1030),X1030)</f>
        <v/>
      </c>
      <c r="AC1030" s="13">
        <f>IF(ISNUMBER(AB1030),AB1030,"")</f>
        <v/>
      </c>
      <c r="AD1030" s="13">
        <f>IF(ISNUMBER(AC1030),_xlfn.RANK.EQ(AC1030,$AC$2:$AC$1031),"")</f>
        <v/>
      </c>
      <c r="AE1030" s="15">
        <f>IF(ISNUMBER(AF1030),AF1030/3630,"")</f>
        <v/>
      </c>
      <c r="AF1030" s="14">
        <f>IFERROR(C1030+D1030+E1030+F1030+J1030+K1030+L1030+M1030+Q1030+R1030+S1030+T1030+IF(ISNUMBER(X1030),X1030,0)+N(Y1030)+N(Z1030)+N(AA1030),"")</f>
        <v/>
      </c>
      <c r="AG1030" s="14">
        <f>IF(ISNUMBER(AF1030),AF1030,"")</f>
        <v/>
      </c>
      <c r="AH1030" s="14">
        <f>IF(ISNUMBER(AG1030),_xlfn.RANK.EQ(AG1030,$AG$2:$AG$1031),"")</f>
        <v/>
      </c>
    </row>
    <row r="1031">
      <c r="A1031" s="18" t="n">
        <v>2603</v>
      </c>
      <c r="B1031" s="18" t="inlineStr">
        <is>
          <t>الاء احمد عبد اللطيف احمد العكريش</t>
        </is>
      </c>
      <c r="C1031" s="1" t="n">
        <v>483.2</v>
      </c>
      <c r="D1031" s="1" t="n">
        <v>24</v>
      </c>
      <c r="E1031" s="1" t="n">
        <v>19</v>
      </c>
      <c r="F1031" s="1" t="n">
        <v>18</v>
      </c>
      <c r="G1031" s="1">
        <f>C1031+D1031+E1031+F1031</f>
        <v/>
      </c>
      <c r="H1031" s="1">
        <f>IF(ISNUMBER(G1031),G1031,"")</f>
        <v/>
      </c>
      <c r="I1031" s="1">
        <f>_xlfn.RANK.EQ(H1031,$H$2:$H$1031)</f>
        <v/>
      </c>
      <c r="J1031" s="5" t="n">
        <v>570</v>
      </c>
      <c r="K1031" s="5" t="n">
        <v>48</v>
      </c>
      <c r="L1031" s="5" t="n">
        <v>20</v>
      </c>
      <c r="M1031" s="5" t="n">
        <v>20</v>
      </c>
      <c r="N1031" s="5">
        <f>J1031+K1031+L1031+M1031</f>
        <v/>
      </c>
      <c r="O1031" s="5">
        <f>IF(ISNUMBER(N1031),N1031,"")</f>
        <v/>
      </c>
      <c r="P1031" s="5">
        <f>_xlfn.RANK.EQ(O1031,$O$2:$O$1031)</f>
        <v/>
      </c>
      <c r="Q1031" s="9" t="n">
        <v>253</v>
      </c>
      <c r="R1031" s="9" t="n">
        <v>41</v>
      </c>
      <c r="S1031" s="9" t="n">
        <v>20</v>
      </c>
      <c r="T1031" s="9" t="n">
        <v>23</v>
      </c>
      <c r="U1031" s="9">
        <f>Q1031+R1031+S1031+T1031</f>
        <v/>
      </c>
      <c r="V1031" s="9">
        <f>IF(ISNUMBER(U1031),U1031,"")</f>
        <v/>
      </c>
      <c r="W1031" s="9">
        <f>_xlfn.RANK.EQ(V1031,$V$2:$V$1031)</f>
        <v/>
      </c>
      <c r="X1031" s="13" t="n">
        <v>1417.7166666667</v>
      </c>
      <c r="Y1031" s="13" t="n">
        <v>24.5</v>
      </c>
      <c r="Z1031" s="13" t="n">
        <v>25</v>
      </c>
      <c r="AA1031" s="13" t="n">
        <v>24</v>
      </c>
      <c r="AB1031" s="13">
        <f>IF(ISNUMBER(X1031),X1031+N(Y1031)+N(Z1031)+N(AA1031),X1031)</f>
        <v/>
      </c>
      <c r="AC1031" s="13">
        <f>IF(ISNUMBER(AB1031),AB1031,"")</f>
        <v/>
      </c>
      <c r="AD1031" s="13">
        <f>IF(ISNUMBER(AC1031),_xlfn.RANK.EQ(AC1031,$AC$2:$AC$1031),"")</f>
        <v/>
      </c>
      <c r="AE1031" s="15">
        <f>IF(ISNUMBER(AF1031),AF1031/3630,"")</f>
        <v/>
      </c>
      <c r="AF1031" s="14">
        <f>IFERROR(C1031+D1031+E1031+F1031+J1031+K1031+L1031+M1031+Q1031+R1031+S1031+T1031+IF(ISNUMBER(X1031),X1031,0)+N(Y1031)+N(Z1031)+N(AA1031),"")</f>
        <v/>
      </c>
      <c r="AG1031" s="14">
        <f>IF(ISNUMBER(AF1031),AF1031,"")</f>
        <v/>
      </c>
      <c r="AH1031" s="14">
        <f>IF(ISNUMBER(AG1031),_xlfn.RANK.EQ(AG1031,$AG$2:$AG$1031),"")</f>
        <v/>
      </c>
    </row>
    <row r="1083" customFormat="1" s="26"/>
  </sheetData>
  <autoFilter ref="A1:AH1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'abdelrahman hamdy ali abdelhay'</dc:creator>
  <dcterms:created xmlns:dcterms="http://purl.org/dc/terms/" xmlns:xsi="http://www.w3.org/2001/XMLSchema-instance" xsi:type="dcterms:W3CDTF">2025-04-29T10:57:53Z</dcterms:created>
  <dcterms:modified xmlns:dcterms="http://purl.org/dc/terms/" xmlns:xsi="http://www.w3.org/2001/XMLSchema-instance" xsi:type="dcterms:W3CDTF">2026-09-28T07:37:12Z</dcterms:modified>
  <cp:lastModifiedBy>'abdelrahman hamdy ali abdelhay'</cp:lastModifiedBy>
</cp:coreProperties>
</file>